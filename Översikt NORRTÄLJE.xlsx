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45938</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45938</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45938</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45938</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45938</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45938</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45938</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45938</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45938</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45938</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45938</v>
      </c>
      <c r="D12" t="inlineStr">
        <is>
          <t>STOCKHOLMS LÄN</t>
        </is>
      </c>
      <c r="E12" t="inlineStr">
        <is>
          <t>NORRTÄLJE</t>
        </is>
      </c>
      <c r="F12" t="inlineStr">
        <is>
          <t>Holmen skog AB</t>
        </is>
      </c>
      <c r="G12" t="n">
        <v>7.9</v>
      </c>
      <c r="H12" t="n">
        <v>1</v>
      </c>
      <c r="I12" t="n">
        <v>7</v>
      </c>
      <c r="J12" t="n">
        <v>6</v>
      </c>
      <c r="K12" t="n">
        <v>2</v>
      </c>
      <c r="L12" t="n">
        <v>0</v>
      </c>
      <c r="M12" t="n">
        <v>0</v>
      </c>
      <c r="N12" t="n">
        <v>0</v>
      </c>
      <c r="O12" t="n">
        <v>8</v>
      </c>
      <c r="P12" t="n">
        <v>2</v>
      </c>
      <c r="Q12" t="n">
        <v>16</v>
      </c>
      <c r="R1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45938</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45938</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20722-2024</t>
        </is>
      </c>
      <c r="B15" s="1" t="n">
        <v>45436</v>
      </c>
      <c r="C15" s="1" t="n">
        <v>45938</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11231-2021</t>
        </is>
      </c>
      <c r="B16" s="1" t="n">
        <v>44263</v>
      </c>
      <c r="C16" s="1" t="n">
        <v>45938</v>
      </c>
      <c r="D16" t="inlineStr">
        <is>
          <t>STOCKHOLMS LÄN</t>
        </is>
      </c>
      <c r="E16" t="inlineStr">
        <is>
          <t>NORRTÄLJE</t>
        </is>
      </c>
      <c r="F16" t="inlineStr">
        <is>
          <t>Holmen skog AB</t>
        </is>
      </c>
      <c r="G16" t="n">
        <v>12</v>
      </c>
      <c r="H16" t="n">
        <v>6</v>
      </c>
      <c r="I16" t="n">
        <v>2</v>
      </c>
      <c r="J16" t="n">
        <v>5</v>
      </c>
      <c r="K16" t="n">
        <v>0</v>
      </c>
      <c r="L16" t="n">
        <v>2</v>
      </c>
      <c r="M16" t="n">
        <v>0</v>
      </c>
      <c r="N16" t="n">
        <v>0</v>
      </c>
      <c r="O16" t="n">
        <v>7</v>
      </c>
      <c r="P16" t="n">
        <v>2</v>
      </c>
      <c r="Q16" t="n">
        <v>10</v>
      </c>
      <c r="R16" s="2" t="inlineStr">
        <is>
          <t>Grönfink
Tornseglare
Fiskmås
Havsörn
Motaggsvamp
Talltita
Vedskivlav
Björksplintborre
Dropptaggsvamp
Tjäder</t>
        </is>
      </c>
      <c r="S16">
        <f>HYPERLINK("https://klasma.github.io/Logging_0188/artfynd/A 11231-2021 artfynd.xlsx", "A 11231-2021")</f>
        <v/>
      </c>
      <c r="T16">
        <f>HYPERLINK("https://klasma.github.io/Logging_0188/kartor/A 11231-2021 karta.png", "A 11231-2021")</f>
        <v/>
      </c>
      <c r="V16">
        <f>HYPERLINK("https://klasma.github.io/Logging_0188/klagomål/A 11231-2021 FSC-klagomål.docx", "A 11231-2021")</f>
        <v/>
      </c>
      <c r="W16">
        <f>HYPERLINK("https://klasma.github.io/Logging_0188/klagomålsmail/A 11231-2021 FSC-klagomål mail.docx", "A 11231-2021")</f>
        <v/>
      </c>
      <c r="X16">
        <f>HYPERLINK("https://klasma.github.io/Logging_0188/tillsyn/A 11231-2021 tillsynsbegäran.docx", "A 11231-2021")</f>
        <v/>
      </c>
      <c r="Y16">
        <f>HYPERLINK("https://klasma.github.io/Logging_0188/tillsynsmail/A 11231-2021 tillsynsbegäran mail.docx", "A 11231-2021")</f>
        <v/>
      </c>
      <c r="Z16">
        <f>HYPERLINK("https://klasma.github.io/Logging_0188/fåglar/A 11231-2021 prioriterade fågelarter.docx", "A 11231-2021")</f>
        <v/>
      </c>
    </row>
    <row r="17" ht="15" customHeight="1">
      <c r="A17" t="inlineStr">
        <is>
          <t>A 44847-2023</t>
        </is>
      </c>
      <c r="B17" s="1" t="n">
        <v>45190</v>
      </c>
      <c r="C17" s="1" t="n">
        <v>45938</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73093-2021</t>
        </is>
      </c>
      <c r="B18" s="1" t="n">
        <v>44550</v>
      </c>
      <c r="C18" s="1" t="n">
        <v>45938</v>
      </c>
      <c r="D18" t="inlineStr">
        <is>
          <t>STOCKHOLMS LÄN</t>
        </is>
      </c>
      <c r="E18" t="inlineStr">
        <is>
          <t>NORRTÄLJE</t>
        </is>
      </c>
      <c r="G18" t="n">
        <v>5.1</v>
      </c>
      <c r="H18" t="n">
        <v>6</v>
      </c>
      <c r="I18" t="n">
        <v>6</v>
      </c>
      <c r="J18" t="n">
        <v>1</v>
      </c>
      <c r="K18" t="n">
        <v>0</v>
      </c>
      <c r="L18" t="n">
        <v>0</v>
      </c>
      <c r="M18" t="n">
        <v>0</v>
      </c>
      <c r="N18" t="n">
        <v>0</v>
      </c>
      <c r="O18" t="n">
        <v>1</v>
      </c>
      <c r="P18" t="n">
        <v>0</v>
      </c>
      <c r="Q18" t="n">
        <v>9</v>
      </c>
      <c r="R18" s="2" t="inlineStr">
        <is>
          <t>Rödvingetrast
Guckusko
Myskmadra
Nästrot
Skogsknipprot
Tibast
Vätteros
Nattviol
Blåsippa</t>
        </is>
      </c>
      <c r="S18">
        <f>HYPERLINK("https://klasma.github.io/Logging_0188/artfynd/A 73093-2021 artfynd.xlsx", "A 73093-2021")</f>
        <v/>
      </c>
      <c r="T18">
        <f>HYPERLINK("https://klasma.github.io/Logging_0188/kartor/A 73093-2021 karta.png", "A 73093-2021")</f>
        <v/>
      </c>
      <c r="V18">
        <f>HYPERLINK("https://klasma.github.io/Logging_0188/klagomål/A 73093-2021 FSC-klagomål.docx", "A 73093-2021")</f>
        <v/>
      </c>
      <c r="W18">
        <f>HYPERLINK("https://klasma.github.io/Logging_0188/klagomålsmail/A 73093-2021 FSC-klagomål mail.docx", "A 73093-2021")</f>
        <v/>
      </c>
      <c r="X18">
        <f>HYPERLINK("https://klasma.github.io/Logging_0188/tillsyn/A 73093-2021 tillsynsbegäran.docx", "A 73093-2021")</f>
        <v/>
      </c>
      <c r="Y18">
        <f>HYPERLINK("https://klasma.github.io/Logging_0188/tillsynsmail/A 73093-2021 tillsynsbegäran mail.docx", "A 73093-2021")</f>
        <v/>
      </c>
      <c r="Z18">
        <f>HYPERLINK("https://klasma.github.io/Logging_0188/fåglar/A 73093-2021 prioriterade fågelarter.docx", "A 73093-2021")</f>
        <v/>
      </c>
    </row>
    <row r="19" ht="15" customHeight="1">
      <c r="A19" t="inlineStr">
        <is>
          <t>A 52815-2021</t>
        </is>
      </c>
      <c r="B19" s="1" t="n">
        <v>44467</v>
      </c>
      <c r="C19" s="1" t="n">
        <v>45938</v>
      </c>
      <c r="D19" t="inlineStr">
        <is>
          <t>STOCKHOLMS LÄN</t>
        </is>
      </c>
      <c r="E19" t="inlineStr">
        <is>
          <t>NORRTÄLJE</t>
        </is>
      </c>
      <c r="G19" t="n">
        <v>2.8</v>
      </c>
      <c r="H19" t="n">
        <v>0</v>
      </c>
      <c r="I19" t="n">
        <v>2</v>
      </c>
      <c r="J19" t="n">
        <v>2</v>
      </c>
      <c r="K19" t="n">
        <v>4</v>
      </c>
      <c r="L19" t="n">
        <v>1</v>
      </c>
      <c r="M19" t="n">
        <v>0</v>
      </c>
      <c r="N19" t="n">
        <v>0</v>
      </c>
      <c r="O19" t="n">
        <v>7</v>
      </c>
      <c r="P19" t="n">
        <v>5</v>
      </c>
      <c r="Q19" t="n">
        <v>9</v>
      </c>
      <c r="R19" s="2" t="inlineStr">
        <is>
          <t>Raggtaggsvamp
Gul lammticka
Koppartaggsvamp
Spricktaggsvamp
Svartfjällig musseron
Bittermusseron
Flattoppad klubbsvamp
Diskvaxskivling
Fjällig taggsvamp s.str.</t>
        </is>
      </c>
      <c r="S19">
        <f>HYPERLINK("https://klasma.github.io/Logging_0188/artfynd/A 52815-2021 artfynd.xlsx", "A 52815-2021")</f>
        <v/>
      </c>
      <c r="T19">
        <f>HYPERLINK("https://klasma.github.io/Logging_0188/kartor/A 52815-2021 karta.png", "A 52815-2021")</f>
        <v/>
      </c>
      <c r="V19">
        <f>HYPERLINK("https://klasma.github.io/Logging_0188/klagomål/A 52815-2021 FSC-klagomål.docx", "A 52815-2021")</f>
        <v/>
      </c>
      <c r="W19">
        <f>HYPERLINK("https://klasma.github.io/Logging_0188/klagomålsmail/A 52815-2021 FSC-klagomål mail.docx", "A 52815-2021")</f>
        <v/>
      </c>
      <c r="X19">
        <f>HYPERLINK("https://klasma.github.io/Logging_0188/tillsyn/A 52815-2021 tillsynsbegäran.docx", "A 52815-2021")</f>
        <v/>
      </c>
      <c r="Y19">
        <f>HYPERLINK("https://klasma.github.io/Logging_0188/tillsynsmail/A 52815-2021 tillsynsbegäran mail.docx", "A 52815-2021")</f>
        <v/>
      </c>
    </row>
    <row r="20" ht="15" customHeight="1">
      <c r="A20" t="inlineStr">
        <is>
          <t>A 50326-2024</t>
        </is>
      </c>
      <c r="B20" s="1" t="n">
        <v>45600</v>
      </c>
      <c r="C20" s="1" t="n">
        <v>45938</v>
      </c>
      <c r="D20" t="inlineStr">
        <is>
          <t>STOCKHOLMS LÄN</t>
        </is>
      </c>
      <c r="E20" t="inlineStr">
        <is>
          <t>NORRTÄLJE</t>
        </is>
      </c>
      <c r="G20" t="n">
        <v>23.9</v>
      </c>
      <c r="H20" t="n">
        <v>4</v>
      </c>
      <c r="I20" t="n">
        <v>5</v>
      </c>
      <c r="J20" t="n">
        <v>1</v>
      </c>
      <c r="K20" t="n">
        <v>0</v>
      </c>
      <c r="L20" t="n">
        <v>0</v>
      </c>
      <c r="M20" t="n">
        <v>0</v>
      </c>
      <c r="N20" t="n">
        <v>0</v>
      </c>
      <c r="O20" t="n">
        <v>1</v>
      </c>
      <c r="P20" t="n">
        <v>0</v>
      </c>
      <c r="Q20" t="n">
        <v>9</v>
      </c>
      <c r="R20" s="2" t="inlineStr">
        <is>
          <t>Sommarfibbla
Nästrot
Slät lönnlav
Svart trolldruva
Tibast
Vårärt
Fläcknycklar
Blåsippa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47274-2024</t>
        </is>
      </c>
      <c r="B21" s="1" t="n">
        <v>45586.88145833334</v>
      </c>
      <c r="C21" s="1" t="n">
        <v>45938</v>
      </c>
      <c r="D21" t="inlineStr">
        <is>
          <t>STOCKHOLMS LÄN</t>
        </is>
      </c>
      <c r="E21" t="inlineStr">
        <is>
          <t>NORRTÄLJE</t>
        </is>
      </c>
      <c r="G21" t="n">
        <v>20.1</v>
      </c>
      <c r="H21" t="n">
        <v>2</v>
      </c>
      <c r="I21" t="n">
        <v>3</v>
      </c>
      <c r="J21" t="n">
        <v>4</v>
      </c>
      <c r="K21" t="n">
        <v>1</v>
      </c>
      <c r="L21" t="n">
        <v>0</v>
      </c>
      <c r="M21" t="n">
        <v>0</v>
      </c>
      <c r="N21" t="n">
        <v>0</v>
      </c>
      <c r="O21" t="n">
        <v>5</v>
      </c>
      <c r="P21" t="n">
        <v>1</v>
      </c>
      <c r="Q21" t="n">
        <v>9</v>
      </c>
      <c r="R21" s="2" t="inlineStr">
        <is>
          <t>Knärot
Grönhjon
Motaggsvamp
Ullticka
Vedskivlav
Dropptaggsvamp
Grönpyrola
Svavelriska
Blåsippa</t>
        </is>
      </c>
      <c r="S21">
        <f>HYPERLINK("https://klasma.github.io/Logging_0188/artfynd/A 47274-2024 artfynd.xlsx", "A 47274-2024")</f>
        <v/>
      </c>
      <c r="T21">
        <f>HYPERLINK("https://klasma.github.io/Logging_0188/kartor/A 47274-2024 karta.png", "A 47274-2024")</f>
        <v/>
      </c>
      <c r="U21">
        <f>HYPERLINK("https://klasma.github.io/Logging_0188/knärot/A 47274-2024 karta knärot.png", "A 47274-2024")</f>
        <v/>
      </c>
      <c r="V21">
        <f>HYPERLINK("https://klasma.github.io/Logging_0188/klagomål/A 47274-2024 FSC-klagomål.docx", "A 47274-2024")</f>
        <v/>
      </c>
      <c r="W21">
        <f>HYPERLINK("https://klasma.github.io/Logging_0188/klagomålsmail/A 47274-2024 FSC-klagomål mail.docx", "A 47274-2024")</f>
        <v/>
      </c>
      <c r="X21">
        <f>HYPERLINK("https://klasma.github.io/Logging_0188/tillsyn/A 47274-2024 tillsynsbegäran.docx", "A 47274-2024")</f>
        <v/>
      </c>
      <c r="Y21">
        <f>HYPERLINK("https://klasma.github.io/Logging_0188/tillsynsmail/A 47274-2024 tillsynsbegäran mail.docx", "A 47274-2024")</f>
        <v/>
      </c>
    </row>
    <row r="22" ht="15" customHeight="1">
      <c r="A22" t="inlineStr">
        <is>
          <t>A 4705-2025</t>
        </is>
      </c>
      <c r="B22" s="1" t="n">
        <v>45688.38224537037</v>
      </c>
      <c r="C22" s="1" t="n">
        <v>45938</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59582-2024</t>
        </is>
      </c>
      <c r="B23" s="1" t="n">
        <v>45638</v>
      </c>
      <c r="C23" s="1" t="n">
        <v>45938</v>
      </c>
      <c r="D23" t="inlineStr">
        <is>
          <t>STOCKHOLMS LÄN</t>
        </is>
      </c>
      <c r="E23" t="inlineStr">
        <is>
          <t>NORRTÄLJE</t>
        </is>
      </c>
      <c r="F23" t="inlineStr">
        <is>
          <t>Holmen skog AB</t>
        </is>
      </c>
      <c r="G23" t="n">
        <v>2.7</v>
      </c>
      <c r="H23" t="n">
        <v>3</v>
      </c>
      <c r="I23" t="n">
        <v>4</v>
      </c>
      <c r="J23" t="n">
        <v>3</v>
      </c>
      <c r="K23" t="n">
        <v>0</v>
      </c>
      <c r="L23" t="n">
        <v>0</v>
      </c>
      <c r="M23" t="n">
        <v>0</v>
      </c>
      <c r="N23" t="n">
        <v>0</v>
      </c>
      <c r="O23" t="n">
        <v>3</v>
      </c>
      <c r="P23" t="n">
        <v>0</v>
      </c>
      <c r="Q23" t="n">
        <v>8</v>
      </c>
      <c r="R23" s="2" t="inlineStr">
        <is>
          <t>Duvhök
Skogshare
Spillkråka
Bronshjon
Granbräken
Spädstarr
Vågbandad barkbock
Revlummer</t>
        </is>
      </c>
      <c r="S23">
        <f>HYPERLINK("https://klasma.github.io/Logging_0188/artfynd/A 59582-2024 artfynd.xlsx", "A 59582-2024")</f>
        <v/>
      </c>
      <c r="T23">
        <f>HYPERLINK("https://klasma.github.io/Logging_0188/kartor/A 59582-2024 karta.png", "A 59582-2024")</f>
        <v/>
      </c>
      <c r="V23">
        <f>HYPERLINK("https://klasma.github.io/Logging_0188/klagomål/A 59582-2024 FSC-klagomål.docx", "A 59582-2024")</f>
        <v/>
      </c>
      <c r="W23">
        <f>HYPERLINK("https://klasma.github.io/Logging_0188/klagomålsmail/A 59582-2024 FSC-klagomål mail.docx", "A 59582-2024")</f>
        <v/>
      </c>
      <c r="X23">
        <f>HYPERLINK("https://klasma.github.io/Logging_0188/tillsyn/A 59582-2024 tillsynsbegäran.docx", "A 59582-2024")</f>
        <v/>
      </c>
      <c r="Y23">
        <f>HYPERLINK("https://klasma.github.io/Logging_0188/tillsynsmail/A 59582-2024 tillsynsbegäran mail.docx", "A 59582-2024")</f>
        <v/>
      </c>
      <c r="Z23">
        <f>HYPERLINK("https://klasma.github.io/Logging_0188/fåglar/A 59582-2024 prioriterade fågelarter.docx", "A 59582-2024")</f>
        <v/>
      </c>
    </row>
    <row r="24" ht="15" customHeight="1">
      <c r="A24" t="inlineStr">
        <is>
          <t>A 45811-2022</t>
        </is>
      </c>
      <c r="B24" s="1" t="n">
        <v>44846</v>
      </c>
      <c r="C24" s="1" t="n">
        <v>45938</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45938</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45938</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45938</v>
      </c>
      <c r="D27" t="inlineStr">
        <is>
          <t>STOCKHOLMS LÄN</t>
        </is>
      </c>
      <c r="E27" t="inlineStr">
        <is>
          <t>NORRTÄLJE</t>
        </is>
      </c>
      <c r="G27" t="n">
        <v>7.4</v>
      </c>
      <c r="H27" t="n">
        <v>3</v>
      </c>
      <c r="I27" t="n">
        <v>3</v>
      </c>
      <c r="J27" t="n">
        <v>2</v>
      </c>
      <c r="K27" t="n">
        <v>1</v>
      </c>
      <c r="L27" t="n">
        <v>0</v>
      </c>
      <c r="M27" t="n">
        <v>0</v>
      </c>
      <c r="N27" t="n">
        <v>0</v>
      </c>
      <c r="O27" t="n">
        <v>3</v>
      </c>
      <c r="P27" t="n">
        <v>1</v>
      </c>
      <c r="Q27" t="n">
        <v>7</v>
      </c>
      <c r="R27" s="2" t="inlineStr">
        <is>
          <t>Knärot
Blå taggsvamp
Skrovlig taggsvamp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47346-2021</t>
        </is>
      </c>
      <c r="B28" s="1" t="n">
        <v>44447</v>
      </c>
      <c r="C28" s="1" t="n">
        <v>45938</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15278-2024</t>
        </is>
      </c>
      <c r="B29" s="1" t="n">
        <v>45400.5958912037</v>
      </c>
      <c r="C29" s="1" t="n">
        <v>45938</v>
      </c>
      <c r="D29" t="inlineStr">
        <is>
          <t>STOCKHOLMS LÄN</t>
        </is>
      </c>
      <c r="E29" t="inlineStr">
        <is>
          <t>NORRTÄLJE</t>
        </is>
      </c>
      <c r="G29" t="n">
        <v>7.4</v>
      </c>
      <c r="H29" t="n">
        <v>2</v>
      </c>
      <c r="I29" t="n">
        <v>4</v>
      </c>
      <c r="J29" t="n">
        <v>1</v>
      </c>
      <c r="K29" t="n">
        <v>1</v>
      </c>
      <c r="L29" t="n">
        <v>0</v>
      </c>
      <c r="M29" t="n">
        <v>0</v>
      </c>
      <c r="N29" t="n">
        <v>0</v>
      </c>
      <c r="O29" t="n">
        <v>2</v>
      </c>
      <c r="P29" t="n">
        <v>1</v>
      </c>
      <c r="Q29" t="n">
        <v>7</v>
      </c>
      <c r="R29" s="2" t="inlineStr">
        <is>
          <t>Knärot
Ullticka
Fjällig taggsvamp s.str.
Grönpyrola
Kattfotslav
Vedticka
Blåsippa</t>
        </is>
      </c>
      <c r="S29">
        <f>HYPERLINK("https://klasma.github.io/Logging_0188/artfynd/A 15278-2024 artfynd.xlsx", "A 15278-2024")</f>
        <v/>
      </c>
      <c r="T29">
        <f>HYPERLINK("https://klasma.github.io/Logging_0188/kartor/A 15278-2024 karta.png", "A 15278-2024")</f>
        <v/>
      </c>
      <c r="U29">
        <f>HYPERLINK("https://klasma.github.io/Logging_0188/knärot/A 15278-2024 karta knärot.png", "A 15278-2024")</f>
        <v/>
      </c>
      <c r="V29">
        <f>HYPERLINK("https://klasma.github.io/Logging_0188/klagomål/A 15278-2024 FSC-klagomål.docx", "A 15278-2024")</f>
        <v/>
      </c>
      <c r="W29">
        <f>HYPERLINK("https://klasma.github.io/Logging_0188/klagomålsmail/A 15278-2024 FSC-klagomål mail.docx", "A 15278-2024")</f>
        <v/>
      </c>
      <c r="X29">
        <f>HYPERLINK("https://klasma.github.io/Logging_0188/tillsyn/A 15278-2024 tillsynsbegäran.docx", "A 15278-2024")</f>
        <v/>
      </c>
      <c r="Y29">
        <f>HYPERLINK("https://klasma.github.io/Logging_0188/tillsynsmail/A 15278-2024 tillsynsbegäran mail.docx", "A 15278-2024")</f>
        <v/>
      </c>
    </row>
    <row r="30" ht="15" customHeight="1">
      <c r="A30" t="inlineStr">
        <is>
          <t>A 34528-2025</t>
        </is>
      </c>
      <c r="B30" s="1" t="n">
        <v>45847.48436342592</v>
      </c>
      <c r="C30" s="1" t="n">
        <v>45938</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45938</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72111-2021</t>
        </is>
      </c>
      <c r="B32" s="1" t="n">
        <v>44544</v>
      </c>
      <c r="C32" s="1" t="n">
        <v>45938</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45938</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30687-2025</t>
        </is>
      </c>
      <c r="B34" s="1" t="n">
        <v>45831.53390046296</v>
      </c>
      <c r="C34" s="1" t="n">
        <v>45938</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21922-2023</t>
        </is>
      </c>
      <c r="B35" s="1" t="n">
        <v>45068</v>
      </c>
      <c r="C35" s="1" t="n">
        <v>45938</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22071-2022</t>
        </is>
      </c>
      <c r="B36" s="1" t="n">
        <v>44711</v>
      </c>
      <c r="C36" s="1" t="n">
        <v>45938</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10876-2025</t>
        </is>
      </c>
      <c r="B37" s="1" t="n">
        <v>45722</v>
      </c>
      <c r="C37" s="1" t="n">
        <v>45938</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45938</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21730-2025</t>
        </is>
      </c>
      <c r="B39" s="1" t="n">
        <v>45783.58123842593</v>
      </c>
      <c r="C39" s="1" t="n">
        <v>45938</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21837-2025</t>
        </is>
      </c>
      <c r="B40" s="1" t="n">
        <v>45784.32179398148</v>
      </c>
      <c r="C40" s="1" t="n">
        <v>45938</v>
      </c>
      <c r="D40" t="inlineStr">
        <is>
          <t>STOCKHOLMS LÄN</t>
        </is>
      </c>
      <c r="E40" t="inlineStr">
        <is>
          <t>NORRTÄLJE</t>
        </is>
      </c>
      <c r="G40" t="n">
        <v>6.4</v>
      </c>
      <c r="H40" t="n">
        <v>2</v>
      </c>
      <c r="I40" t="n">
        <v>2</v>
      </c>
      <c r="J40" t="n">
        <v>1</v>
      </c>
      <c r="K40" t="n">
        <v>0</v>
      </c>
      <c r="L40" t="n">
        <v>0</v>
      </c>
      <c r="M40" t="n">
        <v>0</v>
      </c>
      <c r="N40" t="n">
        <v>0</v>
      </c>
      <c r="O40" t="n">
        <v>1</v>
      </c>
      <c r="P40" t="n">
        <v>0</v>
      </c>
      <c r="Q40" t="n">
        <v>4</v>
      </c>
      <c r="R40" s="2" t="inlineStr">
        <is>
          <t>Granticka
Brandticka
Nästrot
Blåsippa</t>
        </is>
      </c>
      <c r="S40">
        <f>HYPERLINK("https://klasma.github.io/Logging_0188/artfynd/A 21837-2025 artfynd.xlsx", "A 21837-2025")</f>
        <v/>
      </c>
      <c r="T40">
        <f>HYPERLINK("https://klasma.github.io/Logging_0188/kartor/A 21837-2025 karta.png", "A 21837-2025")</f>
        <v/>
      </c>
      <c r="V40">
        <f>HYPERLINK("https://klasma.github.io/Logging_0188/klagomål/A 21837-2025 FSC-klagomål.docx", "A 21837-2025")</f>
        <v/>
      </c>
      <c r="W40">
        <f>HYPERLINK("https://klasma.github.io/Logging_0188/klagomålsmail/A 21837-2025 FSC-klagomål mail.docx", "A 21837-2025")</f>
        <v/>
      </c>
      <c r="X40">
        <f>HYPERLINK("https://klasma.github.io/Logging_0188/tillsyn/A 21837-2025 tillsynsbegäran.docx", "A 21837-2025")</f>
        <v/>
      </c>
      <c r="Y40">
        <f>HYPERLINK("https://klasma.github.io/Logging_0188/tillsynsmail/A 21837-2025 tillsynsbegäran mail.docx", "A 21837-2025")</f>
        <v/>
      </c>
    </row>
    <row r="41" ht="15" customHeight="1">
      <c r="A41" t="inlineStr">
        <is>
          <t>A 24052-2021</t>
        </is>
      </c>
      <c r="B41" s="1" t="n">
        <v>44336</v>
      </c>
      <c r="C41" s="1" t="n">
        <v>45938</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34521-2025</t>
        </is>
      </c>
      <c r="B42" s="1" t="n">
        <v>45847.47052083333</v>
      </c>
      <c r="C42" s="1" t="n">
        <v>45938</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44709-2022</t>
        </is>
      </c>
      <c r="B43" s="1" t="n">
        <v>44839</v>
      </c>
      <c r="C43" s="1" t="n">
        <v>45938</v>
      </c>
      <c r="D43" t="inlineStr">
        <is>
          <t>STOCKHOLMS LÄN</t>
        </is>
      </c>
      <c r="E43" t="inlineStr">
        <is>
          <t>NORRTÄLJE</t>
        </is>
      </c>
      <c r="G43" t="n">
        <v>16.3</v>
      </c>
      <c r="H43" t="n">
        <v>3</v>
      </c>
      <c r="I43" t="n">
        <v>0</v>
      </c>
      <c r="J43" t="n">
        <v>2</v>
      </c>
      <c r="K43" t="n">
        <v>0</v>
      </c>
      <c r="L43" t="n">
        <v>0</v>
      </c>
      <c r="M43" t="n">
        <v>0</v>
      </c>
      <c r="N43" t="n">
        <v>0</v>
      </c>
      <c r="O43" t="n">
        <v>2</v>
      </c>
      <c r="P43" t="n">
        <v>0</v>
      </c>
      <c r="Q43" t="n">
        <v>4</v>
      </c>
      <c r="R43" s="2" t="inlineStr">
        <is>
          <t>Asppraktbagge
Spillkråka
Enkelbeckasin
Orre</t>
        </is>
      </c>
      <c r="S43">
        <f>HYPERLINK("https://klasma.github.io/Logging_0188/artfynd/A 44709-2022 artfynd.xlsx", "A 44709-2022")</f>
        <v/>
      </c>
      <c r="T43">
        <f>HYPERLINK("https://klasma.github.io/Logging_0188/kartor/A 44709-2022 karta.png", "A 44709-2022")</f>
        <v/>
      </c>
      <c r="V43">
        <f>HYPERLINK("https://klasma.github.io/Logging_0188/klagomål/A 44709-2022 FSC-klagomål.docx", "A 44709-2022")</f>
        <v/>
      </c>
      <c r="W43">
        <f>HYPERLINK("https://klasma.github.io/Logging_0188/klagomålsmail/A 44709-2022 FSC-klagomål mail.docx", "A 44709-2022")</f>
        <v/>
      </c>
      <c r="X43">
        <f>HYPERLINK("https://klasma.github.io/Logging_0188/tillsyn/A 44709-2022 tillsynsbegäran.docx", "A 44709-2022")</f>
        <v/>
      </c>
      <c r="Y43">
        <f>HYPERLINK("https://klasma.github.io/Logging_0188/tillsynsmail/A 44709-2022 tillsynsbegäran mail.docx", "A 44709-2022")</f>
        <v/>
      </c>
      <c r="Z43">
        <f>HYPERLINK("https://klasma.github.io/Logging_0188/fåglar/A 44709-2022 prioriterade fågelarter.docx", "A 44709-2022")</f>
        <v/>
      </c>
    </row>
    <row r="44" ht="15" customHeight="1">
      <c r="A44" t="inlineStr">
        <is>
          <t>A 41276-2025</t>
        </is>
      </c>
      <c r="B44" s="1" t="n">
        <v>45898.62723379629</v>
      </c>
      <c r="C44" s="1" t="n">
        <v>45938</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17673-2021</t>
        </is>
      </c>
      <c r="B45" s="1" t="n">
        <v>44300</v>
      </c>
      <c r="C45" s="1" t="n">
        <v>45938</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45938</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14560-2021</t>
        </is>
      </c>
      <c r="B47" s="1" t="n">
        <v>44279</v>
      </c>
      <c r="C47" s="1" t="n">
        <v>45938</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28836-2022</t>
        </is>
      </c>
      <c r="B48" s="1" t="n">
        <v>44749</v>
      </c>
      <c r="C48" s="1" t="n">
        <v>45938</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53065-2024</t>
        </is>
      </c>
      <c r="B49" s="1" t="n">
        <v>45611.47233796296</v>
      </c>
      <c r="C49" s="1" t="n">
        <v>45938</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27870-2022</t>
        </is>
      </c>
      <c r="B50" s="1" t="n">
        <v>44743.64592592593</v>
      </c>
      <c r="C50" s="1" t="n">
        <v>45938</v>
      </c>
      <c r="D50" t="inlineStr">
        <is>
          <t>STOCKHOLMS LÄN</t>
        </is>
      </c>
      <c r="E50" t="inlineStr">
        <is>
          <t>NORRTÄLJE</t>
        </is>
      </c>
      <c r="F50" t="inlineStr">
        <is>
          <t>Holmen skog AB</t>
        </is>
      </c>
      <c r="G50" t="n">
        <v>1.8</v>
      </c>
      <c r="H50" t="n">
        <v>3</v>
      </c>
      <c r="I50" t="n">
        <v>0</v>
      </c>
      <c r="J50" t="n">
        <v>1</v>
      </c>
      <c r="K50" t="n">
        <v>0</v>
      </c>
      <c r="L50" t="n">
        <v>0</v>
      </c>
      <c r="M50" t="n">
        <v>0</v>
      </c>
      <c r="N50" t="n">
        <v>0</v>
      </c>
      <c r="O50" t="n">
        <v>1</v>
      </c>
      <c r="P50" t="n">
        <v>0</v>
      </c>
      <c r="Q50" t="n">
        <v>3</v>
      </c>
      <c r="R50" s="2" t="inlineStr">
        <is>
          <t>Nordfladdermus
Dvärgpipistrell
Större brunfladdermus</t>
        </is>
      </c>
      <c r="S50">
        <f>HYPERLINK("https://klasma.github.io/Logging_0188/artfynd/A 27870-2022 artfynd.xlsx", "A 27870-2022")</f>
        <v/>
      </c>
      <c r="T50">
        <f>HYPERLINK("https://klasma.github.io/Logging_0188/kartor/A 27870-2022 karta.png", "A 27870-2022")</f>
        <v/>
      </c>
      <c r="V50">
        <f>HYPERLINK("https://klasma.github.io/Logging_0188/klagomål/A 27870-2022 FSC-klagomål.docx", "A 27870-2022")</f>
        <v/>
      </c>
      <c r="W50">
        <f>HYPERLINK("https://klasma.github.io/Logging_0188/klagomålsmail/A 27870-2022 FSC-klagomål mail.docx", "A 27870-2022")</f>
        <v/>
      </c>
      <c r="X50">
        <f>HYPERLINK("https://klasma.github.io/Logging_0188/tillsyn/A 27870-2022 tillsynsbegäran.docx", "A 27870-2022")</f>
        <v/>
      </c>
      <c r="Y50">
        <f>HYPERLINK("https://klasma.github.io/Logging_0188/tillsynsmail/A 27870-2022 tillsynsbegäran mail.docx", "A 27870-2022")</f>
        <v/>
      </c>
    </row>
    <row r="51" ht="15" customHeight="1">
      <c r="A51" t="inlineStr">
        <is>
          <t>A 50618-2022</t>
        </is>
      </c>
      <c r="B51" s="1" t="n">
        <v>44866</v>
      </c>
      <c r="C51" s="1" t="n">
        <v>45938</v>
      </c>
      <c r="D51" t="inlineStr">
        <is>
          <t>STOCKHOLMS LÄN</t>
        </is>
      </c>
      <c r="E51" t="inlineStr">
        <is>
          <t>NORRTÄLJE</t>
        </is>
      </c>
      <c r="G51" t="n">
        <v>7.8</v>
      </c>
      <c r="H51" t="n">
        <v>2</v>
      </c>
      <c r="I51" t="n">
        <v>2</v>
      </c>
      <c r="J51" t="n">
        <v>0</v>
      </c>
      <c r="K51" t="n">
        <v>0</v>
      </c>
      <c r="L51" t="n">
        <v>0</v>
      </c>
      <c r="M51" t="n">
        <v>0</v>
      </c>
      <c r="N51" t="n">
        <v>0</v>
      </c>
      <c r="O51" t="n">
        <v>0</v>
      </c>
      <c r="P51" t="n">
        <v>0</v>
      </c>
      <c r="Q51" t="n">
        <v>3</v>
      </c>
      <c r="R51" s="2" t="inlineStr">
        <is>
          <t>Skogsknipprot
Vårärt
Blåsippa</t>
        </is>
      </c>
      <c r="S51">
        <f>HYPERLINK("https://klasma.github.io/Logging_0188/artfynd/A 50618-2022 artfynd.xlsx", "A 50618-2022")</f>
        <v/>
      </c>
      <c r="T51">
        <f>HYPERLINK("https://klasma.github.io/Logging_0188/kartor/A 50618-2022 karta.png", "A 50618-2022")</f>
        <v/>
      </c>
      <c r="V51">
        <f>HYPERLINK("https://klasma.github.io/Logging_0188/klagomål/A 50618-2022 FSC-klagomål.docx", "A 50618-2022")</f>
        <v/>
      </c>
      <c r="W51">
        <f>HYPERLINK("https://klasma.github.io/Logging_0188/klagomålsmail/A 50618-2022 FSC-klagomål mail.docx", "A 50618-2022")</f>
        <v/>
      </c>
      <c r="X51">
        <f>HYPERLINK("https://klasma.github.io/Logging_0188/tillsyn/A 50618-2022 tillsynsbegäran.docx", "A 50618-2022")</f>
        <v/>
      </c>
      <c r="Y51">
        <f>HYPERLINK("https://klasma.github.io/Logging_0188/tillsynsmail/A 50618-2022 tillsynsbegäran mail.docx", "A 50618-2022")</f>
        <v/>
      </c>
    </row>
    <row r="52" ht="15" customHeight="1">
      <c r="A52" t="inlineStr">
        <is>
          <t>A 2851-2023</t>
        </is>
      </c>
      <c r="B52" s="1" t="n">
        <v>44945</v>
      </c>
      <c r="C52" s="1" t="n">
        <v>45938</v>
      </c>
      <c r="D52" t="inlineStr">
        <is>
          <t>STOCKHOLMS LÄN</t>
        </is>
      </c>
      <c r="E52" t="inlineStr">
        <is>
          <t>NORRTÄLJE</t>
        </is>
      </c>
      <c r="G52" t="n">
        <v>5.8</v>
      </c>
      <c r="H52" t="n">
        <v>1</v>
      </c>
      <c r="I52" t="n">
        <v>1</v>
      </c>
      <c r="J52" t="n">
        <v>2</v>
      </c>
      <c r="K52" t="n">
        <v>0</v>
      </c>
      <c r="L52" t="n">
        <v>0</v>
      </c>
      <c r="M52" t="n">
        <v>0</v>
      </c>
      <c r="N52" t="n">
        <v>0</v>
      </c>
      <c r="O52" t="n">
        <v>2</v>
      </c>
      <c r="P52" t="n">
        <v>0</v>
      </c>
      <c r="Q52" t="n">
        <v>3</v>
      </c>
      <c r="R52" s="2" t="inlineStr">
        <is>
          <t>Gulsparv
Vedflikmossa
Terpentinmossa</t>
        </is>
      </c>
      <c r="S52">
        <f>HYPERLINK("https://klasma.github.io/Logging_0188/artfynd/A 2851-2023 artfynd.xlsx", "A 2851-2023")</f>
        <v/>
      </c>
      <c r="T52">
        <f>HYPERLINK("https://klasma.github.io/Logging_0188/kartor/A 2851-2023 karta.png", "A 2851-2023")</f>
        <v/>
      </c>
      <c r="V52">
        <f>HYPERLINK("https://klasma.github.io/Logging_0188/klagomål/A 2851-2023 FSC-klagomål.docx", "A 2851-2023")</f>
        <v/>
      </c>
      <c r="W52">
        <f>HYPERLINK("https://klasma.github.io/Logging_0188/klagomålsmail/A 2851-2023 FSC-klagomål mail.docx", "A 2851-2023")</f>
        <v/>
      </c>
      <c r="X52">
        <f>HYPERLINK("https://klasma.github.io/Logging_0188/tillsyn/A 2851-2023 tillsynsbegäran.docx", "A 2851-2023")</f>
        <v/>
      </c>
      <c r="Y52">
        <f>HYPERLINK("https://klasma.github.io/Logging_0188/tillsynsmail/A 2851-2023 tillsynsbegäran mail.docx", "A 2851-2023")</f>
        <v/>
      </c>
      <c r="Z52">
        <f>HYPERLINK("https://klasma.github.io/Logging_0188/fåglar/A 2851-2023 prioriterade fågelarter.docx", "A 2851-2023")</f>
        <v/>
      </c>
    </row>
    <row r="53" ht="15" customHeight="1">
      <c r="A53" t="inlineStr">
        <is>
          <t>A 54110-2024</t>
        </is>
      </c>
      <c r="B53" s="1" t="n">
        <v>45616.54866898148</v>
      </c>
      <c r="C53" s="1" t="n">
        <v>45938</v>
      </c>
      <c r="D53" t="inlineStr">
        <is>
          <t>STOCKHOLMS LÄN</t>
        </is>
      </c>
      <c r="E53" t="inlineStr">
        <is>
          <t>NORRTÄLJE</t>
        </is>
      </c>
      <c r="G53" t="n">
        <v>6.7</v>
      </c>
      <c r="H53" t="n">
        <v>2</v>
      </c>
      <c r="I53" t="n">
        <v>0</v>
      </c>
      <c r="J53" t="n">
        <v>1</v>
      </c>
      <c r="K53" t="n">
        <v>0</v>
      </c>
      <c r="L53" t="n">
        <v>0</v>
      </c>
      <c r="M53" t="n">
        <v>0</v>
      </c>
      <c r="N53" t="n">
        <v>0</v>
      </c>
      <c r="O53" t="n">
        <v>1</v>
      </c>
      <c r="P53" t="n">
        <v>0</v>
      </c>
      <c r="Q53" t="n">
        <v>3</v>
      </c>
      <c r="R53" s="2" t="inlineStr">
        <is>
          <t>Klasefibbla
Nattviol
Gullviva</t>
        </is>
      </c>
      <c r="S53">
        <f>HYPERLINK("https://klasma.github.io/Logging_0188/artfynd/A 54110-2024 artfynd.xlsx", "A 54110-2024")</f>
        <v/>
      </c>
      <c r="T53">
        <f>HYPERLINK("https://klasma.github.io/Logging_0188/kartor/A 54110-2024 karta.png", "A 54110-2024")</f>
        <v/>
      </c>
      <c r="V53">
        <f>HYPERLINK("https://klasma.github.io/Logging_0188/klagomål/A 54110-2024 FSC-klagomål.docx", "A 54110-2024")</f>
        <v/>
      </c>
      <c r="W53">
        <f>HYPERLINK("https://klasma.github.io/Logging_0188/klagomålsmail/A 54110-2024 FSC-klagomål mail.docx", "A 54110-2024")</f>
        <v/>
      </c>
      <c r="X53">
        <f>HYPERLINK("https://klasma.github.io/Logging_0188/tillsyn/A 54110-2024 tillsynsbegäran.docx", "A 54110-2024")</f>
        <v/>
      </c>
      <c r="Y53">
        <f>HYPERLINK("https://klasma.github.io/Logging_0188/tillsynsmail/A 54110-2024 tillsynsbegäran mail.docx", "A 54110-2024")</f>
        <v/>
      </c>
    </row>
    <row r="54" ht="15" customHeight="1">
      <c r="A54" t="inlineStr">
        <is>
          <t>A 29185-2025</t>
        </is>
      </c>
      <c r="B54" s="1" t="n">
        <v>45821</v>
      </c>
      <c r="C54" s="1" t="n">
        <v>45938</v>
      </c>
      <c r="D54" t="inlineStr">
        <is>
          <t>STOCKHOLMS LÄN</t>
        </is>
      </c>
      <c r="E54" t="inlineStr">
        <is>
          <t>NORRTÄLJE</t>
        </is>
      </c>
      <c r="F54" t="inlineStr">
        <is>
          <t>Övriga Aktiebolag</t>
        </is>
      </c>
      <c r="G54" t="n">
        <v>8.5</v>
      </c>
      <c r="H54" t="n">
        <v>2</v>
      </c>
      <c r="I54" t="n">
        <v>1</v>
      </c>
      <c r="J54" t="n">
        <v>0</v>
      </c>
      <c r="K54" t="n">
        <v>0</v>
      </c>
      <c r="L54" t="n">
        <v>0</v>
      </c>
      <c r="M54" t="n">
        <v>0</v>
      </c>
      <c r="N54" t="n">
        <v>0</v>
      </c>
      <c r="O54" t="n">
        <v>0</v>
      </c>
      <c r="P54" t="n">
        <v>0</v>
      </c>
      <c r="Q54" t="n">
        <v>3</v>
      </c>
      <c r="R54" s="2" t="inlineStr">
        <is>
          <t>Vårärt
Fläcknycklar
Blåsippa</t>
        </is>
      </c>
      <c r="S54">
        <f>HYPERLINK("https://klasma.github.io/Logging_0188/artfynd/A 29185-2025 artfynd.xlsx", "A 29185-2025")</f>
        <v/>
      </c>
      <c r="T54">
        <f>HYPERLINK("https://klasma.github.io/Logging_0188/kartor/A 29185-2025 karta.png", "A 29185-2025")</f>
        <v/>
      </c>
      <c r="V54">
        <f>HYPERLINK("https://klasma.github.io/Logging_0188/klagomål/A 29185-2025 FSC-klagomål.docx", "A 29185-2025")</f>
        <v/>
      </c>
      <c r="W54">
        <f>HYPERLINK("https://klasma.github.io/Logging_0188/klagomålsmail/A 29185-2025 FSC-klagomål mail.docx", "A 29185-2025")</f>
        <v/>
      </c>
      <c r="X54">
        <f>HYPERLINK("https://klasma.github.io/Logging_0188/tillsyn/A 29185-2025 tillsynsbegäran.docx", "A 29185-2025")</f>
        <v/>
      </c>
      <c r="Y54">
        <f>HYPERLINK("https://klasma.github.io/Logging_0188/tillsynsmail/A 29185-2025 tillsynsbegäran mail.docx", "A 29185-2025")</f>
        <v/>
      </c>
    </row>
    <row r="55" ht="15" customHeight="1">
      <c r="A55" t="inlineStr">
        <is>
          <t>A 34524-2025</t>
        </is>
      </c>
      <c r="B55" s="1" t="n">
        <v>45847.47685185185</v>
      </c>
      <c r="C55" s="1" t="n">
        <v>45938</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20185-2022</t>
        </is>
      </c>
      <c r="B56" s="1" t="n">
        <v>44698</v>
      </c>
      <c r="C56" s="1" t="n">
        <v>45938</v>
      </c>
      <c r="D56" t="inlineStr">
        <is>
          <t>STOCKHOLMS LÄN</t>
        </is>
      </c>
      <c r="E56" t="inlineStr">
        <is>
          <t>NORRTÄLJE</t>
        </is>
      </c>
      <c r="G56" t="n">
        <v>8.4</v>
      </c>
      <c r="H56" t="n">
        <v>1</v>
      </c>
      <c r="I56" t="n">
        <v>2</v>
      </c>
      <c r="J56" t="n">
        <v>0</v>
      </c>
      <c r="K56" t="n">
        <v>1</v>
      </c>
      <c r="L56" t="n">
        <v>0</v>
      </c>
      <c r="M56" t="n">
        <v>0</v>
      </c>
      <c r="N56" t="n">
        <v>0</v>
      </c>
      <c r="O56" t="n">
        <v>1</v>
      </c>
      <c r="P56" t="n">
        <v>1</v>
      </c>
      <c r="Q56" t="n">
        <v>3</v>
      </c>
      <c r="R56" s="2" t="inlineStr">
        <is>
          <t>Tallbit
Gullgröppa
Vedticka</t>
        </is>
      </c>
      <c r="S56">
        <f>HYPERLINK("https://klasma.github.io/Logging_0188/artfynd/A 20185-2022 artfynd.xlsx", "A 20185-2022")</f>
        <v/>
      </c>
      <c r="T56">
        <f>HYPERLINK("https://klasma.github.io/Logging_0188/kartor/A 20185-2022 karta.png", "A 20185-2022")</f>
        <v/>
      </c>
      <c r="V56">
        <f>HYPERLINK("https://klasma.github.io/Logging_0188/klagomål/A 20185-2022 FSC-klagomål.docx", "A 20185-2022")</f>
        <v/>
      </c>
      <c r="W56">
        <f>HYPERLINK("https://klasma.github.io/Logging_0188/klagomålsmail/A 20185-2022 FSC-klagomål mail.docx", "A 20185-2022")</f>
        <v/>
      </c>
      <c r="X56">
        <f>HYPERLINK("https://klasma.github.io/Logging_0188/tillsyn/A 20185-2022 tillsynsbegäran.docx", "A 20185-2022")</f>
        <v/>
      </c>
      <c r="Y56">
        <f>HYPERLINK("https://klasma.github.io/Logging_0188/tillsynsmail/A 20185-2022 tillsynsbegäran mail.docx", "A 20185-2022")</f>
        <v/>
      </c>
      <c r="Z56">
        <f>HYPERLINK("https://klasma.github.io/Logging_0188/fåglar/A 20185-2022 prioriterade fågelarter.docx", "A 20185-2022")</f>
        <v/>
      </c>
    </row>
    <row r="57" ht="15" customHeight="1">
      <c r="A57" t="inlineStr">
        <is>
          <t>A 31803-2021</t>
        </is>
      </c>
      <c r="B57" s="1" t="n">
        <v>44370</v>
      </c>
      <c r="C57" s="1" t="n">
        <v>45938</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45938</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22190-2024</t>
        </is>
      </c>
      <c r="B59" s="1" t="n">
        <v>45446.35888888889</v>
      </c>
      <c r="C59" s="1" t="n">
        <v>45938</v>
      </c>
      <c r="D59" t="inlineStr">
        <is>
          <t>STOCKHOLMS LÄN</t>
        </is>
      </c>
      <c r="E59" t="inlineStr">
        <is>
          <t>NORRTÄLJE</t>
        </is>
      </c>
      <c r="G59" t="n">
        <v>2.8</v>
      </c>
      <c r="H59" t="n">
        <v>2</v>
      </c>
      <c r="I59" t="n">
        <v>1</v>
      </c>
      <c r="J59" t="n">
        <v>0</v>
      </c>
      <c r="K59" t="n">
        <v>0</v>
      </c>
      <c r="L59" t="n">
        <v>0</v>
      </c>
      <c r="M59" t="n">
        <v>0</v>
      </c>
      <c r="N59" t="n">
        <v>0</v>
      </c>
      <c r="O59" t="n">
        <v>0</v>
      </c>
      <c r="P59" t="n">
        <v>0</v>
      </c>
      <c r="Q59" t="n">
        <v>2</v>
      </c>
      <c r="R59" s="2" t="inlineStr">
        <is>
          <t>Skogsknipprot
Vanlig groda</t>
        </is>
      </c>
      <c r="S59">
        <f>HYPERLINK("https://klasma.github.io/Logging_0188/artfynd/A 22190-2024 artfynd.xlsx", "A 22190-2024")</f>
        <v/>
      </c>
      <c r="T59">
        <f>HYPERLINK("https://klasma.github.io/Logging_0188/kartor/A 22190-2024 karta.png", "A 22190-2024")</f>
        <v/>
      </c>
      <c r="V59">
        <f>HYPERLINK("https://klasma.github.io/Logging_0188/klagomål/A 22190-2024 FSC-klagomål.docx", "A 22190-2024")</f>
        <v/>
      </c>
      <c r="W59">
        <f>HYPERLINK("https://klasma.github.io/Logging_0188/klagomålsmail/A 22190-2024 FSC-klagomål mail.docx", "A 22190-2024")</f>
        <v/>
      </c>
      <c r="X59">
        <f>HYPERLINK("https://klasma.github.io/Logging_0188/tillsyn/A 22190-2024 tillsynsbegäran.docx", "A 22190-2024")</f>
        <v/>
      </c>
      <c r="Y59">
        <f>HYPERLINK("https://klasma.github.io/Logging_0188/tillsynsmail/A 22190-2024 tillsynsbegäran mail.docx", "A 22190-2024")</f>
        <v/>
      </c>
    </row>
    <row r="60" ht="15" customHeight="1">
      <c r="A60" t="inlineStr">
        <is>
          <t>A 30693-2022</t>
        </is>
      </c>
      <c r="B60" s="1" t="n">
        <v>44763</v>
      </c>
      <c r="C60" s="1" t="n">
        <v>45938</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25731-2025</t>
        </is>
      </c>
      <c r="B61" s="1" t="n">
        <v>45800</v>
      </c>
      <c r="C61" s="1" t="n">
        <v>45938</v>
      </c>
      <c r="D61" t="inlineStr">
        <is>
          <t>STOCKHOLMS LÄN</t>
        </is>
      </c>
      <c r="E61" t="inlineStr">
        <is>
          <t>NORRTÄLJE</t>
        </is>
      </c>
      <c r="G61" t="n">
        <v>11.9</v>
      </c>
      <c r="H61" t="n">
        <v>2</v>
      </c>
      <c r="I61" t="n">
        <v>0</v>
      </c>
      <c r="J61" t="n">
        <v>0</v>
      </c>
      <c r="K61" t="n">
        <v>1</v>
      </c>
      <c r="L61" t="n">
        <v>0</v>
      </c>
      <c r="M61" t="n">
        <v>0</v>
      </c>
      <c r="N61" t="n">
        <v>0</v>
      </c>
      <c r="O61" t="n">
        <v>1</v>
      </c>
      <c r="P61" t="n">
        <v>1</v>
      </c>
      <c r="Q61" t="n">
        <v>2</v>
      </c>
      <c r="R61" s="2" t="inlineStr">
        <is>
          <t>Knärot
Tjäder</t>
        </is>
      </c>
      <c r="S61">
        <f>HYPERLINK("https://klasma.github.io/Logging_0188/artfynd/A 25731-2025 artfynd.xlsx", "A 25731-2025")</f>
        <v/>
      </c>
      <c r="T61">
        <f>HYPERLINK("https://klasma.github.io/Logging_0188/kartor/A 25731-2025 karta.png", "A 25731-2025")</f>
        <v/>
      </c>
      <c r="U61">
        <f>HYPERLINK("https://klasma.github.io/Logging_0188/knärot/A 25731-2025 karta knärot.png", "A 25731-2025")</f>
        <v/>
      </c>
      <c r="V61">
        <f>HYPERLINK("https://klasma.github.io/Logging_0188/klagomål/A 25731-2025 FSC-klagomål.docx", "A 25731-2025")</f>
        <v/>
      </c>
      <c r="W61">
        <f>HYPERLINK("https://klasma.github.io/Logging_0188/klagomålsmail/A 25731-2025 FSC-klagomål mail.docx", "A 25731-2025")</f>
        <v/>
      </c>
      <c r="X61">
        <f>HYPERLINK("https://klasma.github.io/Logging_0188/tillsyn/A 25731-2025 tillsynsbegäran.docx", "A 25731-2025")</f>
        <v/>
      </c>
      <c r="Y61">
        <f>HYPERLINK("https://klasma.github.io/Logging_0188/tillsynsmail/A 25731-2025 tillsynsbegäran mail.docx", "A 25731-2025")</f>
        <v/>
      </c>
      <c r="Z61">
        <f>HYPERLINK("https://klasma.github.io/Logging_0188/fåglar/A 25731-2025 prioriterade fågelarter.docx", "A 25731-2025")</f>
        <v/>
      </c>
    </row>
    <row r="62" ht="15" customHeight="1">
      <c r="A62" t="inlineStr">
        <is>
          <t>A 51980-2022</t>
        </is>
      </c>
      <c r="B62" s="1" t="n">
        <v>44872</v>
      </c>
      <c r="C62" s="1" t="n">
        <v>45938</v>
      </c>
      <c r="D62" t="inlineStr">
        <is>
          <t>STOCKHOLMS LÄN</t>
        </is>
      </c>
      <c r="E62" t="inlineStr">
        <is>
          <t>NORRTÄLJE</t>
        </is>
      </c>
      <c r="G62" t="n">
        <v>7.9</v>
      </c>
      <c r="H62" t="n">
        <v>1</v>
      </c>
      <c r="I62" t="n">
        <v>2</v>
      </c>
      <c r="J62" t="n">
        <v>0</v>
      </c>
      <c r="K62" t="n">
        <v>0</v>
      </c>
      <c r="L62" t="n">
        <v>0</v>
      </c>
      <c r="M62" t="n">
        <v>0</v>
      </c>
      <c r="N62" t="n">
        <v>0</v>
      </c>
      <c r="O62" t="n">
        <v>0</v>
      </c>
      <c r="P62" t="n">
        <v>0</v>
      </c>
      <c r="Q62" t="n">
        <v>2</v>
      </c>
      <c r="R62" s="2" t="inlineStr">
        <is>
          <t>Rödgul trumpetsvamp
Skogsknipprot</t>
        </is>
      </c>
      <c r="S62">
        <f>HYPERLINK("https://klasma.github.io/Logging_0188/artfynd/A 51980-2022 artfynd.xlsx", "A 51980-2022")</f>
        <v/>
      </c>
      <c r="T62">
        <f>HYPERLINK("https://klasma.github.io/Logging_0188/kartor/A 51980-2022 karta.png", "A 51980-2022")</f>
        <v/>
      </c>
      <c r="V62">
        <f>HYPERLINK("https://klasma.github.io/Logging_0188/klagomål/A 51980-2022 FSC-klagomål.docx", "A 51980-2022")</f>
        <v/>
      </c>
      <c r="W62">
        <f>HYPERLINK("https://klasma.github.io/Logging_0188/klagomålsmail/A 51980-2022 FSC-klagomål mail.docx", "A 51980-2022")</f>
        <v/>
      </c>
      <c r="X62">
        <f>HYPERLINK("https://klasma.github.io/Logging_0188/tillsyn/A 51980-2022 tillsynsbegäran.docx", "A 51980-2022")</f>
        <v/>
      </c>
      <c r="Y62">
        <f>HYPERLINK("https://klasma.github.io/Logging_0188/tillsynsmail/A 51980-2022 tillsynsbegäran mail.docx", "A 51980-2022")</f>
        <v/>
      </c>
    </row>
    <row r="63" ht="15" customHeight="1">
      <c r="A63" t="inlineStr">
        <is>
          <t>A 11031-2025</t>
        </is>
      </c>
      <c r="B63" s="1" t="n">
        <v>45723</v>
      </c>
      <c r="C63" s="1" t="n">
        <v>45938</v>
      </c>
      <c r="D63" t="inlineStr">
        <is>
          <t>STOCKHOLMS LÄN</t>
        </is>
      </c>
      <c r="E63" t="inlineStr">
        <is>
          <t>NORRTÄLJE</t>
        </is>
      </c>
      <c r="F63" t="inlineStr">
        <is>
          <t>Övriga Aktiebolag</t>
        </is>
      </c>
      <c r="G63" t="n">
        <v>13.2</v>
      </c>
      <c r="H63" t="n">
        <v>1</v>
      </c>
      <c r="I63" t="n">
        <v>0</v>
      </c>
      <c r="J63" t="n">
        <v>2</v>
      </c>
      <c r="K63" t="n">
        <v>0</v>
      </c>
      <c r="L63" t="n">
        <v>0</v>
      </c>
      <c r="M63" t="n">
        <v>0</v>
      </c>
      <c r="N63" t="n">
        <v>0</v>
      </c>
      <c r="O63" t="n">
        <v>2</v>
      </c>
      <c r="P63" t="n">
        <v>0</v>
      </c>
      <c r="Q63" t="n">
        <v>2</v>
      </c>
      <c r="R63" s="2" t="inlineStr">
        <is>
          <t>Järpe
Ullticka</t>
        </is>
      </c>
      <c r="S63">
        <f>HYPERLINK("https://klasma.github.io/Logging_0188/artfynd/A 11031-2025 artfynd.xlsx", "A 11031-2025")</f>
        <v/>
      </c>
      <c r="T63">
        <f>HYPERLINK("https://klasma.github.io/Logging_0188/kartor/A 11031-2025 karta.png", "A 11031-2025")</f>
        <v/>
      </c>
      <c r="V63">
        <f>HYPERLINK("https://klasma.github.io/Logging_0188/klagomål/A 11031-2025 FSC-klagomål.docx", "A 11031-2025")</f>
        <v/>
      </c>
      <c r="W63">
        <f>HYPERLINK("https://klasma.github.io/Logging_0188/klagomålsmail/A 11031-2025 FSC-klagomål mail.docx", "A 11031-2025")</f>
        <v/>
      </c>
      <c r="X63">
        <f>HYPERLINK("https://klasma.github.io/Logging_0188/tillsyn/A 11031-2025 tillsynsbegäran.docx", "A 11031-2025")</f>
        <v/>
      </c>
      <c r="Y63">
        <f>HYPERLINK("https://klasma.github.io/Logging_0188/tillsynsmail/A 11031-2025 tillsynsbegäran mail.docx", "A 11031-2025")</f>
        <v/>
      </c>
      <c r="Z63">
        <f>HYPERLINK("https://klasma.github.io/Logging_0188/fåglar/A 11031-2025 prioriterade fågelarter.docx", "A 11031-2025")</f>
        <v/>
      </c>
    </row>
    <row r="64" ht="15" customHeight="1">
      <c r="A64" t="inlineStr">
        <is>
          <t>A 51220-2023</t>
        </is>
      </c>
      <c r="B64" s="1" t="n">
        <v>45219</v>
      </c>
      <c r="C64" s="1" t="n">
        <v>45938</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52124-2022</t>
        </is>
      </c>
      <c r="B65" s="1" t="n">
        <v>44868</v>
      </c>
      <c r="C65" s="1" t="n">
        <v>45938</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52825-2023</t>
        </is>
      </c>
      <c r="B66" s="1" t="n">
        <v>45226</v>
      </c>
      <c r="C66" s="1" t="n">
        <v>45938</v>
      </c>
      <c r="D66" t="inlineStr">
        <is>
          <t>STOCKHOLMS LÄN</t>
        </is>
      </c>
      <c r="E66" t="inlineStr">
        <is>
          <t>NORRTÄLJE</t>
        </is>
      </c>
      <c r="G66" t="n">
        <v>1</v>
      </c>
      <c r="H66" t="n">
        <v>0</v>
      </c>
      <c r="I66" t="n">
        <v>2</v>
      </c>
      <c r="J66" t="n">
        <v>0</v>
      </c>
      <c r="K66" t="n">
        <v>0</v>
      </c>
      <c r="L66" t="n">
        <v>0</v>
      </c>
      <c r="M66" t="n">
        <v>0</v>
      </c>
      <c r="N66" t="n">
        <v>0</v>
      </c>
      <c r="O66" t="n">
        <v>0</v>
      </c>
      <c r="P66" t="n">
        <v>0</v>
      </c>
      <c r="Q66" t="n">
        <v>2</v>
      </c>
      <c r="R66" s="2" t="inlineStr">
        <is>
          <t>Fjällig taggsvamp s.str.
Strimspindling</t>
        </is>
      </c>
      <c r="S66">
        <f>HYPERLINK("https://klasma.github.io/Logging_0188/artfynd/A 52825-2023 artfynd.xlsx", "A 52825-2023")</f>
        <v/>
      </c>
      <c r="T66">
        <f>HYPERLINK("https://klasma.github.io/Logging_0188/kartor/A 52825-2023 karta.png", "A 52825-2023")</f>
        <v/>
      </c>
      <c r="V66">
        <f>HYPERLINK("https://klasma.github.io/Logging_0188/klagomål/A 52825-2023 FSC-klagomål.docx", "A 52825-2023")</f>
        <v/>
      </c>
      <c r="W66">
        <f>HYPERLINK("https://klasma.github.io/Logging_0188/klagomålsmail/A 52825-2023 FSC-klagomål mail.docx", "A 52825-2023")</f>
        <v/>
      </c>
      <c r="X66">
        <f>HYPERLINK("https://klasma.github.io/Logging_0188/tillsyn/A 52825-2023 tillsynsbegäran.docx", "A 52825-2023")</f>
        <v/>
      </c>
      <c r="Y66">
        <f>HYPERLINK("https://klasma.github.io/Logging_0188/tillsynsmail/A 52825-2023 tillsynsbegäran mail.docx", "A 52825-2023")</f>
        <v/>
      </c>
    </row>
    <row r="67" ht="15" customHeight="1">
      <c r="A67" t="inlineStr">
        <is>
          <t>A 16260-2022</t>
        </is>
      </c>
      <c r="B67" s="1" t="n">
        <v>44670</v>
      </c>
      <c r="C67" s="1" t="n">
        <v>45938</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52360-2024</t>
        </is>
      </c>
      <c r="B68" s="1" t="n">
        <v>45609.37094907407</v>
      </c>
      <c r="C68" s="1" t="n">
        <v>45938</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20012-2025</t>
        </is>
      </c>
      <c r="B69" s="1" t="n">
        <v>45772.30234953704</v>
      </c>
      <c r="C69" s="1" t="n">
        <v>45938</v>
      </c>
      <c r="D69" t="inlineStr">
        <is>
          <t>STOCKHOLMS LÄN</t>
        </is>
      </c>
      <c r="E69" t="inlineStr">
        <is>
          <t>NORRTÄLJE</t>
        </is>
      </c>
      <c r="G69" t="n">
        <v>3.8</v>
      </c>
      <c r="H69" t="n">
        <v>0</v>
      </c>
      <c r="I69" t="n">
        <v>2</v>
      </c>
      <c r="J69" t="n">
        <v>0</v>
      </c>
      <c r="K69" t="n">
        <v>0</v>
      </c>
      <c r="L69" t="n">
        <v>0</v>
      </c>
      <c r="M69" t="n">
        <v>0</v>
      </c>
      <c r="N69" t="n">
        <v>0</v>
      </c>
      <c r="O69" t="n">
        <v>0</v>
      </c>
      <c r="P69" t="n">
        <v>0</v>
      </c>
      <c r="Q69" t="n">
        <v>2</v>
      </c>
      <c r="R69" s="2" t="inlineStr">
        <is>
          <t>Barkticka
Stor aspticka</t>
        </is>
      </c>
      <c r="S69">
        <f>HYPERLINK("https://klasma.github.io/Logging_0188/artfynd/A 20012-2025 artfynd.xlsx", "A 20012-2025")</f>
        <v/>
      </c>
      <c r="T69">
        <f>HYPERLINK("https://klasma.github.io/Logging_0188/kartor/A 20012-2025 karta.png", "A 20012-2025")</f>
        <v/>
      </c>
      <c r="V69">
        <f>HYPERLINK("https://klasma.github.io/Logging_0188/klagomål/A 20012-2025 FSC-klagomål.docx", "A 20012-2025")</f>
        <v/>
      </c>
      <c r="W69">
        <f>HYPERLINK("https://klasma.github.io/Logging_0188/klagomålsmail/A 20012-2025 FSC-klagomål mail.docx", "A 20012-2025")</f>
        <v/>
      </c>
      <c r="X69">
        <f>HYPERLINK("https://klasma.github.io/Logging_0188/tillsyn/A 20012-2025 tillsynsbegäran.docx", "A 20012-2025")</f>
        <v/>
      </c>
      <c r="Y69">
        <f>HYPERLINK("https://klasma.github.io/Logging_0188/tillsynsmail/A 20012-2025 tillsynsbegäran mail.docx", "A 20012-2025")</f>
        <v/>
      </c>
    </row>
    <row r="70" ht="15" customHeight="1">
      <c r="A70" t="inlineStr">
        <is>
          <t>A 1547-2022</t>
        </is>
      </c>
      <c r="B70" s="1" t="n">
        <v>44573</v>
      </c>
      <c r="C70" s="1" t="n">
        <v>45938</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45938</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45938</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45938</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45938</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45938</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11429-2023</t>
        </is>
      </c>
      <c r="B76" s="1" t="n">
        <v>44993</v>
      </c>
      <c r="C76" s="1" t="n">
        <v>45938</v>
      </c>
      <c r="D76" t="inlineStr">
        <is>
          <t>STOCKHOLMS LÄN</t>
        </is>
      </c>
      <c r="E76" t="inlineStr">
        <is>
          <t>NORRTÄLJE</t>
        </is>
      </c>
      <c r="G76" t="n">
        <v>2</v>
      </c>
      <c r="H76" t="n">
        <v>0</v>
      </c>
      <c r="I76" t="n">
        <v>0</v>
      </c>
      <c r="J76" t="n">
        <v>1</v>
      </c>
      <c r="K76" t="n">
        <v>0</v>
      </c>
      <c r="L76" t="n">
        <v>0</v>
      </c>
      <c r="M76" t="n">
        <v>0</v>
      </c>
      <c r="N76" t="n">
        <v>0</v>
      </c>
      <c r="O76" t="n">
        <v>1</v>
      </c>
      <c r="P76" t="n">
        <v>0</v>
      </c>
      <c r="Q76" t="n">
        <v>1</v>
      </c>
      <c r="R76" s="2" t="inlineStr">
        <is>
          <t>Skogsklocka</t>
        </is>
      </c>
      <c r="S76">
        <f>HYPERLINK("https://klasma.github.io/Logging_0188/artfynd/A 11429-2023 artfynd.xlsx", "A 11429-2023")</f>
        <v/>
      </c>
      <c r="T76">
        <f>HYPERLINK("https://klasma.github.io/Logging_0188/kartor/A 11429-2023 karta.png", "A 11429-2023")</f>
        <v/>
      </c>
      <c r="V76">
        <f>HYPERLINK("https://klasma.github.io/Logging_0188/klagomål/A 11429-2023 FSC-klagomål.docx", "A 11429-2023")</f>
        <v/>
      </c>
      <c r="W76">
        <f>HYPERLINK("https://klasma.github.io/Logging_0188/klagomålsmail/A 11429-2023 FSC-klagomål mail.docx", "A 11429-2023")</f>
        <v/>
      </c>
      <c r="X76">
        <f>HYPERLINK("https://klasma.github.io/Logging_0188/tillsyn/A 11429-2023 tillsynsbegäran.docx", "A 11429-2023")</f>
        <v/>
      </c>
      <c r="Y76">
        <f>HYPERLINK("https://klasma.github.io/Logging_0188/tillsynsmail/A 11429-2023 tillsynsbegäran mail.docx", "A 11429-2023")</f>
        <v/>
      </c>
    </row>
    <row r="77" ht="15" customHeight="1">
      <c r="A77" t="inlineStr">
        <is>
          <t>A 24330-2023</t>
        </is>
      </c>
      <c r="B77" s="1" t="n">
        <v>45081</v>
      </c>
      <c r="C77" s="1" t="n">
        <v>45938</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21744-2023</t>
        </is>
      </c>
      <c r="B78" s="1" t="n">
        <v>45065</v>
      </c>
      <c r="C78" s="1" t="n">
        <v>45938</v>
      </c>
      <c r="D78" t="inlineStr">
        <is>
          <t>STOCKHOLMS LÄN</t>
        </is>
      </c>
      <c r="E78" t="inlineStr">
        <is>
          <t>NORRTÄLJE</t>
        </is>
      </c>
      <c r="F78" t="inlineStr">
        <is>
          <t>Holmen skog AB</t>
        </is>
      </c>
      <c r="G78" t="n">
        <v>4.2</v>
      </c>
      <c r="H78" t="n">
        <v>0</v>
      </c>
      <c r="I78" t="n">
        <v>1</v>
      </c>
      <c r="J78" t="n">
        <v>0</v>
      </c>
      <c r="K78" t="n">
        <v>0</v>
      </c>
      <c r="L78" t="n">
        <v>0</v>
      </c>
      <c r="M78" t="n">
        <v>0</v>
      </c>
      <c r="N78" t="n">
        <v>0</v>
      </c>
      <c r="O78" t="n">
        <v>0</v>
      </c>
      <c r="P78" t="n">
        <v>0</v>
      </c>
      <c r="Q78" t="n">
        <v>1</v>
      </c>
      <c r="R78" s="2" t="inlineStr">
        <is>
          <t>Korallblylav</t>
        </is>
      </c>
      <c r="S78">
        <f>HYPERLINK("https://klasma.github.io/Logging_0188/artfynd/A 21744-2023 artfynd.xlsx", "A 21744-2023")</f>
        <v/>
      </c>
      <c r="T78">
        <f>HYPERLINK("https://klasma.github.io/Logging_0188/kartor/A 21744-2023 karta.png", "A 21744-2023")</f>
        <v/>
      </c>
      <c r="V78">
        <f>HYPERLINK("https://klasma.github.io/Logging_0188/klagomål/A 21744-2023 FSC-klagomål.docx", "A 21744-2023")</f>
        <v/>
      </c>
      <c r="W78">
        <f>HYPERLINK("https://klasma.github.io/Logging_0188/klagomålsmail/A 21744-2023 FSC-klagomål mail.docx", "A 21744-2023")</f>
        <v/>
      </c>
      <c r="X78">
        <f>HYPERLINK("https://klasma.github.io/Logging_0188/tillsyn/A 21744-2023 tillsynsbegäran.docx", "A 21744-2023")</f>
        <v/>
      </c>
      <c r="Y78">
        <f>HYPERLINK("https://klasma.github.io/Logging_0188/tillsynsmail/A 21744-2023 tillsynsbegäran mail.docx", "A 21744-2023")</f>
        <v/>
      </c>
    </row>
    <row r="79" ht="15" customHeight="1">
      <c r="A79" t="inlineStr">
        <is>
          <t>A 27827-2022</t>
        </is>
      </c>
      <c r="B79" s="1" t="n">
        <v>44743.59504629629</v>
      </c>
      <c r="C79" s="1" t="n">
        <v>45938</v>
      </c>
      <c r="D79" t="inlineStr">
        <is>
          <t>STOCKHOLMS LÄN</t>
        </is>
      </c>
      <c r="E79" t="inlineStr">
        <is>
          <t>NORRTÄLJE</t>
        </is>
      </c>
      <c r="F79" t="inlineStr">
        <is>
          <t>Holmen skog AB</t>
        </is>
      </c>
      <c r="G79" t="n">
        <v>4.7</v>
      </c>
      <c r="H79" t="n">
        <v>1</v>
      </c>
      <c r="I79" t="n">
        <v>0</v>
      </c>
      <c r="J79" t="n">
        <v>1</v>
      </c>
      <c r="K79" t="n">
        <v>0</v>
      </c>
      <c r="L79" t="n">
        <v>0</v>
      </c>
      <c r="M79" t="n">
        <v>0</v>
      </c>
      <c r="N79" t="n">
        <v>0</v>
      </c>
      <c r="O79" t="n">
        <v>1</v>
      </c>
      <c r="P79" t="n">
        <v>0</v>
      </c>
      <c r="Q79" t="n">
        <v>1</v>
      </c>
      <c r="R79" s="2" t="inlineStr">
        <is>
          <t>Nordfladdermus</t>
        </is>
      </c>
      <c r="S79">
        <f>HYPERLINK("https://klasma.github.io/Logging_0188/artfynd/A 27827-2022 artfynd.xlsx", "A 27827-2022")</f>
        <v/>
      </c>
      <c r="T79">
        <f>HYPERLINK("https://klasma.github.io/Logging_0188/kartor/A 27827-2022 karta.png", "A 27827-2022")</f>
        <v/>
      </c>
      <c r="V79">
        <f>HYPERLINK("https://klasma.github.io/Logging_0188/klagomål/A 27827-2022 FSC-klagomål.docx", "A 27827-2022")</f>
        <v/>
      </c>
      <c r="W79">
        <f>HYPERLINK("https://klasma.github.io/Logging_0188/klagomålsmail/A 27827-2022 FSC-klagomål mail.docx", "A 27827-2022")</f>
        <v/>
      </c>
      <c r="X79">
        <f>HYPERLINK("https://klasma.github.io/Logging_0188/tillsyn/A 27827-2022 tillsynsbegäran.docx", "A 27827-2022")</f>
        <v/>
      </c>
      <c r="Y79">
        <f>HYPERLINK("https://klasma.github.io/Logging_0188/tillsynsmail/A 27827-2022 tillsynsbegäran mail.docx", "A 27827-2022")</f>
        <v/>
      </c>
    </row>
    <row r="80" ht="15" customHeight="1">
      <c r="A80" t="inlineStr">
        <is>
          <t>A 1162-2021</t>
        </is>
      </c>
      <c r="B80" s="1" t="n">
        <v>44207</v>
      </c>
      <c r="C80" s="1" t="n">
        <v>45938</v>
      </c>
      <c r="D80" t="inlineStr">
        <is>
          <t>STOCKHOLMS LÄN</t>
        </is>
      </c>
      <c r="E80" t="inlineStr">
        <is>
          <t>NORRTÄLJE</t>
        </is>
      </c>
      <c r="G80" t="n">
        <v>2.2</v>
      </c>
      <c r="H80" t="n">
        <v>1</v>
      </c>
      <c r="I80" t="n">
        <v>0</v>
      </c>
      <c r="J80" t="n">
        <v>0</v>
      </c>
      <c r="K80" t="n">
        <v>1</v>
      </c>
      <c r="L80" t="n">
        <v>0</v>
      </c>
      <c r="M80" t="n">
        <v>0</v>
      </c>
      <c r="N80" t="n">
        <v>0</v>
      </c>
      <c r="O80" t="n">
        <v>1</v>
      </c>
      <c r="P80" t="n">
        <v>1</v>
      </c>
      <c r="Q80" t="n">
        <v>1</v>
      </c>
      <c r="R80" s="2" t="inlineStr">
        <is>
          <t>Hällebräcka</t>
        </is>
      </c>
      <c r="S80">
        <f>HYPERLINK("https://klasma.github.io/Logging_0188/artfynd/A 1162-2021 artfynd.xlsx", "A 1162-2021")</f>
        <v/>
      </c>
      <c r="T80">
        <f>HYPERLINK("https://klasma.github.io/Logging_0188/kartor/A 1162-2021 karta.png", "A 1162-2021")</f>
        <v/>
      </c>
      <c r="V80">
        <f>HYPERLINK("https://klasma.github.io/Logging_0188/klagomål/A 1162-2021 FSC-klagomål.docx", "A 1162-2021")</f>
        <v/>
      </c>
      <c r="W80">
        <f>HYPERLINK("https://klasma.github.io/Logging_0188/klagomålsmail/A 1162-2021 FSC-klagomål mail.docx", "A 1162-2021")</f>
        <v/>
      </c>
      <c r="X80">
        <f>HYPERLINK("https://klasma.github.io/Logging_0188/tillsyn/A 1162-2021 tillsynsbegäran.docx", "A 1162-2021")</f>
        <v/>
      </c>
      <c r="Y80">
        <f>HYPERLINK("https://klasma.github.io/Logging_0188/tillsynsmail/A 1162-2021 tillsynsbegäran mail.docx", "A 1162-2021")</f>
        <v/>
      </c>
    </row>
    <row r="81" ht="15" customHeight="1">
      <c r="A81" t="inlineStr">
        <is>
          <t>A 4595-2023</t>
        </is>
      </c>
      <c r="B81" s="1" t="n">
        <v>44956</v>
      </c>
      <c r="C81" s="1" t="n">
        <v>45938</v>
      </c>
      <c r="D81" t="inlineStr">
        <is>
          <t>STOCKHOLMS LÄN</t>
        </is>
      </c>
      <c r="E81" t="inlineStr">
        <is>
          <t>NORRTÄLJE</t>
        </is>
      </c>
      <c r="G81" t="n">
        <v>0.6</v>
      </c>
      <c r="H81" t="n">
        <v>1</v>
      </c>
      <c r="I81" t="n">
        <v>0</v>
      </c>
      <c r="J81" t="n">
        <v>0</v>
      </c>
      <c r="K81" t="n">
        <v>0</v>
      </c>
      <c r="L81" t="n">
        <v>0</v>
      </c>
      <c r="M81" t="n">
        <v>0</v>
      </c>
      <c r="N81" t="n">
        <v>0</v>
      </c>
      <c r="O81" t="n">
        <v>0</v>
      </c>
      <c r="P81" t="n">
        <v>0</v>
      </c>
      <c r="Q81" t="n">
        <v>1</v>
      </c>
      <c r="R81" s="2" t="inlineStr">
        <is>
          <t>Blåsippa</t>
        </is>
      </c>
      <c r="S81">
        <f>HYPERLINK("https://klasma.github.io/Logging_0188/artfynd/A 4595-2023 artfynd.xlsx", "A 4595-2023")</f>
        <v/>
      </c>
      <c r="T81">
        <f>HYPERLINK("https://klasma.github.io/Logging_0188/kartor/A 4595-2023 karta.png", "A 4595-2023")</f>
        <v/>
      </c>
      <c r="V81">
        <f>HYPERLINK("https://klasma.github.io/Logging_0188/klagomål/A 4595-2023 FSC-klagomål.docx", "A 4595-2023")</f>
        <v/>
      </c>
      <c r="W81">
        <f>HYPERLINK("https://klasma.github.io/Logging_0188/klagomålsmail/A 4595-2023 FSC-klagomål mail.docx", "A 4595-2023")</f>
        <v/>
      </c>
      <c r="X81">
        <f>HYPERLINK("https://klasma.github.io/Logging_0188/tillsyn/A 4595-2023 tillsynsbegäran.docx", "A 4595-2023")</f>
        <v/>
      </c>
      <c r="Y81">
        <f>HYPERLINK("https://klasma.github.io/Logging_0188/tillsynsmail/A 4595-2023 tillsynsbegäran mail.docx", "A 4595-2023")</f>
        <v/>
      </c>
    </row>
    <row r="82" ht="15" customHeight="1">
      <c r="A82" t="inlineStr">
        <is>
          <t>A 52611-2024</t>
        </is>
      </c>
      <c r="B82" s="1" t="n">
        <v>45609.83747685186</v>
      </c>
      <c r="C82" s="1" t="n">
        <v>45938</v>
      </c>
      <c r="D82" t="inlineStr">
        <is>
          <t>STOCKHOLMS LÄN</t>
        </is>
      </c>
      <c r="E82" t="inlineStr">
        <is>
          <t>NORRTÄLJE</t>
        </is>
      </c>
      <c r="G82" t="n">
        <v>10.6</v>
      </c>
      <c r="H82" t="n">
        <v>1</v>
      </c>
      <c r="I82" t="n">
        <v>0</v>
      </c>
      <c r="J82" t="n">
        <v>0</v>
      </c>
      <c r="K82" t="n">
        <v>0</v>
      </c>
      <c r="L82" t="n">
        <v>0</v>
      </c>
      <c r="M82" t="n">
        <v>0</v>
      </c>
      <c r="N82" t="n">
        <v>0</v>
      </c>
      <c r="O82" t="n">
        <v>0</v>
      </c>
      <c r="P82" t="n">
        <v>0</v>
      </c>
      <c r="Q82" t="n">
        <v>1</v>
      </c>
      <c r="R82" s="2" t="inlineStr">
        <is>
          <t>Blåsippa</t>
        </is>
      </c>
      <c r="S82">
        <f>HYPERLINK("https://klasma.github.io/Logging_0188/artfynd/A 52611-2024 artfynd.xlsx", "A 52611-2024")</f>
        <v/>
      </c>
      <c r="T82">
        <f>HYPERLINK("https://klasma.github.io/Logging_0188/kartor/A 52611-2024 karta.png", "A 52611-2024")</f>
        <v/>
      </c>
      <c r="V82">
        <f>HYPERLINK("https://klasma.github.io/Logging_0188/klagomål/A 52611-2024 FSC-klagomål.docx", "A 52611-2024")</f>
        <v/>
      </c>
      <c r="W82">
        <f>HYPERLINK("https://klasma.github.io/Logging_0188/klagomålsmail/A 52611-2024 FSC-klagomål mail.docx", "A 52611-2024")</f>
        <v/>
      </c>
      <c r="X82">
        <f>HYPERLINK("https://klasma.github.io/Logging_0188/tillsyn/A 52611-2024 tillsynsbegäran.docx", "A 52611-2024")</f>
        <v/>
      </c>
      <c r="Y82">
        <f>HYPERLINK("https://klasma.github.io/Logging_0188/tillsynsmail/A 52611-2024 tillsynsbegäran mail.docx", "A 52611-2024")</f>
        <v/>
      </c>
    </row>
    <row r="83" ht="15" customHeight="1">
      <c r="A83" t="inlineStr">
        <is>
          <t>A 17952-2022</t>
        </is>
      </c>
      <c r="B83" s="1" t="n">
        <v>44683</v>
      </c>
      <c r="C83" s="1" t="n">
        <v>45938</v>
      </c>
      <c r="D83" t="inlineStr">
        <is>
          <t>STOCKHOLMS LÄN</t>
        </is>
      </c>
      <c r="E83" t="inlineStr">
        <is>
          <t>NORRTÄLJE</t>
        </is>
      </c>
      <c r="G83" t="n">
        <v>51.1</v>
      </c>
      <c r="H83" t="n">
        <v>0</v>
      </c>
      <c r="I83" t="n">
        <v>0</v>
      </c>
      <c r="J83" t="n">
        <v>0</v>
      </c>
      <c r="K83" t="n">
        <v>1</v>
      </c>
      <c r="L83" t="n">
        <v>0</v>
      </c>
      <c r="M83" t="n">
        <v>0</v>
      </c>
      <c r="N83" t="n">
        <v>0</v>
      </c>
      <c r="O83" t="n">
        <v>1</v>
      </c>
      <c r="P83" t="n">
        <v>1</v>
      </c>
      <c r="Q83" t="n">
        <v>1</v>
      </c>
      <c r="R83" s="2" t="inlineStr">
        <is>
          <t>Kattunvisslare</t>
        </is>
      </c>
      <c r="S83">
        <f>HYPERLINK("https://klasma.github.io/Logging_0188/artfynd/A 17952-2022 artfynd.xlsx", "A 17952-2022")</f>
        <v/>
      </c>
      <c r="T83">
        <f>HYPERLINK("https://klasma.github.io/Logging_0188/kartor/A 17952-2022 karta.png", "A 17952-2022")</f>
        <v/>
      </c>
      <c r="V83">
        <f>HYPERLINK("https://klasma.github.io/Logging_0188/klagomål/A 17952-2022 FSC-klagomål.docx", "A 17952-2022")</f>
        <v/>
      </c>
      <c r="W83">
        <f>HYPERLINK("https://klasma.github.io/Logging_0188/klagomålsmail/A 17952-2022 FSC-klagomål mail.docx", "A 17952-2022")</f>
        <v/>
      </c>
      <c r="X83">
        <f>HYPERLINK("https://klasma.github.io/Logging_0188/tillsyn/A 17952-2022 tillsynsbegäran.docx", "A 17952-2022")</f>
        <v/>
      </c>
      <c r="Y83">
        <f>HYPERLINK("https://klasma.github.io/Logging_0188/tillsynsmail/A 17952-2022 tillsynsbegäran mail.docx", "A 17952-2022")</f>
        <v/>
      </c>
    </row>
    <row r="84" ht="15" customHeight="1">
      <c r="A84" t="inlineStr">
        <is>
          <t>A 23146-2024</t>
        </is>
      </c>
      <c r="B84" s="1" t="n">
        <v>45450.63958333333</v>
      </c>
      <c r="C84" s="1" t="n">
        <v>45938</v>
      </c>
      <c r="D84" t="inlineStr">
        <is>
          <t>STOCKHOLMS LÄN</t>
        </is>
      </c>
      <c r="E84" t="inlineStr">
        <is>
          <t>NORRTÄLJE</t>
        </is>
      </c>
      <c r="F84" t="inlineStr">
        <is>
          <t>Kommuner</t>
        </is>
      </c>
      <c r="G84" t="n">
        <v>6</v>
      </c>
      <c r="H84" t="n">
        <v>0</v>
      </c>
      <c r="I84" t="n">
        <v>0</v>
      </c>
      <c r="J84" t="n">
        <v>1</v>
      </c>
      <c r="K84" t="n">
        <v>0</v>
      </c>
      <c r="L84" t="n">
        <v>0</v>
      </c>
      <c r="M84" t="n">
        <v>0</v>
      </c>
      <c r="N84" t="n">
        <v>0</v>
      </c>
      <c r="O84" t="n">
        <v>1</v>
      </c>
      <c r="P84" t="n">
        <v>0</v>
      </c>
      <c r="Q84" t="n">
        <v>1</v>
      </c>
      <c r="R84" s="2" t="inlineStr">
        <is>
          <t>Motaggsvamp</t>
        </is>
      </c>
      <c r="S84">
        <f>HYPERLINK("https://klasma.github.io/Logging_0188/artfynd/A 23146-2024 artfynd.xlsx", "A 23146-2024")</f>
        <v/>
      </c>
      <c r="T84">
        <f>HYPERLINK("https://klasma.github.io/Logging_0188/kartor/A 23146-2024 karta.png", "A 23146-2024")</f>
        <v/>
      </c>
      <c r="V84">
        <f>HYPERLINK("https://klasma.github.io/Logging_0188/klagomål/A 23146-2024 FSC-klagomål.docx", "A 23146-2024")</f>
        <v/>
      </c>
      <c r="W84">
        <f>HYPERLINK("https://klasma.github.io/Logging_0188/klagomålsmail/A 23146-2024 FSC-klagomål mail.docx", "A 23146-2024")</f>
        <v/>
      </c>
      <c r="X84">
        <f>HYPERLINK("https://klasma.github.io/Logging_0188/tillsyn/A 23146-2024 tillsynsbegäran.docx", "A 23146-2024")</f>
        <v/>
      </c>
      <c r="Y84">
        <f>HYPERLINK("https://klasma.github.io/Logging_0188/tillsynsmail/A 23146-2024 tillsynsbegäran mail.docx", "A 23146-2024")</f>
        <v/>
      </c>
    </row>
    <row r="85" ht="15" customHeight="1">
      <c r="A85" t="inlineStr">
        <is>
          <t>A 24535-2023</t>
        </is>
      </c>
      <c r="B85" s="1" t="n">
        <v>45082</v>
      </c>
      <c r="C85" s="1" t="n">
        <v>45938</v>
      </c>
      <c r="D85" t="inlineStr">
        <is>
          <t>STOCKHOLMS LÄN</t>
        </is>
      </c>
      <c r="E85" t="inlineStr">
        <is>
          <t>NORRTÄLJE</t>
        </is>
      </c>
      <c r="F85" t="inlineStr">
        <is>
          <t>Kommuner</t>
        </is>
      </c>
      <c r="G85" t="n">
        <v>2</v>
      </c>
      <c r="H85" t="n">
        <v>1</v>
      </c>
      <c r="I85" t="n">
        <v>0</v>
      </c>
      <c r="J85" t="n">
        <v>0</v>
      </c>
      <c r="K85" t="n">
        <v>0</v>
      </c>
      <c r="L85" t="n">
        <v>0</v>
      </c>
      <c r="M85" t="n">
        <v>0</v>
      </c>
      <c r="N85" t="n">
        <v>0</v>
      </c>
      <c r="O85" t="n">
        <v>0</v>
      </c>
      <c r="P85" t="n">
        <v>0</v>
      </c>
      <c r="Q85" t="n">
        <v>1</v>
      </c>
      <c r="R85" s="2" t="inlineStr">
        <is>
          <t>Blåsippa</t>
        </is>
      </c>
      <c r="S85">
        <f>HYPERLINK("https://klasma.github.io/Logging_0188/artfynd/A 24535-2023 artfynd.xlsx", "A 24535-2023")</f>
        <v/>
      </c>
      <c r="T85">
        <f>HYPERLINK("https://klasma.github.io/Logging_0188/kartor/A 24535-2023 karta.png", "A 24535-2023")</f>
        <v/>
      </c>
      <c r="V85">
        <f>HYPERLINK("https://klasma.github.io/Logging_0188/klagomål/A 24535-2023 FSC-klagomål.docx", "A 24535-2023")</f>
        <v/>
      </c>
      <c r="W85">
        <f>HYPERLINK("https://klasma.github.io/Logging_0188/klagomålsmail/A 24535-2023 FSC-klagomål mail.docx", "A 24535-2023")</f>
        <v/>
      </c>
      <c r="X85">
        <f>HYPERLINK("https://klasma.github.io/Logging_0188/tillsyn/A 24535-2023 tillsynsbegäran.docx", "A 24535-2023")</f>
        <v/>
      </c>
      <c r="Y85">
        <f>HYPERLINK("https://klasma.github.io/Logging_0188/tillsynsmail/A 24535-2023 tillsynsbegäran mail.docx", "A 24535-2023")</f>
        <v/>
      </c>
    </row>
    <row r="86" ht="15" customHeight="1">
      <c r="A86" t="inlineStr">
        <is>
          <t>A 13271-2025</t>
        </is>
      </c>
      <c r="B86" s="1" t="n">
        <v>45735.54510416667</v>
      </c>
      <c r="C86" s="1" t="n">
        <v>45938</v>
      </c>
      <c r="D86" t="inlineStr">
        <is>
          <t>STOCKHOLMS LÄN</t>
        </is>
      </c>
      <c r="E86" t="inlineStr">
        <is>
          <t>NORRTÄLJE</t>
        </is>
      </c>
      <c r="G86" t="n">
        <v>7.2</v>
      </c>
      <c r="H86" t="n">
        <v>1</v>
      </c>
      <c r="I86" t="n">
        <v>0</v>
      </c>
      <c r="J86" t="n">
        <v>0</v>
      </c>
      <c r="K86" t="n">
        <v>0</v>
      </c>
      <c r="L86" t="n">
        <v>1</v>
      </c>
      <c r="M86" t="n">
        <v>0</v>
      </c>
      <c r="N86" t="n">
        <v>0</v>
      </c>
      <c r="O86" t="n">
        <v>1</v>
      </c>
      <c r="P86" t="n">
        <v>1</v>
      </c>
      <c r="Q86" t="n">
        <v>1</v>
      </c>
      <c r="R86" s="2" t="inlineStr">
        <is>
          <t>Asknätfjäril</t>
        </is>
      </c>
      <c r="S86">
        <f>HYPERLINK("https://klasma.github.io/Logging_0188/artfynd/A 13271-2025 artfynd.xlsx", "A 13271-2025")</f>
        <v/>
      </c>
      <c r="T86">
        <f>HYPERLINK("https://klasma.github.io/Logging_0188/kartor/A 13271-2025 karta.png", "A 13271-2025")</f>
        <v/>
      </c>
      <c r="V86">
        <f>HYPERLINK("https://klasma.github.io/Logging_0188/klagomål/A 13271-2025 FSC-klagomål.docx", "A 13271-2025")</f>
        <v/>
      </c>
      <c r="W86">
        <f>HYPERLINK("https://klasma.github.io/Logging_0188/klagomålsmail/A 13271-2025 FSC-klagomål mail.docx", "A 13271-2025")</f>
        <v/>
      </c>
      <c r="X86">
        <f>HYPERLINK("https://klasma.github.io/Logging_0188/tillsyn/A 13271-2025 tillsynsbegäran.docx", "A 13271-2025")</f>
        <v/>
      </c>
      <c r="Y86">
        <f>HYPERLINK("https://klasma.github.io/Logging_0188/tillsynsmail/A 13271-2025 tillsynsbegäran mail.docx", "A 13271-2025")</f>
        <v/>
      </c>
    </row>
    <row r="87" ht="15" customHeight="1">
      <c r="A87" t="inlineStr">
        <is>
          <t>A 27538-2024</t>
        </is>
      </c>
      <c r="B87" s="1" t="n">
        <v>45474</v>
      </c>
      <c r="C87" s="1" t="n">
        <v>45938</v>
      </c>
      <c r="D87" t="inlineStr">
        <is>
          <t>STOCKHOLMS LÄN</t>
        </is>
      </c>
      <c r="E87" t="inlineStr">
        <is>
          <t>NORRTÄLJE</t>
        </is>
      </c>
      <c r="G87" t="n">
        <v>1.5</v>
      </c>
      <c r="H87" t="n">
        <v>1</v>
      </c>
      <c r="I87" t="n">
        <v>1</v>
      </c>
      <c r="J87" t="n">
        <v>0</v>
      </c>
      <c r="K87" t="n">
        <v>0</v>
      </c>
      <c r="L87" t="n">
        <v>0</v>
      </c>
      <c r="M87" t="n">
        <v>0</v>
      </c>
      <c r="N87" t="n">
        <v>0</v>
      </c>
      <c r="O87" t="n">
        <v>0</v>
      </c>
      <c r="P87" t="n">
        <v>0</v>
      </c>
      <c r="Q87" t="n">
        <v>1</v>
      </c>
      <c r="R87" s="2" t="inlineStr">
        <is>
          <t>Skogsknipprot</t>
        </is>
      </c>
      <c r="S87">
        <f>HYPERLINK("https://klasma.github.io/Logging_0188/artfynd/A 27538-2024 artfynd.xlsx", "A 27538-2024")</f>
        <v/>
      </c>
      <c r="T87">
        <f>HYPERLINK("https://klasma.github.io/Logging_0188/kartor/A 27538-2024 karta.png", "A 27538-2024")</f>
        <v/>
      </c>
      <c r="V87">
        <f>HYPERLINK("https://klasma.github.io/Logging_0188/klagomål/A 27538-2024 FSC-klagomål.docx", "A 27538-2024")</f>
        <v/>
      </c>
      <c r="W87">
        <f>HYPERLINK("https://klasma.github.io/Logging_0188/klagomålsmail/A 27538-2024 FSC-klagomål mail.docx", "A 27538-2024")</f>
        <v/>
      </c>
      <c r="X87">
        <f>HYPERLINK("https://klasma.github.io/Logging_0188/tillsyn/A 27538-2024 tillsynsbegäran.docx", "A 27538-2024")</f>
        <v/>
      </c>
      <c r="Y87">
        <f>HYPERLINK("https://klasma.github.io/Logging_0188/tillsynsmail/A 27538-2024 tillsynsbegäran mail.docx", "A 27538-2024")</f>
        <v/>
      </c>
    </row>
    <row r="88" ht="15" customHeight="1">
      <c r="A88" t="inlineStr">
        <is>
          <t>A 48131-2023</t>
        </is>
      </c>
      <c r="B88" s="1" t="n">
        <v>45205</v>
      </c>
      <c r="C88" s="1" t="n">
        <v>45938</v>
      </c>
      <c r="D88" t="inlineStr">
        <is>
          <t>STOCKHOLMS LÄN</t>
        </is>
      </c>
      <c r="E88" t="inlineStr">
        <is>
          <t>NORRTÄLJE</t>
        </is>
      </c>
      <c r="G88" t="n">
        <v>2.3</v>
      </c>
      <c r="H88" t="n">
        <v>0</v>
      </c>
      <c r="I88" t="n">
        <v>0</v>
      </c>
      <c r="J88" t="n">
        <v>1</v>
      </c>
      <c r="K88" t="n">
        <v>0</v>
      </c>
      <c r="L88" t="n">
        <v>0</v>
      </c>
      <c r="M88" t="n">
        <v>0</v>
      </c>
      <c r="N88" t="n">
        <v>0</v>
      </c>
      <c r="O88" t="n">
        <v>1</v>
      </c>
      <c r="P88" t="n">
        <v>0</v>
      </c>
      <c r="Q88" t="n">
        <v>1</v>
      </c>
      <c r="R88" s="2" t="inlineStr">
        <is>
          <t>Slåtterfibbla</t>
        </is>
      </c>
      <c r="S88">
        <f>HYPERLINK("https://klasma.github.io/Logging_0188/artfynd/A 48131-2023 artfynd.xlsx", "A 48131-2023")</f>
        <v/>
      </c>
      <c r="T88">
        <f>HYPERLINK("https://klasma.github.io/Logging_0188/kartor/A 48131-2023 karta.png", "A 48131-2023")</f>
        <v/>
      </c>
      <c r="V88">
        <f>HYPERLINK("https://klasma.github.io/Logging_0188/klagomål/A 48131-2023 FSC-klagomål.docx", "A 48131-2023")</f>
        <v/>
      </c>
      <c r="W88">
        <f>HYPERLINK("https://klasma.github.io/Logging_0188/klagomålsmail/A 48131-2023 FSC-klagomål mail.docx", "A 48131-2023")</f>
        <v/>
      </c>
      <c r="X88">
        <f>HYPERLINK("https://klasma.github.io/Logging_0188/tillsyn/A 48131-2023 tillsynsbegäran.docx", "A 48131-2023")</f>
        <v/>
      </c>
      <c r="Y88">
        <f>HYPERLINK("https://klasma.github.io/Logging_0188/tillsynsmail/A 48131-2023 tillsynsbegäran mail.docx", "A 48131-2023")</f>
        <v/>
      </c>
    </row>
    <row r="89" ht="15" customHeight="1">
      <c r="A89" t="inlineStr">
        <is>
          <t>A 4532-2025</t>
        </is>
      </c>
      <c r="B89" s="1" t="n">
        <v>45687.34177083334</v>
      </c>
      <c r="C89" s="1" t="n">
        <v>45938</v>
      </c>
      <c r="D89" t="inlineStr">
        <is>
          <t>STOCKHOLMS LÄN</t>
        </is>
      </c>
      <c r="E89" t="inlineStr">
        <is>
          <t>NORRTÄLJE</t>
        </is>
      </c>
      <c r="F89" t="inlineStr">
        <is>
          <t>Holmen skog AB</t>
        </is>
      </c>
      <c r="G89" t="n">
        <v>6.4</v>
      </c>
      <c r="H89" t="n">
        <v>1</v>
      </c>
      <c r="I89" t="n">
        <v>0</v>
      </c>
      <c r="J89" t="n">
        <v>0</v>
      </c>
      <c r="K89" t="n">
        <v>0</v>
      </c>
      <c r="L89" t="n">
        <v>1</v>
      </c>
      <c r="M89" t="n">
        <v>0</v>
      </c>
      <c r="N89" t="n">
        <v>0</v>
      </c>
      <c r="O89" t="n">
        <v>1</v>
      </c>
      <c r="P89" t="n">
        <v>1</v>
      </c>
      <c r="Q89" t="n">
        <v>1</v>
      </c>
      <c r="R89" s="2" t="inlineStr">
        <is>
          <t>Asknätfjäril</t>
        </is>
      </c>
      <c r="S89">
        <f>HYPERLINK("https://klasma.github.io/Logging_0188/artfynd/A 4532-2025 artfynd.xlsx", "A 4532-2025")</f>
        <v/>
      </c>
      <c r="T89">
        <f>HYPERLINK("https://klasma.github.io/Logging_0188/kartor/A 4532-2025 karta.png", "A 4532-2025")</f>
        <v/>
      </c>
      <c r="V89">
        <f>HYPERLINK("https://klasma.github.io/Logging_0188/klagomål/A 4532-2025 FSC-klagomål.docx", "A 4532-2025")</f>
        <v/>
      </c>
      <c r="W89">
        <f>HYPERLINK("https://klasma.github.io/Logging_0188/klagomålsmail/A 4532-2025 FSC-klagomål mail.docx", "A 4532-2025")</f>
        <v/>
      </c>
      <c r="X89">
        <f>HYPERLINK("https://klasma.github.io/Logging_0188/tillsyn/A 4532-2025 tillsynsbegäran.docx", "A 4532-2025")</f>
        <v/>
      </c>
      <c r="Y89">
        <f>HYPERLINK("https://klasma.github.io/Logging_0188/tillsynsmail/A 4532-2025 tillsynsbegäran mail.docx", "A 4532-2025")</f>
        <v/>
      </c>
    </row>
    <row r="90" ht="15" customHeight="1">
      <c r="A90" t="inlineStr">
        <is>
          <t>A 50854-2022</t>
        </is>
      </c>
      <c r="B90" s="1" t="n">
        <v>44863</v>
      </c>
      <c r="C90" s="1" t="n">
        <v>45938</v>
      </c>
      <c r="D90" t="inlineStr">
        <is>
          <t>STOCKHOLMS LÄN</t>
        </is>
      </c>
      <c r="E90" t="inlineStr">
        <is>
          <t>NORRTÄLJE</t>
        </is>
      </c>
      <c r="G90" t="n">
        <v>2.9</v>
      </c>
      <c r="H90" t="n">
        <v>0</v>
      </c>
      <c r="I90" t="n">
        <v>1</v>
      </c>
      <c r="J90" t="n">
        <v>0</v>
      </c>
      <c r="K90" t="n">
        <v>0</v>
      </c>
      <c r="L90" t="n">
        <v>0</v>
      </c>
      <c r="M90" t="n">
        <v>0</v>
      </c>
      <c r="N90" t="n">
        <v>0</v>
      </c>
      <c r="O90" t="n">
        <v>0</v>
      </c>
      <c r="P90" t="n">
        <v>0</v>
      </c>
      <c r="Q90" t="n">
        <v>1</v>
      </c>
      <c r="R90" s="2" t="inlineStr">
        <is>
          <t>Tibast</t>
        </is>
      </c>
      <c r="S90">
        <f>HYPERLINK("https://klasma.github.io/Logging_0188/artfynd/A 50854-2022 artfynd.xlsx", "A 50854-2022")</f>
        <v/>
      </c>
      <c r="T90">
        <f>HYPERLINK("https://klasma.github.io/Logging_0188/kartor/A 50854-2022 karta.png", "A 50854-2022")</f>
        <v/>
      </c>
      <c r="V90">
        <f>HYPERLINK("https://klasma.github.io/Logging_0188/klagomål/A 50854-2022 FSC-klagomål.docx", "A 50854-2022")</f>
        <v/>
      </c>
      <c r="W90">
        <f>HYPERLINK("https://klasma.github.io/Logging_0188/klagomålsmail/A 50854-2022 FSC-klagomål mail.docx", "A 50854-2022")</f>
        <v/>
      </c>
      <c r="X90">
        <f>HYPERLINK("https://klasma.github.io/Logging_0188/tillsyn/A 50854-2022 tillsynsbegäran.docx", "A 50854-2022")</f>
        <v/>
      </c>
      <c r="Y90">
        <f>HYPERLINK("https://klasma.github.io/Logging_0188/tillsynsmail/A 50854-2022 tillsynsbegäran mail.docx", "A 50854-2022")</f>
        <v/>
      </c>
    </row>
    <row r="91" ht="15" customHeight="1">
      <c r="A91" t="inlineStr">
        <is>
          <t>A 26635-2023</t>
        </is>
      </c>
      <c r="B91" s="1" t="n">
        <v>45092</v>
      </c>
      <c r="C91" s="1" t="n">
        <v>45938</v>
      </c>
      <c r="D91" t="inlineStr">
        <is>
          <t>STOCKHOLMS LÄN</t>
        </is>
      </c>
      <c r="E91" t="inlineStr">
        <is>
          <t>NORRTÄLJE</t>
        </is>
      </c>
      <c r="G91" t="n">
        <v>3.1</v>
      </c>
      <c r="H91" t="n">
        <v>1</v>
      </c>
      <c r="I91" t="n">
        <v>0</v>
      </c>
      <c r="J91" t="n">
        <v>0</v>
      </c>
      <c r="K91" t="n">
        <v>0</v>
      </c>
      <c r="L91" t="n">
        <v>0</v>
      </c>
      <c r="M91" t="n">
        <v>0</v>
      </c>
      <c r="N91" t="n">
        <v>0</v>
      </c>
      <c r="O91" t="n">
        <v>0</v>
      </c>
      <c r="P91" t="n">
        <v>0</v>
      </c>
      <c r="Q91" t="n">
        <v>1</v>
      </c>
      <c r="R91" s="2" t="inlineStr">
        <is>
          <t>Fläcknycklar</t>
        </is>
      </c>
      <c r="S91">
        <f>HYPERLINK("https://klasma.github.io/Logging_0188/artfynd/A 26635-2023 artfynd.xlsx", "A 26635-2023")</f>
        <v/>
      </c>
      <c r="T91">
        <f>HYPERLINK("https://klasma.github.io/Logging_0188/kartor/A 26635-2023 karta.png", "A 26635-2023")</f>
        <v/>
      </c>
      <c r="V91">
        <f>HYPERLINK("https://klasma.github.io/Logging_0188/klagomål/A 26635-2023 FSC-klagomål.docx", "A 26635-2023")</f>
        <v/>
      </c>
      <c r="W91">
        <f>HYPERLINK("https://klasma.github.io/Logging_0188/klagomålsmail/A 26635-2023 FSC-klagomål mail.docx", "A 26635-2023")</f>
        <v/>
      </c>
      <c r="X91">
        <f>HYPERLINK("https://klasma.github.io/Logging_0188/tillsyn/A 26635-2023 tillsynsbegäran.docx", "A 26635-2023")</f>
        <v/>
      </c>
      <c r="Y91">
        <f>HYPERLINK("https://klasma.github.io/Logging_0188/tillsynsmail/A 26635-2023 tillsynsbegäran mail.docx", "A 26635-2023")</f>
        <v/>
      </c>
    </row>
    <row r="92" ht="15" customHeight="1">
      <c r="A92" t="inlineStr">
        <is>
          <t>A 21150-2022</t>
        </is>
      </c>
      <c r="B92" s="1" t="n">
        <v>44704</v>
      </c>
      <c r="C92" s="1" t="n">
        <v>45938</v>
      </c>
      <c r="D92" t="inlineStr">
        <is>
          <t>STOCKHOLMS LÄN</t>
        </is>
      </c>
      <c r="E92" t="inlineStr">
        <is>
          <t>NORRTÄLJE</t>
        </is>
      </c>
      <c r="G92" t="n">
        <v>12.5</v>
      </c>
      <c r="H92" t="n">
        <v>1</v>
      </c>
      <c r="I92" t="n">
        <v>0</v>
      </c>
      <c r="J92" t="n">
        <v>0</v>
      </c>
      <c r="K92" t="n">
        <v>0</v>
      </c>
      <c r="L92" t="n">
        <v>1</v>
      </c>
      <c r="M92" t="n">
        <v>0</v>
      </c>
      <c r="N92" t="n">
        <v>0</v>
      </c>
      <c r="O92" t="n">
        <v>1</v>
      </c>
      <c r="P92" t="n">
        <v>1</v>
      </c>
      <c r="Q92" t="n">
        <v>1</v>
      </c>
      <c r="R92" s="2" t="inlineStr">
        <is>
          <t>Asknätfjäril</t>
        </is>
      </c>
      <c r="S92">
        <f>HYPERLINK("https://klasma.github.io/Logging_0188/artfynd/A 21150-2022 artfynd.xlsx", "A 21150-2022")</f>
        <v/>
      </c>
      <c r="T92">
        <f>HYPERLINK("https://klasma.github.io/Logging_0188/kartor/A 21150-2022 karta.png", "A 21150-2022")</f>
        <v/>
      </c>
      <c r="V92">
        <f>HYPERLINK("https://klasma.github.io/Logging_0188/klagomål/A 21150-2022 FSC-klagomål.docx", "A 21150-2022")</f>
        <v/>
      </c>
      <c r="W92">
        <f>HYPERLINK("https://klasma.github.io/Logging_0188/klagomålsmail/A 21150-2022 FSC-klagomål mail.docx", "A 21150-2022")</f>
        <v/>
      </c>
      <c r="X92">
        <f>HYPERLINK("https://klasma.github.io/Logging_0188/tillsyn/A 21150-2022 tillsynsbegäran.docx", "A 21150-2022")</f>
        <v/>
      </c>
      <c r="Y92">
        <f>HYPERLINK("https://klasma.github.io/Logging_0188/tillsynsmail/A 21150-2022 tillsynsbegäran mail.docx", "A 21150-2022")</f>
        <v/>
      </c>
    </row>
    <row r="93" ht="15" customHeight="1">
      <c r="A93" t="inlineStr">
        <is>
          <t>A 58888-2021</t>
        </is>
      </c>
      <c r="B93" s="1" t="n">
        <v>44489</v>
      </c>
      <c r="C93" s="1" t="n">
        <v>45938</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47898-2022</t>
        </is>
      </c>
      <c r="B94" s="1" t="n">
        <v>44855</v>
      </c>
      <c r="C94" s="1" t="n">
        <v>45938</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26120-2024</t>
        </is>
      </c>
      <c r="B95" s="1" t="n">
        <v>45468.45995370371</v>
      </c>
      <c r="C95" s="1" t="n">
        <v>45938</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21927-2025</t>
        </is>
      </c>
      <c r="B96" s="1" t="n">
        <v>45784.54878472222</v>
      </c>
      <c r="C96" s="1" t="n">
        <v>45938</v>
      </c>
      <c r="D96" t="inlineStr">
        <is>
          <t>STOCKHOLMS LÄN</t>
        </is>
      </c>
      <c r="E96" t="inlineStr">
        <is>
          <t>NORRTÄLJE</t>
        </is>
      </c>
      <c r="G96" t="n">
        <v>3.4</v>
      </c>
      <c r="H96" t="n">
        <v>1</v>
      </c>
      <c r="I96" t="n">
        <v>1</v>
      </c>
      <c r="J96" t="n">
        <v>0</v>
      </c>
      <c r="K96" t="n">
        <v>0</v>
      </c>
      <c r="L96" t="n">
        <v>0</v>
      </c>
      <c r="M96" t="n">
        <v>0</v>
      </c>
      <c r="N96" t="n">
        <v>0</v>
      </c>
      <c r="O96" t="n">
        <v>0</v>
      </c>
      <c r="P96" t="n">
        <v>0</v>
      </c>
      <c r="Q96" t="n">
        <v>1</v>
      </c>
      <c r="R96" s="2" t="inlineStr">
        <is>
          <t>Nästrot</t>
        </is>
      </c>
      <c r="S96">
        <f>HYPERLINK("https://klasma.github.io/Logging_0188/artfynd/A 21927-2025 artfynd.xlsx", "A 21927-2025")</f>
        <v/>
      </c>
      <c r="T96">
        <f>HYPERLINK("https://klasma.github.io/Logging_0188/kartor/A 21927-2025 karta.png", "A 21927-2025")</f>
        <v/>
      </c>
      <c r="V96">
        <f>HYPERLINK("https://klasma.github.io/Logging_0188/klagomål/A 21927-2025 FSC-klagomål.docx", "A 21927-2025")</f>
        <v/>
      </c>
      <c r="W96">
        <f>HYPERLINK("https://klasma.github.io/Logging_0188/klagomålsmail/A 21927-2025 FSC-klagomål mail.docx", "A 21927-2025")</f>
        <v/>
      </c>
      <c r="X96">
        <f>HYPERLINK("https://klasma.github.io/Logging_0188/tillsyn/A 21927-2025 tillsynsbegäran.docx", "A 21927-2025")</f>
        <v/>
      </c>
      <c r="Y96">
        <f>HYPERLINK("https://klasma.github.io/Logging_0188/tillsynsmail/A 21927-2025 tillsynsbegäran mail.docx", "A 21927-2025")</f>
        <v/>
      </c>
    </row>
    <row r="97" ht="15" customHeight="1">
      <c r="A97" t="inlineStr">
        <is>
          <t>A 16870-2025</t>
        </is>
      </c>
      <c r="B97" s="1" t="n">
        <v>45754</v>
      </c>
      <c r="C97" s="1" t="n">
        <v>45938</v>
      </c>
      <c r="D97" t="inlineStr">
        <is>
          <t>STOCKHOLMS LÄN</t>
        </is>
      </c>
      <c r="E97" t="inlineStr">
        <is>
          <t>NORRTÄLJE</t>
        </is>
      </c>
      <c r="G97" t="n">
        <v>24.6</v>
      </c>
      <c r="H97" t="n">
        <v>1</v>
      </c>
      <c r="I97" t="n">
        <v>0</v>
      </c>
      <c r="J97" t="n">
        <v>0</v>
      </c>
      <c r="K97" t="n">
        <v>0</v>
      </c>
      <c r="L97" t="n">
        <v>0</v>
      </c>
      <c r="M97" t="n">
        <v>0</v>
      </c>
      <c r="N97" t="n">
        <v>0</v>
      </c>
      <c r="O97" t="n">
        <v>0</v>
      </c>
      <c r="P97" t="n">
        <v>0</v>
      </c>
      <c r="Q97" t="n">
        <v>1</v>
      </c>
      <c r="R97" s="2" t="inlineStr">
        <is>
          <t>Vanlig groda</t>
        </is>
      </c>
      <c r="S97">
        <f>HYPERLINK("https://klasma.github.io/Logging_0188/artfynd/A 16870-2025 artfynd.xlsx", "A 16870-2025")</f>
        <v/>
      </c>
      <c r="T97">
        <f>HYPERLINK("https://klasma.github.io/Logging_0188/kartor/A 16870-2025 karta.png", "A 16870-2025")</f>
        <v/>
      </c>
      <c r="V97">
        <f>HYPERLINK("https://klasma.github.io/Logging_0188/klagomål/A 16870-2025 FSC-klagomål.docx", "A 16870-2025")</f>
        <v/>
      </c>
      <c r="W97">
        <f>HYPERLINK("https://klasma.github.io/Logging_0188/klagomålsmail/A 16870-2025 FSC-klagomål mail.docx", "A 16870-2025")</f>
        <v/>
      </c>
      <c r="X97">
        <f>HYPERLINK("https://klasma.github.io/Logging_0188/tillsyn/A 16870-2025 tillsynsbegäran.docx", "A 16870-2025")</f>
        <v/>
      </c>
      <c r="Y97">
        <f>HYPERLINK("https://klasma.github.io/Logging_0188/tillsynsmail/A 16870-2025 tillsynsbegäran mail.docx", "A 16870-2025")</f>
        <v/>
      </c>
    </row>
    <row r="98" ht="15" customHeight="1">
      <c r="A98" t="inlineStr">
        <is>
          <t>A 9955-2022</t>
        </is>
      </c>
      <c r="B98" s="1" t="n">
        <v>44620</v>
      </c>
      <c r="C98" s="1" t="n">
        <v>45938</v>
      </c>
      <c r="D98" t="inlineStr">
        <is>
          <t>STOCKHOLMS LÄN</t>
        </is>
      </c>
      <c r="E98" t="inlineStr">
        <is>
          <t>NORRTÄLJE</t>
        </is>
      </c>
      <c r="G98" t="n">
        <v>7.8</v>
      </c>
      <c r="H98" t="n">
        <v>1</v>
      </c>
      <c r="I98" t="n">
        <v>0</v>
      </c>
      <c r="J98" t="n">
        <v>0</v>
      </c>
      <c r="K98" t="n">
        <v>0</v>
      </c>
      <c r="L98" t="n">
        <v>0</v>
      </c>
      <c r="M98" t="n">
        <v>0</v>
      </c>
      <c r="N98" t="n">
        <v>0</v>
      </c>
      <c r="O98" t="n">
        <v>0</v>
      </c>
      <c r="P98" t="n">
        <v>0</v>
      </c>
      <c r="Q98" t="n">
        <v>1</v>
      </c>
      <c r="R98" s="2" t="inlineStr">
        <is>
          <t>Åkergroda</t>
        </is>
      </c>
      <c r="S98">
        <f>HYPERLINK("https://klasma.github.io/Logging_0188/artfynd/A 9955-2022 artfynd.xlsx", "A 9955-2022")</f>
        <v/>
      </c>
      <c r="T98">
        <f>HYPERLINK("https://klasma.github.io/Logging_0188/kartor/A 9955-2022 karta.png", "A 9955-2022")</f>
        <v/>
      </c>
      <c r="V98">
        <f>HYPERLINK("https://klasma.github.io/Logging_0188/klagomål/A 9955-2022 FSC-klagomål.docx", "A 9955-2022")</f>
        <v/>
      </c>
      <c r="W98">
        <f>HYPERLINK("https://klasma.github.io/Logging_0188/klagomålsmail/A 9955-2022 FSC-klagomål mail.docx", "A 9955-2022")</f>
        <v/>
      </c>
      <c r="X98">
        <f>HYPERLINK("https://klasma.github.io/Logging_0188/tillsyn/A 9955-2022 tillsynsbegäran.docx", "A 9955-2022")</f>
        <v/>
      </c>
      <c r="Y98">
        <f>HYPERLINK("https://klasma.github.io/Logging_0188/tillsynsmail/A 9955-2022 tillsynsbegäran mail.docx", "A 9955-2022")</f>
        <v/>
      </c>
    </row>
    <row r="99" ht="15" customHeight="1">
      <c r="A99" t="inlineStr">
        <is>
          <t>A 64456-2023</t>
        </is>
      </c>
      <c r="B99" s="1" t="n">
        <v>45280</v>
      </c>
      <c r="C99" s="1" t="n">
        <v>45938</v>
      </c>
      <c r="D99" t="inlineStr">
        <is>
          <t>STOCKHOLMS LÄN</t>
        </is>
      </c>
      <c r="E99" t="inlineStr">
        <is>
          <t>NORRTÄLJE</t>
        </is>
      </c>
      <c r="G99" t="n">
        <v>2.5</v>
      </c>
      <c r="H99" t="n">
        <v>0</v>
      </c>
      <c r="I99" t="n">
        <v>1</v>
      </c>
      <c r="J99" t="n">
        <v>0</v>
      </c>
      <c r="K99" t="n">
        <v>0</v>
      </c>
      <c r="L99" t="n">
        <v>0</v>
      </c>
      <c r="M99" t="n">
        <v>0</v>
      </c>
      <c r="N99" t="n">
        <v>0</v>
      </c>
      <c r="O99" t="n">
        <v>0</v>
      </c>
      <c r="P99" t="n">
        <v>0</v>
      </c>
      <c r="Q99" t="n">
        <v>1</v>
      </c>
      <c r="R99" s="2" t="inlineStr">
        <is>
          <t>Rödgul trumpetsvamp</t>
        </is>
      </c>
      <c r="S99">
        <f>HYPERLINK("https://klasma.github.io/Logging_0188/artfynd/A 64456-2023 artfynd.xlsx", "A 64456-2023")</f>
        <v/>
      </c>
      <c r="T99">
        <f>HYPERLINK("https://klasma.github.io/Logging_0188/kartor/A 64456-2023 karta.png", "A 64456-2023")</f>
        <v/>
      </c>
      <c r="V99">
        <f>HYPERLINK("https://klasma.github.io/Logging_0188/klagomål/A 64456-2023 FSC-klagomål.docx", "A 64456-2023")</f>
        <v/>
      </c>
      <c r="W99">
        <f>HYPERLINK("https://klasma.github.io/Logging_0188/klagomålsmail/A 64456-2023 FSC-klagomål mail.docx", "A 64456-2023")</f>
        <v/>
      </c>
      <c r="X99">
        <f>HYPERLINK("https://klasma.github.io/Logging_0188/tillsyn/A 64456-2023 tillsynsbegäran.docx", "A 64456-2023")</f>
        <v/>
      </c>
      <c r="Y99">
        <f>HYPERLINK("https://klasma.github.io/Logging_0188/tillsynsmail/A 64456-2023 tillsynsbegäran mail.docx", "A 64456-2023")</f>
        <v/>
      </c>
    </row>
    <row r="100" ht="15" customHeight="1">
      <c r="A100" t="inlineStr">
        <is>
          <t>A 14365-2025</t>
        </is>
      </c>
      <c r="B100" s="1" t="n">
        <v>45741.38688657407</v>
      </c>
      <c r="C100" s="1" t="n">
        <v>45938</v>
      </c>
      <c r="D100" t="inlineStr">
        <is>
          <t>STOCKHOLMS LÄN</t>
        </is>
      </c>
      <c r="E100" t="inlineStr">
        <is>
          <t>NORRTÄLJE</t>
        </is>
      </c>
      <c r="G100" t="n">
        <v>2.4</v>
      </c>
      <c r="H100" t="n">
        <v>0</v>
      </c>
      <c r="I100" t="n">
        <v>0</v>
      </c>
      <c r="J100" t="n">
        <v>1</v>
      </c>
      <c r="K100" t="n">
        <v>0</v>
      </c>
      <c r="L100" t="n">
        <v>0</v>
      </c>
      <c r="M100" t="n">
        <v>0</v>
      </c>
      <c r="N100" t="n">
        <v>0</v>
      </c>
      <c r="O100" t="n">
        <v>1</v>
      </c>
      <c r="P100" t="n">
        <v>0</v>
      </c>
      <c r="Q100" t="n">
        <v>1</v>
      </c>
      <c r="R100" s="2" t="inlineStr">
        <is>
          <t>Granticka</t>
        </is>
      </c>
      <c r="S100">
        <f>HYPERLINK("https://klasma.github.io/Logging_0188/artfynd/A 14365-2025 artfynd.xlsx", "A 14365-2025")</f>
        <v/>
      </c>
      <c r="T100">
        <f>HYPERLINK("https://klasma.github.io/Logging_0188/kartor/A 14365-2025 karta.png", "A 14365-2025")</f>
        <v/>
      </c>
      <c r="V100">
        <f>HYPERLINK("https://klasma.github.io/Logging_0188/klagomål/A 14365-2025 FSC-klagomål.docx", "A 14365-2025")</f>
        <v/>
      </c>
      <c r="W100">
        <f>HYPERLINK("https://klasma.github.io/Logging_0188/klagomålsmail/A 14365-2025 FSC-klagomål mail.docx", "A 14365-2025")</f>
        <v/>
      </c>
      <c r="X100">
        <f>HYPERLINK("https://klasma.github.io/Logging_0188/tillsyn/A 14365-2025 tillsynsbegäran.docx", "A 14365-2025")</f>
        <v/>
      </c>
      <c r="Y100">
        <f>HYPERLINK("https://klasma.github.io/Logging_0188/tillsynsmail/A 14365-2025 tillsynsbegäran mail.docx", "A 14365-2025")</f>
        <v/>
      </c>
    </row>
    <row r="101" ht="15" customHeight="1">
      <c r="A101" t="inlineStr">
        <is>
          <t>A 32111-2022</t>
        </is>
      </c>
      <c r="B101" s="1" t="n">
        <v>44778.92797453704</v>
      </c>
      <c r="C101" s="1" t="n">
        <v>45938</v>
      </c>
      <c r="D101" t="inlineStr">
        <is>
          <t>STOCKHOLMS LÄN</t>
        </is>
      </c>
      <c r="E101" t="inlineStr">
        <is>
          <t>NORRTÄLJE</t>
        </is>
      </c>
      <c r="G101" t="n">
        <v>3.1</v>
      </c>
      <c r="H101" t="n">
        <v>0</v>
      </c>
      <c r="I101" t="n">
        <v>0</v>
      </c>
      <c r="J101" t="n">
        <v>1</v>
      </c>
      <c r="K101" t="n">
        <v>0</v>
      </c>
      <c r="L101" t="n">
        <v>0</v>
      </c>
      <c r="M101" t="n">
        <v>0</v>
      </c>
      <c r="N101" t="n">
        <v>0</v>
      </c>
      <c r="O101" t="n">
        <v>1</v>
      </c>
      <c r="P101" t="n">
        <v>0</v>
      </c>
      <c r="Q101" t="n">
        <v>1</v>
      </c>
      <c r="R101" s="2" t="inlineStr">
        <is>
          <t>Orange taggsvamp</t>
        </is>
      </c>
      <c r="S101">
        <f>HYPERLINK("https://klasma.github.io/Logging_0188/artfynd/A 32111-2022 artfynd.xlsx", "A 32111-2022")</f>
        <v/>
      </c>
      <c r="T101">
        <f>HYPERLINK("https://klasma.github.io/Logging_0188/kartor/A 32111-2022 karta.png", "A 32111-2022")</f>
        <v/>
      </c>
      <c r="V101">
        <f>HYPERLINK("https://klasma.github.io/Logging_0188/klagomål/A 32111-2022 FSC-klagomål.docx", "A 32111-2022")</f>
        <v/>
      </c>
      <c r="W101">
        <f>HYPERLINK("https://klasma.github.io/Logging_0188/klagomålsmail/A 32111-2022 FSC-klagomål mail.docx", "A 32111-2022")</f>
        <v/>
      </c>
      <c r="X101">
        <f>HYPERLINK("https://klasma.github.io/Logging_0188/tillsyn/A 32111-2022 tillsynsbegäran.docx", "A 32111-2022")</f>
        <v/>
      </c>
      <c r="Y101">
        <f>HYPERLINK("https://klasma.github.io/Logging_0188/tillsynsmail/A 32111-2022 tillsynsbegäran mail.docx", "A 32111-2022")</f>
        <v/>
      </c>
    </row>
    <row r="102" ht="15" customHeight="1">
      <c r="A102" t="inlineStr">
        <is>
          <t>A 4385-2023</t>
        </is>
      </c>
      <c r="B102" s="1" t="n">
        <v>44955.71322916666</v>
      </c>
      <c r="C102" s="1" t="n">
        <v>45938</v>
      </c>
      <c r="D102" t="inlineStr">
        <is>
          <t>STOCKHOLMS LÄN</t>
        </is>
      </c>
      <c r="E102" t="inlineStr">
        <is>
          <t>NORRTÄLJE</t>
        </is>
      </c>
      <c r="G102" t="n">
        <v>7.8</v>
      </c>
      <c r="H102" t="n">
        <v>1</v>
      </c>
      <c r="I102" t="n">
        <v>1</v>
      </c>
      <c r="J102" t="n">
        <v>0</v>
      </c>
      <c r="K102" t="n">
        <v>0</v>
      </c>
      <c r="L102" t="n">
        <v>0</v>
      </c>
      <c r="M102" t="n">
        <v>0</v>
      </c>
      <c r="N102" t="n">
        <v>0</v>
      </c>
      <c r="O102" t="n">
        <v>0</v>
      </c>
      <c r="P102" t="n">
        <v>0</v>
      </c>
      <c r="Q102" t="n">
        <v>1</v>
      </c>
      <c r="R102" s="2" t="inlineStr">
        <is>
          <t>Skogsknipprot</t>
        </is>
      </c>
      <c r="S102">
        <f>HYPERLINK("https://klasma.github.io/Logging_0188/artfynd/A 4385-2023 artfynd.xlsx", "A 4385-2023")</f>
        <v/>
      </c>
      <c r="T102">
        <f>HYPERLINK("https://klasma.github.io/Logging_0188/kartor/A 4385-2023 karta.png", "A 4385-2023")</f>
        <v/>
      </c>
      <c r="V102">
        <f>HYPERLINK("https://klasma.github.io/Logging_0188/klagomål/A 4385-2023 FSC-klagomål.docx", "A 4385-2023")</f>
        <v/>
      </c>
      <c r="W102">
        <f>HYPERLINK("https://klasma.github.io/Logging_0188/klagomålsmail/A 4385-2023 FSC-klagomål mail.docx", "A 4385-2023")</f>
        <v/>
      </c>
      <c r="X102">
        <f>HYPERLINK("https://klasma.github.io/Logging_0188/tillsyn/A 4385-2023 tillsynsbegäran.docx", "A 4385-2023")</f>
        <v/>
      </c>
      <c r="Y102">
        <f>HYPERLINK("https://klasma.github.io/Logging_0188/tillsynsmail/A 4385-2023 tillsynsbegäran mail.docx", "A 4385-2023")</f>
        <v/>
      </c>
    </row>
    <row r="103" ht="15" customHeight="1">
      <c r="A103" t="inlineStr">
        <is>
          <t>A 4860-2022</t>
        </is>
      </c>
      <c r="B103" s="1" t="n">
        <v>44592</v>
      </c>
      <c r="C103" s="1" t="n">
        <v>45938</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23905-2025</t>
        </is>
      </c>
      <c r="B104" s="1" t="n">
        <v>45794.63298611111</v>
      </c>
      <c r="C104" s="1" t="n">
        <v>45938</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19829-2022</t>
        </is>
      </c>
      <c r="B105" s="1" t="n">
        <v>44695.43527777777</v>
      </c>
      <c r="C105" s="1" t="n">
        <v>45938</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25669-2025</t>
        </is>
      </c>
      <c r="B106" s="1" t="n">
        <v>45803.62766203703</v>
      </c>
      <c r="C106" s="1" t="n">
        <v>45938</v>
      </c>
      <c r="D106" t="inlineStr">
        <is>
          <t>STOCKHOLMS LÄN</t>
        </is>
      </c>
      <c r="E106" t="inlineStr">
        <is>
          <t>NORRTÄLJE</t>
        </is>
      </c>
      <c r="F106" t="inlineStr">
        <is>
          <t>Holmen skog AB</t>
        </is>
      </c>
      <c r="G106" t="n">
        <v>3.1</v>
      </c>
      <c r="H106" t="n">
        <v>1</v>
      </c>
      <c r="I106" t="n">
        <v>0</v>
      </c>
      <c r="J106" t="n">
        <v>0</v>
      </c>
      <c r="K106" t="n">
        <v>0</v>
      </c>
      <c r="L106" t="n">
        <v>0</v>
      </c>
      <c r="M106" t="n">
        <v>0</v>
      </c>
      <c r="N106" t="n">
        <v>0</v>
      </c>
      <c r="O106" t="n">
        <v>0</v>
      </c>
      <c r="P106" t="n">
        <v>0</v>
      </c>
      <c r="Q106" t="n">
        <v>1</v>
      </c>
      <c r="R106" s="2" t="inlineStr">
        <is>
          <t>Tjäder</t>
        </is>
      </c>
      <c r="S106">
        <f>HYPERLINK("https://klasma.github.io/Logging_0188/artfynd/A 25669-2025 artfynd.xlsx", "A 25669-2025")</f>
        <v/>
      </c>
      <c r="T106">
        <f>HYPERLINK("https://klasma.github.io/Logging_0188/kartor/A 25669-2025 karta.png", "A 25669-2025")</f>
        <v/>
      </c>
      <c r="V106">
        <f>HYPERLINK("https://klasma.github.io/Logging_0188/klagomål/A 25669-2025 FSC-klagomål.docx", "A 25669-2025")</f>
        <v/>
      </c>
      <c r="W106">
        <f>HYPERLINK("https://klasma.github.io/Logging_0188/klagomålsmail/A 25669-2025 FSC-klagomål mail.docx", "A 25669-2025")</f>
        <v/>
      </c>
      <c r="X106">
        <f>HYPERLINK("https://klasma.github.io/Logging_0188/tillsyn/A 25669-2025 tillsynsbegäran.docx", "A 25669-2025")</f>
        <v/>
      </c>
      <c r="Y106">
        <f>HYPERLINK("https://klasma.github.io/Logging_0188/tillsynsmail/A 25669-2025 tillsynsbegäran mail.docx", "A 25669-2025")</f>
        <v/>
      </c>
      <c r="Z106">
        <f>HYPERLINK("https://klasma.github.io/Logging_0188/fåglar/A 25669-2025 prioriterade fågelarter.docx", "A 25669-2025")</f>
        <v/>
      </c>
    </row>
    <row r="107" ht="15" customHeight="1">
      <c r="A107" t="inlineStr">
        <is>
          <t>A 35764-2024</t>
        </is>
      </c>
      <c r="B107" s="1" t="n">
        <v>45532</v>
      </c>
      <c r="C107" s="1" t="n">
        <v>45938</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25687-2025</t>
        </is>
      </c>
      <c r="B108" s="1" t="n">
        <v>45800</v>
      </c>
      <c r="C108" s="1" t="n">
        <v>45938</v>
      </c>
      <c r="D108" t="inlineStr">
        <is>
          <t>STOCKHOLMS LÄN</t>
        </is>
      </c>
      <c r="E108" t="inlineStr">
        <is>
          <t>NORRTÄLJE</t>
        </is>
      </c>
      <c r="G108" t="n">
        <v>15.7</v>
      </c>
      <c r="H108" t="n">
        <v>0</v>
      </c>
      <c r="I108" t="n">
        <v>1</v>
      </c>
      <c r="J108" t="n">
        <v>0</v>
      </c>
      <c r="K108" t="n">
        <v>0</v>
      </c>
      <c r="L108" t="n">
        <v>0</v>
      </c>
      <c r="M108" t="n">
        <v>0</v>
      </c>
      <c r="N108" t="n">
        <v>0</v>
      </c>
      <c r="O108" t="n">
        <v>0</v>
      </c>
      <c r="P108" t="n">
        <v>0</v>
      </c>
      <c r="Q108" t="n">
        <v>1</v>
      </c>
      <c r="R108" s="2" t="inlineStr">
        <is>
          <t>Grönpyrola</t>
        </is>
      </c>
      <c r="S108">
        <f>HYPERLINK("https://klasma.github.io/Logging_0188/artfynd/A 25687-2025 artfynd.xlsx", "A 25687-2025")</f>
        <v/>
      </c>
      <c r="T108">
        <f>HYPERLINK("https://klasma.github.io/Logging_0188/kartor/A 25687-2025 karta.png", "A 25687-2025")</f>
        <v/>
      </c>
      <c r="V108">
        <f>HYPERLINK("https://klasma.github.io/Logging_0188/klagomål/A 25687-2025 FSC-klagomål.docx", "A 25687-2025")</f>
        <v/>
      </c>
      <c r="W108">
        <f>HYPERLINK("https://klasma.github.io/Logging_0188/klagomålsmail/A 25687-2025 FSC-klagomål mail.docx", "A 25687-2025")</f>
        <v/>
      </c>
      <c r="X108">
        <f>HYPERLINK("https://klasma.github.io/Logging_0188/tillsyn/A 25687-2025 tillsynsbegäran.docx", "A 25687-2025")</f>
        <v/>
      </c>
      <c r="Y108">
        <f>HYPERLINK("https://klasma.github.io/Logging_0188/tillsynsmail/A 25687-2025 tillsynsbegäran mail.docx", "A 25687-2025")</f>
        <v/>
      </c>
    </row>
    <row r="109" ht="15" customHeight="1">
      <c r="A109" t="inlineStr">
        <is>
          <t>A 35649-2023</t>
        </is>
      </c>
      <c r="B109" s="1" t="n">
        <v>45146</v>
      </c>
      <c r="C109" s="1" t="n">
        <v>45938</v>
      </c>
      <c r="D109" t="inlineStr">
        <is>
          <t>STOCKHOLMS LÄN</t>
        </is>
      </c>
      <c r="E109" t="inlineStr">
        <is>
          <t>NORRTÄLJE</t>
        </is>
      </c>
      <c r="G109" t="n">
        <v>25.1</v>
      </c>
      <c r="H109" t="n">
        <v>0</v>
      </c>
      <c r="I109" t="n">
        <v>0</v>
      </c>
      <c r="J109" t="n">
        <v>1</v>
      </c>
      <c r="K109" t="n">
        <v>0</v>
      </c>
      <c r="L109" t="n">
        <v>0</v>
      </c>
      <c r="M109" t="n">
        <v>0</v>
      </c>
      <c r="N109" t="n">
        <v>0</v>
      </c>
      <c r="O109" t="n">
        <v>1</v>
      </c>
      <c r="P109" t="n">
        <v>0</v>
      </c>
      <c r="Q109" t="n">
        <v>1</v>
      </c>
      <c r="R109" s="2" t="inlineStr">
        <is>
          <t>Månlåsbräken</t>
        </is>
      </c>
      <c r="S109">
        <f>HYPERLINK("https://klasma.github.io/Logging_0188/artfynd/A 35649-2023 artfynd.xlsx", "A 35649-2023")</f>
        <v/>
      </c>
      <c r="T109">
        <f>HYPERLINK("https://klasma.github.io/Logging_0188/kartor/A 35649-2023 karta.png", "A 35649-2023")</f>
        <v/>
      </c>
      <c r="V109">
        <f>HYPERLINK("https://klasma.github.io/Logging_0188/klagomål/A 35649-2023 FSC-klagomål.docx", "A 35649-2023")</f>
        <v/>
      </c>
      <c r="W109">
        <f>HYPERLINK("https://klasma.github.io/Logging_0188/klagomålsmail/A 35649-2023 FSC-klagomål mail.docx", "A 35649-2023")</f>
        <v/>
      </c>
      <c r="X109">
        <f>HYPERLINK("https://klasma.github.io/Logging_0188/tillsyn/A 35649-2023 tillsynsbegäran.docx", "A 35649-2023")</f>
        <v/>
      </c>
      <c r="Y109">
        <f>HYPERLINK("https://klasma.github.io/Logging_0188/tillsynsmail/A 35649-2023 tillsynsbegäran mail.docx", "A 35649-2023")</f>
        <v/>
      </c>
    </row>
    <row r="110" ht="15" customHeight="1">
      <c r="A110" t="inlineStr">
        <is>
          <t>A 6381-2023</t>
        </is>
      </c>
      <c r="B110" s="1" t="n">
        <v>44965</v>
      </c>
      <c r="C110" s="1" t="n">
        <v>45938</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45938</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33548-2025</t>
        </is>
      </c>
      <c r="B112" s="1" t="n">
        <v>45841.5721875</v>
      </c>
      <c r="C112" s="1" t="n">
        <v>45938</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45938</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45938</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52508-2023</t>
        </is>
      </c>
      <c r="B115" s="1" t="n">
        <v>45225</v>
      </c>
      <c r="C115" s="1" t="n">
        <v>45938</v>
      </c>
      <c r="D115" t="inlineStr">
        <is>
          <t>STOCKHOLMS LÄN</t>
        </is>
      </c>
      <c r="E115" t="inlineStr">
        <is>
          <t>NORRTÄLJE</t>
        </is>
      </c>
      <c r="G115" t="n">
        <v>19.7</v>
      </c>
      <c r="H115" t="n">
        <v>1</v>
      </c>
      <c r="I115" t="n">
        <v>0</v>
      </c>
      <c r="J115" t="n">
        <v>0</v>
      </c>
      <c r="K115" t="n">
        <v>1</v>
      </c>
      <c r="L115" t="n">
        <v>0</v>
      </c>
      <c r="M115" t="n">
        <v>0</v>
      </c>
      <c r="N115" t="n">
        <v>0</v>
      </c>
      <c r="O115" t="n">
        <v>1</v>
      </c>
      <c r="P115" t="n">
        <v>1</v>
      </c>
      <c r="Q115" t="n">
        <v>1</v>
      </c>
      <c r="R115" s="2" t="inlineStr">
        <is>
          <t>Svärta</t>
        </is>
      </c>
      <c r="S115">
        <f>HYPERLINK("https://klasma.github.io/Logging_0188/artfynd/A 52508-2023 artfynd.xlsx", "A 52508-2023")</f>
        <v/>
      </c>
      <c r="T115">
        <f>HYPERLINK("https://klasma.github.io/Logging_0188/kartor/A 52508-2023 karta.png", "A 52508-2023")</f>
        <v/>
      </c>
      <c r="V115">
        <f>HYPERLINK("https://klasma.github.io/Logging_0188/klagomål/A 52508-2023 FSC-klagomål.docx", "A 52508-2023")</f>
        <v/>
      </c>
      <c r="W115">
        <f>HYPERLINK("https://klasma.github.io/Logging_0188/klagomålsmail/A 52508-2023 FSC-klagomål mail.docx", "A 52508-2023")</f>
        <v/>
      </c>
      <c r="X115">
        <f>HYPERLINK("https://klasma.github.io/Logging_0188/tillsyn/A 52508-2023 tillsynsbegäran.docx", "A 52508-2023")</f>
        <v/>
      </c>
      <c r="Y115">
        <f>HYPERLINK("https://klasma.github.io/Logging_0188/tillsynsmail/A 52508-2023 tillsynsbegäran mail.docx", "A 52508-2023")</f>
        <v/>
      </c>
    </row>
    <row r="116" ht="15" customHeight="1">
      <c r="A116" t="inlineStr">
        <is>
          <t>A 40861-2025</t>
        </is>
      </c>
      <c r="B116" s="1" t="n">
        <v>45897.56356481482</v>
      </c>
      <c r="C116" s="1" t="n">
        <v>45938</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42313-2025</t>
        </is>
      </c>
      <c r="B117" s="1" t="n">
        <v>45904.6575</v>
      </c>
      <c r="C117" s="1" t="n">
        <v>45938</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8371-2025</t>
        </is>
      </c>
      <c r="B118" s="1" t="n">
        <v>45708</v>
      </c>
      <c r="C118" s="1" t="n">
        <v>45938</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1970-2021</t>
        </is>
      </c>
      <c r="B119" s="1" t="n">
        <v>44210</v>
      </c>
      <c r="C119" s="1" t="n">
        <v>45938</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45938</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45938</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45938</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45938</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45938</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45938</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45938</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45938</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45938</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45938</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45938</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45938</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45938</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45938</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45938</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45938</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45938</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45938</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45938</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45938</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45938</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45938</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45938</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45938</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45938</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45938</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45938</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45938</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45938</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45938</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45938</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45938</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45938</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45938</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45938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45938</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45938</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45938</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45938</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45938</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45938</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66907-2020</t>
        </is>
      </c>
      <c r="B161" s="1" t="n">
        <v>44176</v>
      </c>
      <c r="C161" s="1" t="n">
        <v>45938</v>
      </c>
      <c r="D161" t="inlineStr">
        <is>
          <t>STOCKHOLMS LÄN</t>
        </is>
      </c>
      <c r="E161" t="inlineStr">
        <is>
          <t>NORRTÄLJE</t>
        </is>
      </c>
      <c r="G161" t="n">
        <v>1.7</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45938</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2447-2021</t>
        </is>
      </c>
      <c r="B163" s="1" t="n">
        <v>44214</v>
      </c>
      <c r="C163" s="1" t="n">
        <v>45938</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18609-2021</t>
        </is>
      </c>
      <c r="B164" s="1" t="n">
        <v>44306</v>
      </c>
      <c r="C164" s="1" t="n">
        <v>45938</v>
      </c>
      <c r="D164" t="inlineStr">
        <is>
          <t>STOCKHOLMS LÄN</t>
        </is>
      </c>
      <c r="E164" t="inlineStr">
        <is>
          <t>NORRTÄLJE</t>
        </is>
      </c>
      <c r="G164" t="n">
        <v>9.5</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45938</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45938</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45938</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45938</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45938</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45938</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54340-2022</t>
        </is>
      </c>
      <c r="B171" s="1" t="n">
        <v>44882.44732638889</v>
      </c>
      <c r="C171" s="1" t="n">
        <v>45938</v>
      </c>
      <c r="D171" t="inlineStr">
        <is>
          <t>STOCKHOLMS LÄN</t>
        </is>
      </c>
      <c r="E171" t="inlineStr">
        <is>
          <t>NORRTÄLJE</t>
        </is>
      </c>
      <c r="G171" t="n">
        <v>6.7</v>
      </c>
      <c r="H171" t="n">
        <v>0</v>
      </c>
      <c r="I171" t="n">
        <v>0</v>
      </c>
      <c r="J171" t="n">
        <v>0</v>
      </c>
      <c r="K171" t="n">
        <v>0</v>
      </c>
      <c r="L171" t="n">
        <v>0</v>
      </c>
      <c r="M171" t="n">
        <v>0</v>
      </c>
      <c r="N171" t="n">
        <v>0</v>
      </c>
      <c r="O171" t="n">
        <v>0</v>
      </c>
      <c r="P171" t="n">
        <v>0</v>
      </c>
      <c r="Q171" t="n">
        <v>0</v>
      </c>
      <c r="R171" s="2" t="inlineStr"/>
    </row>
    <row r="172" ht="15" customHeight="1">
      <c r="A172" t="inlineStr">
        <is>
          <t>A 54355-2022</t>
        </is>
      </c>
      <c r="B172" s="1" t="n">
        <v>44882</v>
      </c>
      <c r="C172" s="1" t="n">
        <v>45938</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4634-2021</t>
        </is>
      </c>
      <c r="B173" s="1" t="n">
        <v>44224</v>
      </c>
      <c r="C173" s="1" t="n">
        <v>45938</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72308-2021</t>
        </is>
      </c>
      <c r="B174" s="1" t="n">
        <v>44545.4189699074</v>
      </c>
      <c r="C174" s="1" t="n">
        <v>45938</v>
      </c>
      <c r="D174" t="inlineStr">
        <is>
          <t>STOCKHOLMS LÄN</t>
        </is>
      </c>
      <c r="E174" t="inlineStr">
        <is>
          <t>NORRTÄLJE</t>
        </is>
      </c>
      <c r="G174" t="n">
        <v>1.1</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45938</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45938</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17703-2021</t>
        </is>
      </c>
      <c r="B177" s="1" t="n">
        <v>44300</v>
      </c>
      <c r="C177" s="1" t="n">
        <v>45938</v>
      </c>
      <c r="D177" t="inlineStr">
        <is>
          <t>STOCKHOLMS LÄN</t>
        </is>
      </c>
      <c r="E177" t="inlineStr">
        <is>
          <t>NORRTÄLJE</t>
        </is>
      </c>
      <c r="F177" t="inlineStr">
        <is>
          <t>Holmen skog AB</t>
        </is>
      </c>
      <c r="G177" t="n">
        <v>1.1</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45938</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45938</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45938</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53690-2020</t>
        </is>
      </c>
      <c r="B181" s="1" t="n">
        <v>44124</v>
      </c>
      <c r="C181" s="1" t="n">
        <v>45938</v>
      </c>
      <c r="D181" t="inlineStr">
        <is>
          <t>STOCKHOLMS LÄN</t>
        </is>
      </c>
      <c r="E181" t="inlineStr">
        <is>
          <t>NORRTÄLJE</t>
        </is>
      </c>
      <c r="G181" t="n">
        <v>0.5</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45938</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45938</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23122-2021</t>
        </is>
      </c>
      <c r="B184" s="1" t="n">
        <v>44330</v>
      </c>
      <c r="C184" s="1" t="n">
        <v>45938</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45938</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45938</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64212-2021</t>
        </is>
      </c>
      <c r="B187" s="1" t="n">
        <v>44510</v>
      </c>
      <c r="C187" s="1" t="n">
        <v>45938</v>
      </c>
      <c r="D187" t="inlineStr">
        <is>
          <t>STOCKHOLMS LÄN</t>
        </is>
      </c>
      <c r="E187" t="inlineStr">
        <is>
          <t>NORRTÄLJE</t>
        </is>
      </c>
      <c r="G187" t="n">
        <v>28.7</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45938</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45938</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45938</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45938</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45938</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45938</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45938</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45938</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45938</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45938</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45938</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45938</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45938</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39497-2021</t>
        </is>
      </c>
      <c r="B201" s="1" t="n">
        <v>44414.81494212963</v>
      </c>
      <c r="C201" s="1" t="n">
        <v>45938</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17460-2021</t>
        </is>
      </c>
      <c r="B202" s="1" t="n">
        <v>44299</v>
      </c>
      <c r="C202" s="1" t="n">
        <v>45938</v>
      </c>
      <c r="D202" t="inlineStr">
        <is>
          <t>STOCKHOLMS LÄN</t>
        </is>
      </c>
      <c r="E202" t="inlineStr">
        <is>
          <t>NORRTÄLJE</t>
        </is>
      </c>
      <c r="G202" t="n">
        <v>3.2</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45938</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5351-2022</t>
        </is>
      </c>
      <c r="B204" s="1" t="n">
        <v>44594.75950231482</v>
      </c>
      <c r="C204" s="1" t="n">
        <v>45938</v>
      </c>
      <c r="D204" t="inlineStr">
        <is>
          <t>STOCKHOLMS LÄN</t>
        </is>
      </c>
      <c r="E204" t="inlineStr">
        <is>
          <t>NORRTÄLJE</t>
        </is>
      </c>
      <c r="G204" t="n">
        <v>4</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45938</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45938</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45938</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45938</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9467-2021</t>
        </is>
      </c>
      <c r="B209" s="1" t="n">
        <v>44251.43971064815</v>
      </c>
      <c r="C209" s="1" t="n">
        <v>45938</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71871-2021</t>
        </is>
      </c>
      <c r="B210" s="1" t="n">
        <v>44543</v>
      </c>
      <c r="C210" s="1" t="n">
        <v>45938</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71873-2021</t>
        </is>
      </c>
      <c r="B211" s="1" t="n">
        <v>44543</v>
      </c>
      <c r="C211" s="1" t="n">
        <v>45938</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45938</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45938</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9988-2022</t>
        </is>
      </c>
      <c r="B214" s="1" t="n">
        <v>44621</v>
      </c>
      <c r="C214" s="1" t="n">
        <v>45938</v>
      </c>
      <c r="D214" t="inlineStr">
        <is>
          <t>STOCKHOLMS LÄN</t>
        </is>
      </c>
      <c r="E214" t="inlineStr">
        <is>
          <t>NORRTÄLJE</t>
        </is>
      </c>
      <c r="G214" t="n">
        <v>1.3</v>
      </c>
      <c r="H214" t="n">
        <v>0</v>
      </c>
      <c r="I214" t="n">
        <v>0</v>
      </c>
      <c r="J214" t="n">
        <v>0</v>
      </c>
      <c r="K214" t="n">
        <v>0</v>
      </c>
      <c r="L214" t="n">
        <v>0</v>
      </c>
      <c r="M214" t="n">
        <v>0</v>
      </c>
      <c r="N214" t="n">
        <v>0</v>
      </c>
      <c r="O214" t="n">
        <v>0</v>
      </c>
      <c r="P214" t="n">
        <v>0</v>
      </c>
      <c r="Q214" t="n">
        <v>0</v>
      </c>
      <c r="R214" s="2" t="inlineStr"/>
    </row>
    <row r="215" ht="15" customHeight="1">
      <c r="A215" t="inlineStr">
        <is>
          <t>A 60733-2021</t>
        </is>
      </c>
      <c r="B215" s="1" t="n">
        <v>44496.77542824074</v>
      </c>
      <c r="C215" s="1" t="n">
        <v>45938</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38991-2022</t>
        </is>
      </c>
      <c r="B216" s="1" t="n">
        <v>44816.89569444444</v>
      </c>
      <c r="C216" s="1" t="n">
        <v>45938</v>
      </c>
      <c r="D216" t="inlineStr">
        <is>
          <t>STOCKHOLMS LÄN</t>
        </is>
      </c>
      <c r="E216" t="inlineStr">
        <is>
          <t>NORRTÄLJE</t>
        </is>
      </c>
      <c r="G216" t="n">
        <v>1.9</v>
      </c>
      <c r="H216" t="n">
        <v>0</v>
      </c>
      <c r="I216" t="n">
        <v>0</v>
      </c>
      <c r="J216" t="n">
        <v>0</v>
      </c>
      <c r="K216" t="n">
        <v>0</v>
      </c>
      <c r="L216" t="n">
        <v>0</v>
      </c>
      <c r="M216" t="n">
        <v>0</v>
      </c>
      <c r="N216" t="n">
        <v>0</v>
      </c>
      <c r="O216" t="n">
        <v>0</v>
      </c>
      <c r="P216" t="n">
        <v>0</v>
      </c>
      <c r="Q216" t="n">
        <v>0</v>
      </c>
      <c r="R216" s="2" t="inlineStr"/>
    </row>
    <row r="217" ht="15" customHeight="1">
      <c r="A217" t="inlineStr">
        <is>
          <t>A 17673-2021</t>
        </is>
      </c>
      <c r="B217" s="1" t="n">
        <v>44300</v>
      </c>
      <c r="C217" s="1" t="n">
        <v>45938</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c r="T217">
        <f>HYPERLINK("https://klasma.github.io/Logging_0188/kartor/A 17673-2021 karta.png", "A 17673-2021")</f>
        <v/>
      </c>
      <c r="V217">
        <f>HYPERLINK("https://klasma.github.io/Logging_0188/klagomål/A 17673-2021 FSC-klagomål.docx", "A 17673-2021")</f>
        <v/>
      </c>
      <c r="W217">
        <f>HYPERLINK("https://klasma.github.io/Logging_0188/klagomålsmail/A 17673-2021 FSC-klagomål mail.docx", "A 17673-2021")</f>
        <v/>
      </c>
      <c r="X217">
        <f>HYPERLINK("https://klasma.github.io/Logging_0188/tillsyn/A 17673-2021 tillsynsbegäran.docx", "A 17673-2021")</f>
        <v/>
      </c>
      <c r="Y217">
        <f>HYPERLINK("https://klasma.github.io/Logging_0188/tillsynsmail/A 17673-2021 tillsynsbegäran mail.docx", "A 17673-2021")</f>
        <v/>
      </c>
      <c r="Z217">
        <f>HYPERLINK("https://klasma.github.io/Logging_0188/fåglar/A 17673-2021 prioriterade fågelarter.docx", "A 17673-2021")</f>
        <v/>
      </c>
    </row>
    <row r="218" ht="15" customHeight="1">
      <c r="A218" t="inlineStr">
        <is>
          <t>A 16119-2022</t>
        </is>
      </c>
      <c r="B218" s="1" t="n">
        <v>44665.66407407408</v>
      </c>
      <c r="C218" s="1" t="n">
        <v>45938</v>
      </c>
      <c r="D218" t="inlineStr">
        <is>
          <t>STOCKHOLMS LÄN</t>
        </is>
      </c>
      <c r="E218" t="inlineStr">
        <is>
          <t>NORRTÄLJE</t>
        </is>
      </c>
      <c r="G218" t="n">
        <v>3.9</v>
      </c>
      <c r="H218" t="n">
        <v>0</v>
      </c>
      <c r="I218" t="n">
        <v>0</v>
      </c>
      <c r="J218" t="n">
        <v>0</v>
      </c>
      <c r="K218" t="n">
        <v>0</v>
      </c>
      <c r="L218" t="n">
        <v>0</v>
      </c>
      <c r="M218" t="n">
        <v>0</v>
      </c>
      <c r="N218" t="n">
        <v>0</v>
      </c>
      <c r="O218" t="n">
        <v>0</v>
      </c>
      <c r="P218" t="n">
        <v>0</v>
      </c>
      <c r="Q218" t="n">
        <v>0</v>
      </c>
      <c r="R218" s="2" t="inlineStr"/>
    </row>
    <row r="219" ht="15" customHeight="1">
      <c r="A219" t="inlineStr">
        <is>
          <t>A 17771-2022</t>
        </is>
      </c>
      <c r="B219" s="1" t="n">
        <v>44682.75924768519</v>
      </c>
      <c r="C219" s="1" t="n">
        <v>45938</v>
      </c>
      <c r="D219" t="inlineStr">
        <is>
          <t>STOCKHOLMS LÄN</t>
        </is>
      </c>
      <c r="E219" t="inlineStr">
        <is>
          <t>NORRTÄLJE</t>
        </is>
      </c>
      <c r="G219" t="n">
        <v>13.3</v>
      </c>
      <c r="H219" t="n">
        <v>0</v>
      </c>
      <c r="I219" t="n">
        <v>0</v>
      </c>
      <c r="J219" t="n">
        <v>0</v>
      </c>
      <c r="K219" t="n">
        <v>0</v>
      </c>
      <c r="L219" t="n">
        <v>0</v>
      </c>
      <c r="M219" t="n">
        <v>0</v>
      </c>
      <c r="N219" t="n">
        <v>0</v>
      </c>
      <c r="O219" t="n">
        <v>0</v>
      </c>
      <c r="P219" t="n">
        <v>0</v>
      </c>
      <c r="Q219" t="n">
        <v>0</v>
      </c>
      <c r="R219" s="2" t="inlineStr"/>
    </row>
    <row r="220" ht="15" customHeight="1">
      <c r="A220" t="inlineStr">
        <is>
          <t>A 17773-2022</t>
        </is>
      </c>
      <c r="B220" s="1" t="n">
        <v>44682.77616898148</v>
      </c>
      <c r="C220" s="1" t="n">
        <v>45938</v>
      </c>
      <c r="D220" t="inlineStr">
        <is>
          <t>STOCKHOLMS LÄN</t>
        </is>
      </c>
      <c r="E220" t="inlineStr">
        <is>
          <t>NORRTÄLJE</t>
        </is>
      </c>
      <c r="G220" t="n">
        <v>10.8</v>
      </c>
      <c r="H220" t="n">
        <v>0</v>
      </c>
      <c r="I220" t="n">
        <v>0</v>
      </c>
      <c r="J220" t="n">
        <v>0</v>
      </c>
      <c r="K220" t="n">
        <v>0</v>
      </c>
      <c r="L220" t="n">
        <v>0</v>
      </c>
      <c r="M220" t="n">
        <v>0</v>
      </c>
      <c r="N220" t="n">
        <v>0</v>
      </c>
      <c r="O220" t="n">
        <v>0</v>
      </c>
      <c r="P220" t="n">
        <v>0</v>
      </c>
      <c r="Q220" t="n">
        <v>0</v>
      </c>
      <c r="R220" s="2" t="inlineStr"/>
    </row>
    <row r="221" ht="15" customHeight="1">
      <c r="A221" t="inlineStr">
        <is>
          <t>A 10521-2022</t>
        </is>
      </c>
      <c r="B221" s="1" t="n">
        <v>44623</v>
      </c>
      <c r="C221" s="1" t="n">
        <v>45938</v>
      </c>
      <c r="D221" t="inlineStr">
        <is>
          <t>STOCKHOLMS LÄN</t>
        </is>
      </c>
      <c r="E221" t="inlineStr">
        <is>
          <t>NORRTÄLJE</t>
        </is>
      </c>
      <c r="G221" t="n">
        <v>2.9</v>
      </c>
      <c r="H221" t="n">
        <v>0</v>
      </c>
      <c r="I221" t="n">
        <v>0</v>
      </c>
      <c r="J221" t="n">
        <v>0</v>
      </c>
      <c r="K221" t="n">
        <v>0</v>
      </c>
      <c r="L221" t="n">
        <v>0</v>
      </c>
      <c r="M221" t="n">
        <v>0</v>
      </c>
      <c r="N221" t="n">
        <v>0</v>
      </c>
      <c r="O221" t="n">
        <v>0</v>
      </c>
      <c r="P221" t="n">
        <v>0</v>
      </c>
      <c r="Q221" t="n">
        <v>0</v>
      </c>
      <c r="R221" s="2" t="inlineStr"/>
    </row>
    <row r="222" ht="15" customHeight="1">
      <c r="A222" t="inlineStr">
        <is>
          <t>A 31924-2022</t>
        </is>
      </c>
      <c r="B222" s="1" t="n">
        <v>44777</v>
      </c>
      <c r="C222" s="1" t="n">
        <v>45938</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12270-2022</t>
        </is>
      </c>
      <c r="B223" s="1" t="n">
        <v>44637</v>
      </c>
      <c r="C223" s="1" t="n">
        <v>45938</v>
      </c>
      <c r="D223" t="inlineStr">
        <is>
          <t>STOCKHOLMS LÄN</t>
        </is>
      </c>
      <c r="E223" t="inlineStr">
        <is>
          <t>NORRTÄLJE</t>
        </is>
      </c>
      <c r="G223" t="n">
        <v>2.3</v>
      </c>
      <c r="H223" t="n">
        <v>0</v>
      </c>
      <c r="I223" t="n">
        <v>0</v>
      </c>
      <c r="J223" t="n">
        <v>0</v>
      </c>
      <c r="K223" t="n">
        <v>0</v>
      </c>
      <c r="L223" t="n">
        <v>0</v>
      </c>
      <c r="M223" t="n">
        <v>0</v>
      </c>
      <c r="N223" t="n">
        <v>0</v>
      </c>
      <c r="O223" t="n">
        <v>0</v>
      </c>
      <c r="P223" t="n">
        <v>0</v>
      </c>
      <c r="Q223" t="n">
        <v>0</v>
      </c>
      <c r="R223" s="2" t="inlineStr"/>
    </row>
    <row r="224" ht="15" customHeight="1">
      <c r="A224" t="inlineStr">
        <is>
          <t>A 27217-2021</t>
        </is>
      </c>
      <c r="B224" s="1" t="n">
        <v>44350</v>
      </c>
      <c r="C224" s="1" t="n">
        <v>45938</v>
      </c>
      <c r="D224" t="inlineStr">
        <is>
          <t>STOCKHOLMS LÄN</t>
        </is>
      </c>
      <c r="E224" t="inlineStr">
        <is>
          <t>NORRTÄLJE</t>
        </is>
      </c>
      <c r="G224" t="n">
        <v>5.5</v>
      </c>
      <c r="H224" t="n">
        <v>0</v>
      </c>
      <c r="I224" t="n">
        <v>0</v>
      </c>
      <c r="J224" t="n">
        <v>0</v>
      </c>
      <c r="K224" t="n">
        <v>0</v>
      </c>
      <c r="L224" t="n">
        <v>0</v>
      </c>
      <c r="M224" t="n">
        <v>0</v>
      </c>
      <c r="N224" t="n">
        <v>0</v>
      </c>
      <c r="O224" t="n">
        <v>0</v>
      </c>
      <c r="P224" t="n">
        <v>0</v>
      </c>
      <c r="Q224" t="n">
        <v>0</v>
      </c>
      <c r="R224" s="2" t="inlineStr"/>
    </row>
    <row r="225" ht="15" customHeight="1">
      <c r="A225" t="inlineStr">
        <is>
          <t>A 57957-2020</t>
        </is>
      </c>
      <c r="B225" s="1" t="n">
        <v>44143</v>
      </c>
      <c r="C225" s="1" t="n">
        <v>45938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45938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14543-2022</t>
        </is>
      </c>
      <c r="B227" s="1" t="n">
        <v>44655.45373842592</v>
      </c>
      <c r="C227" s="1" t="n">
        <v>45938</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45938</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45938</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62030-2021</t>
        </is>
      </c>
      <c r="B230" s="1" t="n">
        <v>44502</v>
      </c>
      <c r="C230" s="1" t="n">
        <v>45938</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16117-2022</t>
        </is>
      </c>
      <c r="B231" s="1" t="n">
        <v>44665.65474537037</v>
      </c>
      <c r="C231" s="1" t="n">
        <v>45938</v>
      </c>
      <c r="D231" t="inlineStr">
        <is>
          <t>STOCKHOLMS LÄN</t>
        </is>
      </c>
      <c r="E231" t="inlineStr">
        <is>
          <t>NORRTÄLJE</t>
        </is>
      </c>
      <c r="G231" t="n">
        <v>8.1</v>
      </c>
      <c r="H231" t="n">
        <v>0</v>
      </c>
      <c r="I231" t="n">
        <v>0</v>
      </c>
      <c r="J231" t="n">
        <v>0</v>
      </c>
      <c r="K231" t="n">
        <v>0</v>
      </c>
      <c r="L231" t="n">
        <v>0</v>
      </c>
      <c r="M231" t="n">
        <v>0</v>
      </c>
      <c r="N231" t="n">
        <v>0</v>
      </c>
      <c r="O231" t="n">
        <v>0</v>
      </c>
      <c r="P231" t="n">
        <v>0</v>
      </c>
      <c r="Q231" t="n">
        <v>0</v>
      </c>
      <c r="R231" s="2" t="inlineStr"/>
    </row>
    <row r="232" ht="15" customHeight="1">
      <c r="A232" t="inlineStr">
        <is>
          <t>A 16132-2022</t>
        </is>
      </c>
      <c r="B232" s="1" t="n">
        <v>44665.78351851852</v>
      </c>
      <c r="C232" s="1" t="n">
        <v>45938</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70170-2021</t>
        </is>
      </c>
      <c r="B233" s="1" t="n">
        <v>44533</v>
      </c>
      <c r="C233" s="1" t="n">
        <v>45938</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30624-2022</t>
        </is>
      </c>
      <c r="B234" s="1" t="n">
        <v>44763.4182175926</v>
      </c>
      <c r="C234" s="1" t="n">
        <v>45938</v>
      </c>
      <c r="D234" t="inlineStr">
        <is>
          <t>STOCKHOLMS LÄN</t>
        </is>
      </c>
      <c r="E234" t="inlineStr">
        <is>
          <t>NORRTÄLJE</t>
        </is>
      </c>
      <c r="G234" t="n">
        <v>0.7</v>
      </c>
      <c r="H234" t="n">
        <v>0</v>
      </c>
      <c r="I234" t="n">
        <v>0</v>
      </c>
      <c r="J234" t="n">
        <v>0</v>
      </c>
      <c r="K234" t="n">
        <v>0</v>
      </c>
      <c r="L234" t="n">
        <v>0</v>
      </c>
      <c r="M234" t="n">
        <v>0</v>
      </c>
      <c r="N234" t="n">
        <v>0</v>
      </c>
      <c r="O234" t="n">
        <v>0</v>
      </c>
      <c r="P234" t="n">
        <v>0</v>
      </c>
      <c r="Q234" t="n">
        <v>0</v>
      </c>
      <c r="R234" s="2" t="inlineStr"/>
    </row>
    <row r="235" ht="15" customHeight="1">
      <c r="A235" t="inlineStr">
        <is>
          <t>A 25463-2021</t>
        </is>
      </c>
      <c r="B235" s="1" t="n">
        <v>44342</v>
      </c>
      <c r="C235" s="1" t="n">
        <v>45938</v>
      </c>
      <c r="D235" t="inlineStr">
        <is>
          <t>STOCKHOLMS LÄN</t>
        </is>
      </c>
      <c r="E235" t="inlineStr">
        <is>
          <t>NORRTÄLJE</t>
        </is>
      </c>
      <c r="F235" t="inlineStr">
        <is>
          <t>Holmen skog AB</t>
        </is>
      </c>
      <c r="G235" t="n">
        <v>1.5</v>
      </c>
      <c r="H235" t="n">
        <v>0</v>
      </c>
      <c r="I235" t="n">
        <v>0</v>
      </c>
      <c r="J235" t="n">
        <v>0</v>
      </c>
      <c r="K235" t="n">
        <v>0</v>
      </c>
      <c r="L235" t="n">
        <v>0</v>
      </c>
      <c r="M235" t="n">
        <v>0</v>
      </c>
      <c r="N235" t="n">
        <v>0</v>
      </c>
      <c r="O235" t="n">
        <v>0</v>
      </c>
      <c r="P235" t="n">
        <v>0</v>
      </c>
      <c r="Q235" t="n">
        <v>0</v>
      </c>
      <c r="R235" s="2" t="inlineStr"/>
    </row>
    <row r="236" ht="15" customHeight="1">
      <c r="A236" t="inlineStr">
        <is>
          <t>A 12875-2022</t>
        </is>
      </c>
      <c r="B236" s="1" t="n">
        <v>44642.55565972222</v>
      </c>
      <c r="C236" s="1" t="n">
        <v>45938</v>
      </c>
      <c r="D236" t="inlineStr">
        <is>
          <t>STOCKHOLMS LÄN</t>
        </is>
      </c>
      <c r="E236" t="inlineStr">
        <is>
          <t>NORRTÄLJE</t>
        </is>
      </c>
      <c r="G236" t="n">
        <v>1.6</v>
      </c>
      <c r="H236" t="n">
        <v>0</v>
      </c>
      <c r="I236" t="n">
        <v>0</v>
      </c>
      <c r="J236" t="n">
        <v>0</v>
      </c>
      <c r="K236" t="n">
        <v>0</v>
      </c>
      <c r="L236" t="n">
        <v>0</v>
      </c>
      <c r="M236" t="n">
        <v>0</v>
      </c>
      <c r="N236" t="n">
        <v>0</v>
      </c>
      <c r="O236" t="n">
        <v>0</v>
      </c>
      <c r="P236" t="n">
        <v>0</v>
      </c>
      <c r="Q236" t="n">
        <v>0</v>
      </c>
      <c r="R236" s="2" t="inlineStr"/>
    </row>
    <row r="237" ht="15" customHeight="1">
      <c r="A237" t="inlineStr">
        <is>
          <t>A 60542-2020</t>
        </is>
      </c>
      <c r="B237" s="1" t="n">
        <v>44153</v>
      </c>
      <c r="C237" s="1" t="n">
        <v>45938</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5513-2022</t>
        </is>
      </c>
      <c r="B238" s="1" t="n">
        <v>44595</v>
      </c>
      <c r="C238" s="1" t="n">
        <v>45938</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21102-2022</t>
        </is>
      </c>
      <c r="B239" s="1" t="n">
        <v>44704</v>
      </c>
      <c r="C239" s="1" t="n">
        <v>45938</v>
      </c>
      <c r="D239" t="inlineStr">
        <is>
          <t>STOCKHOLMS LÄN</t>
        </is>
      </c>
      <c r="E239" t="inlineStr">
        <is>
          <t>NORRTÄLJE</t>
        </is>
      </c>
      <c r="G239" t="n">
        <v>0.2</v>
      </c>
      <c r="H239" t="n">
        <v>0</v>
      </c>
      <c r="I239" t="n">
        <v>0</v>
      </c>
      <c r="J239" t="n">
        <v>0</v>
      </c>
      <c r="K239" t="n">
        <v>0</v>
      </c>
      <c r="L239" t="n">
        <v>0</v>
      </c>
      <c r="M239" t="n">
        <v>0</v>
      </c>
      <c r="N239" t="n">
        <v>0</v>
      </c>
      <c r="O239" t="n">
        <v>0</v>
      </c>
      <c r="P239" t="n">
        <v>0</v>
      </c>
      <c r="Q239" t="n">
        <v>0</v>
      </c>
      <c r="R239" s="2" t="inlineStr"/>
    </row>
    <row r="240" ht="15" customHeight="1">
      <c r="A240" t="inlineStr">
        <is>
          <t>A 71880-2021</t>
        </is>
      </c>
      <c r="B240" s="1" t="n">
        <v>44543</v>
      </c>
      <c r="C240" s="1" t="n">
        <v>45938</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55982-2020</t>
        </is>
      </c>
      <c r="B241" s="1" t="n">
        <v>44132</v>
      </c>
      <c r="C241" s="1" t="n">
        <v>45938</v>
      </c>
      <c r="D241" t="inlineStr">
        <is>
          <t>STOCKHOLMS LÄN</t>
        </is>
      </c>
      <c r="E241" t="inlineStr">
        <is>
          <t>NORRTÄLJE</t>
        </is>
      </c>
      <c r="G241" t="n">
        <v>11.3</v>
      </c>
      <c r="H241" t="n">
        <v>0</v>
      </c>
      <c r="I241" t="n">
        <v>0</v>
      </c>
      <c r="J241" t="n">
        <v>0</v>
      </c>
      <c r="K241" t="n">
        <v>0</v>
      </c>
      <c r="L241" t="n">
        <v>0</v>
      </c>
      <c r="M241" t="n">
        <v>0</v>
      </c>
      <c r="N241" t="n">
        <v>0</v>
      </c>
      <c r="O241" t="n">
        <v>0</v>
      </c>
      <c r="P241" t="n">
        <v>0</v>
      </c>
      <c r="Q241" t="n">
        <v>0</v>
      </c>
      <c r="R241" s="2" t="inlineStr"/>
    </row>
    <row r="242" ht="15" customHeight="1">
      <c r="A242" t="inlineStr">
        <is>
          <t>A 17772-2022</t>
        </is>
      </c>
      <c r="B242" s="1" t="n">
        <v>44682.76528935185</v>
      </c>
      <c r="C242" s="1" t="n">
        <v>45938</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67285-2021</t>
        </is>
      </c>
      <c r="B243" s="1" t="n">
        <v>44523.61635416667</v>
      </c>
      <c r="C243" s="1" t="n">
        <v>45938</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5611-2022</t>
        </is>
      </c>
      <c r="B244" s="1" t="n">
        <v>44595</v>
      </c>
      <c r="C244" s="1" t="n">
        <v>45938</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32055-2021</t>
        </is>
      </c>
      <c r="B245" s="1" t="n">
        <v>44370.72197916666</v>
      </c>
      <c r="C245" s="1" t="n">
        <v>45938</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24101-2022</t>
        </is>
      </c>
      <c r="B246" s="1" t="n">
        <v>44725</v>
      </c>
      <c r="C246" s="1" t="n">
        <v>45938</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52449-2021</t>
        </is>
      </c>
      <c r="B247" s="1" t="n">
        <v>44466.37496527778</v>
      </c>
      <c r="C247" s="1" t="n">
        <v>45938</v>
      </c>
      <c r="D247" t="inlineStr">
        <is>
          <t>STOCKHOLMS LÄN</t>
        </is>
      </c>
      <c r="E247" t="inlineStr">
        <is>
          <t>NORRTÄLJE</t>
        </is>
      </c>
      <c r="F247" t="inlineStr">
        <is>
          <t>Holmen skog AB</t>
        </is>
      </c>
      <c r="G247" t="n">
        <v>1.8</v>
      </c>
      <c r="H247" t="n">
        <v>0</v>
      </c>
      <c r="I247" t="n">
        <v>0</v>
      </c>
      <c r="J247" t="n">
        <v>0</v>
      </c>
      <c r="K247" t="n">
        <v>0</v>
      </c>
      <c r="L247" t="n">
        <v>0</v>
      </c>
      <c r="M247" t="n">
        <v>0</v>
      </c>
      <c r="N247" t="n">
        <v>0</v>
      </c>
      <c r="O247" t="n">
        <v>0</v>
      </c>
      <c r="P247" t="n">
        <v>0</v>
      </c>
      <c r="Q247" t="n">
        <v>0</v>
      </c>
      <c r="R247" s="2" t="inlineStr"/>
    </row>
    <row r="248" ht="15" customHeight="1">
      <c r="A248" t="inlineStr">
        <is>
          <t>A 33046-2021</t>
        </is>
      </c>
      <c r="B248" s="1" t="n">
        <v>44376</v>
      </c>
      <c r="C248" s="1" t="n">
        <v>45938</v>
      </c>
      <c r="D248" t="inlineStr">
        <is>
          <t>STOCKHOLMS LÄN</t>
        </is>
      </c>
      <c r="E248" t="inlineStr">
        <is>
          <t>NORRTÄLJE</t>
        </is>
      </c>
      <c r="G248" t="n">
        <v>2.1</v>
      </c>
      <c r="H248" t="n">
        <v>0</v>
      </c>
      <c r="I248" t="n">
        <v>0</v>
      </c>
      <c r="J248" t="n">
        <v>0</v>
      </c>
      <c r="K248" t="n">
        <v>0</v>
      </c>
      <c r="L248" t="n">
        <v>0</v>
      </c>
      <c r="M248" t="n">
        <v>0</v>
      </c>
      <c r="N248" t="n">
        <v>0</v>
      </c>
      <c r="O248" t="n">
        <v>0</v>
      </c>
      <c r="P248" t="n">
        <v>0</v>
      </c>
      <c r="Q248" t="n">
        <v>0</v>
      </c>
      <c r="R248" s="2" t="inlineStr"/>
    </row>
    <row r="249" ht="15" customHeight="1">
      <c r="A249" t="inlineStr">
        <is>
          <t>A 28042-2022</t>
        </is>
      </c>
      <c r="B249" s="1" t="n">
        <v>44744</v>
      </c>
      <c r="C249" s="1" t="n">
        <v>45938</v>
      </c>
      <c r="D249" t="inlineStr">
        <is>
          <t>STOCKHOLMS LÄN</t>
        </is>
      </c>
      <c r="E249" t="inlineStr">
        <is>
          <t>NORRTÄLJE</t>
        </is>
      </c>
      <c r="G249" t="n">
        <v>0.2</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45938</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26328-2022</t>
        </is>
      </c>
      <c r="B251" s="1" t="n">
        <v>44735</v>
      </c>
      <c r="C251" s="1" t="n">
        <v>45938</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66372-2020</t>
        </is>
      </c>
      <c r="B252" s="1" t="n">
        <v>44176</v>
      </c>
      <c r="C252" s="1" t="n">
        <v>45938</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27214-2021</t>
        </is>
      </c>
      <c r="B253" s="1" t="n">
        <v>44350</v>
      </c>
      <c r="C253" s="1" t="n">
        <v>45938</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38721-2022</t>
        </is>
      </c>
      <c r="B254" s="1" t="n">
        <v>44815</v>
      </c>
      <c r="C254" s="1" t="n">
        <v>45938</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60184-2021</t>
        </is>
      </c>
      <c r="B255" s="1" t="n">
        <v>44495</v>
      </c>
      <c r="C255" s="1" t="n">
        <v>45938</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41398-2022</t>
        </is>
      </c>
      <c r="B256" s="1" t="n">
        <v>44826</v>
      </c>
      <c r="C256" s="1" t="n">
        <v>45938</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22369-2021</t>
        </is>
      </c>
      <c r="B257" s="1" t="n">
        <v>44326</v>
      </c>
      <c r="C257" s="1" t="n">
        <v>45938</v>
      </c>
      <c r="D257" t="inlineStr">
        <is>
          <t>STOCKHOLMS LÄN</t>
        </is>
      </c>
      <c r="E257" t="inlineStr">
        <is>
          <t>NORRTÄLJE</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45938</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45938</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15441-2021</t>
        </is>
      </c>
      <c r="B260" s="1" t="n">
        <v>44284</v>
      </c>
      <c r="C260" s="1" t="n">
        <v>45938</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45938</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45938</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27828-2022</t>
        </is>
      </c>
      <c r="B263" s="1" t="n">
        <v>44743.59765046297</v>
      </c>
      <c r="C263" s="1" t="n">
        <v>45938</v>
      </c>
      <c r="D263" t="inlineStr">
        <is>
          <t>STOCKHOLMS LÄN</t>
        </is>
      </c>
      <c r="E263" t="inlineStr">
        <is>
          <t>NORRTÄLJE</t>
        </is>
      </c>
      <c r="F263" t="inlineStr">
        <is>
          <t>Kommuner</t>
        </is>
      </c>
      <c r="G263" t="n">
        <v>1.6</v>
      </c>
      <c r="H263" t="n">
        <v>0</v>
      </c>
      <c r="I263" t="n">
        <v>0</v>
      </c>
      <c r="J263" t="n">
        <v>0</v>
      </c>
      <c r="K263" t="n">
        <v>0</v>
      </c>
      <c r="L263" t="n">
        <v>0</v>
      </c>
      <c r="M263" t="n">
        <v>0</v>
      </c>
      <c r="N263" t="n">
        <v>0</v>
      </c>
      <c r="O263" t="n">
        <v>0</v>
      </c>
      <c r="P263" t="n">
        <v>0</v>
      </c>
      <c r="Q263" t="n">
        <v>0</v>
      </c>
      <c r="R263" s="2" t="inlineStr"/>
    </row>
    <row r="264" ht="15" customHeight="1">
      <c r="A264" t="inlineStr">
        <is>
          <t>A 16229-2022</t>
        </is>
      </c>
      <c r="B264" s="1" t="n">
        <v>44670.4190162037</v>
      </c>
      <c r="C264" s="1" t="n">
        <v>45938</v>
      </c>
      <c r="D264" t="inlineStr">
        <is>
          <t>STOCKHOLMS LÄN</t>
        </is>
      </c>
      <c r="E264" t="inlineStr">
        <is>
          <t>NORRTÄLJE</t>
        </is>
      </c>
      <c r="G264" t="n">
        <v>7.4</v>
      </c>
      <c r="H264" t="n">
        <v>0</v>
      </c>
      <c r="I264" t="n">
        <v>0</v>
      </c>
      <c r="J264" t="n">
        <v>0</v>
      </c>
      <c r="K264" t="n">
        <v>0</v>
      </c>
      <c r="L264" t="n">
        <v>0</v>
      </c>
      <c r="M264" t="n">
        <v>0</v>
      </c>
      <c r="N264" t="n">
        <v>0</v>
      </c>
      <c r="O264" t="n">
        <v>0</v>
      </c>
      <c r="P264" t="n">
        <v>0</v>
      </c>
      <c r="Q264" t="n">
        <v>0</v>
      </c>
      <c r="R264" s="2" t="inlineStr"/>
    </row>
    <row r="265" ht="15" customHeight="1">
      <c r="A265" t="inlineStr">
        <is>
          <t>A 19398-2021</t>
        </is>
      </c>
      <c r="B265" s="1" t="n">
        <v>44309</v>
      </c>
      <c r="C265" s="1" t="n">
        <v>45938</v>
      </c>
      <c r="D265" t="inlineStr">
        <is>
          <t>STOCKHOLMS LÄN</t>
        </is>
      </c>
      <c r="E265" t="inlineStr">
        <is>
          <t>NORRTÄLJE</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33226-2024</t>
        </is>
      </c>
      <c r="B266" s="1" t="n">
        <v>45518</v>
      </c>
      <c r="C266" s="1" t="n">
        <v>45938</v>
      </c>
      <c r="D266" t="inlineStr">
        <is>
          <t>STOCKHOLMS LÄN</t>
        </is>
      </c>
      <c r="E266" t="inlineStr">
        <is>
          <t>NORRTÄLJE</t>
        </is>
      </c>
      <c r="G266" t="n">
        <v>13.8</v>
      </c>
      <c r="H266" t="n">
        <v>0</v>
      </c>
      <c r="I266" t="n">
        <v>0</v>
      </c>
      <c r="J266" t="n">
        <v>0</v>
      </c>
      <c r="K266" t="n">
        <v>0</v>
      </c>
      <c r="L266" t="n">
        <v>0</v>
      </c>
      <c r="M266" t="n">
        <v>0</v>
      </c>
      <c r="N266" t="n">
        <v>0</v>
      </c>
      <c r="O266" t="n">
        <v>0</v>
      </c>
      <c r="P266" t="n">
        <v>0</v>
      </c>
      <c r="Q266" t="n">
        <v>0</v>
      </c>
      <c r="R266" s="2" t="inlineStr"/>
    </row>
    <row r="267" ht="15" customHeight="1">
      <c r="A267" t="inlineStr">
        <is>
          <t>A 67598-2021</t>
        </is>
      </c>
      <c r="B267" s="1" t="n">
        <v>44524</v>
      </c>
      <c r="C267" s="1" t="n">
        <v>45938</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22008-2024</t>
        </is>
      </c>
      <c r="B268" s="1" t="n">
        <v>45443</v>
      </c>
      <c r="C268" s="1" t="n">
        <v>45938</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34520-2021</t>
        </is>
      </c>
      <c r="B269" s="1" t="n">
        <v>44379</v>
      </c>
      <c r="C269" s="1" t="n">
        <v>45938</v>
      </c>
      <c r="D269" t="inlineStr">
        <is>
          <t>STOCKHOLMS LÄN</t>
        </is>
      </c>
      <c r="E269" t="inlineStr">
        <is>
          <t>NORRTÄLJE</t>
        </is>
      </c>
      <c r="G269" t="n">
        <v>1.7</v>
      </c>
      <c r="H269" t="n">
        <v>0</v>
      </c>
      <c r="I269" t="n">
        <v>0</v>
      </c>
      <c r="J269" t="n">
        <v>0</v>
      </c>
      <c r="K269" t="n">
        <v>0</v>
      </c>
      <c r="L269" t="n">
        <v>0</v>
      </c>
      <c r="M269" t="n">
        <v>0</v>
      </c>
      <c r="N269" t="n">
        <v>0</v>
      </c>
      <c r="O269" t="n">
        <v>0</v>
      </c>
      <c r="P269" t="n">
        <v>0</v>
      </c>
      <c r="Q269" t="n">
        <v>0</v>
      </c>
      <c r="R269" s="2" t="inlineStr"/>
    </row>
    <row r="270" ht="15" customHeight="1">
      <c r="A270" t="inlineStr">
        <is>
          <t>A 55243-2023</t>
        </is>
      </c>
      <c r="B270" s="1" t="n">
        <v>45237</v>
      </c>
      <c r="C270" s="1" t="n">
        <v>45938</v>
      </c>
      <c r="D270" t="inlineStr">
        <is>
          <t>STOCKHOLMS LÄN</t>
        </is>
      </c>
      <c r="E270" t="inlineStr">
        <is>
          <t>NORRTÄLJE</t>
        </is>
      </c>
      <c r="G270" t="n">
        <v>6.5</v>
      </c>
      <c r="H270" t="n">
        <v>0</v>
      </c>
      <c r="I270" t="n">
        <v>0</v>
      </c>
      <c r="J270" t="n">
        <v>0</v>
      </c>
      <c r="K270" t="n">
        <v>0</v>
      </c>
      <c r="L270" t="n">
        <v>0</v>
      </c>
      <c r="M270" t="n">
        <v>0</v>
      </c>
      <c r="N270" t="n">
        <v>0</v>
      </c>
      <c r="O270" t="n">
        <v>0</v>
      </c>
      <c r="P270" t="n">
        <v>0</v>
      </c>
      <c r="Q270" t="n">
        <v>0</v>
      </c>
      <c r="R270" s="2" t="inlineStr"/>
    </row>
    <row r="271" ht="15" customHeight="1">
      <c r="A271" t="inlineStr">
        <is>
          <t>A 45541-2022</t>
        </is>
      </c>
      <c r="B271" s="1" t="n">
        <v>44845.47672453704</v>
      </c>
      <c r="C271" s="1" t="n">
        <v>45938</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52260-2022</t>
        </is>
      </c>
      <c r="B272" s="1" t="n">
        <v>44869</v>
      </c>
      <c r="C272" s="1" t="n">
        <v>45938</v>
      </c>
      <c r="D272" t="inlineStr">
        <is>
          <t>STOCKHOLMS LÄN</t>
        </is>
      </c>
      <c r="E272" t="inlineStr">
        <is>
          <t>NORRTÄLJE</t>
        </is>
      </c>
      <c r="G272" t="n">
        <v>3.1</v>
      </c>
      <c r="H272" t="n">
        <v>0</v>
      </c>
      <c r="I272" t="n">
        <v>0</v>
      </c>
      <c r="J272" t="n">
        <v>0</v>
      </c>
      <c r="K272" t="n">
        <v>0</v>
      </c>
      <c r="L272" t="n">
        <v>0</v>
      </c>
      <c r="M272" t="n">
        <v>0</v>
      </c>
      <c r="N272" t="n">
        <v>0</v>
      </c>
      <c r="O272" t="n">
        <v>0</v>
      </c>
      <c r="P272" t="n">
        <v>0</v>
      </c>
      <c r="Q272" t="n">
        <v>0</v>
      </c>
      <c r="R272" s="2" t="inlineStr"/>
    </row>
    <row r="273" ht="15" customHeight="1">
      <c r="A273" t="inlineStr">
        <is>
          <t>A 12779-2021</t>
        </is>
      </c>
      <c r="B273" s="1" t="n">
        <v>44270</v>
      </c>
      <c r="C273" s="1" t="n">
        <v>45938</v>
      </c>
      <c r="D273" t="inlineStr">
        <is>
          <t>STOCKHOLMS LÄN</t>
        </is>
      </c>
      <c r="E273" t="inlineStr">
        <is>
          <t>NORRTÄLJE</t>
        </is>
      </c>
      <c r="G273" t="n">
        <v>10.8</v>
      </c>
      <c r="H273" t="n">
        <v>0</v>
      </c>
      <c r="I273" t="n">
        <v>0</v>
      </c>
      <c r="J273" t="n">
        <v>0</v>
      </c>
      <c r="K273" t="n">
        <v>0</v>
      </c>
      <c r="L273" t="n">
        <v>0</v>
      </c>
      <c r="M273" t="n">
        <v>0</v>
      </c>
      <c r="N273" t="n">
        <v>0</v>
      </c>
      <c r="O273" t="n">
        <v>0</v>
      </c>
      <c r="P273" t="n">
        <v>0</v>
      </c>
      <c r="Q273" t="n">
        <v>0</v>
      </c>
      <c r="R273" s="2" t="inlineStr"/>
    </row>
    <row r="274" ht="15" customHeight="1">
      <c r="A274" t="inlineStr">
        <is>
          <t>A 12782-2021</t>
        </is>
      </c>
      <c r="B274" s="1" t="n">
        <v>44270</v>
      </c>
      <c r="C274" s="1" t="n">
        <v>45938</v>
      </c>
      <c r="D274" t="inlineStr">
        <is>
          <t>STOCKHOLMS LÄN</t>
        </is>
      </c>
      <c r="E274" t="inlineStr">
        <is>
          <t>NORRTÄLJE</t>
        </is>
      </c>
      <c r="G274" t="n">
        <v>3.8</v>
      </c>
      <c r="H274" t="n">
        <v>0</v>
      </c>
      <c r="I274" t="n">
        <v>0</v>
      </c>
      <c r="J274" t="n">
        <v>0</v>
      </c>
      <c r="K274" t="n">
        <v>0</v>
      </c>
      <c r="L274" t="n">
        <v>0</v>
      </c>
      <c r="M274" t="n">
        <v>0</v>
      </c>
      <c r="N274" t="n">
        <v>0</v>
      </c>
      <c r="O274" t="n">
        <v>0</v>
      </c>
      <c r="P274" t="n">
        <v>0</v>
      </c>
      <c r="Q274" t="n">
        <v>0</v>
      </c>
      <c r="R274" s="2" t="inlineStr"/>
    </row>
    <row r="275" ht="15" customHeight="1">
      <c r="A275" t="inlineStr">
        <is>
          <t>A 25557-2023</t>
        </is>
      </c>
      <c r="B275" s="1" t="n">
        <v>45089</v>
      </c>
      <c r="C275" s="1" t="n">
        <v>45938</v>
      </c>
      <c r="D275" t="inlineStr">
        <is>
          <t>STOCKHOLMS LÄN</t>
        </is>
      </c>
      <c r="E275" t="inlineStr">
        <is>
          <t>NORRTÄLJE</t>
        </is>
      </c>
      <c r="G275" t="n">
        <v>1</v>
      </c>
      <c r="H275" t="n">
        <v>0</v>
      </c>
      <c r="I275" t="n">
        <v>0</v>
      </c>
      <c r="J275" t="n">
        <v>0</v>
      </c>
      <c r="K275" t="n">
        <v>0</v>
      </c>
      <c r="L275" t="n">
        <v>0</v>
      </c>
      <c r="M275" t="n">
        <v>0</v>
      </c>
      <c r="N275" t="n">
        <v>0</v>
      </c>
      <c r="O275" t="n">
        <v>0</v>
      </c>
      <c r="P275" t="n">
        <v>0</v>
      </c>
      <c r="Q275" t="n">
        <v>0</v>
      </c>
      <c r="R275" s="2" t="inlineStr"/>
    </row>
    <row r="276" ht="15" customHeight="1">
      <c r="A276" t="inlineStr">
        <is>
          <t>A 27715-2022</t>
        </is>
      </c>
      <c r="B276" s="1" t="n">
        <v>44743.47407407407</v>
      </c>
      <c r="C276" s="1" t="n">
        <v>45938</v>
      </c>
      <c r="D276" t="inlineStr">
        <is>
          <t>STOCKHOLMS LÄN</t>
        </is>
      </c>
      <c r="E276" t="inlineStr">
        <is>
          <t>NORRTÄLJE</t>
        </is>
      </c>
      <c r="G276" t="n">
        <v>2.2</v>
      </c>
      <c r="H276" t="n">
        <v>0</v>
      </c>
      <c r="I276" t="n">
        <v>0</v>
      </c>
      <c r="J276" t="n">
        <v>0</v>
      </c>
      <c r="K276" t="n">
        <v>0</v>
      </c>
      <c r="L276" t="n">
        <v>0</v>
      </c>
      <c r="M276" t="n">
        <v>0</v>
      </c>
      <c r="N276" t="n">
        <v>0</v>
      </c>
      <c r="O276" t="n">
        <v>0</v>
      </c>
      <c r="P276" t="n">
        <v>0</v>
      </c>
      <c r="Q276" t="n">
        <v>0</v>
      </c>
      <c r="R276" s="2" t="inlineStr"/>
    </row>
    <row r="277" ht="15" customHeight="1">
      <c r="A277" t="inlineStr">
        <is>
          <t>A 20295-2022</t>
        </is>
      </c>
      <c r="B277" s="1" t="n">
        <v>44698</v>
      </c>
      <c r="C277" s="1" t="n">
        <v>45938</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37415-2021</t>
        </is>
      </c>
      <c r="B278" s="1" t="n">
        <v>44397</v>
      </c>
      <c r="C278" s="1" t="n">
        <v>45938</v>
      </c>
      <c r="D278" t="inlineStr">
        <is>
          <t>STOCKHOLMS LÄN</t>
        </is>
      </c>
      <c r="E278" t="inlineStr">
        <is>
          <t>NORRTÄLJE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68273-2021</t>
        </is>
      </c>
      <c r="B279" s="1" t="n">
        <v>44526</v>
      </c>
      <c r="C279" s="1" t="n">
        <v>45938</v>
      </c>
      <c r="D279" t="inlineStr">
        <is>
          <t>STOCKHOLMS LÄN</t>
        </is>
      </c>
      <c r="E279" t="inlineStr">
        <is>
          <t>NORRTÄLJE</t>
        </is>
      </c>
      <c r="G279" t="n">
        <v>5.3</v>
      </c>
      <c r="H279" t="n">
        <v>0</v>
      </c>
      <c r="I279" t="n">
        <v>0</v>
      </c>
      <c r="J279" t="n">
        <v>0</v>
      </c>
      <c r="K279" t="n">
        <v>0</v>
      </c>
      <c r="L279" t="n">
        <v>0</v>
      </c>
      <c r="M279" t="n">
        <v>0</v>
      </c>
      <c r="N279" t="n">
        <v>0</v>
      </c>
      <c r="O279" t="n">
        <v>0</v>
      </c>
      <c r="P279" t="n">
        <v>0</v>
      </c>
      <c r="Q279" t="n">
        <v>0</v>
      </c>
      <c r="R279" s="2" t="inlineStr"/>
    </row>
    <row r="280" ht="15" customHeight="1">
      <c r="A280" t="inlineStr">
        <is>
          <t>A 55696-2022</t>
        </is>
      </c>
      <c r="B280" s="1" t="n">
        <v>44888</v>
      </c>
      <c r="C280" s="1" t="n">
        <v>45938</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22412-2021</t>
        </is>
      </c>
      <c r="B281" s="1" t="n">
        <v>44326.61967592593</v>
      </c>
      <c r="C281" s="1" t="n">
        <v>45938</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13053-2022</t>
        </is>
      </c>
      <c r="B282" s="1" t="n">
        <v>44643</v>
      </c>
      <c r="C282" s="1" t="n">
        <v>45938</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1968-2022</t>
        </is>
      </c>
      <c r="B283" s="1" t="n">
        <v>44575.52831018518</v>
      </c>
      <c r="C283" s="1" t="n">
        <v>45938</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15915-2023</t>
        </is>
      </c>
      <c r="B284" s="1" t="n">
        <v>45022</v>
      </c>
      <c r="C284" s="1" t="n">
        <v>45938</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5562-2021</t>
        </is>
      </c>
      <c r="B285" s="1" t="n">
        <v>44230</v>
      </c>
      <c r="C285" s="1" t="n">
        <v>45938</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5566-2021</t>
        </is>
      </c>
      <c r="B286" s="1" t="n">
        <v>44230</v>
      </c>
      <c r="C286" s="1" t="n">
        <v>45938</v>
      </c>
      <c r="D286" t="inlineStr">
        <is>
          <t>STOCKHOLMS LÄN</t>
        </is>
      </c>
      <c r="E286" t="inlineStr">
        <is>
          <t>NORRTÄLJE</t>
        </is>
      </c>
      <c r="G286" t="n">
        <v>3.1</v>
      </c>
      <c r="H286" t="n">
        <v>0</v>
      </c>
      <c r="I286" t="n">
        <v>0</v>
      </c>
      <c r="J286" t="n">
        <v>0</v>
      </c>
      <c r="K286" t="n">
        <v>0</v>
      </c>
      <c r="L286" t="n">
        <v>0</v>
      </c>
      <c r="M286" t="n">
        <v>0</v>
      </c>
      <c r="N286" t="n">
        <v>0</v>
      </c>
      <c r="O286" t="n">
        <v>0</v>
      </c>
      <c r="P286" t="n">
        <v>0</v>
      </c>
      <c r="Q286" t="n">
        <v>0</v>
      </c>
      <c r="R286" s="2" t="inlineStr"/>
    </row>
    <row r="287" ht="15" customHeight="1">
      <c r="A287" t="inlineStr">
        <is>
          <t>A 30286-2022</t>
        </is>
      </c>
      <c r="B287" s="1" t="n">
        <v>44760</v>
      </c>
      <c r="C287" s="1" t="n">
        <v>45938</v>
      </c>
      <c r="D287" t="inlineStr">
        <is>
          <t>STOCKHOLMS LÄN</t>
        </is>
      </c>
      <c r="E287" t="inlineStr">
        <is>
          <t>NORRTÄLJE</t>
        </is>
      </c>
      <c r="G287" t="n">
        <v>0.3</v>
      </c>
      <c r="H287" t="n">
        <v>0</v>
      </c>
      <c r="I287" t="n">
        <v>0</v>
      </c>
      <c r="J287" t="n">
        <v>0</v>
      </c>
      <c r="K287" t="n">
        <v>0</v>
      </c>
      <c r="L287" t="n">
        <v>0</v>
      </c>
      <c r="M287" t="n">
        <v>0</v>
      </c>
      <c r="N287" t="n">
        <v>0</v>
      </c>
      <c r="O287" t="n">
        <v>0</v>
      </c>
      <c r="P287" t="n">
        <v>0</v>
      </c>
      <c r="Q287" t="n">
        <v>0</v>
      </c>
      <c r="R287" s="2" t="inlineStr"/>
    </row>
    <row r="288" ht="15" customHeight="1">
      <c r="A288" t="inlineStr">
        <is>
          <t>A 8160-2022</t>
        </is>
      </c>
      <c r="B288" s="1" t="n">
        <v>44609</v>
      </c>
      <c r="C288" s="1" t="n">
        <v>45938</v>
      </c>
      <c r="D288" t="inlineStr">
        <is>
          <t>STOCKHOLMS LÄN</t>
        </is>
      </c>
      <c r="E288" t="inlineStr">
        <is>
          <t>NORRTÄLJE</t>
        </is>
      </c>
      <c r="G288" t="n">
        <v>3.9</v>
      </c>
      <c r="H288" t="n">
        <v>0</v>
      </c>
      <c r="I288" t="n">
        <v>0</v>
      </c>
      <c r="J288" t="n">
        <v>0</v>
      </c>
      <c r="K288" t="n">
        <v>0</v>
      </c>
      <c r="L288" t="n">
        <v>0</v>
      </c>
      <c r="M288" t="n">
        <v>0</v>
      </c>
      <c r="N288" t="n">
        <v>0</v>
      </c>
      <c r="O288" t="n">
        <v>0</v>
      </c>
      <c r="P288" t="n">
        <v>0</v>
      </c>
      <c r="Q288" t="n">
        <v>0</v>
      </c>
      <c r="R288" s="2" t="inlineStr"/>
    </row>
    <row r="289" ht="15" customHeight="1">
      <c r="A289" t="inlineStr">
        <is>
          <t>A 29972-2024</t>
        </is>
      </c>
      <c r="B289" s="1" t="n">
        <v>45485</v>
      </c>
      <c r="C289" s="1" t="n">
        <v>45938</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39319-2022</t>
        </is>
      </c>
      <c r="B290" s="1" t="n">
        <v>44817.70516203704</v>
      </c>
      <c r="C290" s="1" t="n">
        <v>45938</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48716-2023</t>
        </is>
      </c>
      <c r="B291" s="1" t="n">
        <v>45208.69671296296</v>
      </c>
      <c r="C291" s="1" t="n">
        <v>45938</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45938</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56219-2021</t>
        </is>
      </c>
      <c r="B293" s="1" t="n">
        <v>44477</v>
      </c>
      <c r="C293" s="1" t="n">
        <v>45938</v>
      </c>
      <c r="D293" t="inlineStr">
        <is>
          <t>STOCKHOLMS LÄN</t>
        </is>
      </c>
      <c r="E293" t="inlineStr">
        <is>
          <t>NORRTÄLJE</t>
        </is>
      </c>
      <c r="F293" t="inlineStr">
        <is>
          <t>Kommuner</t>
        </is>
      </c>
      <c r="G293" t="n">
        <v>2.3</v>
      </c>
      <c r="H293" t="n">
        <v>0</v>
      </c>
      <c r="I293" t="n">
        <v>0</v>
      </c>
      <c r="J293" t="n">
        <v>0</v>
      </c>
      <c r="K293" t="n">
        <v>0</v>
      </c>
      <c r="L293" t="n">
        <v>0</v>
      </c>
      <c r="M293" t="n">
        <v>0</v>
      </c>
      <c r="N293" t="n">
        <v>0</v>
      </c>
      <c r="O293" t="n">
        <v>0</v>
      </c>
      <c r="P293" t="n">
        <v>0</v>
      </c>
      <c r="Q293" t="n">
        <v>0</v>
      </c>
      <c r="R293" s="2" t="inlineStr"/>
    </row>
    <row r="294" ht="15" customHeight="1">
      <c r="A294" t="inlineStr">
        <is>
          <t>A 64137-2021</t>
        </is>
      </c>
      <c r="B294" s="1" t="n">
        <v>44510.51422453704</v>
      </c>
      <c r="C294" s="1" t="n">
        <v>45938</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52139-2022</t>
        </is>
      </c>
      <c r="B295" s="1" t="n">
        <v>44868</v>
      </c>
      <c r="C295" s="1" t="n">
        <v>45938</v>
      </c>
      <c r="D295" t="inlineStr">
        <is>
          <t>STOCKHOLMS LÄN</t>
        </is>
      </c>
      <c r="E295" t="inlineStr">
        <is>
          <t>NORRTÄLJE</t>
        </is>
      </c>
      <c r="G295" t="n">
        <v>3.2</v>
      </c>
      <c r="H295" t="n">
        <v>0</v>
      </c>
      <c r="I295" t="n">
        <v>0</v>
      </c>
      <c r="J295" t="n">
        <v>0</v>
      </c>
      <c r="K295" t="n">
        <v>0</v>
      </c>
      <c r="L295" t="n">
        <v>0</v>
      </c>
      <c r="M295" t="n">
        <v>0</v>
      </c>
      <c r="N295" t="n">
        <v>0</v>
      </c>
      <c r="O295" t="n">
        <v>0</v>
      </c>
      <c r="P295" t="n">
        <v>0</v>
      </c>
      <c r="Q295" t="n">
        <v>0</v>
      </c>
      <c r="R295" s="2" t="inlineStr"/>
    </row>
    <row r="296" ht="15" customHeight="1">
      <c r="A296" t="inlineStr">
        <is>
          <t>A 1229-2022</t>
        </is>
      </c>
      <c r="B296" s="1" t="n">
        <v>44572</v>
      </c>
      <c r="C296" s="1" t="n">
        <v>45938</v>
      </c>
      <c r="D296" t="inlineStr">
        <is>
          <t>STOCKHOLMS LÄN</t>
        </is>
      </c>
      <c r="E296" t="inlineStr">
        <is>
          <t>NORRTÄLJE</t>
        </is>
      </c>
      <c r="G296" t="n">
        <v>11.5</v>
      </c>
      <c r="H296" t="n">
        <v>0</v>
      </c>
      <c r="I296" t="n">
        <v>0</v>
      </c>
      <c r="J296" t="n">
        <v>0</v>
      </c>
      <c r="K296" t="n">
        <v>0</v>
      </c>
      <c r="L296" t="n">
        <v>0</v>
      </c>
      <c r="M296" t="n">
        <v>0</v>
      </c>
      <c r="N296" t="n">
        <v>0</v>
      </c>
      <c r="O296" t="n">
        <v>0</v>
      </c>
      <c r="P296" t="n">
        <v>0</v>
      </c>
      <c r="Q296" t="n">
        <v>0</v>
      </c>
      <c r="R296" s="2" t="inlineStr"/>
    </row>
    <row r="297" ht="15" customHeight="1">
      <c r="A297" t="inlineStr">
        <is>
          <t>A 9446-2021</t>
        </is>
      </c>
      <c r="B297" s="1" t="n">
        <v>44251</v>
      </c>
      <c r="C297" s="1" t="n">
        <v>45938</v>
      </c>
      <c r="D297" t="inlineStr">
        <is>
          <t>STOCKHOLMS LÄN</t>
        </is>
      </c>
      <c r="E297" t="inlineStr">
        <is>
          <t>NORRTÄLJE</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14051-2022</t>
        </is>
      </c>
      <c r="B298" s="1" t="n">
        <v>44650.92714120371</v>
      </c>
      <c r="C298" s="1" t="n">
        <v>45938</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11122-2021</t>
        </is>
      </c>
      <c r="B299" s="1" t="n">
        <v>44260</v>
      </c>
      <c r="C299" s="1" t="n">
        <v>45938</v>
      </c>
      <c r="D299" t="inlineStr">
        <is>
          <t>STOCKHOLMS LÄN</t>
        </is>
      </c>
      <c r="E299" t="inlineStr">
        <is>
          <t>NORRTÄLJE</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47431-2023</t>
        </is>
      </c>
      <c r="B300" s="1" t="n">
        <v>45202</v>
      </c>
      <c r="C300" s="1" t="n">
        <v>45938</v>
      </c>
      <c r="D300" t="inlineStr">
        <is>
          <t>STOCKHOLMS LÄN</t>
        </is>
      </c>
      <c r="E300" t="inlineStr">
        <is>
          <t>NORRTÄLJE</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59499-2023</t>
        </is>
      </c>
      <c r="B301" s="1" t="n">
        <v>45254</v>
      </c>
      <c r="C301" s="1" t="n">
        <v>45938</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59468-2023</t>
        </is>
      </c>
      <c r="B302" s="1" t="n">
        <v>45254.41509259259</v>
      </c>
      <c r="C302" s="1" t="n">
        <v>45938</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24167-2022</t>
        </is>
      </c>
      <c r="B303" s="1" t="n">
        <v>44725.49491898148</v>
      </c>
      <c r="C303" s="1" t="n">
        <v>45938</v>
      </c>
      <c r="D303" t="inlineStr">
        <is>
          <t>STOCKHOLMS LÄN</t>
        </is>
      </c>
      <c r="E303" t="inlineStr">
        <is>
          <t>NORRTÄLJE</t>
        </is>
      </c>
      <c r="G303" t="n">
        <v>3.4</v>
      </c>
      <c r="H303" t="n">
        <v>0</v>
      </c>
      <c r="I303" t="n">
        <v>0</v>
      </c>
      <c r="J303" t="n">
        <v>0</v>
      </c>
      <c r="K303" t="n">
        <v>0</v>
      </c>
      <c r="L303" t="n">
        <v>0</v>
      </c>
      <c r="M303" t="n">
        <v>0</v>
      </c>
      <c r="N303" t="n">
        <v>0</v>
      </c>
      <c r="O303" t="n">
        <v>0</v>
      </c>
      <c r="P303" t="n">
        <v>0</v>
      </c>
      <c r="Q303" t="n">
        <v>0</v>
      </c>
      <c r="R303" s="2" t="inlineStr"/>
    </row>
    <row r="304" ht="15" customHeight="1">
      <c r="A304" t="inlineStr">
        <is>
          <t>A 42396-2021</t>
        </is>
      </c>
      <c r="B304" s="1" t="n">
        <v>44427</v>
      </c>
      <c r="C304" s="1" t="n">
        <v>45938</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45938</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12532-2025</t>
        </is>
      </c>
      <c r="B306" s="1" t="n">
        <v>45730.69143518519</v>
      </c>
      <c r="C306" s="1" t="n">
        <v>45938</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5732-2023</t>
        </is>
      </c>
      <c r="B307" s="1" t="n">
        <v>44962</v>
      </c>
      <c r="C307" s="1" t="n">
        <v>45938</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20015-2023</t>
        </is>
      </c>
      <c r="B308" s="1" t="n">
        <v>45054</v>
      </c>
      <c r="C308" s="1" t="n">
        <v>45938</v>
      </c>
      <c r="D308" t="inlineStr">
        <is>
          <t>STOCKHOLMS LÄN</t>
        </is>
      </c>
      <c r="E308" t="inlineStr">
        <is>
          <t>NORRTÄLJE</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3273-2025</t>
        </is>
      </c>
      <c r="B309" s="1" t="n">
        <v>45679</v>
      </c>
      <c r="C309" s="1" t="n">
        <v>45938</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10653-2022</t>
        </is>
      </c>
      <c r="B310" s="1" t="n">
        <v>44624.59434027778</v>
      </c>
      <c r="C310" s="1" t="n">
        <v>45938</v>
      </c>
      <c r="D310" t="inlineStr">
        <is>
          <t>STOCKHOLMS LÄN</t>
        </is>
      </c>
      <c r="E310" t="inlineStr">
        <is>
          <t>NORRTÄLJE</t>
        </is>
      </c>
      <c r="G310" t="n">
        <v>2.3</v>
      </c>
      <c r="H310" t="n">
        <v>0</v>
      </c>
      <c r="I310" t="n">
        <v>0</v>
      </c>
      <c r="J310" t="n">
        <v>0</v>
      </c>
      <c r="K310" t="n">
        <v>0</v>
      </c>
      <c r="L310" t="n">
        <v>0</v>
      </c>
      <c r="M310" t="n">
        <v>0</v>
      </c>
      <c r="N310" t="n">
        <v>0</v>
      </c>
      <c r="O310" t="n">
        <v>0</v>
      </c>
      <c r="P310" t="n">
        <v>0</v>
      </c>
      <c r="Q310" t="n">
        <v>0</v>
      </c>
      <c r="R310" s="2" t="inlineStr"/>
    </row>
    <row r="311" ht="15" customHeight="1">
      <c r="A311" t="inlineStr">
        <is>
          <t>A 15226-2022</t>
        </is>
      </c>
      <c r="B311" s="1" t="n">
        <v>44658</v>
      </c>
      <c r="C311" s="1" t="n">
        <v>45938</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21729-2024</t>
        </is>
      </c>
      <c r="B312" s="1" t="n">
        <v>45442</v>
      </c>
      <c r="C312" s="1" t="n">
        <v>45938</v>
      </c>
      <c r="D312" t="inlineStr">
        <is>
          <t>STOCKHOLMS LÄN</t>
        </is>
      </c>
      <c r="E312" t="inlineStr">
        <is>
          <t>NORRTÄLJE</t>
        </is>
      </c>
      <c r="G312" t="n">
        <v>2.2</v>
      </c>
      <c r="H312" t="n">
        <v>0</v>
      </c>
      <c r="I312" t="n">
        <v>0</v>
      </c>
      <c r="J312" t="n">
        <v>0</v>
      </c>
      <c r="K312" t="n">
        <v>0</v>
      </c>
      <c r="L312" t="n">
        <v>0</v>
      </c>
      <c r="M312" t="n">
        <v>0</v>
      </c>
      <c r="N312" t="n">
        <v>0</v>
      </c>
      <c r="O312" t="n">
        <v>0</v>
      </c>
      <c r="P312" t="n">
        <v>0</v>
      </c>
      <c r="Q312" t="n">
        <v>0</v>
      </c>
      <c r="R312" s="2" t="inlineStr"/>
    </row>
    <row r="313" ht="15" customHeight="1">
      <c r="A313" t="inlineStr">
        <is>
          <t>A 24245-2024</t>
        </is>
      </c>
      <c r="B313" s="1" t="n">
        <v>45457</v>
      </c>
      <c r="C313" s="1" t="n">
        <v>45938</v>
      </c>
      <c r="D313" t="inlineStr">
        <is>
          <t>STOCKHOLMS LÄN</t>
        </is>
      </c>
      <c r="E313" t="inlineStr">
        <is>
          <t>NORRTÄLJE</t>
        </is>
      </c>
      <c r="F313" t="inlineStr">
        <is>
          <t>Holmen skog AB</t>
        </is>
      </c>
      <c r="G313" t="n">
        <v>3.4</v>
      </c>
      <c r="H313" t="n">
        <v>0</v>
      </c>
      <c r="I313" t="n">
        <v>0</v>
      </c>
      <c r="J313" t="n">
        <v>0</v>
      </c>
      <c r="K313" t="n">
        <v>0</v>
      </c>
      <c r="L313" t="n">
        <v>0</v>
      </c>
      <c r="M313" t="n">
        <v>0</v>
      </c>
      <c r="N313" t="n">
        <v>0</v>
      </c>
      <c r="O313" t="n">
        <v>0</v>
      </c>
      <c r="P313" t="n">
        <v>0</v>
      </c>
      <c r="Q313" t="n">
        <v>0</v>
      </c>
      <c r="R313" s="2" t="inlineStr"/>
    </row>
    <row r="314" ht="15" customHeight="1">
      <c r="A314" t="inlineStr">
        <is>
          <t>A 3300-2022</t>
        </is>
      </c>
      <c r="B314" s="1" t="n">
        <v>44584.91538194445</v>
      </c>
      <c r="C314" s="1" t="n">
        <v>45938</v>
      </c>
      <c r="D314" t="inlineStr">
        <is>
          <t>STOCKHOLMS LÄN</t>
        </is>
      </c>
      <c r="E314" t="inlineStr">
        <is>
          <t>NORRTÄLJE</t>
        </is>
      </c>
      <c r="G314" t="n">
        <v>0.4</v>
      </c>
      <c r="H314" t="n">
        <v>0</v>
      </c>
      <c r="I314" t="n">
        <v>0</v>
      </c>
      <c r="J314" t="n">
        <v>0</v>
      </c>
      <c r="K314" t="n">
        <v>0</v>
      </c>
      <c r="L314" t="n">
        <v>0</v>
      </c>
      <c r="M314" t="n">
        <v>0</v>
      </c>
      <c r="N314" t="n">
        <v>0</v>
      </c>
      <c r="O314" t="n">
        <v>0</v>
      </c>
      <c r="P314" t="n">
        <v>0</v>
      </c>
      <c r="Q314" t="n">
        <v>0</v>
      </c>
      <c r="R314" s="2" t="inlineStr"/>
    </row>
    <row r="315" ht="15" customHeight="1">
      <c r="A315" t="inlineStr">
        <is>
          <t>A 17388-2022</t>
        </is>
      </c>
      <c r="B315" s="1" t="n">
        <v>44678</v>
      </c>
      <c r="C315" s="1" t="n">
        <v>45938</v>
      </c>
      <c r="D315" t="inlineStr">
        <is>
          <t>STOCKHOLMS LÄN</t>
        </is>
      </c>
      <c r="E315" t="inlineStr">
        <is>
          <t>NORRTÄLJE</t>
        </is>
      </c>
      <c r="G315" t="n">
        <v>2.4</v>
      </c>
      <c r="H315" t="n">
        <v>0</v>
      </c>
      <c r="I315" t="n">
        <v>0</v>
      </c>
      <c r="J315" t="n">
        <v>0</v>
      </c>
      <c r="K315" t="n">
        <v>0</v>
      </c>
      <c r="L315" t="n">
        <v>0</v>
      </c>
      <c r="M315" t="n">
        <v>0</v>
      </c>
      <c r="N315" t="n">
        <v>0</v>
      </c>
      <c r="O315" t="n">
        <v>0</v>
      </c>
      <c r="P315" t="n">
        <v>0</v>
      </c>
      <c r="Q315" t="n">
        <v>0</v>
      </c>
      <c r="R315" s="2" t="inlineStr"/>
    </row>
    <row r="316" ht="15" customHeight="1">
      <c r="A316" t="inlineStr">
        <is>
          <t>A 21291-2021</t>
        </is>
      </c>
      <c r="B316" s="1" t="n">
        <v>44319</v>
      </c>
      <c r="C316" s="1" t="n">
        <v>45938</v>
      </c>
      <c r="D316" t="inlineStr">
        <is>
          <t>STOCKHOLMS LÄN</t>
        </is>
      </c>
      <c r="E316" t="inlineStr">
        <is>
          <t>NORRTÄLJE</t>
        </is>
      </c>
      <c r="G316" t="n">
        <v>12.7</v>
      </c>
      <c r="H316" t="n">
        <v>0</v>
      </c>
      <c r="I316" t="n">
        <v>0</v>
      </c>
      <c r="J316" t="n">
        <v>0</v>
      </c>
      <c r="K316" t="n">
        <v>0</v>
      </c>
      <c r="L316" t="n">
        <v>0</v>
      </c>
      <c r="M316" t="n">
        <v>0</v>
      </c>
      <c r="N316" t="n">
        <v>0</v>
      </c>
      <c r="O316" t="n">
        <v>0</v>
      </c>
      <c r="P316" t="n">
        <v>0</v>
      </c>
      <c r="Q316" t="n">
        <v>0</v>
      </c>
      <c r="R316" s="2" t="inlineStr"/>
    </row>
    <row r="317" ht="15" customHeight="1">
      <c r="A317" t="inlineStr">
        <is>
          <t>A 11854-2025</t>
        </is>
      </c>
      <c r="B317" s="1" t="n">
        <v>45728.38924768518</v>
      </c>
      <c r="C317" s="1" t="n">
        <v>45938</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14762-2024</t>
        </is>
      </c>
      <c r="B318" s="1" t="n">
        <v>45397</v>
      </c>
      <c r="C318" s="1" t="n">
        <v>45938</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45938</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45938</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13172-2025</t>
        </is>
      </c>
      <c r="B321" s="1" t="n">
        <v>45735.36873842592</v>
      </c>
      <c r="C321" s="1" t="n">
        <v>45938</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4484-2025</t>
        </is>
      </c>
      <c r="B322" s="1" t="n">
        <v>45686.65545138889</v>
      </c>
      <c r="C322" s="1" t="n">
        <v>45938</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33878-2024</t>
        </is>
      </c>
      <c r="B323" s="1" t="n">
        <v>45522.44414351852</v>
      </c>
      <c r="C323" s="1" t="n">
        <v>45938</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59712-2024</t>
        </is>
      </c>
      <c r="B324" s="1" t="n">
        <v>45639.45166666667</v>
      </c>
      <c r="C324" s="1" t="n">
        <v>45938</v>
      </c>
      <c r="D324" t="inlineStr">
        <is>
          <t>STOCKHOLMS LÄN</t>
        </is>
      </c>
      <c r="E324" t="inlineStr">
        <is>
          <t>NORRTÄLJE</t>
        </is>
      </c>
      <c r="G324" t="n">
        <v>4.4</v>
      </c>
      <c r="H324" t="n">
        <v>0</v>
      </c>
      <c r="I324" t="n">
        <v>0</v>
      </c>
      <c r="J324" t="n">
        <v>0</v>
      </c>
      <c r="K324" t="n">
        <v>0</v>
      </c>
      <c r="L324" t="n">
        <v>0</v>
      </c>
      <c r="M324" t="n">
        <v>0</v>
      </c>
      <c r="N324" t="n">
        <v>0</v>
      </c>
      <c r="O324" t="n">
        <v>0</v>
      </c>
      <c r="P324" t="n">
        <v>0</v>
      </c>
      <c r="Q324" t="n">
        <v>0</v>
      </c>
      <c r="R324" s="2" t="inlineStr"/>
    </row>
    <row r="325" ht="15" customHeight="1">
      <c r="A325" t="inlineStr">
        <is>
          <t>A 58661-2020</t>
        </is>
      </c>
      <c r="B325" s="1" t="n">
        <v>44145</v>
      </c>
      <c r="C325" s="1" t="n">
        <v>45938</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9246-2024</t>
        </is>
      </c>
      <c r="B326" s="1" t="n">
        <v>45357</v>
      </c>
      <c r="C326" s="1" t="n">
        <v>45938</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2732-2022</t>
        </is>
      </c>
      <c r="B327" s="1" t="n">
        <v>44580</v>
      </c>
      <c r="C327" s="1" t="n">
        <v>45938</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35698-2023</t>
        </is>
      </c>
      <c r="B328" s="1" t="n">
        <v>45147</v>
      </c>
      <c r="C328" s="1" t="n">
        <v>45938</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62398-2022</t>
        </is>
      </c>
      <c r="B329" s="1" t="n">
        <v>44923.90159722222</v>
      </c>
      <c r="C329" s="1" t="n">
        <v>45938</v>
      </c>
      <c r="D329" t="inlineStr">
        <is>
          <t>STOCKHOLMS LÄN</t>
        </is>
      </c>
      <c r="E329" t="inlineStr">
        <is>
          <t>NORRTÄLJE</t>
        </is>
      </c>
      <c r="G329" t="n">
        <v>4</v>
      </c>
      <c r="H329" t="n">
        <v>0</v>
      </c>
      <c r="I329" t="n">
        <v>0</v>
      </c>
      <c r="J329" t="n">
        <v>0</v>
      </c>
      <c r="K329" t="n">
        <v>0</v>
      </c>
      <c r="L329" t="n">
        <v>0</v>
      </c>
      <c r="M329" t="n">
        <v>0</v>
      </c>
      <c r="N329" t="n">
        <v>0</v>
      </c>
      <c r="O329" t="n">
        <v>0</v>
      </c>
      <c r="P329" t="n">
        <v>0</v>
      </c>
      <c r="Q329" t="n">
        <v>0</v>
      </c>
      <c r="R329" s="2" t="inlineStr"/>
    </row>
    <row r="330" ht="15" customHeight="1">
      <c r="A330" t="inlineStr">
        <is>
          <t>A 35127-2023</t>
        </is>
      </c>
      <c r="B330" s="1" t="n">
        <v>45145.51</v>
      </c>
      <c r="C330" s="1" t="n">
        <v>45938</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64145-2021</t>
        </is>
      </c>
      <c r="B331" s="1" t="n">
        <v>44510</v>
      </c>
      <c r="C331" s="1" t="n">
        <v>45938</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1740-2023</t>
        </is>
      </c>
      <c r="B332" s="1" t="n">
        <v>44938</v>
      </c>
      <c r="C332" s="1" t="n">
        <v>45938</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4596-2023</t>
        </is>
      </c>
      <c r="B333" s="1" t="n">
        <v>44956</v>
      </c>
      <c r="C333" s="1" t="n">
        <v>45938</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49700-2023</t>
        </is>
      </c>
      <c r="B334" s="1" t="n">
        <v>45212</v>
      </c>
      <c r="C334" s="1" t="n">
        <v>45938</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32071-2023</t>
        </is>
      </c>
      <c r="B335" s="1" t="n">
        <v>45119.57728009259</v>
      </c>
      <c r="C335" s="1" t="n">
        <v>45938</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1425-2025</t>
        </is>
      </c>
      <c r="B336" s="1" t="n">
        <v>45668.67446759259</v>
      </c>
      <c r="C336" s="1" t="n">
        <v>45938</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22816-2021</t>
        </is>
      </c>
      <c r="B337" s="1" t="n">
        <v>44325</v>
      </c>
      <c r="C337" s="1" t="n">
        <v>45938</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17775-2022</t>
        </is>
      </c>
      <c r="B338" s="1" t="n">
        <v>44682.78430555556</v>
      </c>
      <c r="C338" s="1" t="n">
        <v>45938</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10676-2025</t>
        </is>
      </c>
      <c r="B339" s="1" t="n">
        <v>45721.88684027778</v>
      </c>
      <c r="C339" s="1" t="n">
        <v>45938</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20852-2023</t>
        </is>
      </c>
      <c r="B340" s="1" t="n">
        <v>45058.78607638889</v>
      </c>
      <c r="C340" s="1" t="n">
        <v>45938</v>
      </c>
      <c r="D340" t="inlineStr">
        <is>
          <t>STOCKHOLMS LÄN</t>
        </is>
      </c>
      <c r="E340" t="inlineStr">
        <is>
          <t>NORRTÄLJE</t>
        </is>
      </c>
      <c r="G340" t="n">
        <v>3.5</v>
      </c>
      <c r="H340" t="n">
        <v>0</v>
      </c>
      <c r="I340" t="n">
        <v>0</v>
      </c>
      <c r="J340" t="n">
        <v>0</v>
      </c>
      <c r="K340" t="n">
        <v>0</v>
      </c>
      <c r="L340" t="n">
        <v>0</v>
      </c>
      <c r="M340" t="n">
        <v>0</v>
      </c>
      <c r="N340" t="n">
        <v>0</v>
      </c>
      <c r="O340" t="n">
        <v>0</v>
      </c>
      <c r="P340" t="n">
        <v>0</v>
      </c>
      <c r="Q340" t="n">
        <v>0</v>
      </c>
      <c r="R340" s="2" t="inlineStr"/>
    </row>
    <row r="341" ht="15" customHeight="1">
      <c r="A341" t="inlineStr">
        <is>
          <t>A 45255-2022</t>
        </is>
      </c>
      <c r="B341" s="1" t="n">
        <v>44840</v>
      </c>
      <c r="C341" s="1" t="n">
        <v>45938</v>
      </c>
      <c r="D341" t="inlineStr">
        <is>
          <t>STOCKHOLMS LÄN</t>
        </is>
      </c>
      <c r="E341" t="inlineStr">
        <is>
          <t>NORRTÄLJE</t>
        </is>
      </c>
      <c r="G341" t="n">
        <v>4.1</v>
      </c>
      <c r="H341" t="n">
        <v>0</v>
      </c>
      <c r="I341" t="n">
        <v>0</v>
      </c>
      <c r="J341" t="n">
        <v>0</v>
      </c>
      <c r="K341" t="n">
        <v>0</v>
      </c>
      <c r="L341" t="n">
        <v>0</v>
      </c>
      <c r="M341" t="n">
        <v>0</v>
      </c>
      <c r="N341" t="n">
        <v>0</v>
      </c>
      <c r="O341" t="n">
        <v>0</v>
      </c>
      <c r="P341" t="n">
        <v>0</v>
      </c>
      <c r="Q341" t="n">
        <v>0</v>
      </c>
      <c r="R341" s="2" t="inlineStr"/>
    </row>
    <row r="342" ht="15" customHeight="1">
      <c r="A342" t="inlineStr">
        <is>
          <t>A 22456-2023</t>
        </is>
      </c>
      <c r="B342" s="1" t="n">
        <v>45070</v>
      </c>
      <c r="C342" s="1" t="n">
        <v>45938</v>
      </c>
      <c r="D342" t="inlineStr">
        <is>
          <t>STOCKHOLMS LÄN</t>
        </is>
      </c>
      <c r="E342" t="inlineStr">
        <is>
          <t>NORRTÄLJE</t>
        </is>
      </c>
      <c r="G342" t="n">
        <v>3.1</v>
      </c>
      <c r="H342" t="n">
        <v>0</v>
      </c>
      <c r="I342" t="n">
        <v>0</v>
      </c>
      <c r="J342" t="n">
        <v>0</v>
      </c>
      <c r="K342" t="n">
        <v>0</v>
      </c>
      <c r="L342" t="n">
        <v>0</v>
      </c>
      <c r="M342" t="n">
        <v>0</v>
      </c>
      <c r="N342" t="n">
        <v>0</v>
      </c>
      <c r="O342" t="n">
        <v>0</v>
      </c>
      <c r="P342" t="n">
        <v>0</v>
      </c>
      <c r="Q342" t="n">
        <v>0</v>
      </c>
      <c r="R342" s="2" t="inlineStr"/>
    </row>
    <row r="343" ht="15" customHeight="1">
      <c r="A343" t="inlineStr">
        <is>
          <t>A 17785-2024</t>
        </is>
      </c>
      <c r="B343" s="1" t="n">
        <v>45418.6968287037</v>
      </c>
      <c r="C343" s="1" t="n">
        <v>45938</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38720-2022</t>
        </is>
      </c>
      <c r="B344" s="1" t="n">
        <v>44815.74539351852</v>
      </c>
      <c r="C344" s="1" t="n">
        <v>45938</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59893-2022</t>
        </is>
      </c>
      <c r="B345" s="1" t="n">
        <v>44908.77368055555</v>
      </c>
      <c r="C345" s="1" t="n">
        <v>45938</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10215-2023</t>
        </is>
      </c>
      <c r="B346" s="1" t="n">
        <v>44986.5887962963</v>
      </c>
      <c r="C346" s="1" t="n">
        <v>45938</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6678-2025</t>
        </is>
      </c>
      <c r="B347" s="1" t="n">
        <v>45700</v>
      </c>
      <c r="C347" s="1" t="n">
        <v>45938</v>
      </c>
      <c r="D347" t="inlineStr">
        <is>
          <t>STOCKHOLMS LÄN</t>
        </is>
      </c>
      <c r="E347" t="inlineStr">
        <is>
          <t>NORRTÄLJE</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39905-2023</t>
        </is>
      </c>
      <c r="B348" s="1" t="n">
        <v>45168.44489583333</v>
      </c>
      <c r="C348" s="1" t="n">
        <v>45938</v>
      </c>
      <c r="D348" t="inlineStr">
        <is>
          <t>STOCKHOLMS LÄN</t>
        </is>
      </c>
      <c r="E348" t="inlineStr">
        <is>
          <t>NORRTÄLJE</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45938</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5645-2023</t>
        </is>
      </c>
      <c r="B350" s="1" t="n">
        <v>44960.60469907407</v>
      </c>
      <c r="C350" s="1" t="n">
        <v>45938</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68361-2021</t>
        </is>
      </c>
      <c r="B351" s="1" t="n">
        <v>44528.91494212963</v>
      </c>
      <c r="C351" s="1" t="n">
        <v>45938</v>
      </c>
      <c r="D351" t="inlineStr">
        <is>
          <t>STOCKHOLMS LÄN</t>
        </is>
      </c>
      <c r="E351" t="inlineStr">
        <is>
          <t>NORRTÄLJE</t>
        </is>
      </c>
      <c r="G351" t="n">
        <v>1.9</v>
      </c>
      <c r="H351" t="n">
        <v>0</v>
      </c>
      <c r="I351" t="n">
        <v>0</v>
      </c>
      <c r="J351" t="n">
        <v>0</v>
      </c>
      <c r="K351" t="n">
        <v>0</v>
      </c>
      <c r="L351" t="n">
        <v>0</v>
      </c>
      <c r="M351" t="n">
        <v>0</v>
      </c>
      <c r="N351" t="n">
        <v>0</v>
      </c>
      <c r="O351" t="n">
        <v>0</v>
      </c>
      <c r="P351" t="n">
        <v>0</v>
      </c>
      <c r="Q351" t="n">
        <v>0</v>
      </c>
      <c r="R351" s="2" t="inlineStr"/>
    </row>
    <row r="352" ht="15" customHeight="1">
      <c r="A352" t="inlineStr">
        <is>
          <t>A 60529-2023</t>
        </is>
      </c>
      <c r="B352" s="1" t="n">
        <v>45259</v>
      </c>
      <c r="C352" s="1" t="n">
        <v>45938</v>
      </c>
      <c r="D352" t="inlineStr">
        <is>
          <t>STOCKHOLMS LÄN</t>
        </is>
      </c>
      <c r="E352" t="inlineStr">
        <is>
          <t>NORRTÄLJE</t>
        </is>
      </c>
      <c r="G352" t="n">
        <v>2.6</v>
      </c>
      <c r="H352" t="n">
        <v>0</v>
      </c>
      <c r="I352" t="n">
        <v>0</v>
      </c>
      <c r="J352" t="n">
        <v>0</v>
      </c>
      <c r="K352" t="n">
        <v>0</v>
      </c>
      <c r="L352" t="n">
        <v>0</v>
      </c>
      <c r="M352" t="n">
        <v>0</v>
      </c>
      <c r="N352" t="n">
        <v>0</v>
      </c>
      <c r="O352" t="n">
        <v>0</v>
      </c>
      <c r="P352" t="n">
        <v>0</v>
      </c>
      <c r="Q352" t="n">
        <v>0</v>
      </c>
      <c r="R352" s="2" t="inlineStr"/>
    </row>
    <row r="353" ht="15" customHeight="1">
      <c r="A353" t="inlineStr">
        <is>
          <t>A 19982-2022</t>
        </is>
      </c>
      <c r="B353" s="1" t="n">
        <v>44697</v>
      </c>
      <c r="C353" s="1" t="n">
        <v>45938</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20014-2025</t>
        </is>
      </c>
      <c r="B354" s="1" t="n">
        <v>45772.3078125</v>
      </c>
      <c r="C354" s="1" t="n">
        <v>45938</v>
      </c>
      <c r="D354" t="inlineStr">
        <is>
          <t>STOCKHOLMS LÄN</t>
        </is>
      </c>
      <c r="E354" t="inlineStr">
        <is>
          <t>NORRTÄLJE</t>
        </is>
      </c>
      <c r="G354" t="n">
        <v>4.4</v>
      </c>
      <c r="H354" t="n">
        <v>0</v>
      </c>
      <c r="I354" t="n">
        <v>0</v>
      </c>
      <c r="J354" t="n">
        <v>0</v>
      </c>
      <c r="K354" t="n">
        <v>0</v>
      </c>
      <c r="L354" t="n">
        <v>0</v>
      </c>
      <c r="M354" t="n">
        <v>0</v>
      </c>
      <c r="N354" t="n">
        <v>0</v>
      </c>
      <c r="O354" t="n">
        <v>0</v>
      </c>
      <c r="P354" t="n">
        <v>0</v>
      </c>
      <c r="Q354" t="n">
        <v>0</v>
      </c>
      <c r="R354" s="2" t="inlineStr"/>
    </row>
    <row r="355" ht="15" customHeight="1">
      <c r="A355" t="inlineStr">
        <is>
          <t>A 19706-2023</t>
        </is>
      </c>
      <c r="B355" s="1" t="n">
        <v>45051.455</v>
      </c>
      <c r="C355" s="1" t="n">
        <v>45938</v>
      </c>
      <c r="D355" t="inlineStr">
        <is>
          <t>STOCKHOLMS LÄN</t>
        </is>
      </c>
      <c r="E355" t="inlineStr">
        <is>
          <t>NORRTÄLJE</t>
        </is>
      </c>
      <c r="G355" t="n">
        <v>0.2</v>
      </c>
      <c r="H355" t="n">
        <v>0</v>
      </c>
      <c r="I355" t="n">
        <v>0</v>
      </c>
      <c r="J355" t="n">
        <v>0</v>
      </c>
      <c r="K355" t="n">
        <v>0</v>
      </c>
      <c r="L355" t="n">
        <v>0</v>
      </c>
      <c r="M355" t="n">
        <v>0</v>
      </c>
      <c r="N355" t="n">
        <v>0</v>
      </c>
      <c r="O355" t="n">
        <v>0</v>
      </c>
      <c r="P355" t="n">
        <v>0</v>
      </c>
      <c r="Q355" t="n">
        <v>0</v>
      </c>
      <c r="R355" s="2" t="inlineStr"/>
    </row>
    <row r="356" ht="15" customHeight="1">
      <c r="A356" t="inlineStr">
        <is>
          <t>A 42075-2023</t>
        </is>
      </c>
      <c r="B356" s="1" t="n">
        <v>45177</v>
      </c>
      <c r="C356" s="1" t="n">
        <v>45938</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18539-2021</t>
        </is>
      </c>
      <c r="B357" s="1" t="n">
        <v>44306</v>
      </c>
      <c r="C357" s="1" t="n">
        <v>45938</v>
      </c>
      <c r="D357" t="inlineStr">
        <is>
          <t>STOCKHOLMS LÄN</t>
        </is>
      </c>
      <c r="E357" t="inlineStr">
        <is>
          <t>NORRTÄLJE</t>
        </is>
      </c>
      <c r="F357" t="inlineStr">
        <is>
          <t>Holmen skog AB</t>
        </is>
      </c>
      <c r="G357" t="n">
        <v>5.5</v>
      </c>
      <c r="H357" t="n">
        <v>0</v>
      </c>
      <c r="I357" t="n">
        <v>0</v>
      </c>
      <c r="J357" t="n">
        <v>0</v>
      </c>
      <c r="K357" t="n">
        <v>0</v>
      </c>
      <c r="L357" t="n">
        <v>0</v>
      </c>
      <c r="M357" t="n">
        <v>0</v>
      </c>
      <c r="N357" t="n">
        <v>0</v>
      </c>
      <c r="O357" t="n">
        <v>0</v>
      </c>
      <c r="P357" t="n">
        <v>0</v>
      </c>
      <c r="Q357" t="n">
        <v>0</v>
      </c>
      <c r="R357" s="2" t="inlineStr"/>
    </row>
    <row r="358" ht="15" customHeight="1">
      <c r="A358" t="inlineStr">
        <is>
          <t>A 50108-2021</t>
        </is>
      </c>
      <c r="B358" s="1" t="n">
        <v>44456</v>
      </c>
      <c r="C358" s="1" t="n">
        <v>45938</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17612-2022</t>
        </is>
      </c>
      <c r="B359" s="1" t="n">
        <v>44680</v>
      </c>
      <c r="C359" s="1" t="n">
        <v>45938</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20136-2025</t>
        </is>
      </c>
      <c r="B360" s="1" t="n">
        <v>45772.51127314815</v>
      </c>
      <c r="C360" s="1" t="n">
        <v>45938</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16835-2022</t>
        </is>
      </c>
      <c r="B361" s="1" t="n">
        <v>44673</v>
      </c>
      <c r="C361" s="1" t="n">
        <v>45938</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62765-2022</t>
        </is>
      </c>
      <c r="B362" s="1" t="n">
        <v>44637</v>
      </c>
      <c r="C362" s="1" t="n">
        <v>45938</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58404-2023</t>
        </is>
      </c>
      <c r="B363" s="1" t="n">
        <v>45245</v>
      </c>
      <c r="C363" s="1" t="n">
        <v>45938</v>
      </c>
      <c r="D363" t="inlineStr">
        <is>
          <t>STOCKHOLMS LÄN</t>
        </is>
      </c>
      <c r="E363" t="inlineStr">
        <is>
          <t>NORRTÄLJE</t>
        </is>
      </c>
      <c r="G363" t="n">
        <v>53.5</v>
      </c>
      <c r="H363" t="n">
        <v>0</v>
      </c>
      <c r="I363" t="n">
        <v>0</v>
      </c>
      <c r="J363" t="n">
        <v>0</v>
      </c>
      <c r="K363" t="n">
        <v>0</v>
      </c>
      <c r="L363" t="n">
        <v>0</v>
      </c>
      <c r="M363" t="n">
        <v>0</v>
      </c>
      <c r="N363" t="n">
        <v>0</v>
      </c>
      <c r="O363" t="n">
        <v>0</v>
      </c>
      <c r="P363" t="n">
        <v>0</v>
      </c>
      <c r="Q363" t="n">
        <v>0</v>
      </c>
      <c r="R363" s="2" t="inlineStr"/>
    </row>
    <row r="364" ht="15" customHeight="1">
      <c r="A364" t="inlineStr">
        <is>
          <t>A 67921-2021</t>
        </is>
      </c>
      <c r="B364" s="1" t="n">
        <v>44525</v>
      </c>
      <c r="C364" s="1" t="n">
        <v>45938</v>
      </c>
      <c r="D364" t="inlineStr">
        <is>
          <t>STOCKHOLMS LÄN</t>
        </is>
      </c>
      <c r="E364" t="inlineStr">
        <is>
          <t>NORRTÄLJE</t>
        </is>
      </c>
      <c r="G364" t="n">
        <v>6.3</v>
      </c>
      <c r="H364" t="n">
        <v>0</v>
      </c>
      <c r="I364" t="n">
        <v>0</v>
      </c>
      <c r="J364" t="n">
        <v>0</v>
      </c>
      <c r="K364" t="n">
        <v>0</v>
      </c>
      <c r="L364" t="n">
        <v>0</v>
      </c>
      <c r="M364" t="n">
        <v>0</v>
      </c>
      <c r="N364" t="n">
        <v>0</v>
      </c>
      <c r="O364" t="n">
        <v>0</v>
      </c>
      <c r="P364" t="n">
        <v>0</v>
      </c>
      <c r="Q364" t="n">
        <v>0</v>
      </c>
      <c r="R364" s="2" t="inlineStr"/>
    </row>
    <row r="365" ht="15" customHeight="1">
      <c r="A365" t="inlineStr">
        <is>
          <t>A 8586-2023</t>
        </is>
      </c>
      <c r="B365" s="1" t="n">
        <v>44977</v>
      </c>
      <c r="C365" s="1" t="n">
        <v>45938</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50355-2024</t>
        </is>
      </c>
      <c r="B366" s="1" t="n">
        <v>45600.86128472222</v>
      </c>
      <c r="C366" s="1" t="n">
        <v>45938</v>
      </c>
      <c r="D366" t="inlineStr">
        <is>
          <t>STOCKHOLMS LÄN</t>
        </is>
      </c>
      <c r="E366" t="inlineStr">
        <is>
          <t>NORRTÄLJE</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68081-2020</t>
        </is>
      </c>
      <c r="B367" s="1" t="n">
        <v>44183</v>
      </c>
      <c r="C367" s="1" t="n">
        <v>45938</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2287-2024</t>
        </is>
      </c>
      <c r="B368" s="1" t="n">
        <v>45310</v>
      </c>
      <c r="C368" s="1" t="n">
        <v>45938</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13785-2024</t>
        </is>
      </c>
      <c r="B369" s="1" t="n">
        <v>45391.3395949074</v>
      </c>
      <c r="C369" s="1" t="n">
        <v>45938</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44917-2022</t>
        </is>
      </c>
      <c r="B370" s="1" t="n">
        <v>44841.52804398148</v>
      </c>
      <c r="C370" s="1" t="n">
        <v>45938</v>
      </c>
      <c r="D370" t="inlineStr">
        <is>
          <t>STOCKHOLMS LÄN</t>
        </is>
      </c>
      <c r="E370" t="inlineStr">
        <is>
          <t>NORRTÄLJE</t>
        </is>
      </c>
      <c r="F370" t="inlineStr">
        <is>
          <t>Holmen skog AB</t>
        </is>
      </c>
      <c r="G370" t="n">
        <v>3.3</v>
      </c>
      <c r="H370" t="n">
        <v>0</v>
      </c>
      <c r="I370" t="n">
        <v>0</v>
      </c>
      <c r="J370" t="n">
        <v>0</v>
      </c>
      <c r="K370" t="n">
        <v>0</v>
      </c>
      <c r="L370" t="n">
        <v>0</v>
      </c>
      <c r="M370" t="n">
        <v>0</v>
      </c>
      <c r="N370" t="n">
        <v>0</v>
      </c>
      <c r="O370" t="n">
        <v>0</v>
      </c>
      <c r="P370" t="n">
        <v>0</v>
      </c>
      <c r="Q370" t="n">
        <v>0</v>
      </c>
      <c r="R370" s="2" t="inlineStr"/>
    </row>
    <row r="371" ht="15" customHeight="1">
      <c r="A371" t="inlineStr">
        <is>
          <t>A 16202-2022</t>
        </is>
      </c>
      <c r="B371" s="1" t="n">
        <v>44670</v>
      </c>
      <c r="C371" s="1" t="n">
        <v>45938</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50469-2022</t>
        </is>
      </c>
      <c r="B372" s="1" t="n">
        <v>44866.49827546296</v>
      </c>
      <c r="C372" s="1" t="n">
        <v>45938</v>
      </c>
      <c r="D372" t="inlineStr">
        <is>
          <t>STOCKHOLMS LÄN</t>
        </is>
      </c>
      <c r="E372" t="inlineStr">
        <is>
          <t>NORRTÄLJE</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51116-2022</t>
        </is>
      </c>
      <c r="B373" s="1" t="n">
        <v>44868.45741898148</v>
      </c>
      <c r="C373" s="1" t="n">
        <v>45938</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55018-2024</t>
        </is>
      </c>
      <c r="B374" s="1" t="n">
        <v>45621.35712962963</v>
      </c>
      <c r="C374" s="1" t="n">
        <v>45938</v>
      </c>
      <c r="D374" t="inlineStr">
        <is>
          <t>STOCKHOLMS LÄN</t>
        </is>
      </c>
      <c r="E374" t="inlineStr">
        <is>
          <t>NORRTÄLJE</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55058-2021</t>
        </is>
      </c>
      <c r="B375" s="1" t="n">
        <v>44474.62141203704</v>
      </c>
      <c r="C375" s="1" t="n">
        <v>45938</v>
      </c>
      <c r="D375" t="inlineStr">
        <is>
          <t>STOCKHOLMS LÄN</t>
        </is>
      </c>
      <c r="E375" t="inlineStr">
        <is>
          <t>NORRTÄLJE</t>
        </is>
      </c>
      <c r="G375" t="n">
        <v>1.9</v>
      </c>
      <c r="H375" t="n">
        <v>0</v>
      </c>
      <c r="I375" t="n">
        <v>0</v>
      </c>
      <c r="J375" t="n">
        <v>0</v>
      </c>
      <c r="K375" t="n">
        <v>0</v>
      </c>
      <c r="L375" t="n">
        <v>0</v>
      </c>
      <c r="M375" t="n">
        <v>0</v>
      </c>
      <c r="N375" t="n">
        <v>0</v>
      </c>
      <c r="O375" t="n">
        <v>0</v>
      </c>
      <c r="P375" t="n">
        <v>0</v>
      </c>
      <c r="Q375" t="n">
        <v>0</v>
      </c>
      <c r="R375" s="2" t="inlineStr"/>
    </row>
    <row r="376" ht="15" customHeight="1">
      <c r="A376" t="inlineStr">
        <is>
          <t>A 50136-2023</t>
        </is>
      </c>
      <c r="B376" s="1" t="n">
        <v>45215</v>
      </c>
      <c r="C376" s="1" t="n">
        <v>45938</v>
      </c>
      <c r="D376" t="inlineStr">
        <is>
          <t>STOCKHOLMS LÄN</t>
        </is>
      </c>
      <c r="E376" t="inlineStr">
        <is>
          <t>NORRTÄLJE</t>
        </is>
      </c>
      <c r="G376" t="n">
        <v>5.2</v>
      </c>
      <c r="H376" t="n">
        <v>0</v>
      </c>
      <c r="I376" t="n">
        <v>0</v>
      </c>
      <c r="J376" t="n">
        <v>0</v>
      </c>
      <c r="K376" t="n">
        <v>0</v>
      </c>
      <c r="L376" t="n">
        <v>0</v>
      </c>
      <c r="M376" t="n">
        <v>0</v>
      </c>
      <c r="N376" t="n">
        <v>0</v>
      </c>
      <c r="O376" t="n">
        <v>0</v>
      </c>
      <c r="P376" t="n">
        <v>0</v>
      </c>
      <c r="Q376" t="n">
        <v>0</v>
      </c>
      <c r="R376" s="2" t="inlineStr"/>
    </row>
    <row r="377" ht="15" customHeight="1">
      <c r="A377" t="inlineStr">
        <is>
          <t>A 25656-2023</t>
        </is>
      </c>
      <c r="B377" s="1" t="n">
        <v>45089</v>
      </c>
      <c r="C377" s="1" t="n">
        <v>45938</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6003-2025</t>
        </is>
      </c>
      <c r="B378" s="1" t="n">
        <v>45695.57881944445</v>
      </c>
      <c r="C378" s="1" t="n">
        <v>45938</v>
      </c>
      <c r="D378" t="inlineStr">
        <is>
          <t>STOCKHOLMS LÄN</t>
        </is>
      </c>
      <c r="E378" t="inlineStr">
        <is>
          <t>NORRTÄLJE</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60217-2021</t>
        </is>
      </c>
      <c r="B379" s="1" t="n">
        <v>44495.5893287037</v>
      </c>
      <c r="C379" s="1" t="n">
        <v>45938</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5839-2023</t>
        </is>
      </c>
      <c r="B380" s="1" t="n">
        <v>44963</v>
      </c>
      <c r="C380" s="1" t="n">
        <v>45938</v>
      </c>
      <c r="D380" t="inlineStr">
        <is>
          <t>STOCKHOLMS LÄN</t>
        </is>
      </c>
      <c r="E380" t="inlineStr">
        <is>
          <t>NORRTÄLJE</t>
        </is>
      </c>
      <c r="G380" t="n">
        <v>3.6</v>
      </c>
      <c r="H380" t="n">
        <v>0</v>
      </c>
      <c r="I380" t="n">
        <v>0</v>
      </c>
      <c r="J380" t="n">
        <v>0</v>
      </c>
      <c r="K380" t="n">
        <v>0</v>
      </c>
      <c r="L380" t="n">
        <v>0</v>
      </c>
      <c r="M380" t="n">
        <v>0</v>
      </c>
      <c r="N380" t="n">
        <v>0</v>
      </c>
      <c r="O380" t="n">
        <v>0</v>
      </c>
      <c r="P380" t="n">
        <v>0</v>
      </c>
      <c r="Q380" t="n">
        <v>0</v>
      </c>
      <c r="R380" s="2" t="inlineStr"/>
    </row>
    <row r="381" ht="15" customHeight="1">
      <c r="A381" t="inlineStr">
        <is>
          <t>A 55012-2024</t>
        </is>
      </c>
      <c r="B381" s="1" t="n">
        <v>45621.34813657407</v>
      </c>
      <c r="C381" s="1" t="n">
        <v>45938</v>
      </c>
      <c r="D381" t="inlineStr">
        <is>
          <t>STOCKHOLMS LÄN</t>
        </is>
      </c>
      <c r="E381" t="inlineStr">
        <is>
          <t>NORRTÄLJE</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11902-2024</t>
        </is>
      </c>
      <c r="B382" s="1" t="n">
        <v>45376.55704861111</v>
      </c>
      <c r="C382" s="1" t="n">
        <v>45938</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65499-2021</t>
        </is>
      </c>
      <c r="B383" s="1" t="n">
        <v>44516</v>
      </c>
      <c r="C383" s="1" t="n">
        <v>45938</v>
      </c>
      <c r="D383" t="inlineStr">
        <is>
          <t>STOCKHOLMS LÄN</t>
        </is>
      </c>
      <c r="E383" t="inlineStr">
        <is>
          <t>NORRTÄLJE</t>
        </is>
      </c>
      <c r="F383" t="inlineStr">
        <is>
          <t>Kommuner</t>
        </is>
      </c>
      <c r="G383" t="n">
        <v>5.2</v>
      </c>
      <c r="H383" t="n">
        <v>0</v>
      </c>
      <c r="I383" t="n">
        <v>0</v>
      </c>
      <c r="J383" t="n">
        <v>0</v>
      </c>
      <c r="K383" t="n">
        <v>0</v>
      </c>
      <c r="L383" t="n">
        <v>0</v>
      </c>
      <c r="M383" t="n">
        <v>0</v>
      </c>
      <c r="N383" t="n">
        <v>0</v>
      </c>
      <c r="O383" t="n">
        <v>0</v>
      </c>
      <c r="P383" t="n">
        <v>0</v>
      </c>
      <c r="Q383" t="n">
        <v>0</v>
      </c>
      <c r="R383" s="2" t="inlineStr"/>
    </row>
    <row r="384" ht="15" customHeight="1">
      <c r="A384" t="inlineStr">
        <is>
          <t>A 38049-2023</t>
        </is>
      </c>
      <c r="B384" s="1" t="n">
        <v>45159</v>
      </c>
      <c r="C384" s="1" t="n">
        <v>45938</v>
      </c>
      <c r="D384" t="inlineStr">
        <is>
          <t>STOCKHOLMS LÄN</t>
        </is>
      </c>
      <c r="E384" t="inlineStr">
        <is>
          <t>NORRTÄLJE</t>
        </is>
      </c>
      <c r="G384" t="n">
        <v>3.6</v>
      </c>
      <c r="H384" t="n">
        <v>0</v>
      </c>
      <c r="I384" t="n">
        <v>0</v>
      </c>
      <c r="J384" t="n">
        <v>0</v>
      </c>
      <c r="K384" t="n">
        <v>0</v>
      </c>
      <c r="L384" t="n">
        <v>0</v>
      </c>
      <c r="M384" t="n">
        <v>0</v>
      </c>
      <c r="N384" t="n">
        <v>0</v>
      </c>
      <c r="O384" t="n">
        <v>0</v>
      </c>
      <c r="P384" t="n">
        <v>0</v>
      </c>
      <c r="Q384" t="n">
        <v>0</v>
      </c>
      <c r="R384" s="2" t="inlineStr"/>
    </row>
    <row r="385" ht="15" customHeight="1">
      <c r="A385" t="inlineStr">
        <is>
          <t>A 59535-2024</t>
        </is>
      </c>
      <c r="B385" s="1" t="n">
        <v>45638.59979166667</v>
      </c>
      <c r="C385" s="1" t="n">
        <v>45938</v>
      </c>
      <c r="D385" t="inlineStr">
        <is>
          <t>STOCKHOLMS LÄN</t>
        </is>
      </c>
      <c r="E385" t="inlineStr">
        <is>
          <t>NORRTÄLJE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58493-2020</t>
        </is>
      </c>
      <c r="B386" s="1" t="n">
        <v>44145</v>
      </c>
      <c r="C386" s="1" t="n">
        <v>45938</v>
      </c>
      <c r="D386" t="inlineStr">
        <is>
          <t>STOCKHOLMS LÄN</t>
        </is>
      </c>
      <c r="E386" t="inlineStr">
        <is>
          <t>NORRTÄLJE</t>
        </is>
      </c>
      <c r="G386" t="n">
        <v>2.8</v>
      </c>
      <c r="H386" t="n">
        <v>0</v>
      </c>
      <c r="I386" t="n">
        <v>0</v>
      </c>
      <c r="J386" t="n">
        <v>0</v>
      </c>
      <c r="K386" t="n">
        <v>0</v>
      </c>
      <c r="L386" t="n">
        <v>0</v>
      </c>
      <c r="M386" t="n">
        <v>0</v>
      </c>
      <c r="N386" t="n">
        <v>0</v>
      </c>
      <c r="O386" t="n">
        <v>0</v>
      </c>
      <c r="P386" t="n">
        <v>0</v>
      </c>
      <c r="Q386" t="n">
        <v>0</v>
      </c>
      <c r="R386" s="2" t="inlineStr"/>
    </row>
    <row r="387" ht="15" customHeight="1">
      <c r="A387" t="inlineStr">
        <is>
          <t>A 38985-2022</t>
        </is>
      </c>
      <c r="B387" s="1" t="n">
        <v>44816</v>
      </c>
      <c r="C387" s="1" t="n">
        <v>45938</v>
      </c>
      <c r="D387" t="inlineStr">
        <is>
          <t>STOCKHOLMS LÄN</t>
        </is>
      </c>
      <c r="E387" t="inlineStr">
        <is>
          <t>NORRTÄLJE</t>
        </is>
      </c>
      <c r="G387" t="n">
        <v>10.1</v>
      </c>
      <c r="H387" t="n">
        <v>0</v>
      </c>
      <c r="I387" t="n">
        <v>0</v>
      </c>
      <c r="J387" t="n">
        <v>0</v>
      </c>
      <c r="K387" t="n">
        <v>0</v>
      </c>
      <c r="L387" t="n">
        <v>0</v>
      </c>
      <c r="M387" t="n">
        <v>0</v>
      </c>
      <c r="N387" t="n">
        <v>0</v>
      </c>
      <c r="O387" t="n">
        <v>0</v>
      </c>
      <c r="P387" t="n">
        <v>0</v>
      </c>
      <c r="Q387" t="n">
        <v>0</v>
      </c>
      <c r="R387" s="2" t="inlineStr"/>
    </row>
    <row r="388" ht="15" customHeight="1">
      <c r="A388" t="inlineStr">
        <is>
          <t>A 4183-2025</t>
        </is>
      </c>
      <c r="B388" s="1" t="n">
        <v>45685.44592592592</v>
      </c>
      <c r="C388" s="1" t="n">
        <v>45938</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7413-2024</t>
        </is>
      </c>
      <c r="B389" s="1" t="n">
        <v>45345.6059837963</v>
      </c>
      <c r="C389" s="1" t="n">
        <v>45938</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12251-2025</t>
        </is>
      </c>
      <c r="B390" s="1" t="n">
        <v>45729.60859953704</v>
      </c>
      <c r="C390" s="1" t="n">
        <v>45938</v>
      </c>
      <c r="D390" t="inlineStr">
        <is>
          <t>STOCKHOLMS LÄN</t>
        </is>
      </c>
      <c r="E390" t="inlineStr">
        <is>
          <t>NORRTÄLJE</t>
        </is>
      </c>
      <c r="F390" t="inlineStr">
        <is>
          <t>Holmen skog AB</t>
        </is>
      </c>
      <c r="G390" t="n">
        <v>5.9</v>
      </c>
      <c r="H390" t="n">
        <v>0</v>
      </c>
      <c r="I390" t="n">
        <v>0</v>
      </c>
      <c r="J390" t="n">
        <v>0</v>
      </c>
      <c r="K390" t="n">
        <v>0</v>
      </c>
      <c r="L390" t="n">
        <v>0</v>
      </c>
      <c r="M390" t="n">
        <v>0</v>
      </c>
      <c r="N390" t="n">
        <v>0</v>
      </c>
      <c r="O390" t="n">
        <v>0</v>
      </c>
      <c r="P390" t="n">
        <v>0</v>
      </c>
      <c r="Q390" t="n">
        <v>0</v>
      </c>
      <c r="R390" s="2" t="inlineStr"/>
    </row>
    <row r="391" ht="15" customHeight="1">
      <c r="A391" t="inlineStr">
        <is>
          <t>A 58863-2024</t>
        </is>
      </c>
      <c r="B391" s="1" t="n">
        <v>45636.41572916666</v>
      </c>
      <c r="C391" s="1" t="n">
        <v>45938</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9480-2025</t>
        </is>
      </c>
      <c r="B392" s="1" t="n">
        <v>45715</v>
      </c>
      <c r="C392" s="1" t="n">
        <v>45938</v>
      </c>
      <c r="D392" t="inlineStr">
        <is>
          <t>STOCKHOLMS LÄN</t>
        </is>
      </c>
      <c r="E392" t="inlineStr">
        <is>
          <t>NORRTÄLJE</t>
        </is>
      </c>
      <c r="F392" t="inlineStr">
        <is>
          <t>Övriga Aktiebolag</t>
        </is>
      </c>
      <c r="G392" t="n">
        <v>3.9</v>
      </c>
      <c r="H392" t="n">
        <v>0</v>
      </c>
      <c r="I392" t="n">
        <v>0</v>
      </c>
      <c r="J392" t="n">
        <v>0</v>
      </c>
      <c r="K392" t="n">
        <v>0</v>
      </c>
      <c r="L392" t="n">
        <v>0</v>
      </c>
      <c r="M392" t="n">
        <v>0</v>
      </c>
      <c r="N392" t="n">
        <v>0</v>
      </c>
      <c r="O392" t="n">
        <v>0</v>
      </c>
      <c r="P392" t="n">
        <v>0</v>
      </c>
      <c r="Q392" t="n">
        <v>0</v>
      </c>
      <c r="R392" s="2" t="inlineStr"/>
    </row>
    <row r="393" ht="15" customHeight="1">
      <c r="A393" t="inlineStr">
        <is>
          <t>A 50154-2024</t>
        </is>
      </c>
      <c r="B393" s="1" t="n">
        <v>45600.4558912037</v>
      </c>
      <c r="C393" s="1" t="n">
        <v>45938</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5665-2025</t>
        </is>
      </c>
      <c r="B394" s="1" t="n">
        <v>45693</v>
      </c>
      <c r="C394" s="1" t="n">
        <v>45938</v>
      </c>
      <c r="D394" t="inlineStr">
        <is>
          <t>STOCKHOLMS LÄN</t>
        </is>
      </c>
      <c r="E394" t="inlineStr">
        <is>
          <t>NORRTÄLJE</t>
        </is>
      </c>
      <c r="G394" t="n">
        <v>4</v>
      </c>
      <c r="H394" t="n">
        <v>0</v>
      </c>
      <c r="I394" t="n">
        <v>0</v>
      </c>
      <c r="J394" t="n">
        <v>0</v>
      </c>
      <c r="K394" t="n">
        <v>0</v>
      </c>
      <c r="L394" t="n">
        <v>0</v>
      </c>
      <c r="M394" t="n">
        <v>0</v>
      </c>
      <c r="N394" t="n">
        <v>0</v>
      </c>
      <c r="O394" t="n">
        <v>0</v>
      </c>
      <c r="P394" t="n">
        <v>0</v>
      </c>
      <c r="Q394" t="n">
        <v>0</v>
      </c>
      <c r="R394" s="2" t="inlineStr"/>
    </row>
    <row r="395" ht="15" customHeight="1">
      <c r="A395" t="inlineStr">
        <is>
          <t>A 3426-2025</t>
        </is>
      </c>
      <c r="B395" s="1" t="n">
        <v>45680.42665509259</v>
      </c>
      <c r="C395" s="1" t="n">
        <v>45938</v>
      </c>
      <c r="D395" t="inlineStr">
        <is>
          <t>STOCKHOLMS LÄN</t>
        </is>
      </c>
      <c r="E395" t="inlineStr">
        <is>
          <t>NORRTÄLJE</t>
        </is>
      </c>
      <c r="G395" t="n">
        <v>3.2</v>
      </c>
      <c r="H395" t="n">
        <v>0</v>
      </c>
      <c r="I395" t="n">
        <v>0</v>
      </c>
      <c r="J395" t="n">
        <v>0</v>
      </c>
      <c r="K395" t="n">
        <v>0</v>
      </c>
      <c r="L395" t="n">
        <v>0</v>
      </c>
      <c r="M395" t="n">
        <v>0</v>
      </c>
      <c r="N395" t="n">
        <v>0</v>
      </c>
      <c r="O395" t="n">
        <v>0</v>
      </c>
      <c r="P395" t="n">
        <v>0</v>
      </c>
      <c r="Q395" t="n">
        <v>0</v>
      </c>
      <c r="R395" s="2" t="inlineStr"/>
    </row>
    <row r="396" ht="15" customHeight="1">
      <c r="A396" t="inlineStr">
        <is>
          <t>A 11900-2024</t>
        </is>
      </c>
      <c r="B396" s="1" t="n">
        <v>45376.55484953704</v>
      </c>
      <c r="C396" s="1" t="n">
        <v>45938</v>
      </c>
      <c r="D396" t="inlineStr">
        <is>
          <t>STOCKHOLMS LÄN</t>
        </is>
      </c>
      <c r="E396" t="inlineStr">
        <is>
          <t>NORRTÄLJE</t>
        </is>
      </c>
      <c r="G396" t="n">
        <v>4.2</v>
      </c>
      <c r="H396" t="n">
        <v>0</v>
      </c>
      <c r="I396" t="n">
        <v>0</v>
      </c>
      <c r="J396" t="n">
        <v>0</v>
      </c>
      <c r="K396" t="n">
        <v>0</v>
      </c>
      <c r="L396" t="n">
        <v>0</v>
      </c>
      <c r="M396" t="n">
        <v>0</v>
      </c>
      <c r="N396" t="n">
        <v>0</v>
      </c>
      <c r="O396" t="n">
        <v>0</v>
      </c>
      <c r="P396" t="n">
        <v>0</v>
      </c>
      <c r="Q396" t="n">
        <v>0</v>
      </c>
      <c r="R396" s="2" t="inlineStr"/>
    </row>
    <row r="397" ht="15" customHeight="1">
      <c r="A397" t="inlineStr">
        <is>
          <t>A 58530-2024</t>
        </is>
      </c>
      <c r="B397" s="1" t="n">
        <v>45635.44788194444</v>
      </c>
      <c r="C397" s="1" t="n">
        <v>45938</v>
      </c>
      <c r="D397" t="inlineStr">
        <is>
          <t>STOCKHOLMS LÄN</t>
        </is>
      </c>
      <c r="E397" t="inlineStr">
        <is>
          <t>NORRTÄLJE</t>
        </is>
      </c>
      <c r="G397" t="n">
        <v>4.5</v>
      </c>
      <c r="H397" t="n">
        <v>0</v>
      </c>
      <c r="I397" t="n">
        <v>0</v>
      </c>
      <c r="J397" t="n">
        <v>0</v>
      </c>
      <c r="K397" t="n">
        <v>0</v>
      </c>
      <c r="L397" t="n">
        <v>0</v>
      </c>
      <c r="M397" t="n">
        <v>0</v>
      </c>
      <c r="N397" t="n">
        <v>0</v>
      </c>
      <c r="O397" t="n">
        <v>0</v>
      </c>
      <c r="P397" t="n">
        <v>0</v>
      </c>
      <c r="Q397" t="n">
        <v>0</v>
      </c>
      <c r="R397" s="2" t="inlineStr"/>
    </row>
    <row r="398" ht="15" customHeight="1">
      <c r="A398" t="inlineStr">
        <is>
          <t>A 22421-2021</t>
        </is>
      </c>
      <c r="B398" s="1" t="n">
        <v>44326</v>
      </c>
      <c r="C398" s="1" t="n">
        <v>45938</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24522-2023</t>
        </is>
      </c>
      <c r="B399" s="1" t="n">
        <v>45082.69179398148</v>
      </c>
      <c r="C399" s="1" t="n">
        <v>45938</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25625-2023</t>
        </is>
      </c>
      <c r="B400" s="1" t="n">
        <v>45089</v>
      </c>
      <c r="C400" s="1" t="n">
        <v>45938</v>
      </c>
      <c r="D400" t="inlineStr">
        <is>
          <t>STOCKHOLMS LÄN</t>
        </is>
      </c>
      <c r="E400" t="inlineStr">
        <is>
          <t>NORRTÄLJE</t>
        </is>
      </c>
      <c r="G400" t="n">
        <v>5.5</v>
      </c>
      <c r="H400" t="n">
        <v>0</v>
      </c>
      <c r="I400" t="n">
        <v>0</v>
      </c>
      <c r="J400" t="n">
        <v>0</v>
      </c>
      <c r="K400" t="n">
        <v>0</v>
      </c>
      <c r="L400" t="n">
        <v>0</v>
      </c>
      <c r="M400" t="n">
        <v>0</v>
      </c>
      <c r="N400" t="n">
        <v>0</v>
      </c>
      <c r="O400" t="n">
        <v>0</v>
      </c>
      <c r="P400" t="n">
        <v>0</v>
      </c>
      <c r="Q400" t="n">
        <v>0</v>
      </c>
      <c r="R400" s="2" t="inlineStr"/>
    </row>
    <row r="401" ht="15" customHeight="1">
      <c r="A401" t="inlineStr">
        <is>
          <t>A 42867-2022</t>
        </is>
      </c>
      <c r="B401" s="1" t="n">
        <v>44832</v>
      </c>
      <c r="C401" s="1" t="n">
        <v>45938</v>
      </c>
      <c r="D401" t="inlineStr">
        <is>
          <t>STOCKHOLMS LÄN</t>
        </is>
      </c>
      <c r="E401" t="inlineStr">
        <is>
          <t>NORRTÄLJE</t>
        </is>
      </c>
      <c r="G401" t="n">
        <v>6.4</v>
      </c>
      <c r="H401" t="n">
        <v>0</v>
      </c>
      <c r="I401" t="n">
        <v>0</v>
      </c>
      <c r="J401" t="n">
        <v>0</v>
      </c>
      <c r="K401" t="n">
        <v>0</v>
      </c>
      <c r="L401" t="n">
        <v>0</v>
      </c>
      <c r="M401" t="n">
        <v>0</v>
      </c>
      <c r="N401" t="n">
        <v>0</v>
      </c>
      <c r="O401" t="n">
        <v>0</v>
      </c>
      <c r="P401" t="n">
        <v>0</v>
      </c>
      <c r="Q401" t="n">
        <v>0</v>
      </c>
      <c r="R401" s="2" t="inlineStr"/>
    </row>
    <row r="402" ht="15" customHeight="1">
      <c r="A402" t="inlineStr">
        <is>
          <t>A 38720-2025</t>
        </is>
      </c>
      <c r="B402" s="1" t="n">
        <v>45886</v>
      </c>
      <c r="C402" s="1" t="n">
        <v>45938</v>
      </c>
      <c r="D402" t="inlineStr">
        <is>
          <t>STOCKHOLMS LÄN</t>
        </is>
      </c>
      <c r="E402" t="inlineStr">
        <is>
          <t>NORRTÄLJE</t>
        </is>
      </c>
      <c r="G402" t="n">
        <v>1.6</v>
      </c>
      <c r="H402" t="n">
        <v>0</v>
      </c>
      <c r="I402" t="n">
        <v>0</v>
      </c>
      <c r="J402" t="n">
        <v>0</v>
      </c>
      <c r="K402" t="n">
        <v>0</v>
      </c>
      <c r="L402" t="n">
        <v>0</v>
      </c>
      <c r="M402" t="n">
        <v>0</v>
      </c>
      <c r="N402" t="n">
        <v>0</v>
      </c>
      <c r="O402" t="n">
        <v>0</v>
      </c>
      <c r="P402" t="n">
        <v>0</v>
      </c>
      <c r="Q402" t="n">
        <v>0</v>
      </c>
      <c r="R402" s="2" t="inlineStr"/>
    </row>
    <row r="403" ht="15" customHeight="1">
      <c r="A403" t="inlineStr">
        <is>
          <t>A 40761-2024</t>
        </is>
      </c>
      <c r="B403" s="1" t="n">
        <v>45558.46283564815</v>
      </c>
      <c r="C403" s="1" t="n">
        <v>45938</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37147-2023</t>
        </is>
      </c>
      <c r="B404" s="1" t="n">
        <v>45155</v>
      </c>
      <c r="C404" s="1" t="n">
        <v>45938</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7186-2024</t>
        </is>
      </c>
      <c r="B405" s="1" t="n">
        <v>45344</v>
      </c>
      <c r="C405" s="1" t="n">
        <v>45938</v>
      </c>
      <c r="D405" t="inlineStr">
        <is>
          <t>STOCKHOLMS LÄN</t>
        </is>
      </c>
      <c r="E405" t="inlineStr">
        <is>
          <t>NORRTÄLJE</t>
        </is>
      </c>
      <c r="G405" t="n">
        <v>4.9</v>
      </c>
      <c r="H405" t="n">
        <v>0</v>
      </c>
      <c r="I405" t="n">
        <v>0</v>
      </c>
      <c r="J405" t="n">
        <v>0</v>
      </c>
      <c r="K405" t="n">
        <v>0</v>
      </c>
      <c r="L405" t="n">
        <v>0</v>
      </c>
      <c r="M405" t="n">
        <v>0</v>
      </c>
      <c r="N405" t="n">
        <v>0</v>
      </c>
      <c r="O405" t="n">
        <v>0</v>
      </c>
      <c r="P405" t="n">
        <v>0</v>
      </c>
      <c r="Q405" t="n">
        <v>0</v>
      </c>
      <c r="R405" s="2" t="inlineStr"/>
    </row>
    <row r="406" ht="15" customHeight="1">
      <c r="A406" t="inlineStr">
        <is>
          <t>A 46900-2025</t>
        </is>
      </c>
      <c r="B406" s="1" t="n">
        <v>45929.38712962963</v>
      </c>
      <c r="C406" s="1" t="n">
        <v>45938</v>
      </c>
      <c r="D406" t="inlineStr">
        <is>
          <t>STOCKHOLMS LÄN</t>
        </is>
      </c>
      <c r="E406" t="inlineStr">
        <is>
          <t>NORRTÄLJE</t>
        </is>
      </c>
      <c r="F406" t="inlineStr">
        <is>
          <t>Holmen skog AB</t>
        </is>
      </c>
      <c r="G406" t="n">
        <v>6.2</v>
      </c>
      <c r="H406" t="n">
        <v>0</v>
      </c>
      <c r="I406" t="n">
        <v>0</v>
      </c>
      <c r="J406" t="n">
        <v>0</v>
      </c>
      <c r="K406" t="n">
        <v>0</v>
      </c>
      <c r="L406" t="n">
        <v>0</v>
      </c>
      <c r="M406" t="n">
        <v>0</v>
      </c>
      <c r="N406" t="n">
        <v>0</v>
      </c>
      <c r="O406" t="n">
        <v>0</v>
      </c>
      <c r="P406" t="n">
        <v>0</v>
      </c>
      <c r="Q406" t="n">
        <v>0</v>
      </c>
      <c r="R406" s="2" t="inlineStr"/>
    </row>
    <row r="407" ht="15" customHeight="1">
      <c r="A407" t="inlineStr">
        <is>
          <t>A 23749-2024</t>
        </is>
      </c>
      <c r="B407" s="1" t="n">
        <v>45455.33037037037</v>
      </c>
      <c r="C407" s="1" t="n">
        <v>45938</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58277-2023</t>
        </is>
      </c>
      <c r="B408" s="1" t="n">
        <v>45245</v>
      </c>
      <c r="C408" s="1" t="n">
        <v>45938</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57602-2024</t>
        </is>
      </c>
      <c r="B409" s="1" t="n">
        <v>45630.52866898148</v>
      </c>
      <c r="C409" s="1" t="n">
        <v>45938</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64600-2021</t>
        </is>
      </c>
      <c r="B410" s="1" t="n">
        <v>44511.70518518519</v>
      </c>
      <c r="C410" s="1" t="n">
        <v>45938</v>
      </c>
      <c r="D410" t="inlineStr">
        <is>
          <t>STOCKHOLMS LÄN</t>
        </is>
      </c>
      <c r="E410" t="inlineStr">
        <is>
          <t>NORRTÄLJE</t>
        </is>
      </c>
      <c r="G410" t="n">
        <v>6.2</v>
      </c>
      <c r="H410" t="n">
        <v>0</v>
      </c>
      <c r="I410" t="n">
        <v>0</v>
      </c>
      <c r="J410" t="n">
        <v>0</v>
      </c>
      <c r="K410" t="n">
        <v>0</v>
      </c>
      <c r="L410" t="n">
        <v>0</v>
      </c>
      <c r="M410" t="n">
        <v>0</v>
      </c>
      <c r="N410" t="n">
        <v>0</v>
      </c>
      <c r="O410" t="n">
        <v>0</v>
      </c>
      <c r="P410" t="n">
        <v>0</v>
      </c>
      <c r="Q410" t="n">
        <v>0</v>
      </c>
      <c r="R410" s="2" t="inlineStr"/>
    </row>
    <row r="411" ht="15" customHeight="1">
      <c r="A411" t="inlineStr">
        <is>
          <t>A 50602-2021</t>
        </is>
      </c>
      <c r="B411" s="1" t="n">
        <v>44459</v>
      </c>
      <c r="C411" s="1" t="n">
        <v>45938</v>
      </c>
      <c r="D411" t="inlineStr">
        <is>
          <t>STOCKHOLMS LÄN</t>
        </is>
      </c>
      <c r="E411" t="inlineStr">
        <is>
          <t>NORRTÄLJE</t>
        </is>
      </c>
      <c r="F411" t="inlineStr">
        <is>
          <t>Holmen skog AB</t>
        </is>
      </c>
      <c r="G411" t="n">
        <v>2</v>
      </c>
      <c r="H411" t="n">
        <v>0</v>
      </c>
      <c r="I411" t="n">
        <v>0</v>
      </c>
      <c r="J411" t="n">
        <v>0</v>
      </c>
      <c r="K411" t="n">
        <v>0</v>
      </c>
      <c r="L411" t="n">
        <v>0</v>
      </c>
      <c r="M411" t="n">
        <v>0</v>
      </c>
      <c r="N411" t="n">
        <v>0</v>
      </c>
      <c r="O411" t="n">
        <v>0</v>
      </c>
      <c r="P411" t="n">
        <v>0</v>
      </c>
      <c r="Q411" t="n">
        <v>0</v>
      </c>
      <c r="R411" s="2" t="inlineStr"/>
    </row>
    <row r="412" ht="15" customHeight="1">
      <c r="A412" t="inlineStr">
        <is>
          <t>A 32705-2022</t>
        </is>
      </c>
      <c r="B412" s="1" t="n">
        <v>44783</v>
      </c>
      <c r="C412" s="1" t="n">
        <v>45938</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4553-2023</t>
        </is>
      </c>
      <c r="B413" s="1" t="n">
        <v>44956.65920138889</v>
      </c>
      <c r="C413" s="1" t="n">
        <v>45938</v>
      </c>
      <c r="D413" t="inlineStr">
        <is>
          <t>STOCKHOLMS LÄN</t>
        </is>
      </c>
      <c r="E413" t="inlineStr">
        <is>
          <t>NORRTÄLJE</t>
        </is>
      </c>
      <c r="G413" t="n">
        <v>7.5</v>
      </c>
      <c r="H413" t="n">
        <v>0</v>
      </c>
      <c r="I413" t="n">
        <v>0</v>
      </c>
      <c r="J413" t="n">
        <v>0</v>
      </c>
      <c r="K413" t="n">
        <v>0</v>
      </c>
      <c r="L413" t="n">
        <v>0</v>
      </c>
      <c r="M413" t="n">
        <v>0</v>
      </c>
      <c r="N413" t="n">
        <v>0</v>
      </c>
      <c r="O413" t="n">
        <v>0</v>
      </c>
      <c r="P413" t="n">
        <v>0</v>
      </c>
      <c r="Q413" t="n">
        <v>0</v>
      </c>
      <c r="R413" s="2" t="inlineStr"/>
    </row>
    <row r="414" ht="15" customHeight="1">
      <c r="A414" t="inlineStr">
        <is>
          <t>A 4593-2023</t>
        </is>
      </c>
      <c r="B414" s="1" t="n">
        <v>44956</v>
      </c>
      <c r="C414" s="1" t="n">
        <v>45938</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47481-2024</t>
        </is>
      </c>
      <c r="B415" s="1" t="n">
        <v>45587</v>
      </c>
      <c r="C415" s="1" t="n">
        <v>45938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26365-2024</t>
        </is>
      </c>
      <c r="B416" s="1" t="n">
        <v>45469</v>
      </c>
      <c r="C416" s="1" t="n">
        <v>45938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57037-2022</t>
        </is>
      </c>
      <c r="B417" s="1" t="n">
        <v>44895</v>
      </c>
      <c r="C417" s="1" t="n">
        <v>45938</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26640-2023</t>
        </is>
      </c>
      <c r="B418" s="1" t="n">
        <v>45092</v>
      </c>
      <c r="C418" s="1" t="n">
        <v>45938</v>
      </c>
      <c r="D418" t="inlineStr">
        <is>
          <t>STOCKHOLMS LÄN</t>
        </is>
      </c>
      <c r="E418" t="inlineStr">
        <is>
          <t>NORRTÄLJE</t>
        </is>
      </c>
      <c r="G418" t="n">
        <v>5.7</v>
      </c>
      <c r="H418" t="n">
        <v>0</v>
      </c>
      <c r="I418" t="n">
        <v>0</v>
      </c>
      <c r="J418" t="n">
        <v>0</v>
      </c>
      <c r="K418" t="n">
        <v>0</v>
      </c>
      <c r="L418" t="n">
        <v>0</v>
      </c>
      <c r="M418" t="n">
        <v>0</v>
      </c>
      <c r="N418" t="n">
        <v>0</v>
      </c>
      <c r="O418" t="n">
        <v>0</v>
      </c>
      <c r="P418" t="n">
        <v>0</v>
      </c>
      <c r="Q418" t="n">
        <v>0</v>
      </c>
      <c r="R418" s="2" t="inlineStr"/>
    </row>
    <row r="419" ht="15" customHeight="1">
      <c r="A419" t="inlineStr">
        <is>
          <t>A 31827-2023</t>
        </is>
      </c>
      <c r="B419" s="1" t="n">
        <v>45118</v>
      </c>
      <c r="C419" s="1" t="n">
        <v>45938</v>
      </c>
      <c r="D419" t="inlineStr">
        <is>
          <t>STOCKHOLMS LÄN</t>
        </is>
      </c>
      <c r="E419" t="inlineStr">
        <is>
          <t>NORRTÄLJE</t>
        </is>
      </c>
      <c r="F419" t="inlineStr">
        <is>
          <t>Kyrkan</t>
        </is>
      </c>
      <c r="G419" t="n">
        <v>4.9</v>
      </c>
      <c r="H419" t="n">
        <v>0</v>
      </c>
      <c r="I419" t="n">
        <v>0</v>
      </c>
      <c r="J419" t="n">
        <v>0</v>
      </c>
      <c r="K419" t="n">
        <v>0</v>
      </c>
      <c r="L419" t="n">
        <v>0</v>
      </c>
      <c r="M419" t="n">
        <v>0</v>
      </c>
      <c r="N419" t="n">
        <v>0</v>
      </c>
      <c r="O419" t="n">
        <v>0</v>
      </c>
      <c r="P419" t="n">
        <v>0</v>
      </c>
      <c r="Q419" t="n">
        <v>0</v>
      </c>
      <c r="R419" s="2" t="inlineStr"/>
    </row>
    <row r="420" ht="15" customHeight="1">
      <c r="A420" t="inlineStr">
        <is>
          <t>A 58993-2022</t>
        </is>
      </c>
      <c r="B420" s="1" t="n">
        <v>44903</v>
      </c>
      <c r="C420" s="1" t="n">
        <v>45938</v>
      </c>
      <c r="D420" t="inlineStr">
        <is>
          <t>STOCKHOLMS LÄN</t>
        </is>
      </c>
      <c r="E420" t="inlineStr">
        <is>
          <t>NORRTÄLJE</t>
        </is>
      </c>
      <c r="G420" t="n">
        <v>2.3</v>
      </c>
      <c r="H420" t="n">
        <v>0</v>
      </c>
      <c r="I420" t="n">
        <v>0</v>
      </c>
      <c r="J420" t="n">
        <v>0</v>
      </c>
      <c r="K420" t="n">
        <v>0</v>
      </c>
      <c r="L420" t="n">
        <v>0</v>
      </c>
      <c r="M420" t="n">
        <v>0</v>
      </c>
      <c r="N420" t="n">
        <v>0</v>
      </c>
      <c r="O420" t="n">
        <v>0</v>
      </c>
      <c r="P420" t="n">
        <v>0</v>
      </c>
      <c r="Q420" t="n">
        <v>0</v>
      </c>
      <c r="R420" s="2" t="inlineStr"/>
    </row>
    <row r="421" ht="15" customHeight="1">
      <c r="A421" t="inlineStr">
        <is>
          <t>A 28900-2022</t>
        </is>
      </c>
      <c r="B421" s="1" t="n">
        <v>44749.55258101852</v>
      </c>
      <c r="C421" s="1" t="n">
        <v>45938</v>
      </c>
      <c r="D421" t="inlineStr">
        <is>
          <t>STOCKHOLMS LÄN</t>
        </is>
      </c>
      <c r="E421" t="inlineStr">
        <is>
          <t>NORRTÄLJE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17574-2025</t>
        </is>
      </c>
      <c r="B422" s="1" t="n">
        <v>45757.65178240741</v>
      </c>
      <c r="C422" s="1" t="n">
        <v>45938</v>
      </c>
      <c r="D422" t="inlineStr">
        <is>
          <t>STOCKHOLMS LÄN</t>
        </is>
      </c>
      <c r="E422" t="inlineStr">
        <is>
          <t>NORRTÄLJE</t>
        </is>
      </c>
      <c r="G422" t="n">
        <v>1.8</v>
      </c>
      <c r="H422" t="n">
        <v>0</v>
      </c>
      <c r="I422" t="n">
        <v>0</v>
      </c>
      <c r="J422" t="n">
        <v>0</v>
      </c>
      <c r="K422" t="n">
        <v>0</v>
      </c>
      <c r="L422" t="n">
        <v>0</v>
      </c>
      <c r="M422" t="n">
        <v>0</v>
      </c>
      <c r="N422" t="n">
        <v>0</v>
      </c>
      <c r="O422" t="n">
        <v>0</v>
      </c>
      <c r="P422" t="n">
        <v>0</v>
      </c>
      <c r="Q422" t="n">
        <v>0</v>
      </c>
      <c r="R422" s="2" t="inlineStr"/>
    </row>
    <row r="423" ht="15" customHeight="1">
      <c r="A423" t="inlineStr">
        <is>
          <t>A 13171-2025</t>
        </is>
      </c>
      <c r="B423" s="1" t="n">
        <v>45735.36594907408</v>
      </c>
      <c r="C423" s="1" t="n">
        <v>45938</v>
      </c>
      <c r="D423" t="inlineStr">
        <is>
          <t>STOCKHOLMS LÄN</t>
        </is>
      </c>
      <c r="E423" t="inlineStr">
        <is>
          <t>NORRTÄLJE</t>
        </is>
      </c>
      <c r="G423" t="n">
        <v>5.1</v>
      </c>
      <c r="H423" t="n">
        <v>0</v>
      </c>
      <c r="I423" t="n">
        <v>0</v>
      </c>
      <c r="J423" t="n">
        <v>0</v>
      </c>
      <c r="K423" t="n">
        <v>0</v>
      </c>
      <c r="L423" t="n">
        <v>0</v>
      </c>
      <c r="M423" t="n">
        <v>0</v>
      </c>
      <c r="N423" t="n">
        <v>0</v>
      </c>
      <c r="O423" t="n">
        <v>0</v>
      </c>
      <c r="P423" t="n">
        <v>0</v>
      </c>
      <c r="Q423" t="n">
        <v>0</v>
      </c>
      <c r="R423" s="2" t="inlineStr"/>
    </row>
    <row r="424" ht="15" customHeight="1">
      <c r="A424" t="inlineStr">
        <is>
          <t>A 11940-2023</t>
        </is>
      </c>
      <c r="B424" s="1" t="n">
        <v>44995</v>
      </c>
      <c r="C424" s="1" t="n">
        <v>45938</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2281-2024</t>
        </is>
      </c>
      <c r="B425" s="1" t="n">
        <v>45310.40628472222</v>
      </c>
      <c r="C425" s="1" t="n">
        <v>45938</v>
      </c>
      <c r="D425" t="inlineStr">
        <is>
          <t>STOCKHOLMS LÄN</t>
        </is>
      </c>
      <c r="E425" t="inlineStr">
        <is>
          <t>NORRTÄLJE</t>
        </is>
      </c>
      <c r="G425" t="n">
        <v>2.7</v>
      </c>
      <c r="H425" t="n">
        <v>0</v>
      </c>
      <c r="I425" t="n">
        <v>0</v>
      </c>
      <c r="J425" t="n">
        <v>0</v>
      </c>
      <c r="K425" t="n">
        <v>0</v>
      </c>
      <c r="L425" t="n">
        <v>0</v>
      </c>
      <c r="M425" t="n">
        <v>0</v>
      </c>
      <c r="N425" t="n">
        <v>0</v>
      </c>
      <c r="O425" t="n">
        <v>0</v>
      </c>
      <c r="P425" t="n">
        <v>0</v>
      </c>
      <c r="Q425" t="n">
        <v>0</v>
      </c>
      <c r="R425" s="2" t="inlineStr"/>
    </row>
    <row r="426" ht="15" customHeight="1">
      <c r="A426" t="inlineStr">
        <is>
          <t>A 60525-2022</t>
        </is>
      </c>
      <c r="B426" s="1" t="n">
        <v>44904</v>
      </c>
      <c r="C426" s="1" t="n">
        <v>45938</v>
      </c>
      <c r="D426" t="inlineStr">
        <is>
          <t>STOCKHOLMS LÄN</t>
        </is>
      </c>
      <c r="E426" t="inlineStr">
        <is>
          <t>NORRTÄLJE</t>
        </is>
      </c>
      <c r="G426" t="n">
        <v>13.4</v>
      </c>
      <c r="H426" t="n">
        <v>0</v>
      </c>
      <c r="I426" t="n">
        <v>0</v>
      </c>
      <c r="J426" t="n">
        <v>0</v>
      </c>
      <c r="K426" t="n">
        <v>0</v>
      </c>
      <c r="L426" t="n">
        <v>0</v>
      </c>
      <c r="M426" t="n">
        <v>0</v>
      </c>
      <c r="N426" t="n">
        <v>0</v>
      </c>
      <c r="O426" t="n">
        <v>0</v>
      </c>
      <c r="P426" t="n">
        <v>0</v>
      </c>
      <c r="Q426" t="n">
        <v>0</v>
      </c>
      <c r="R426" s="2" t="inlineStr"/>
    </row>
    <row r="427" ht="15" customHeight="1">
      <c r="A427" t="inlineStr">
        <is>
          <t>A 19058-2023</t>
        </is>
      </c>
      <c r="B427" s="1" t="n">
        <v>45048</v>
      </c>
      <c r="C427" s="1" t="n">
        <v>45938</v>
      </c>
      <c r="D427" t="inlineStr">
        <is>
          <t>STOCKHOLMS LÄN</t>
        </is>
      </c>
      <c r="E427" t="inlineStr">
        <is>
          <t>NORRTÄLJE</t>
        </is>
      </c>
      <c r="G427" t="n">
        <v>3.7</v>
      </c>
      <c r="H427" t="n">
        <v>0</v>
      </c>
      <c r="I427" t="n">
        <v>0</v>
      </c>
      <c r="J427" t="n">
        <v>0</v>
      </c>
      <c r="K427" t="n">
        <v>0</v>
      </c>
      <c r="L427" t="n">
        <v>0</v>
      </c>
      <c r="M427" t="n">
        <v>0</v>
      </c>
      <c r="N427" t="n">
        <v>0</v>
      </c>
      <c r="O427" t="n">
        <v>0</v>
      </c>
      <c r="P427" t="n">
        <v>0</v>
      </c>
      <c r="Q427" t="n">
        <v>0</v>
      </c>
      <c r="R427" s="2" t="inlineStr"/>
    </row>
    <row r="428" ht="15" customHeight="1">
      <c r="A428" t="inlineStr">
        <is>
          <t>A 7903-2021</t>
        </is>
      </c>
      <c r="B428" s="1" t="n">
        <v>44243.33587962963</v>
      </c>
      <c r="C428" s="1" t="n">
        <v>45938</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39213-2022</t>
        </is>
      </c>
      <c r="B429" s="1" t="n">
        <v>44817.56120370371</v>
      </c>
      <c r="C429" s="1" t="n">
        <v>45938</v>
      </c>
      <c r="D429" t="inlineStr">
        <is>
          <t>STOCKHOLMS LÄN</t>
        </is>
      </c>
      <c r="E429" t="inlineStr">
        <is>
          <t>NORRTÄLJE</t>
        </is>
      </c>
      <c r="G429" t="n">
        <v>3.4</v>
      </c>
      <c r="H429" t="n">
        <v>0</v>
      </c>
      <c r="I429" t="n">
        <v>0</v>
      </c>
      <c r="J429" t="n">
        <v>0</v>
      </c>
      <c r="K429" t="n">
        <v>0</v>
      </c>
      <c r="L429" t="n">
        <v>0</v>
      </c>
      <c r="M429" t="n">
        <v>0</v>
      </c>
      <c r="N429" t="n">
        <v>0</v>
      </c>
      <c r="O429" t="n">
        <v>0</v>
      </c>
      <c r="P429" t="n">
        <v>0</v>
      </c>
      <c r="Q429" t="n">
        <v>0</v>
      </c>
      <c r="R429" s="2" t="inlineStr"/>
    </row>
    <row r="430" ht="15" customHeight="1">
      <c r="A430" t="inlineStr">
        <is>
          <t>A 41976-2024</t>
        </is>
      </c>
      <c r="B430" s="1" t="n">
        <v>45561.62141203704</v>
      </c>
      <c r="C430" s="1" t="n">
        <v>45938</v>
      </c>
      <c r="D430" t="inlineStr">
        <is>
          <t>STOCKHOLMS LÄN</t>
        </is>
      </c>
      <c r="E430" t="inlineStr">
        <is>
          <t>NORRTÄLJE</t>
        </is>
      </c>
      <c r="G430" t="n">
        <v>2.5</v>
      </c>
      <c r="H430" t="n">
        <v>0</v>
      </c>
      <c r="I430" t="n">
        <v>0</v>
      </c>
      <c r="J430" t="n">
        <v>0</v>
      </c>
      <c r="K430" t="n">
        <v>0</v>
      </c>
      <c r="L430" t="n">
        <v>0</v>
      </c>
      <c r="M430" t="n">
        <v>0</v>
      </c>
      <c r="N430" t="n">
        <v>0</v>
      </c>
      <c r="O430" t="n">
        <v>0</v>
      </c>
      <c r="P430" t="n">
        <v>0</v>
      </c>
      <c r="Q430" t="n">
        <v>0</v>
      </c>
      <c r="R430" s="2" t="inlineStr"/>
    </row>
    <row r="431" ht="15" customHeight="1">
      <c r="A431" t="inlineStr">
        <is>
          <t>A 58297-2023</t>
        </is>
      </c>
      <c r="B431" s="1" t="n">
        <v>45245</v>
      </c>
      <c r="C431" s="1" t="n">
        <v>45938</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20304-2023</t>
        </is>
      </c>
      <c r="B432" s="1" t="n">
        <v>45056</v>
      </c>
      <c r="C432" s="1" t="n">
        <v>45938</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12299-2025</t>
        </is>
      </c>
      <c r="B433" s="1" t="n">
        <v>45729.71065972222</v>
      </c>
      <c r="C433" s="1" t="n">
        <v>45938</v>
      </c>
      <c r="D433" t="inlineStr">
        <is>
          <t>STOCKHOLMS LÄN</t>
        </is>
      </c>
      <c r="E433" t="inlineStr">
        <is>
          <t>NORRTÄLJE</t>
        </is>
      </c>
      <c r="F433" t="inlineStr">
        <is>
          <t>Holmen skog AB</t>
        </is>
      </c>
      <c r="G433" t="n">
        <v>6.9</v>
      </c>
      <c r="H433" t="n">
        <v>0</v>
      </c>
      <c r="I433" t="n">
        <v>0</v>
      </c>
      <c r="J433" t="n">
        <v>0</v>
      </c>
      <c r="K433" t="n">
        <v>0</v>
      </c>
      <c r="L433" t="n">
        <v>0</v>
      </c>
      <c r="M433" t="n">
        <v>0</v>
      </c>
      <c r="N433" t="n">
        <v>0</v>
      </c>
      <c r="O433" t="n">
        <v>0</v>
      </c>
      <c r="P433" t="n">
        <v>0</v>
      </c>
      <c r="Q433" t="n">
        <v>0</v>
      </c>
      <c r="R433" s="2" t="inlineStr"/>
    </row>
    <row r="434" ht="15" customHeight="1">
      <c r="A434" t="inlineStr">
        <is>
          <t>A 22157-2023</t>
        </is>
      </c>
      <c r="B434" s="1" t="n">
        <v>45069</v>
      </c>
      <c r="C434" s="1" t="n">
        <v>45938</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c r="U434">
        <f>HYPERLINK("https://klasma.github.io/Logging_0188/knärot/A 22157-2023 karta knärot.png", "A 22157-2023")</f>
        <v/>
      </c>
      <c r="V434">
        <f>HYPERLINK("https://klasma.github.io/Logging_0188/klagomål/A 22157-2023 FSC-klagomål.docx", "A 22157-2023")</f>
        <v/>
      </c>
      <c r="W434">
        <f>HYPERLINK("https://klasma.github.io/Logging_0188/klagomålsmail/A 22157-2023 FSC-klagomål mail.docx", "A 22157-2023")</f>
        <v/>
      </c>
      <c r="X434">
        <f>HYPERLINK("https://klasma.github.io/Logging_0188/tillsyn/A 22157-2023 tillsynsbegäran.docx", "A 22157-2023")</f>
        <v/>
      </c>
      <c r="Y434">
        <f>HYPERLINK("https://klasma.github.io/Logging_0188/tillsynsmail/A 22157-2023 tillsynsbegäran mail.docx", "A 22157-2023")</f>
        <v/>
      </c>
    </row>
    <row r="435" ht="15" customHeight="1">
      <c r="A435" t="inlineStr">
        <is>
          <t>A 51325-2023</t>
        </is>
      </c>
      <c r="B435" s="1" t="n">
        <v>45219</v>
      </c>
      <c r="C435" s="1" t="n">
        <v>45938</v>
      </c>
      <c r="D435" t="inlineStr">
        <is>
          <t>STOCKHOLMS LÄN</t>
        </is>
      </c>
      <c r="E435" t="inlineStr">
        <is>
          <t>NORRTÄLJE</t>
        </is>
      </c>
      <c r="G435" t="n">
        <v>2.2</v>
      </c>
      <c r="H435" t="n">
        <v>0</v>
      </c>
      <c r="I435" t="n">
        <v>0</v>
      </c>
      <c r="J435" t="n">
        <v>0</v>
      </c>
      <c r="K435" t="n">
        <v>0</v>
      </c>
      <c r="L435" t="n">
        <v>0</v>
      </c>
      <c r="M435" t="n">
        <v>0</v>
      </c>
      <c r="N435" t="n">
        <v>0</v>
      </c>
      <c r="O435" t="n">
        <v>0</v>
      </c>
      <c r="P435" t="n">
        <v>0</v>
      </c>
      <c r="Q435" t="n">
        <v>0</v>
      </c>
      <c r="R435" s="2" t="inlineStr"/>
    </row>
    <row r="436" ht="15" customHeight="1">
      <c r="A436" t="inlineStr">
        <is>
          <t>A 59534-2024</t>
        </is>
      </c>
      <c r="B436" s="1" t="n">
        <v>45638.5987037037</v>
      </c>
      <c r="C436" s="1" t="n">
        <v>45938</v>
      </c>
      <c r="D436" t="inlineStr">
        <is>
          <t>STOCKHOLMS LÄN</t>
        </is>
      </c>
      <c r="E436" t="inlineStr">
        <is>
          <t>NORRTÄLJE</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31107-2022</t>
        </is>
      </c>
      <c r="B437" s="1" t="n">
        <v>44769.66864583334</v>
      </c>
      <c r="C437" s="1" t="n">
        <v>45938</v>
      </c>
      <c r="D437" t="inlineStr">
        <is>
          <t>STOCKHOLMS LÄN</t>
        </is>
      </c>
      <c r="E437" t="inlineStr">
        <is>
          <t>NORRTÄLJE</t>
        </is>
      </c>
      <c r="G437" t="n">
        <v>3.8</v>
      </c>
      <c r="H437" t="n">
        <v>0</v>
      </c>
      <c r="I437" t="n">
        <v>0</v>
      </c>
      <c r="J437" t="n">
        <v>0</v>
      </c>
      <c r="K437" t="n">
        <v>0</v>
      </c>
      <c r="L437" t="n">
        <v>0</v>
      </c>
      <c r="M437" t="n">
        <v>0</v>
      </c>
      <c r="N437" t="n">
        <v>0</v>
      </c>
      <c r="O437" t="n">
        <v>0</v>
      </c>
      <c r="P437" t="n">
        <v>0</v>
      </c>
      <c r="Q437" t="n">
        <v>0</v>
      </c>
      <c r="R437" s="2" t="inlineStr"/>
    </row>
    <row r="438" ht="15" customHeight="1">
      <c r="A438" t="inlineStr">
        <is>
          <t>A 13860-2023</t>
        </is>
      </c>
      <c r="B438" s="1" t="n">
        <v>45007</v>
      </c>
      <c r="C438" s="1" t="n">
        <v>45938</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6855-2025</t>
        </is>
      </c>
      <c r="B439" s="1" t="n">
        <v>45700</v>
      </c>
      <c r="C439" s="1" t="n">
        <v>45938</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11929-2024</t>
        </is>
      </c>
      <c r="B440" s="1" t="n">
        <v>45376.64532407407</v>
      </c>
      <c r="C440" s="1" t="n">
        <v>45938</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13314-2025</t>
        </is>
      </c>
      <c r="B441" s="1" t="n">
        <v>45735.59287037037</v>
      </c>
      <c r="C441" s="1" t="n">
        <v>45938</v>
      </c>
      <c r="D441" t="inlineStr">
        <is>
          <t>STOCKHOLMS LÄN</t>
        </is>
      </c>
      <c r="E441" t="inlineStr">
        <is>
          <t>NORRTÄLJE</t>
        </is>
      </c>
      <c r="G441" t="n">
        <v>2.4</v>
      </c>
      <c r="H441" t="n">
        <v>0</v>
      </c>
      <c r="I441" t="n">
        <v>0</v>
      </c>
      <c r="J441" t="n">
        <v>0</v>
      </c>
      <c r="K441" t="n">
        <v>0</v>
      </c>
      <c r="L441" t="n">
        <v>0</v>
      </c>
      <c r="M441" t="n">
        <v>0</v>
      </c>
      <c r="N441" t="n">
        <v>0</v>
      </c>
      <c r="O441" t="n">
        <v>0</v>
      </c>
      <c r="P441" t="n">
        <v>0</v>
      </c>
      <c r="Q441" t="n">
        <v>0</v>
      </c>
      <c r="R441" s="2" t="inlineStr"/>
    </row>
    <row r="442" ht="15" customHeight="1">
      <c r="A442" t="inlineStr">
        <is>
          <t>A 34432-2021</t>
        </is>
      </c>
      <c r="B442" s="1" t="n">
        <v>44380.77346064815</v>
      </c>
      <c r="C442" s="1" t="n">
        <v>45938</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38593-2025</t>
        </is>
      </c>
      <c r="B443" s="1" t="n">
        <v>45884.48696759259</v>
      </c>
      <c r="C443" s="1" t="n">
        <v>45938</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8296-2023</t>
        </is>
      </c>
      <c r="B444" s="1" t="n">
        <v>44974</v>
      </c>
      <c r="C444" s="1" t="n">
        <v>45938</v>
      </c>
      <c r="D444" t="inlineStr">
        <is>
          <t>STOCKHOLMS LÄN</t>
        </is>
      </c>
      <c r="E444" t="inlineStr">
        <is>
          <t>NORRTÄLJE</t>
        </is>
      </c>
      <c r="G444" t="n">
        <v>3.8</v>
      </c>
      <c r="H444" t="n">
        <v>0</v>
      </c>
      <c r="I444" t="n">
        <v>0</v>
      </c>
      <c r="J444" t="n">
        <v>0</v>
      </c>
      <c r="K444" t="n">
        <v>0</v>
      </c>
      <c r="L444" t="n">
        <v>0</v>
      </c>
      <c r="M444" t="n">
        <v>0</v>
      </c>
      <c r="N444" t="n">
        <v>0</v>
      </c>
      <c r="O444" t="n">
        <v>0</v>
      </c>
      <c r="P444" t="n">
        <v>0</v>
      </c>
      <c r="Q444" t="n">
        <v>0</v>
      </c>
      <c r="R444" s="2" t="inlineStr"/>
    </row>
    <row r="445" ht="15" customHeight="1">
      <c r="A445" t="inlineStr">
        <is>
          <t>A 51978-2023</t>
        </is>
      </c>
      <c r="B445" s="1" t="n">
        <v>45223</v>
      </c>
      <c r="C445" s="1" t="n">
        <v>45938</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24575-2024</t>
        </is>
      </c>
      <c r="B446" s="1" t="n">
        <v>45460.45523148148</v>
      </c>
      <c r="C446" s="1" t="n">
        <v>45938</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18092-2022</t>
        </is>
      </c>
      <c r="B447" s="1" t="n">
        <v>44684</v>
      </c>
      <c r="C447" s="1" t="n">
        <v>45938</v>
      </c>
      <c r="D447" t="inlineStr">
        <is>
          <t>STOCKHOLMS LÄN</t>
        </is>
      </c>
      <c r="E447" t="inlineStr">
        <is>
          <t>NORRTÄLJE</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64899-2023</t>
        </is>
      </c>
      <c r="B448" s="1" t="n">
        <v>45282</v>
      </c>
      <c r="C448" s="1" t="n">
        <v>45938</v>
      </c>
      <c r="D448" t="inlineStr">
        <is>
          <t>STOCKHOLMS LÄN</t>
        </is>
      </c>
      <c r="E448" t="inlineStr">
        <is>
          <t>NORRTÄLJE</t>
        </is>
      </c>
      <c r="G448" t="n">
        <v>6.3</v>
      </c>
      <c r="H448" t="n">
        <v>0</v>
      </c>
      <c r="I448" t="n">
        <v>0</v>
      </c>
      <c r="J448" t="n">
        <v>0</v>
      </c>
      <c r="K448" t="n">
        <v>0</v>
      </c>
      <c r="L448" t="n">
        <v>0</v>
      </c>
      <c r="M448" t="n">
        <v>0</v>
      </c>
      <c r="N448" t="n">
        <v>0</v>
      </c>
      <c r="O448" t="n">
        <v>0</v>
      </c>
      <c r="P448" t="n">
        <v>0</v>
      </c>
      <c r="Q448" t="n">
        <v>0</v>
      </c>
      <c r="R448" s="2" t="inlineStr"/>
    </row>
    <row r="449" ht="15" customHeight="1">
      <c r="A449" t="inlineStr">
        <is>
          <t>A 59310-2023</t>
        </is>
      </c>
      <c r="B449" s="1" t="n">
        <v>45253.61146990741</v>
      </c>
      <c r="C449" s="1" t="n">
        <v>45938</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52593-2024</t>
        </is>
      </c>
      <c r="B450" s="1" t="n">
        <v>45609.70778935185</v>
      </c>
      <c r="C450" s="1" t="n">
        <v>45938</v>
      </c>
      <c r="D450" t="inlineStr">
        <is>
          <t>STOCKHOLMS LÄN</t>
        </is>
      </c>
      <c r="E450" t="inlineStr">
        <is>
          <t>NORRTÄLJE</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52617-2024</t>
        </is>
      </c>
      <c r="B451" s="1" t="n">
        <v>45609.85146990741</v>
      </c>
      <c r="C451" s="1" t="n">
        <v>45938</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9329-2023</t>
        </is>
      </c>
      <c r="B452" s="1" t="n">
        <v>44980</v>
      </c>
      <c r="C452" s="1" t="n">
        <v>45938</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60321-2020</t>
        </is>
      </c>
      <c r="B453" s="1" t="n">
        <v>44152</v>
      </c>
      <c r="C453" s="1" t="n">
        <v>45938</v>
      </c>
      <c r="D453" t="inlineStr">
        <is>
          <t>STOCKHOLMS LÄN</t>
        </is>
      </c>
      <c r="E453" t="inlineStr">
        <is>
          <t>NORRTÄLJE</t>
        </is>
      </c>
      <c r="F453" t="inlineStr">
        <is>
          <t>Holmen skog AB</t>
        </is>
      </c>
      <c r="G453" t="n">
        <v>3.4</v>
      </c>
      <c r="H453" t="n">
        <v>0</v>
      </c>
      <c r="I453" t="n">
        <v>0</v>
      </c>
      <c r="J453" t="n">
        <v>0</v>
      </c>
      <c r="K453" t="n">
        <v>0</v>
      </c>
      <c r="L453" t="n">
        <v>0</v>
      </c>
      <c r="M453" t="n">
        <v>0</v>
      </c>
      <c r="N453" t="n">
        <v>0</v>
      </c>
      <c r="O453" t="n">
        <v>0</v>
      </c>
      <c r="P453" t="n">
        <v>0</v>
      </c>
      <c r="Q453" t="n">
        <v>0</v>
      </c>
      <c r="R453" s="2" t="inlineStr"/>
    </row>
    <row r="454" ht="15" customHeight="1">
      <c r="A454" t="inlineStr">
        <is>
          <t>A 59878-2024</t>
        </is>
      </c>
      <c r="B454" s="1" t="n">
        <v>45640.60240740741</v>
      </c>
      <c r="C454" s="1" t="n">
        <v>45938</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41335-2023</t>
        </is>
      </c>
      <c r="B455" s="1" t="n">
        <v>45174.68702546296</v>
      </c>
      <c r="C455" s="1" t="n">
        <v>45938</v>
      </c>
      <c r="D455" t="inlineStr">
        <is>
          <t>STOCKHOLMS LÄN</t>
        </is>
      </c>
      <c r="E455" t="inlineStr">
        <is>
          <t>NORRTÄLJE</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23149-2024</t>
        </is>
      </c>
      <c r="B456" s="1" t="n">
        <v>45450.64208333333</v>
      </c>
      <c r="C456" s="1" t="n">
        <v>45938</v>
      </c>
      <c r="D456" t="inlineStr">
        <is>
          <t>STOCKHOLMS LÄN</t>
        </is>
      </c>
      <c r="E456" t="inlineStr">
        <is>
          <t>NORRTÄLJE</t>
        </is>
      </c>
      <c r="F456" t="inlineStr">
        <is>
          <t>Kommuner</t>
        </is>
      </c>
      <c r="G456" t="n">
        <v>1.3</v>
      </c>
      <c r="H456" t="n">
        <v>0</v>
      </c>
      <c r="I456" t="n">
        <v>0</v>
      </c>
      <c r="J456" t="n">
        <v>0</v>
      </c>
      <c r="K456" t="n">
        <v>0</v>
      </c>
      <c r="L456" t="n">
        <v>0</v>
      </c>
      <c r="M456" t="n">
        <v>0</v>
      </c>
      <c r="N456" t="n">
        <v>0</v>
      </c>
      <c r="O456" t="n">
        <v>0</v>
      </c>
      <c r="P456" t="n">
        <v>0</v>
      </c>
      <c r="Q456" t="n">
        <v>0</v>
      </c>
      <c r="R456" s="2" t="inlineStr"/>
    </row>
    <row r="457" ht="15" customHeight="1">
      <c r="A457" t="inlineStr">
        <is>
          <t>A 23151-2024</t>
        </is>
      </c>
      <c r="B457" s="1" t="n">
        <v>45450</v>
      </c>
      <c r="C457" s="1" t="n">
        <v>45938</v>
      </c>
      <c r="D457" t="inlineStr">
        <is>
          <t>STOCKHOLMS LÄN</t>
        </is>
      </c>
      <c r="E457" t="inlineStr">
        <is>
          <t>NORRTÄLJE</t>
        </is>
      </c>
      <c r="F457" t="inlineStr">
        <is>
          <t>Kommuner</t>
        </is>
      </c>
      <c r="G457" t="n">
        <v>1.2</v>
      </c>
      <c r="H457" t="n">
        <v>0</v>
      </c>
      <c r="I457" t="n">
        <v>0</v>
      </c>
      <c r="J457" t="n">
        <v>0</v>
      </c>
      <c r="K457" t="n">
        <v>0</v>
      </c>
      <c r="L457" t="n">
        <v>0</v>
      </c>
      <c r="M457" t="n">
        <v>0</v>
      </c>
      <c r="N457" t="n">
        <v>0</v>
      </c>
      <c r="O457" t="n">
        <v>0</v>
      </c>
      <c r="P457" t="n">
        <v>0</v>
      </c>
      <c r="Q457" t="n">
        <v>0</v>
      </c>
      <c r="R457" s="2" t="inlineStr"/>
    </row>
    <row r="458" ht="15" customHeight="1">
      <c r="A458" t="inlineStr">
        <is>
          <t>A 33040-2021</t>
        </is>
      </c>
      <c r="B458" s="1" t="n">
        <v>44376.50728009259</v>
      </c>
      <c r="C458" s="1" t="n">
        <v>45938</v>
      </c>
      <c r="D458" t="inlineStr">
        <is>
          <t>STOCKHOLMS LÄN</t>
        </is>
      </c>
      <c r="E458" t="inlineStr">
        <is>
          <t>NORRTÄLJE</t>
        </is>
      </c>
      <c r="G458" t="n">
        <v>2.7</v>
      </c>
      <c r="H458" t="n">
        <v>0</v>
      </c>
      <c r="I458" t="n">
        <v>0</v>
      </c>
      <c r="J458" t="n">
        <v>0</v>
      </c>
      <c r="K458" t="n">
        <v>0</v>
      </c>
      <c r="L458" t="n">
        <v>0</v>
      </c>
      <c r="M458" t="n">
        <v>0</v>
      </c>
      <c r="N458" t="n">
        <v>0</v>
      </c>
      <c r="O458" t="n">
        <v>0</v>
      </c>
      <c r="P458" t="n">
        <v>0</v>
      </c>
      <c r="Q458" t="n">
        <v>0</v>
      </c>
      <c r="R458" s="2" t="inlineStr"/>
    </row>
    <row r="459" ht="15" customHeight="1">
      <c r="A459" t="inlineStr">
        <is>
          <t>A 33053-2021</t>
        </is>
      </c>
      <c r="B459" s="1" t="n">
        <v>44376</v>
      </c>
      <c r="C459" s="1" t="n">
        <v>45938</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22816-2021</t>
        </is>
      </c>
      <c r="B460" s="1" t="n">
        <v>44325</v>
      </c>
      <c r="C460" s="1" t="n">
        <v>45938</v>
      </c>
      <c r="D460" t="inlineStr">
        <is>
          <t>STOCKHOLMS LÄN</t>
        </is>
      </c>
      <c r="E460" t="inlineStr">
        <is>
          <t>NORRTÄLJE</t>
        </is>
      </c>
      <c r="G460" t="n">
        <v>4.5</v>
      </c>
      <c r="H460" t="n">
        <v>0</v>
      </c>
      <c r="I460" t="n">
        <v>0</v>
      </c>
      <c r="J460" t="n">
        <v>0</v>
      </c>
      <c r="K460" t="n">
        <v>0</v>
      </c>
      <c r="L460" t="n">
        <v>0</v>
      </c>
      <c r="M460" t="n">
        <v>0</v>
      </c>
      <c r="N460" t="n">
        <v>0</v>
      </c>
      <c r="O460" t="n">
        <v>0</v>
      </c>
      <c r="P460" t="n">
        <v>0</v>
      </c>
      <c r="Q460" t="n">
        <v>0</v>
      </c>
      <c r="R460" s="2" t="inlineStr"/>
    </row>
    <row r="461" ht="15" customHeight="1">
      <c r="A461" t="inlineStr">
        <is>
          <t>A 59904-2023</t>
        </is>
      </c>
      <c r="B461" s="1" t="n">
        <v>45257</v>
      </c>
      <c r="C461" s="1" t="n">
        <v>45938</v>
      </c>
      <c r="D461" t="inlineStr">
        <is>
          <t>STOCKHOLMS LÄN</t>
        </is>
      </c>
      <c r="E461" t="inlineStr">
        <is>
          <t>NORRTÄLJE</t>
        </is>
      </c>
      <c r="G461" t="n">
        <v>17.4</v>
      </c>
      <c r="H461" t="n">
        <v>0</v>
      </c>
      <c r="I461" t="n">
        <v>0</v>
      </c>
      <c r="J461" t="n">
        <v>0</v>
      </c>
      <c r="K461" t="n">
        <v>0</v>
      </c>
      <c r="L461" t="n">
        <v>0</v>
      </c>
      <c r="M461" t="n">
        <v>0</v>
      </c>
      <c r="N461" t="n">
        <v>0</v>
      </c>
      <c r="O461" t="n">
        <v>0</v>
      </c>
      <c r="P461" t="n">
        <v>0</v>
      </c>
      <c r="Q461" t="n">
        <v>0</v>
      </c>
      <c r="R461" s="2" t="inlineStr"/>
    </row>
    <row r="462" ht="15" customHeight="1">
      <c r="A462" t="inlineStr">
        <is>
          <t>A 52001-2023</t>
        </is>
      </c>
      <c r="B462" s="1" t="n">
        <v>45223</v>
      </c>
      <c r="C462" s="1" t="n">
        <v>45938</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9914-2023</t>
        </is>
      </c>
      <c r="B463" s="1" t="n">
        <v>44985</v>
      </c>
      <c r="C463" s="1" t="n">
        <v>45938</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43150-2023</t>
        </is>
      </c>
      <c r="B464" s="1" t="n">
        <v>45183</v>
      </c>
      <c r="C464" s="1" t="n">
        <v>45938</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60185-2024</t>
        </is>
      </c>
      <c r="B465" s="1" t="n">
        <v>45642.64634259259</v>
      </c>
      <c r="C465" s="1" t="n">
        <v>45938</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5950-2021</t>
        </is>
      </c>
      <c r="B466" s="1" t="n">
        <v>44231</v>
      </c>
      <c r="C466" s="1" t="n">
        <v>45938</v>
      </c>
      <c r="D466" t="inlineStr">
        <is>
          <t>STOCKHOLMS LÄN</t>
        </is>
      </c>
      <c r="E466" t="inlineStr">
        <is>
          <t>NORRTÄLJE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54259-2023</t>
        </is>
      </c>
      <c r="B467" s="1" t="n">
        <v>45232</v>
      </c>
      <c r="C467" s="1" t="n">
        <v>45938</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11062-2024</t>
        </is>
      </c>
      <c r="B468" s="1" t="n">
        <v>45370</v>
      </c>
      <c r="C468" s="1" t="n">
        <v>45938</v>
      </c>
      <c r="D468" t="inlineStr">
        <is>
          <t>STOCKHOLMS LÄN</t>
        </is>
      </c>
      <c r="E468" t="inlineStr">
        <is>
          <t>NORRTÄLJE</t>
        </is>
      </c>
      <c r="G468" t="n">
        <v>3.2</v>
      </c>
      <c r="H468" t="n">
        <v>0</v>
      </c>
      <c r="I468" t="n">
        <v>0</v>
      </c>
      <c r="J468" t="n">
        <v>0</v>
      </c>
      <c r="K468" t="n">
        <v>0</v>
      </c>
      <c r="L468" t="n">
        <v>0</v>
      </c>
      <c r="M468" t="n">
        <v>0</v>
      </c>
      <c r="N468" t="n">
        <v>0</v>
      </c>
      <c r="O468" t="n">
        <v>0</v>
      </c>
      <c r="P468" t="n">
        <v>0</v>
      </c>
      <c r="Q468" t="n">
        <v>0</v>
      </c>
      <c r="R468" s="2" t="inlineStr"/>
    </row>
    <row r="469" ht="15" customHeight="1">
      <c r="A469" t="inlineStr">
        <is>
          <t>A 48686-2023</t>
        </is>
      </c>
      <c r="B469" s="1" t="n">
        <v>45208</v>
      </c>
      <c r="C469" s="1" t="n">
        <v>45938</v>
      </c>
      <c r="D469" t="inlineStr">
        <is>
          <t>STOCKHOLMS LÄN</t>
        </is>
      </c>
      <c r="E469" t="inlineStr">
        <is>
          <t>NORRTÄLJE</t>
        </is>
      </c>
      <c r="G469" t="n">
        <v>6</v>
      </c>
      <c r="H469" t="n">
        <v>0</v>
      </c>
      <c r="I469" t="n">
        <v>0</v>
      </c>
      <c r="J469" t="n">
        <v>0</v>
      </c>
      <c r="K469" t="n">
        <v>0</v>
      </c>
      <c r="L469" t="n">
        <v>0</v>
      </c>
      <c r="M469" t="n">
        <v>0</v>
      </c>
      <c r="N469" t="n">
        <v>0</v>
      </c>
      <c r="O469" t="n">
        <v>0</v>
      </c>
      <c r="P469" t="n">
        <v>0</v>
      </c>
      <c r="Q469" t="n">
        <v>0</v>
      </c>
      <c r="R469" s="2" t="inlineStr"/>
    </row>
    <row r="470" ht="15" customHeight="1">
      <c r="A470" t="inlineStr">
        <is>
          <t>A 48691-2023</t>
        </is>
      </c>
      <c r="B470" s="1" t="n">
        <v>45208</v>
      </c>
      <c r="C470" s="1" t="n">
        <v>45938</v>
      </c>
      <c r="D470" t="inlineStr">
        <is>
          <t>STOCKHOLMS LÄN</t>
        </is>
      </c>
      <c r="E470" t="inlineStr">
        <is>
          <t>NORRTÄLJE</t>
        </is>
      </c>
      <c r="G470" t="n">
        <v>5.8</v>
      </c>
      <c r="H470" t="n">
        <v>0</v>
      </c>
      <c r="I470" t="n">
        <v>0</v>
      </c>
      <c r="J470" t="n">
        <v>0</v>
      </c>
      <c r="K470" t="n">
        <v>0</v>
      </c>
      <c r="L470" t="n">
        <v>0</v>
      </c>
      <c r="M470" t="n">
        <v>0</v>
      </c>
      <c r="N470" t="n">
        <v>0</v>
      </c>
      <c r="O470" t="n">
        <v>0</v>
      </c>
      <c r="P470" t="n">
        <v>0</v>
      </c>
      <c r="Q470" t="n">
        <v>0</v>
      </c>
      <c r="R470" s="2" t="inlineStr"/>
    </row>
    <row r="471" ht="15" customHeight="1">
      <c r="A471" t="inlineStr">
        <is>
          <t>A 19057-2024</t>
        </is>
      </c>
      <c r="B471" s="1" t="n">
        <v>45427.88731481481</v>
      </c>
      <c r="C471" s="1" t="n">
        <v>45938</v>
      </c>
      <c r="D471" t="inlineStr">
        <is>
          <t>STOCKHOLMS LÄN</t>
        </is>
      </c>
      <c r="E471" t="inlineStr">
        <is>
          <t>NORRTÄLJE</t>
        </is>
      </c>
      <c r="G471" t="n">
        <v>3</v>
      </c>
      <c r="H471" t="n">
        <v>0</v>
      </c>
      <c r="I471" t="n">
        <v>0</v>
      </c>
      <c r="J471" t="n">
        <v>0</v>
      </c>
      <c r="K471" t="n">
        <v>0</v>
      </c>
      <c r="L471" t="n">
        <v>0</v>
      </c>
      <c r="M471" t="n">
        <v>0</v>
      </c>
      <c r="N471" t="n">
        <v>0</v>
      </c>
      <c r="O471" t="n">
        <v>0</v>
      </c>
      <c r="P471" t="n">
        <v>0</v>
      </c>
      <c r="Q471" t="n">
        <v>0</v>
      </c>
      <c r="R471" s="2" t="inlineStr"/>
    </row>
    <row r="472" ht="15" customHeight="1">
      <c r="A472" t="inlineStr">
        <is>
          <t>A 33569-2023</t>
        </is>
      </c>
      <c r="B472" s="1" t="n">
        <v>45131.666875</v>
      </c>
      <c r="C472" s="1" t="n">
        <v>45938</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15905-2023</t>
        </is>
      </c>
      <c r="B473" s="1" t="n">
        <v>45022</v>
      </c>
      <c r="C473" s="1" t="n">
        <v>45938</v>
      </c>
      <c r="D473" t="inlineStr">
        <is>
          <t>STOCKHOLMS LÄN</t>
        </is>
      </c>
      <c r="E473" t="inlineStr">
        <is>
          <t>NORRTÄLJE</t>
        </is>
      </c>
      <c r="G473" t="n">
        <v>3.2</v>
      </c>
      <c r="H473" t="n">
        <v>0</v>
      </c>
      <c r="I473" t="n">
        <v>0</v>
      </c>
      <c r="J473" t="n">
        <v>0</v>
      </c>
      <c r="K473" t="n">
        <v>0</v>
      </c>
      <c r="L473" t="n">
        <v>0</v>
      </c>
      <c r="M473" t="n">
        <v>0</v>
      </c>
      <c r="N473" t="n">
        <v>0</v>
      </c>
      <c r="O473" t="n">
        <v>0</v>
      </c>
      <c r="P473" t="n">
        <v>0</v>
      </c>
      <c r="Q473" t="n">
        <v>0</v>
      </c>
      <c r="R473" s="2" t="inlineStr"/>
    </row>
    <row r="474" ht="15" customHeight="1">
      <c r="A474" t="inlineStr">
        <is>
          <t>A 60822-2023</t>
        </is>
      </c>
      <c r="B474" s="1" t="n">
        <v>45259</v>
      </c>
      <c r="C474" s="1" t="n">
        <v>45938</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15956-2023</t>
        </is>
      </c>
      <c r="B475" s="1" t="n">
        <v>45022.61003472222</v>
      </c>
      <c r="C475" s="1" t="n">
        <v>45938</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21726-2022</t>
        </is>
      </c>
      <c r="B476" s="1" t="n">
        <v>44708</v>
      </c>
      <c r="C476" s="1" t="n">
        <v>45938</v>
      </c>
      <c r="D476" t="inlineStr">
        <is>
          <t>STOCKHOLMS LÄN</t>
        </is>
      </c>
      <c r="E476" t="inlineStr">
        <is>
          <t>NORRTÄLJE</t>
        </is>
      </c>
      <c r="G476" t="n">
        <v>0.2</v>
      </c>
      <c r="H476" t="n">
        <v>0</v>
      </c>
      <c r="I476" t="n">
        <v>0</v>
      </c>
      <c r="J476" t="n">
        <v>0</v>
      </c>
      <c r="K476" t="n">
        <v>0</v>
      </c>
      <c r="L476" t="n">
        <v>0</v>
      </c>
      <c r="M476" t="n">
        <v>0</v>
      </c>
      <c r="N476" t="n">
        <v>0</v>
      </c>
      <c r="O476" t="n">
        <v>0</v>
      </c>
      <c r="P476" t="n">
        <v>0</v>
      </c>
      <c r="Q476" t="n">
        <v>0</v>
      </c>
      <c r="R476" s="2" t="inlineStr"/>
    </row>
    <row r="477" ht="15" customHeight="1">
      <c r="A477" t="inlineStr">
        <is>
          <t>A 21739-2022</t>
        </is>
      </c>
      <c r="B477" s="1" t="n">
        <v>44708.36708333333</v>
      </c>
      <c r="C477" s="1" t="n">
        <v>45938</v>
      </c>
      <c r="D477" t="inlineStr">
        <is>
          <t>STOCKHOLMS LÄN</t>
        </is>
      </c>
      <c r="E477" t="inlineStr">
        <is>
          <t>NORRTÄLJE</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35210-2023</t>
        </is>
      </c>
      <c r="B478" s="1" t="n">
        <v>45145.63584490741</v>
      </c>
      <c r="C478" s="1" t="n">
        <v>45938</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27677-2025</t>
        </is>
      </c>
      <c r="B479" s="1" t="n">
        <v>45813.63650462963</v>
      </c>
      <c r="C479" s="1" t="n">
        <v>45938</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47497-2025</t>
        </is>
      </c>
      <c r="B480" s="1" t="n">
        <v>45930.80217592593</v>
      </c>
      <c r="C480" s="1" t="n">
        <v>45938</v>
      </c>
      <c r="D480" t="inlineStr">
        <is>
          <t>STOCKHOLMS LÄN</t>
        </is>
      </c>
      <c r="E480" t="inlineStr">
        <is>
          <t>NORRTÄLJE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39152-2025</t>
        </is>
      </c>
      <c r="B481" s="1" t="n">
        <v>45888</v>
      </c>
      <c r="C481" s="1" t="n">
        <v>45938</v>
      </c>
      <c r="D481" t="inlineStr">
        <is>
          <t>STOCKHOLMS LÄN</t>
        </is>
      </c>
      <c r="E481" t="inlineStr">
        <is>
          <t>NORRTÄLJE</t>
        </is>
      </c>
      <c r="G481" t="n">
        <v>4.6</v>
      </c>
      <c r="H481" t="n">
        <v>0</v>
      </c>
      <c r="I481" t="n">
        <v>0</v>
      </c>
      <c r="J481" t="n">
        <v>0</v>
      </c>
      <c r="K481" t="n">
        <v>0</v>
      </c>
      <c r="L481" t="n">
        <v>0</v>
      </c>
      <c r="M481" t="n">
        <v>0</v>
      </c>
      <c r="N481" t="n">
        <v>0</v>
      </c>
      <c r="O481" t="n">
        <v>0</v>
      </c>
      <c r="P481" t="n">
        <v>0</v>
      </c>
      <c r="Q481" t="n">
        <v>0</v>
      </c>
      <c r="R481" s="2" t="inlineStr"/>
    </row>
    <row r="482" ht="15" customHeight="1">
      <c r="A482" t="inlineStr">
        <is>
          <t>A 59767-2022</t>
        </is>
      </c>
      <c r="B482" s="1" t="n">
        <v>44900</v>
      </c>
      <c r="C482" s="1" t="n">
        <v>45938</v>
      </c>
      <c r="D482" t="inlineStr">
        <is>
          <t>STOCKHOLMS LÄN</t>
        </is>
      </c>
      <c r="E482" t="inlineStr">
        <is>
          <t>NORRTÄLJE</t>
        </is>
      </c>
      <c r="G482" t="n">
        <v>2.2</v>
      </c>
      <c r="H482" t="n">
        <v>0</v>
      </c>
      <c r="I482" t="n">
        <v>0</v>
      </c>
      <c r="J482" t="n">
        <v>0</v>
      </c>
      <c r="K482" t="n">
        <v>0</v>
      </c>
      <c r="L482" t="n">
        <v>0</v>
      </c>
      <c r="M482" t="n">
        <v>0</v>
      </c>
      <c r="N482" t="n">
        <v>0</v>
      </c>
      <c r="O482" t="n">
        <v>0</v>
      </c>
      <c r="P482" t="n">
        <v>0</v>
      </c>
      <c r="Q482" t="n">
        <v>0</v>
      </c>
      <c r="R482" s="2" t="inlineStr"/>
    </row>
    <row r="483" ht="15" customHeight="1">
      <c r="A483" t="inlineStr">
        <is>
          <t>A 12031-2021</t>
        </is>
      </c>
      <c r="B483" s="1" t="n">
        <v>44266</v>
      </c>
      <c r="C483" s="1" t="n">
        <v>45938</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47626-2022</t>
        </is>
      </c>
      <c r="B484" s="1" t="n">
        <v>44854</v>
      </c>
      <c r="C484" s="1" t="n">
        <v>45938</v>
      </c>
      <c r="D484" t="inlineStr">
        <is>
          <t>STOCKHOLMS LÄN</t>
        </is>
      </c>
      <c r="E484" t="inlineStr">
        <is>
          <t>NORRTÄLJE</t>
        </is>
      </c>
      <c r="G484" t="n">
        <v>2</v>
      </c>
      <c r="H484" t="n">
        <v>0</v>
      </c>
      <c r="I484" t="n">
        <v>0</v>
      </c>
      <c r="J484" t="n">
        <v>0</v>
      </c>
      <c r="K484" t="n">
        <v>0</v>
      </c>
      <c r="L484" t="n">
        <v>0</v>
      </c>
      <c r="M484" t="n">
        <v>0</v>
      </c>
      <c r="N484" t="n">
        <v>0</v>
      </c>
      <c r="O484" t="n">
        <v>0</v>
      </c>
      <c r="P484" t="n">
        <v>0</v>
      </c>
      <c r="Q484" t="n">
        <v>0</v>
      </c>
      <c r="R484" s="2" t="inlineStr"/>
    </row>
    <row r="485" ht="15" customHeight="1">
      <c r="A485" t="inlineStr">
        <is>
          <t>A 5823-2023</t>
        </is>
      </c>
      <c r="B485" s="1" t="n">
        <v>44963</v>
      </c>
      <c r="C485" s="1" t="n">
        <v>45938</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19915-2024</t>
        </is>
      </c>
      <c r="B486" s="1" t="n">
        <v>45433.58431712963</v>
      </c>
      <c r="C486" s="1" t="n">
        <v>45938</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15217-2023</t>
        </is>
      </c>
      <c r="B487" s="1" t="n">
        <v>45019.28847222222</v>
      </c>
      <c r="C487" s="1" t="n">
        <v>45938</v>
      </c>
      <c r="D487" t="inlineStr">
        <is>
          <t>STOCKHOLMS LÄN</t>
        </is>
      </c>
      <c r="E487" t="inlineStr">
        <is>
          <t>NORRTÄLJE</t>
        </is>
      </c>
      <c r="G487" t="n">
        <v>3.6</v>
      </c>
      <c r="H487" t="n">
        <v>0</v>
      </c>
      <c r="I487" t="n">
        <v>0</v>
      </c>
      <c r="J487" t="n">
        <v>0</v>
      </c>
      <c r="K487" t="n">
        <v>0</v>
      </c>
      <c r="L487" t="n">
        <v>0</v>
      </c>
      <c r="M487" t="n">
        <v>0</v>
      </c>
      <c r="N487" t="n">
        <v>0</v>
      </c>
      <c r="O487" t="n">
        <v>0</v>
      </c>
      <c r="P487" t="n">
        <v>0</v>
      </c>
      <c r="Q487" t="n">
        <v>0</v>
      </c>
      <c r="R487" s="2" t="inlineStr"/>
    </row>
    <row r="488" ht="15" customHeight="1">
      <c r="A488" t="inlineStr">
        <is>
          <t>A 62206-2022</t>
        </is>
      </c>
      <c r="B488" s="1" t="n">
        <v>44922</v>
      </c>
      <c r="C488" s="1" t="n">
        <v>45938</v>
      </c>
      <c r="D488" t="inlineStr">
        <is>
          <t>STOCKHOLMS LÄN</t>
        </is>
      </c>
      <c r="E488" t="inlineStr">
        <is>
          <t>NORRTÄLJE</t>
        </is>
      </c>
      <c r="G488" t="n">
        <v>2.9</v>
      </c>
      <c r="H488" t="n">
        <v>0</v>
      </c>
      <c r="I488" t="n">
        <v>0</v>
      </c>
      <c r="J488" t="n">
        <v>0</v>
      </c>
      <c r="K488" t="n">
        <v>0</v>
      </c>
      <c r="L488" t="n">
        <v>0</v>
      </c>
      <c r="M488" t="n">
        <v>0</v>
      </c>
      <c r="N488" t="n">
        <v>0</v>
      </c>
      <c r="O488" t="n">
        <v>0</v>
      </c>
      <c r="P488" t="n">
        <v>0</v>
      </c>
      <c r="Q488" t="n">
        <v>0</v>
      </c>
      <c r="R488" s="2" t="inlineStr"/>
    </row>
    <row r="489" ht="15" customHeight="1">
      <c r="A489" t="inlineStr">
        <is>
          <t>A 27381-2024</t>
        </is>
      </c>
      <c r="B489" s="1" t="n">
        <v>45473.94501157408</v>
      </c>
      <c r="C489" s="1" t="n">
        <v>45938</v>
      </c>
      <c r="D489" t="inlineStr">
        <is>
          <t>STOCKHOLMS LÄN</t>
        </is>
      </c>
      <c r="E489" t="inlineStr">
        <is>
          <t>NORRTÄLJE</t>
        </is>
      </c>
      <c r="G489" t="n">
        <v>4.5</v>
      </c>
      <c r="H489" t="n">
        <v>0</v>
      </c>
      <c r="I489" t="n">
        <v>0</v>
      </c>
      <c r="J489" t="n">
        <v>0</v>
      </c>
      <c r="K489" t="n">
        <v>0</v>
      </c>
      <c r="L489" t="n">
        <v>0</v>
      </c>
      <c r="M489" t="n">
        <v>0</v>
      </c>
      <c r="N489" t="n">
        <v>0</v>
      </c>
      <c r="O489" t="n">
        <v>0</v>
      </c>
      <c r="P489" t="n">
        <v>0</v>
      </c>
      <c r="Q489" t="n">
        <v>0</v>
      </c>
      <c r="R489" s="2" t="inlineStr"/>
    </row>
    <row r="490" ht="15" customHeight="1">
      <c r="A490" t="inlineStr">
        <is>
          <t>A 50143-2023</t>
        </is>
      </c>
      <c r="B490" s="1" t="n">
        <v>45215</v>
      </c>
      <c r="C490" s="1" t="n">
        <v>45938</v>
      </c>
      <c r="D490" t="inlineStr">
        <is>
          <t>STOCKHOLMS LÄN</t>
        </is>
      </c>
      <c r="E490" t="inlineStr">
        <is>
          <t>NORRTÄLJE</t>
        </is>
      </c>
      <c r="G490" t="n">
        <v>10.3</v>
      </c>
      <c r="H490" t="n">
        <v>0</v>
      </c>
      <c r="I490" t="n">
        <v>0</v>
      </c>
      <c r="J490" t="n">
        <v>0</v>
      </c>
      <c r="K490" t="n">
        <v>0</v>
      </c>
      <c r="L490" t="n">
        <v>0</v>
      </c>
      <c r="M490" t="n">
        <v>0</v>
      </c>
      <c r="N490" t="n">
        <v>0</v>
      </c>
      <c r="O490" t="n">
        <v>0</v>
      </c>
      <c r="P490" t="n">
        <v>0</v>
      </c>
      <c r="Q490" t="n">
        <v>0</v>
      </c>
      <c r="R490" s="2" t="inlineStr"/>
    </row>
    <row r="491" ht="15" customHeight="1">
      <c r="A491" t="inlineStr">
        <is>
          <t>A 20618-2022</t>
        </is>
      </c>
      <c r="B491" s="1" t="n">
        <v>44700.50659722222</v>
      </c>
      <c r="C491" s="1" t="n">
        <v>45938</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47212-2025</t>
        </is>
      </c>
      <c r="B492" s="1" t="n">
        <v>45930</v>
      </c>
      <c r="C492" s="1" t="n">
        <v>45938</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40192-2023</t>
        </is>
      </c>
      <c r="B493" s="1" t="n">
        <v>45169</v>
      </c>
      <c r="C493" s="1" t="n">
        <v>45938</v>
      </c>
      <c r="D493" t="inlineStr">
        <is>
          <t>STOCKHOLMS LÄN</t>
        </is>
      </c>
      <c r="E493" t="inlineStr">
        <is>
          <t>NORRTÄLJE</t>
        </is>
      </c>
      <c r="F493" t="inlineStr">
        <is>
          <t>Kyrkan</t>
        </is>
      </c>
      <c r="G493" t="n">
        <v>0.7</v>
      </c>
      <c r="H493" t="n">
        <v>0</v>
      </c>
      <c r="I493" t="n">
        <v>0</v>
      </c>
      <c r="J493" t="n">
        <v>0</v>
      </c>
      <c r="K493" t="n">
        <v>0</v>
      </c>
      <c r="L493" t="n">
        <v>0</v>
      </c>
      <c r="M493" t="n">
        <v>0</v>
      </c>
      <c r="N493" t="n">
        <v>0</v>
      </c>
      <c r="O493" t="n">
        <v>0</v>
      </c>
      <c r="P493" t="n">
        <v>0</v>
      </c>
      <c r="Q493" t="n">
        <v>0</v>
      </c>
      <c r="R493" s="2" t="inlineStr"/>
    </row>
    <row r="494" ht="15" customHeight="1">
      <c r="A494" t="inlineStr">
        <is>
          <t>A 29176-2024</t>
        </is>
      </c>
      <c r="B494" s="1" t="n">
        <v>45482.53388888889</v>
      </c>
      <c r="C494" s="1" t="n">
        <v>45938</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36430-2024</t>
        </is>
      </c>
      <c r="B495" s="1" t="n">
        <v>45536</v>
      </c>
      <c r="C495" s="1" t="n">
        <v>45938</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51312-2023</t>
        </is>
      </c>
      <c r="B496" s="1" t="n">
        <v>45219.56697916667</v>
      </c>
      <c r="C496" s="1" t="n">
        <v>45938</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35640-2024</t>
        </is>
      </c>
      <c r="B497" s="1" t="n">
        <v>45531</v>
      </c>
      <c r="C497" s="1" t="n">
        <v>45938</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11900-2022</t>
        </is>
      </c>
      <c r="B498" s="1" t="n">
        <v>44635</v>
      </c>
      <c r="C498" s="1" t="n">
        <v>45938</v>
      </c>
      <c r="D498" t="inlineStr">
        <is>
          <t>STOCKHOLMS LÄN</t>
        </is>
      </c>
      <c r="E498" t="inlineStr">
        <is>
          <t>NORRTÄLJE</t>
        </is>
      </c>
      <c r="G498" t="n">
        <v>2.4</v>
      </c>
      <c r="H498" t="n">
        <v>0</v>
      </c>
      <c r="I498" t="n">
        <v>0</v>
      </c>
      <c r="J498" t="n">
        <v>0</v>
      </c>
      <c r="K498" t="n">
        <v>0</v>
      </c>
      <c r="L498" t="n">
        <v>0</v>
      </c>
      <c r="M498" t="n">
        <v>0</v>
      </c>
      <c r="N498" t="n">
        <v>0</v>
      </c>
      <c r="O498" t="n">
        <v>0</v>
      </c>
      <c r="P498" t="n">
        <v>0</v>
      </c>
      <c r="Q498" t="n">
        <v>0</v>
      </c>
      <c r="R498" s="2" t="inlineStr"/>
    </row>
    <row r="499" ht="15" customHeight="1">
      <c r="A499" t="inlineStr">
        <is>
          <t>A 10973-2025</t>
        </is>
      </c>
      <c r="B499" s="1" t="n">
        <v>45723</v>
      </c>
      <c r="C499" s="1" t="n">
        <v>45938</v>
      </c>
      <c r="D499" t="inlineStr">
        <is>
          <t>STOCKHOLMS LÄN</t>
        </is>
      </c>
      <c r="E499" t="inlineStr">
        <is>
          <t>NORRTÄLJE</t>
        </is>
      </c>
      <c r="F499" t="inlineStr">
        <is>
          <t>Övriga Aktiebolag</t>
        </is>
      </c>
      <c r="G499" t="n">
        <v>2.7</v>
      </c>
      <c r="H499" t="n">
        <v>0</v>
      </c>
      <c r="I499" t="n">
        <v>0</v>
      </c>
      <c r="J499" t="n">
        <v>0</v>
      </c>
      <c r="K499" t="n">
        <v>0</v>
      </c>
      <c r="L499" t="n">
        <v>0</v>
      </c>
      <c r="M499" t="n">
        <v>0</v>
      </c>
      <c r="N499" t="n">
        <v>0</v>
      </c>
      <c r="O499" t="n">
        <v>0</v>
      </c>
      <c r="P499" t="n">
        <v>0</v>
      </c>
      <c r="Q499" t="n">
        <v>0</v>
      </c>
      <c r="R499" s="2" t="inlineStr"/>
    </row>
    <row r="500" ht="15" customHeight="1">
      <c r="A500" t="inlineStr">
        <is>
          <t>A 23265-2023</t>
        </is>
      </c>
      <c r="B500" s="1" t="n">
        <v>45075.90703703704</v>
      </c>
      <c r="C500" s="1" t="n">
        <v>45938</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26117-2024</t>
        </is>
      </c>
      <c r="B501" s="1" t="n">
        <v>45468.45877314815</v>
      </c>
      <c r="C501" s="1" t="n">
        <v>45938</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43212-2022</t>
        </is>
      </c>
      <c r="B502" s="1" t="n">
        <v>44834.38636574074</v>
      </c>
      <c r="C502" s="1" t="n">
        <v>45938</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51653-2022</t>
        </is>
      </c>
      <c r="B503" s="1" t="n">
        <v>44867</v>
      </c>
      <c r="C503" s="1" t="n">
        <v>45938</v>
      </c>
      <c r="D503" t="inlineStr">
        <is>
          <t>STOCKHOLMS LÄN</t>
        </is>
      </c>
      <c r="E503" t="inlineStr">
        <is>
          <t>NORRTÄLJE</t>
        </is>
      </c>
      <c r="G503" t="n">
        <v>6.6</v>
      </c>
      <c r="H503" t="n">
        <v>0</v>
      </c>
      <c r="I503" t="n">
        <v>0</v>
      </c>
      <c r="J503" t="n">
        <v>0</v>
      </c>
      <c r="K503" t="n">
        <v>0</v>
      </c>
      <c r="L503" t="n">
        <v>0</v>
      </c>
      <c r="M503" t="n">
        <v>0</v>
      </c>
      <c r="N503" t="n">
        <v>0</v>
      </c>
      <c r="O503" t="n">
        <v>0</v>
      </c>
      <c r="P503" t="n">
        <v>0</v>
      </c>
      <c r="Q503" t="n">
        <v>0</v>
      </c>
      <c r="R503" s="2" t="inlineStr"/>
    </row>
    <row r="504" ht="15" customHeight="1">
      <c r="A504" t="inlineStr">
        <is>
          <t>A 27885-2022</t>
        </is>
      </c>
      <c r="B504" s="1" t="n">
        <v>44743.67418981482</v>
      </c>
      <c r="C504" s="1" t="n">
        <v>45938</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4322-2023</t>
        </is>
      </c>
      <c r="B505" s="1" t="n">
        <v>44953.69298611111</v>
      </c>
      <c r="C505" s="1" t="n">
        <v>45938</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39149-2025</t>
        </is>
      </c>
      <c r="B506" s="1" t="n">
        <v>45888.60714120371</v>
      </c>
      <c r="C506" s="1" t="n">
        <v>45938</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20336-2024</t>
        </is>
      </c>
      <c r="B507" s="1" t="n">
        <v>45435.43123842592</v>
      </c>
      <c r="C507" s="1" t="n">
        <v>45938</v>
      </c>
      <c r="D507" t="inlineStr">
        <is>
          <t>STOCKHOLMS LÄN</t>
        </is>
      </c>
      <c r="E507" t="inlineStr">
        <is>
          <t>NORRTÄLJE</t>
        </is>
      </c>
      <c r="G507" t="n">
        <v>1.9</v>
      </c>
      <c r="H507" t="n">
        <v>0</v>
      </c>
      <c r="I507" t="n">
        <v>0</v>
      </c>
      <c r="J507" t="n">
        <v>0</v>
      </c>
      <c r="K507" t="n">
        <v>0</v>
      </c>
      <c r="L507" t="n">
        <v>0</v>
      </c>
      <c r="M507" t="n">
        <v>0</v>
      </c>
      <c r="N507" t="n">
        <v>0</v>
      </c>
      <c r="O507" t="n">
        <v>0</v>
      </c>
      <c r="P507" t="n">
        <v>0</v>
      </c>
      <c r="Q507" t="n">
        <v>0</v>
      </c>
      <c r="R507" s="2" t="inlineStr"/>
    </row>
    <row r="508" ht="15" customHeight="1">
      <c r="A508" t="inlineStr">
        <is>
          <t>A 38990-2022</t>
        </is>
      </c>
      <c r="B508" s="1" t="n">
        <v>44816</v>
      </c>
      <c r="C508" s="1" t="n">
        <v>45938</v>
      </c>
      <c r="D508" t="inlineStr">
        <is>
          <t>STOCKHOLMS LÄN</t>
        </is>
      </c>
      <c r="E508" t="inlineStr">
        <is>
          <t>NORRTÄLJE</t>
        </is>
      </c>
      <c r="G508" t="n">
        <v>5.7</v>
      </c>
      <c r="H508" t="n">
        <v>0</v>
      </c>
      <c r="I508" t="n">
        <v>0</v>
      </c>
      <c r="J508" t="n">
        <v>0</v>
      </c>
      <c r="K508" t="n">
        <v>0</v>
      </c>
      <c r="L508" t="n">
        <v>0</v>
      </c>
      <c r="M508" t="n">
        <v>0</v>
      </c>
      <c r="N508" t="n">
        <v>0</v>
      </c>
      <c r="O508" t="n">
        <v>0</v>
      </c>
      <c r="P508" t="n">
        <v>0</v>
      </c>
      <c r="Q508" t="n">
        <v>0</v>
      </c>
      <c r="R508" s="2" t="inlineStr"/>
    </row>
    <row r="509" ht="15" customHeight="1">
      <c r="A509" t="inlineStr">
        <is>
          <t>A 1847-2023</t>
        </is>
      </c>
      <c r="B509" s="1" t="n">
        <v>44938</v>
      </c>
      <c r="C509" s="1" t="n">
        <v>45938</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17956-2025</t>
        </is>
      </c>
      <c r="B510" s="1" t="n">
        <v>45760.91174768518</v>
      </c>
      <c r="C510" s="1" t="n">
        <v>45938</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875-2023</t>
        </is>
      </c>
      <c r="B511" s="1" t="n">
        <v>44931.65626157408</v>
      </c>
      <c r="C511" s="1" t="n">
        <v>45938</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31236-2022</t>
        </is>
      </c>
      <c r="B512" s="1" t="n">
        <v>44771</v>
      </c>
      <c r="C512" s="1" t="n">
        <v>45938</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8315-2025</t>
        </is>
      </c>
      <c r="B513" s="1" t="n">
        <v>45708.61761574074</v>
      </c>
      <c r="C513" s="1" t="n">
        <v>45938</v>
      </c>
      <c r="D513" t="inlineStr">
        <is>
          <t>STOCKHOLMS LÄN</t>
        </is>
      </c>
      <c r="E513" t="inlineStr">
        <is>
          <t>NORRTÄLJE</t>
        </is>
      </c>
      <c r="G513" t="n">
        <v>3.9</v>
      </c>
      <c r="H513" t="n">
        <v>0</v>
      </c>
      <c r="I513" t="n">
        <v>0</v>
      </c>
      <c r="J513" t="n">
        <v>0</v>
      </c>
      <c r="K513" t="n">
        <v>0</v>
      </c>
      <c r="L513" t="n">
        <v>0</v>
      </c>
      <c r="M513" t="n">
        <v>0</v>
      </c>
      <c r="N513" t="n">
        <v>0</v>
      </c>
      <c r="O513" t="n">
        <v>0</v>
      </c>
      <c r="P513" t="n">
        <v>0</v>
      </c>
      <c r="Q513" t="n">
        <v>0</v>
      </c>
      <c r="R513" s="2" t="inlineStr"/>
    </row>
    <row r="514" ht="15" customHeight="1">
      <c r="A514" t="inlineStr">
        <is>
          <t>A 31281-2022</t>
        </is>
      </c>
      <c r="B514" s="1" t="n">
        <v>44771</v>
      </c>
      <c r="C514" s="1" t="n">
        <v>45938</v>
      </c>
      <c r="D514" t="inlineStr">
        <is>
          <t>STOCKHOLMS LÄN</t>
        </is>
      </c>
      <c r="E514" t="inlineStr">
        <is>
          <t>NORRTÄLJE</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47498-2025</t>
        </is>
      </c>
      <c r="B515" s="1" t="n">
        <v>45930.8134375</v>
      </c>
      <c r="C515" s="1" t="n">
        <v>45938</v>
      </c>
      <c r="D515" t="inlineStr">
        <is>
          <t>STOCKHOLMS LÄN</t>
        </is>
      </c>
      <c r="E515" t="inlineStr">
        <is>
          <t>NORRTÄLJE</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47460-2025</t>
        </is>
      </c>
      <c r="B516" s="1" t="n">
        <v>45930.66012731481</v>
      </c>
      <c r="C516" s="1" t="n">
        <v>45938</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47496-2025</t>
        </is>
      </c>
      <c r="B517" s="1" t="n">
        <v>45930.79252314815</v>
      </c>
      <c r="C517" s="1" t="n">
        <v>45938</v>
      </c>
      <c r="D517" t="inlineStr">
        <is>
          <t>STOCKHOLMS LÄN</t>
        </is>
      </c>
      <c r="E517" t="inlineStr">
        <is>
          <t>NORRTÄLJE</t>
        </is>
      </c>
      <c r="F517" t="inlineStr">
        <is>
          <t>Holmen skog AB</t>
        </is>
      </c>
      <c r="G517" t="n">
        <v>0.9</v>
      </c>
      <c r="H517" t="n">
        <v>0</v>
      </c>
      <c r="I517" t="n">
        <v>0</v>
      </c>
      <c r="J517" t="n">
        <v>0</v>
      </c>
      <c r="K517" t="n">
        <v>0</v>
      </c>
      <c r="L517" t="n">
        <v>0</v>
      </c>
      <c r="M517" t="n">
        <v>0</v>
      </c>
      <c r="N517" t="n">
        <v>0</v>
      </c>
      <c r="O517" t="n">
        <v>0</v>
      </c>
      <c r="P517" t="n">
        <v>0</v>
      </c>
      <c r="Q517" t="n">
        <v>0</v>
      </c>
      <c r="R517" s="2" t="inlineStr"/>
    </row>
    <row r="518" ht="15" customHeight="1">
      <c r="A518" t="inlineStr">
        <is>
          <t>A 18665-2022</t>
        </is>
      </c>
      <c r="B518" s="1" t="n">
        <v>44687</v>
      </c>
      <c r="C518" s="1" t="n">
        <v>45938</v>
      </c>
      <c r="D518" t="inlineStr">
        <is>
          <t>STOCKHOLMS LÄN</t>
        </is>
      </c>
      <c r="E518" t="inlineStr">
        <is>
          <t>NORRTÄLJE</t>
        </is>
      </c>
      <c r="F518" t="inlineStr">
        <is>
          <t>Kyrkan</t>
        </is>
      </c>
      <c r="G518" t="n">
        <v>1.1</v>
      </c>
      <c r="H518" t="n">
        <v>0</v>
      </c>
      <c r="I518" t="n">
        <v>0</v>
      </c>
      <c r="J518" t="n">
        <v>0</v>
      </c>
      <c r="K518" t="n">
        <v>0</v>
      </c>
      <c r="L518" t="n">
        <v>0</v>
      </c>
      <c r="M518" t="n">
        <v>0</v>
      </c>
      <c r="N518" t="n">
        <v>0</v>
      </c>
      <c r="O518" t="n">
        <v>0</v>
      </c>
      <c r="P518" t="n">
        <v>0</v>
      </c>
      <c r="Q518" t="n">
        <v>0</v>
      </c>
      <c r="R518" s="2" t="inlineStr"/>
    </row>
    <row r="519" ht="15" customHeight="1">
      <c r="A519" t="inlineStr">
        <is>
          <t>A 60224-2023</t>
        </is>
      </c>
      <c r="B519" s="1" t="n">
        <v>45257</v>
      </c>
      <c r="C519" s="1" t="n">
        <v>45938</v>
      </c>
      <c r="D519" t="inlineStr">
        <is>
          <t>STOCKHOLMS LÄN</t>
        </is>
      </c>
      <c r="E519" t="inlineStr">
        <is>
          <t>NORRTÄLJE</t>
        </is>
      </c>
      <c r="G519" t="n">
        <v>8.1</v>
      </c>
      <c r="H519" t="n">
        <v>0</v>
      </c>
      <c r="I519" t="n">
        <v>0</v>
      </c>
      <c r="J519" t="n">
        <v>0</v>
      </c>
      <c r="K519" t="n">
        <v>0</v>
      </c>
      <c r="L519" t="n">
        <v>0</v>
      </c>
      <c r="M519" t="n">
        <v>0</v>
      </c>
      <c r="N519" t="n">
        <v>0</v>
      </c>
      <c r="O519" t="n">
        <v>0</v>
      </c>
      <c r="P519" t="n">
        <v>0</v>
      </c>
      <c r="Q519" t="n">
        <v>0</v>
      </c>
      <c r="R519" s="2" t="inlineStr"/>
    </row>
    <row r="520" ht="15" customHeight="1">
      <c r="A520" t="inlineStr">
        <is>
          <t>A 5158-2024</t>
        </is>
      </c>
      <c r="B520" s="1" t="n">
        <v>45330.50098379629</v>
      </c>
      <c r="C520" s="1" t="n">
        <v>45938</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59721-2024</t>
        </is>
      </c>
      <c r="B521" s="1" t="n">
        <v>45639.47385416667</v>
      </c>
      <c r="C521" s="1" t="n">
        <v>45938</v>
      </c>
      <c r="D521" t="inlineStr">
        <is>
          <t>STOCKHOLMS LÄN</t>
        </is>
      </c>
      <c r="E521" t="inlineStr">
        <is>
          <t>NORRTÄLJE</t>
        </is>
      </c>
      <c r="G521" t="n">
        <v>4.6</v>
      </c>
      <c r="H521" t="n">
        <v>0</v>
      </c>
      <c r="I521" t="n">
        <v>0</v>
      </c>
      <c r="J521" t="n">
        <v>0</v>
      </c>
      <c r="K521" t="n">
        <v>0</v>
      </c>
      <c r="L521" t="n">
        <v>0</v>
      </c>
      <c r="M521" t="n">
        <v>0</v>
      </c>
      <c r="N521" t="n">
        <v>0</v>
      </c>
      <c r="O521" t="n">
        <v>0</v>
      </c>
      <c r="P521" t="n">
        <v>0</v>
      </c>
      <c r="Q521" t="n">
        <v>0</v>
      </c>
      <c r="R521" s="2" t="inlineStr"/>
    </row>
    <row r="522" ht="15" customHeight="1">
      <c r="A522" t="inlineStr">
        <is>
          <t>A 58302-2022</t>
        </is>
      </c>
      <c r="B522" s="1" t="n">
        <v>44901</v>
      </c>
      <c r="C522" s="1" t="n">
        <v>45938</v>
      </c>
      <c r="D522" t="inlineStr">
        <is>
          <t>STOCKHOLMS LÄN</t>
        </is>
      </c>
      <c r="E522" t="inlineStr">
        <is>
          <t>NORRTÄLJE</t>
        </is>
      </c>
      <c r="G522" t="n">
        <v>3.9</v>
      </c>
      <c r="H522" t="n">
        <v>0</v>
      </c>
      <c r="I522" t="n">
        <v>0</v>
      </c>
      <c r="J522" t="n">
        <v>0</v>
      </c>
      <c r="K522" t="n">
        <v>0</v>
      </c>
      <c r="L522" t="n">
        <v>0</v>
      </c>
      <c r="M522" t="n">
        <v>0</v>
      </c>
      <c r="N522" t="n">
        <v>0</v>
      </c>
      <c r="O522" t="n">
        <v>0</v>
      </c>
      <c r="P522" t="n">
        <v>0</v>
      </c>
      <c r="Q522" t="n">
        <v>0</v>
      </c>
      <c r="R522" s="2" t="inlineStr"/>
    </row>
    <row r="523" ht="15" customHeight="1">
      <c r="A523" t="inlineStr">
        <is>
          <t>A 39692-2025</t>
        </is>
      </c>
      <c r="B523" s="1" t="n">
        <v>45890.68083333333</v>
      </c>
      <c r="C523" s="1" t="n">
        <v>45938</v>
      </c>
      <c r="D523" t="inlineStr">
        <is>
          <t>STOCKHOLMS LÄN</t>
        </is>
      </c>
      <c r="E523" t="inlineStr">
        <is>
          <t>NORRTÄLJE</t>
        </is>
      </c>
      <c r="G523" t="n">
        <v>10.5</v>
      </c>
      <c r="H523" t="n">
        <v>0</v>
      </c>
      <c r="I523" t="n">
        <v>0</v>
      </c>
      <c r="J523" t="n">
        <v>0</v>
      </c>
      <c r="K523" t="n">
        <v>0</v>
      </c>
      <c r="L523" t="n">
        <v>0</v>
      </c>
      <c r="M523" t="n">
        <v>0</v>
      </c>
      <c r="N523" t="n">
        <v>0</v>
      </c>
      <c r="O523" t="n">
        <v>0</v>
      </c>
      <c r="P523" t="n">
        <v>0</v>
      </c>
      <c r="Q523" t="n">
        <v>0</v>
      </c>
      <c r="R523" s="2" t="inlineStr"/>
    </row>
    <row r="524" ht="15" customHeight="1">
      <c r="A524" t="inlineStr">
        <is>
          <t>A 9130-2025</t>
        </is>
      </c>
      <c r="B524" s="1" t="n">
        <v>45713.92623842593</v>
      </c>
      <c r="C524" s="1" t="n">
        <v>45938</v>
      </c>
      <c r="D524" t="inlineStr">
        <is>
          <t>STOCKHOLMS LÄN</t>
        </is>
      </c>
      <c r="E524" t="inlineStr">
        <is>
          <t>NORRTÄLJE</t>
        </is>
      </c>
      <c r="G524" t="n">
        <v>16</v>
      </c>
      <c r="H524" t="n">
        <v>0</v>
      </c>
      <c r="I524" t="n">
        <v>0</v>
      </c>
      <c r="J524" t="n">
        <v>0</v>
      </c>
      <c r="K524" t="n">
        <v>0</v>
      </c>
      <c r="L524" t="n">
        <v>0</v>
      </c>
      <c r="M524" t="n">
        <v>0</v>
      </c>
      <c r="N524" t="n">
        <v>0</v>
      </c>
      <c r="O524" t="n">
        <v>0</v>
      </c>
      <c r="P524" t="n">
        <v>0</v>
      </c>
      <c r="Q524" t="n">
        <v>0</v>
      </c>
      <c r="R524" s="2" t="inlineStr"/>
    </row>
    <row r="525" ht="15" customHeight="1">
      <c r="A525" t="inlineStr">
        <is>
          <t>A 17551-2025</t>
        </is>
      </c>
      <c r="B525" s="1" t="n">
        <v>45757.61421296297</v>
      </c>
      <c r="C525" s="1" t="n">
        <v>45938</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55010-2024</t>
        </is>
      </c>
      <c r="B526" s="1" t="n">
        <v>45621.34425925926</v>
      </c>
      <c r="C526" s="1" t="n">
        <v>45938</v>
      </c>
      <c r="D526" t="inlineStr">
        <is>
          <t>STOCKHOLMS LÄN</t>
        </is>
      </c>
      <c r="E526" t="inlineStr">
        <is>
          <t>NORRTÄLJE</t>
        </is>
      </c>
      <c r="F526" t="inlineStr">
        <is>
          <t>Sveaskog</t>
        </is>
      </c>
      <c r="G526" t="n">
        <v>5.7</v>
      </c>
      <c r="H526" t="n">
        <v>0</v>
      </c>
      <c r="I526" t="n">
        <v>0</v>
      </c>
      <c r="J526" t="n">
        <v>0</v>
      </c>
      <c r="K526" t="n">
        <v>0</v>
      </c>
      <c r="L526" t="n">
        <v>0</v>
      </c>
      <c r="M526" t="n">
        <v>0</v>
      </c>
      <c r="N526" t="n">
        <v>0</v>
      </c>
      <c r="O526" t="n">
        <v>0</v>
      </c>
      <c r="P526" t="n">
        <v>0</v>
      </c>
      <c r="Q526" t="n">
        <v>0</v>
      </c>
      <c r="R526" s="2" t="inlineStr"/>
    </row>
    <row r="527" ht="15" customHeight="1">
      <c r="A527" t="inlineStr">
        <is>
          <t>A 31105-2022</t>
        </is>
      </c>
      <c r="B527" s="1" t="n">
        <v>44769.66039351852</v>
      </c>
      <c r="C527" s="1" t="n">
        <v>45938</v>
      </c>
      <c r="D527" t="inlineStr">
        <is>
          <t>STOCKHOLMS LÄN</t>
        </is>
      </c>
      <c r="E527" t="inlineStr">
        <is>
          <t>NORRTÄLJE</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38591-2023</t>
        </is>
      </c>
      <c r="B528" s="1" t="n">
        <v>45162</v>
      </c>
      <c r="C528" s="1" t="n">
        <v>45938</v>
      </c>
      <c r="D528" t="inlineStr">
        <is>
          <t>STOCKHOLMS LÄN</t>
        </is>
      </c>
      <c r="E528" t="inlineStr">
        <is>
          <t>NORRTÄLJE</t>
        </is>
      </c>
      <c r="F528" t="inlineStr">
        <is>
          <t>Övriga Aktiebolag</t>
        </is>
      </c>
      <c r="G528" t="n">
        <v>3.1</v>
      </c>
      <c r="H528" t="n">
        <v>0</v>
      </c>
      <c r="I528" t="n">
        <v>0</v>
      </c>
      <c r="J528" t="n">
        <v>0</v>
      </c>
      <c r="K528" t="n">
        <v>0</v>
      </c>
      <c r="L528" t="n">
        <v>0</v>
      </c>
      <c r="M528" t="n">
        <v>0</v>
      </c>
      <c r="N528" t="n">
        <v>0</v>
      </c>
      <c r="O528" t="n">
        <v>0</v>
      </c>
      <c r="P528" t="n">
        <v>0</v>
      </c>
      <c r="Q528" t="n">
        <v>0</v>
      </c>
      <c r="R528" s="2" t="inlineStr"/>
    </row>
    <row r="529" ht="15" customHeight="1">
      <c r="A529" t="inlineStr">
        <is>
          <t>A 30338-2022</t>
        </is>
      </c>
      <c r="B529" s="1" t="n">
        <v>44760</v>
      </c>
      <c r="C529" s="1" t="n">
        <v>45938</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47951-2025</t>
        </is>
      </c>
      <c r="B530" s="1" t="n">
        <v>45932.58491898148</v>
      </c>
      <c r="C530" s="1" t="n">
        <v>45938</v>
      </c>
      <c r="D530" t="inlineStr">
        <is>
          <t>STOCKHOLMS LÄN</t>
        </is>
      </c>
      <c r="E530" t="inlineStr">
        <is>
          <t>NORRTÄLJE</t>
        </is>
      </c>
      <c r="G530" t="n">
        <v>21.4</v>
      </c>
      <c r="H530" t="n">
        <v>0</v>
      </c>
      <c r="I530" t="n">
        <v>0</v>
      </c>
      <c r="J530" t="n">
        <v>0</v>
      </c>
      <c r="K530" t="n">
        <v>0</v>
      </c>
      <c r="L530" t="n">
        <v>0</v>
      </c>
      <c r="M530" t="n">
        <v>0</v>
      </c>
      <c r="N530" t="n">
        <v>0</v>
      </c>
      <c r="O530" t="n">
        <v>0</v>
      </c>
      <c r="P530" t="n">
        <v>0</v>
      </c>
      <c r="Q530" t="n">
        <v>0</v>
      </c>
      <c r="R530" s="2" t="inlineStr"/>
    </row>
    <row r="531" ht="15" customHeight="1">
      <c r="A531" t="inlineStr">
        <is>
          <t>A 55890-2020</t>
        </is>
      </c>
      <c r="B531" s="1" t="n">
        <v>44132</v>
      </c>
      <c r="C531" s="1" t="n">
        <v>45938</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2888-2022</t>
        </is>
      </c>
      <c r="B532" s="1" t="n">
        <v>44581</v>
      </c>
      <c r="C532" s="1" t="n">
        <v>45938</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52686-2024</t>
        </is>
      </c>
      <c r="B533" s="1" t="n">
        <v>45610.39271990741</v>
      </c>
      <c r="C533" s="1" t="n">
        <v>45938</v>
      </c>
      <c r="D533" t="inlineStr">
        <is>
          <t>STOCKHOLMS LÄN</t>
        </is>
      </c>
      <c r="E533" t="inlineStr">
        <is>
          <t>NORRTÄLJE</t>
        </is>
      </c>
      <c r="G533" t="n">
        <v>5.7</v>
      </c>
      <c r="H533" t="n">
        <v>0</v>
      </c>
      <c r="I533" t="n">
        <v>0</v>
      </c>
      <c r="J533" t="n">
        <v>0</v>
      </c>
      <c r="K533" t="n">
        <v>0</v>
      </c>
      <c r="L533" t="n">
        <v>0</v>
      </c>
      <c r="M533" t="n">
        <v>0</v>
      </c>
      <c r="N533" t="n">
        <v>0</v>
      </c>
      <c r="O533" t="n">
        <v>0</v>
      </c>
      <c r="P533" t="n">
        <v>0</v>
      </c>
      <c r="Q533" t="n">
        <v>0</v>
      </c>
      <c r="R533" s="2" t="inlineStr"/>
    </row>
    <row r="534" ht="15" customHeight="1">
      <c r="A534" t="inlineStr">
        <is>
          <t>A 20343-2024</t>
        </is>
      </c>
      <c r="B534" s="1" t="n">
        <v>45435.43466435185</v>
      </c>
      <c r="C534" s="1" t="n">
        <v>45938</v>
      </c>
      <c r="D534" t="inlineStr">
        <is>
          <t>STOCKHOLMS LÄN</t>
        </is>
      </c>
      <c r="E534" t="inlineStr">
        <is>
          <t>NORRTÄLJE</t>
        </is>
      </c>
      <c r="G534" t="n">
        <v>2.8</v>
      </c>
      <c r="H534" t="n">
        <v>0</v>
      </c>
      <c r="I534" t="n">
        <v>0</v>
      </c>
      <c r="J534" t="n">
        <v>0</v>
      </c>
      <c r="K534" t="n">
        <v>0</v>
      </c>
      <c r="L534" t="n">
        <v>0</v>
      </c>
      <c r="M534" t="n">
        <v>0</v>
      </c>
      <c r="N534" t="n">
        <v>0</v>
      </c>
      <c r="O534" t="n">
        <v>0</v>
      </c>
      <c r="P534" t="n">
        <v>0</v>
      </c>
      <c r="Q534" t="n">
        <v>0</v>
      </c>
      <c r="R534" s="2" t="inlineStr"/>
    </row>
    <row r="535" ht="15" customHeight="1">
      <c r="A535" t="inlineStr">
        <is>
          <t>A 20345-2024</t>
        </is>
      </c>
      <c r="B535" s="1" t="n">
        <v>45435.43820601852</v>
      </c>
      <c r="C535" s="1" t="n">
        <v>45938</v>
      </c>
      <c r="D535" t="inlineStr">
        <is>
          <t>STOCKHOLMS LÄN</t>
        </is>
      </c>
      <c r="E535" t="inlineStr">
        <is>
          <t>NORRTÄLJE</t>
        </is>
      </c>
      <c r="G535" t="n">
        <v>3.8</v>
      </c>
      <c r="H535" t="n">
        <v>0</v>
      </c>
      <c r="I535" t="n">
        <v>0</v>
      </c>
      <c r="J535" t="n">
        <v>0</v>
      </c>
      <c r="K535" t="n">
        <v>0</v>
      </c>
      <c r="L535" t="n">
        <v>0</v>
      </c>
      <c r="M535" t="n">
        <v>0</v>
      </c>
      <c r="N535" t="n">
        <v>0</v>
      </c>
      <c r="O535" t="n">
        <v>0</v>
      </c>
      <c r="P535" t="n">
        <v>0</v>
      </c>
      <c r="Q535" t="n">
        <v>0</v>
      </c>
      <c r="R535" s="2" t="inlineStr"/>
    </row>
    <row r="536" ht="15" customHeight="1">
      <c r="A536" t="inlineStr">
        <is>
          <t>A 9765-2024</t>
        </is>
      </c>
      <c r="B536" s="1" t="n">
        <v>45362.62811342593</v>
      </c>
      <c r="C536" s="1" t="n">
        <v>45938</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35691-2023</t>
        </is>
      </c>
      <c r="B537" s="1" t="n">
        <v>45147.65222222222</v>
      </c>
      <c r="C537" s="1" t="n">
        <v>45938</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35693-2023</t>
        </is>
      </c>
      <c r="B538" s="1" t="n">
        <v>45147.65311342593</v>
      </c>
      <c r="C538" s="1" t="n">
        <v>45938</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30620-2022</t>
        </is>
      </c>
      <c r="B539" s="1" t="n">
        <v>44763.40914351852</v>
      </c>
      <c r="C539" s="1" t="n">
        <v>45938</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50113-2024</t>
        </is>
      </c>
      <c r="B540" s="1" t="n">
        <v>45600.411875</v>
      </c>
      <c r="C540" s="1" t="n">
        <v>45938</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28365-2022</t>
        </is>
      </c>
      <c r="B541" s="1" t="n">
        <v>44747</v>
      </c>
      <c r="C541" s="1" t="n">
        <v>45938</v>
      </c>
      <c r="D541" t="inlineStr">
        <is>
          <t>STOCKHOLMS LÄN</t>
        </is>
      </c>
      <c r="E541" t="inlineStr">
        <is>
          <t>NORRTÄLJE</t>
        </is>
      </c>
      <c r="G541" t="n">
        <v>5.1</v>
      </c>
      <c r="H541" t="n">
        <v>0</v>
      </c>
      <c r="I541" t="n">
        <v>0</v>
      </c>
      <c r="J541" t="n">
        <v>0</v>
      </c>
      <c r="K541" t="n">
        <v>0</v>
      </c>
      <c r="L541" t="n">
        <v>0</v>
      </c>
      <c r="M541" t="n">
        <v>0</v>
      </c>
      <c r="N541" t="n">
        <v>0</v>
      </c>
      <c r="O541" t="n">
        <v>0</v>
      </c>
      <c r="P541" t="n">
        <v>0</v>
      </c>
      <c r="Q541" t="n">
        <v>0</v>
      </c>
      <c r="R541" s="2" t="inlineStr"/>
    </row>
    <row r="542" ht="15" customHeight="1">
      <c r="A542" t="inlineStr">
        <is>
          <t>A 59875-2024</t>
        </is>
      </c>
      <c r="B542" s="1" t="n">
        <v>45640.58716435185</v>
      </c>
      <c r="C542" s="1" t="n">
        <v>45938</v>
      </c>
      <c r="D542" t="inlineStr">
        <is>
          <t>STOCKHOLMS LÄN</t>
        </is>
      </c>
      <c r="E542" t="inlineStr">
        <is>
          <t>NORRTÄLJE</t>
        </is>
      </c>
      <c r="G542" t="n">
        <v>0.3</v>
      </c>
      <c r="H542" t="n">
        <v>0</v>
      </c>
      <c r="I542" t="n">
        <v>0</v>
      </c>
      <c r="J542" t="n">
        <v>0</v>
      </c>
      <c r="K542" t="n">
        <v>0</v>
      </c>
      <c r="L542" t="n">
        <v>0</v>
      </c>
      <c r="M542" t="n">
        <v>0</v>
      </c>
      <c r="N542" t="n">
        <v>0</v>
      </c>
      <c r="O542" t="n">
        <v>0</v>
      </c>
      <c r="P542" t="n">
        <v>0</v>
      </c>
      <c r="Q542" t="n">
        <v>0</v>
      </c>
      <c r="R542" s="2" t="inlineStr"/>
    </row>
    <row r="543" ht="15" customHeight="1">
      <c r="A543" t="inlineStr">
        <is>
          <t>A 42955-2022</t>
        </is>
      </c>
      <c r="B543" s="1" t="n">
        <v>44833.40876157407</v>
      </c>
      <c r="C543" s="1" t="n">
        <v>45938</v>
      </c>
      <c r="D543" t="inlineStr">
        <is>
          <t>STOCKHOLMS LÄN</t>
        </is>
      </c>
      <c r="E543" t="inlineStr">
        <is>
          <t>NORRTÄLJE</t>
        </is>
      </c>
      <c r="G543" t="n">
        <v>13.1</v>
      </c>
      <c r="H543" t="n">
        <v>0</v>
      </c>
      <c r="I543" t="n">
        <v>0</v>
      </c>
      <c r="J543" t="n">
        <v>0</v>
      </c>
      <c r="K543" t="n">
        <v>0</v>
      </c>
      <c r="L543" t="n">
        <v>0</v>
      </c>
      <c r="M543" t="n">
        <v>0</v>
      </c>
      <c r="N543" t="n">
        <v>0</v>
      </c>
      <c r="O543" t="n">
        <v>0</v>
      </c>
      <c r="P543" t="n">
        <v>0</v>
      </c>
      <c r="Q543" t="n">
        <v>0</v>
      </c>
      <c r="R543" s="2" t="inlineStr"/>
    </row>
    <row r="544" ht="15" customHeight="1">
      <c r="A544" t="inlineStr">
        <is>
          <t>A 57216-2020</t>
        </is>
      </c>
      <c r="B544" s="1" t="n">
        <v>44139.54078703704</v>
      </c>
      <c r="C544" s="1" t="n">
        <v>45938</v>
      </c>
      <c r="D544" t="inlineStr">
        <is>
          <t>STOCKHOLMS LÄN</t>
        </is>
      </c>
      <c r="E544" t="inlineStr">
        <is>
          <t>NORRTÄLJE</t>
        </is>
      </c>
      <c r="G544" t="n">
        <v>0.8</v>
      </c>
      <c r="H544" t="n">
        <v>0</v>
      </c>
      <c r="I544" t="n">
        <v>0</v>
      </c>
      <c r="J544" t="n">
        <v>0</v>
      </c>
      <c r="K544" t="n">
        <v>0</v>
      </c>
      <c r="L544" t="n">
        <v>0</v>
      </c>
      <c r="M544" t="n">
        <v>0</v>
      </c>
      <c r="N544" t="n">
        <v>0</v>
      </c>
      <c r="O544" t="n">
        <v>0</v>
      </c>
      <c r="P544" t="n">
        <v>0</v>
      </c>
      <c r="Q544" t="n">
        <v>0</v>
      </c>
      <c r="R544" s="2" t="inlineStr"/>
    </row>
    <row r="545" ht="15" customHeight="1">
      <c r="A545" t="inlineStr">
        <is>
          <t>A 11-2024</t>
        </is>
      </c>
      <c r="B545" s="1" t="n">
        <v>45293</v>
      </c>
      <c r="C545" s="1" t="n">
        <v>45938</v>
      </c>
      <c r="D545" t="inlineStr">
        <is>
          <t>STOCKHOLMS LÄN</t>
        </is>
      </c>
      <c r="E545" t="inlineStr">
        <is>
          <t>NORRTÄLJE</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14559-2024</t>
        </is>
      </c>
      <c r="B546" s="1" t="n">
        <v>45394.72869212963</v>
      </c>
      <c r="C546" s="1" t="n">
        <v>45938</v>
      </c>
      <c r="D546" t="inlineStr">
        <is>
          <t>STOCKHOLMS LÄN</t>
        </is>
      </c>
      <c r="E546" t="inlineStr">
        <is>
          <t>NORRTÄLJE</t>
        </is>
      </c>
      <c r="G546" t="n">
        <v>4.2</v>
      </c>
      <c r="H546" t="n">
        <v>0</v>
      </c>
      <c r="I546" t="n">
        <v>0</v>
      </c>
      <c r="J546" t="n">
        <v>0</v>
      </c>
      <c r="K546" t="n">
        <v>0</v>
      </c>
      <c r="L546" t="n">
        <v>0</v>
      </c>
      <c r="M546" t="n">
        <v>0</v>
      </c>
      <c r="N546" t="n">
        <v>0</v>
      </c>
      <c r="O546" t="n">
        <v>0</v>
      </c>
      <c r="P546" t="n">
        <v>0</v>
      </c>
      <c r="Q546" t="n">
        <v>0</v>
      </c>
      <c r="R546" s="2" t="inlineStr"/>
    </row>
    <row r="547" ht="15" customHeight="1">
      <c r="A547" t="inlineStr">
        <is>
          <t>A 8433-2022</t>
        </is>
      </c>
      <c r="B547" s="1" t="n">
        <v>44611</v>
      </c>
      <c r="C547" s="1" t="n">
        <v>45938</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1283-2025</t>
        </is>
      </c>
      <c r="B548" s="1" t="n">
        <v>45667.49878472222</v>
      </c>
      <c r="C548" s="1" t="n">
        <v>45938</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48370-2025</t>
        </is>
      </c>
      <c r="B549" s="1" t="n">
        <v>45933.67854166667</v>
      </c>
      <c r="C549" s="1" t="n">
        <v>45938</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35639-2025</t>
        </is>
      </c>
      <c r="B550" s="1" t="n">
        <v>45859</v>
      </c>
      <c r="C550" s="1" t="n">
        <v>45938</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48127-2025</t>
        </is>
      </c>
      <c r="B551" s="1" t="n">
        <v>45933.36621527778</v>
      </c>
      <c r="C551" s="1" t="n">
        <v>45938</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9703-2021</t>
        </is>
      </c>
      <c r="B552" s="1" t="n">
        <v>44252</v>
      </c>
      <c r="C552" s="1" t="n">
        <v>45938</v>
      </c>
      <c r="D552" t="inlineStr">
        <is>
          <t>STOCKHOLMS LÄN</t>
        </is>
      </c>
      <c r="E552" t="inlineStr">
        <is>
          <t>NORRTÄLJE</t>
        </is>
      </c>
      <c r="G552" t="n">
        <v>3.4</v>
      </c>
      <c r="H552" t="n">
        <v>0</v>
      </c>
      <c r="I552" t="n">
        <v>0</v>
      </c>
      <c r="J552" t="n">
        <v>0</v>
      </c>
      <c r="K552" t="n">
        <v>0</v>
      </c>
      <c r="L552" t="n">
        <v>0</v>
      </c>
      <c r="M552" t="n">
        <v>0</v>
      </c>
      <c r="N552" t="n">
        <v>0</v>
      </c>
      <c r="O552" t="n">
        <v>0</v>
      </c>
      <c r="P552" t="n">
        <v>0</v>
      </c>
      <c r="Q552" t="n">
        <v>0</v>
      </c>
      <c r="R552" s="2" t="inlineStr"/>
    </row>
    <row r="553" ht="15" customHeight="1">
      <c r="A553" t="inlineStr">
        <is>
          <t>A 25525-2022</t>
        </is>
      </c>
      <c r="B553" s="1" t="n">
        <v>44732</v>
      </c>
      <c r="C553" s="1" t="n">
        <v>45938</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12302-2025</t>
        </is>
      </c>
      <c r="B554" s="1" t="n">
        <v>45729.72851851852</v>
      </c>
      <c r="C554" s="1" t="n">
        <v>45938</v>
      </c>
      <c r="D554" t="inlineStr">
        <is>
          <t>STOCKHOLMS LÄN</t>
        </is>
      </c>
      <c r="E554" t="inlineStr">
        <is>
          <t>NORRTÄLJE</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48179-2025</t>
        </is>
      </c>
      <c r="B555" s="1" t="n">
        <v>45933.44907407407</v>
      </c>
      <c r="C555" s="1" t="n">
        <v>45938</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37010-2022</t>
        </is>
      </c>
      <c r="B556" s="1" t="n">
        <v>44806.41576388889</v>
      </c>
      <c r="C556" s="1" t="n">
        <v>45938</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48360-2025</t>
        </is>
      </c>
      <c r="B557" s="1" t="n">
        <v>45933.66253472222</v>
      </c>
      <c r="C557" s="1" t="n">
        <v>45938</v>
      </c>
      <c r="D557" t="inlineStr">
        <is>
          <t>STOCKHOLMS LÄN</t>
        </is>
      </c>
      <c r="E557" t="inlineStr">
        <is>
          <t>NORRTÄLJE</t>
        </is>
      </c>
      <c r="G557" t="n">
        <v>4.1</v>
      </c>
      <c r="H557" t="n">
        <v>0</v>
      </c>
      <c r="I557" t="n">
        <v>0</v>
      </c>
      <c r="J557" t="n">
        <v>0</v>
      </c>
      <c r="K557" t="n">
        <v>0</v>
      </c>
      <c r="L557" t="n">
        <v>0</v>
      </c>
      <c r="M557" t="n">
        <v>0</v>
      </c>
      <c r="N557" t="n">
        <v>0</v>
      </c>
      <c r="O557" t="n">
        <v>0</v>
      </c>
      <c r="P557" t="n">
        <v>0</v>
      </c>
      <c r="Q557" t="n">
        <v>0</v>
      </c>
      <c r="R557" s="2" t="inlineStr"/>
    </row>
    <row r="558" ht="15" customHeight="1">
      <c r="A558" t="inlineStr">
        <is>
          <t>A 35636-2025</t>
        </is>
      </c>
      <c r="B558" s="1" t="n">
        <v>45859</v>
      </c>
      <c r="C558" s="1" t="n">
        <v>45938</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48174-2025</t>
        </is>
      </c>
      <c r="B559" s="1" t="n">
        <v>45933.44230324074</v>
      </c>
      <c r="C559" s="1" t="n">
        <v>45938</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38889-2024</t>
        </is>
      </c>
      <c r="B560" s="1" t="n">
        <v>45547</v>
      </c>
      <c r="C560" s="1" t="n">
        <v>45938</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45451-2024</t>
        </is>
      </c>
      <c r="B561" s="1" t="n">
        <v>45576</v>
      </c>
      <c r="C561" s="1" t="n">
        <v>45938</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951-2023</t>
        </is>
      </c>
      <c r="B562" s="1" t="n">
        <v>44934</v>
      </c>
      <c r="C562" s="1" t="n">
        <v>45938</v>
      </c>
      <c r="D562" t="inlineStr">
        <is>
          <t>STOCKHOLMS LÄN</t>
        </is>
      </c>
      <c r="E562" t="inlineStr">
        <is>
          <t>NORRTÄLJE</t>
        </is>
      </c>
      <c r="G562" t="n">
        <v>3.7</v>
      </c>
      <c r="H562" t="n">
        <v>0</v>
      </c>
      <c r="I562" t="n">
        <v>0</v>
      </c>
      <c r="J562" t="n">
        <v>0</v>
      </c>
      <c r="K562" t="n">
        <v>0</v>
      </c>
      <c r="L562" t="n">
        <v>0</v>
      </c>
      <c r="M562" t="n">
        <v>0</v>
      </c>
      <c r="N562" t="n">
        <v>0</v>
      </c>
      <c r="O562" t="n">
        <v>0</v>
      </c>
      <c r="P562" t="n">
        <v>0</v>
      </c>
      <c r="Q562" t="n">
        <v>0</v>
      </c>
      <c r="R562" s="2" t="inlineStr"/>
    </row>
    <row r="563" ht="15" customHeight="1">
      <c r="A563" t="inlineStr">
        <is>
          <t>A 61363-2020</t>
        </is>
      </c>
      <c r="B563" s="1" t="n">
        <v>44155.69458333333</v>
      </c>
      <c r="C563" s="1" t="n">
        <v>45938</v>
      </c>
      <c r="D563" t="inlineStr">
        <is>
          <t>STOCKHOLMS LÄN</t>
        </is>
      </c>
      <c r="E563" t="inlineStr">
        <is>
          <t>NORRTÄLJE</t>
        </is>
      </c>
      <c r="G563" t="n">
        <v>2.3</v>
      </c>
      <c r="H563" t="n">
        <v>0</v>
      </c>
      <c r="I563" t="n">
        <v>0</v>
      </c>
      <c r="J563" t="n">
        <v>0</v>
      </c>
      <c r="K563" t="n">
        <v>0</v>
      </c>
      <c r="L563" t="n">
        <v>0</v>
      </c>
      <c r="M563" t="n">
        <v>0</v>
      </c>
      <c r="N563" t="n">
        <v>0</v>
      </c>
      <c r="O563" t="n">
        <v>0</v>
      </c>
      <c r="P563" t="n">
        <v>0</v>
      </c>
      <c r="Q563" t="n">
        <v>0</v>
      </c>
      <c r="R563" s="2" t="inlineStr"/>
    </row>
    <row r="564" ht="15" customHeight="1">
      <c r="A564" t="inlineStr">
        <is>
          <t>A 48364-2025</t>
        </is>
      </c>
      <c r="B564" s="1" t="n">
        <v>45933.66796296297</v>
      </c>
      <c r="C564" s="1" t="n">
        <v>45938</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13767-2025</t>
        </is>
      </c>
      <c r="B565" s="1" t="n">
        <v>45737.43347222222</v>
      </c>
      <c r="C565" s="1" t="n">
        <v>45938</v>
      </c>
      <c r="D565" t="inlineStr">
        <is>
          <t>STOCKHOLMS LÄN</t>
        </is>
      </c>
      <c r="E565" t="inlineStr">
        <is>
          <t>NORRTÄLJE</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5423-2023</t>
        </is>
      </c>
      <c r="B566" s="1" t="n">
        <v>44959.74533564815</v>
      </c>
      <c r="C566" s="1" t="n">
        <v>45938</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50182-2024</t>
        </is>
      </c>
      <c r="B567" s="1" t="n">
        <v>45600.47275462963</v>
      </c>
      <c r="C567" s="1" t="n">
        <v>45938</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20013-2025</t>
        </is>
      </c>
      <c r="B568" s="1" t="n">
        <v>45772.30436342592</v>
      </c>
      <c r="C568" s="1" t="n">
        <v>45938</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53362-2023</t>
        </is>
      </c>
      <c r="B569" s="1" t="n">
        <v>45223</v>
      </c>
      <c r="C569" s="1" t="n">
        <v>45938</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12629-2024</t>
        </is>
      </c>
      <c r="B570" s="1" t="n">
        <v>45383</v>
      </c>
      <c r="C570" s="1" t="n">
        <v>45938</v>
      </c>
      <c r="D570" t="inlineStr">
        <is>
          <t>STOCKHOLMS LÄN</t>
        </is>
      </c>
      <c r="E570" t="inlineStr">
        <is>
          <t>NORRTÄLJE</t>
        </is>
      </c>
      <c r="G570" t="n">
        <v>2.6</v>
      </c>
      <c r="H570" t="n">
        <v>0</v>
      </c>
      <c r="I570" t="n">
        <v>0</v>
      </c>
      <c r="J570" t="n">
        <v>0</v>
      </c>
      <c r="K570" t="n">
        <v>0</v>
      </c>
      <c r="L570" t="n">
        <v>0</v>
      </c>
      <c r="M570" t="n">
        <v>0</v>
      </c>
      <c r="N570" t="n">
        <v>0</v>
      </c>
      <c r="O570" t="n">
        <v>0</v>
      </c>
      <c r="P570" t="n">
        <v>0</v>
      </c>
      <c r="Q570" t="n">
        <v>0</v>
      </c>
      <c r="R570" s="2" t="inlineStr"/>
    </row>
    <row r="571" ht="15" customHeight="1">
      <c r="A571" t="inlineStr">
        <is>
          <t>A 15422-2024</t>
        </is>
      </c>
      <c r="B571" s="1" t="n">
        <v>45401.3653125</v>
      </c>
      <c r="C571" s="1" t="n">
        <v>45938</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48780-2025</t>
        </is>
      </c>
      <c r="B572" s="1" t="n">
        <v>45937.30377314815</v>
      </c>
      <c r="C572" s="1" t="n">
        <v>45938</v>
      </c>
      <c r="D572" t="inlineStr">
        <is>
          <t>STOCKHOLMS LÄN</t>
        </is>
      </c>
      <c r="E572" t="inlineStr">
        <is>
          <t>NORRTÄLJE</t>
        </is>
      </c>
      <c r="G572" t="n">
        <v>7.7</v>
      </c>
      <c r="H572" t="n">
        <v>0</v>
      </c>
      <c r="I572" t="n">
        <v>0</v>
      </c>
      <c r="J572" t="n">
        <v>0</v>
      </c>
      <c r="K572" t="n">
        <v>0</v>
      </c>
      <c r="L572" t="n">
        <v>0</v>
      </c>
      <c r="M572" t="n">
        <v>0</v>
      </c>
      <c r="N572" t="n">
        <v>0</v>
      </c>
      <c r="O572" t="n">
        <v>0</v>
      </c>
      <c r="P572" t="n">
        <v>0</v>
      </c>
      <c r="Q572" t="n">
        <v>0</v>
      </c>
      <c r="R572" s="2" t="inlineStr"/>
    </row>
    <row r="573" ht="15" customHeight="1">
      <c r="A573" t="inlineStr">
        <is>
          <t>A 30508-2023</t>
        </is>
      </c>
      <c r="B573" s="1" t="n">
        <v>45111</v>
      </c>
      <c r="C573" s="1" t="n">
        <v>45938</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35708-2022</t>
        </is>
      </c>
      <c r="B574" s="1" t="n">
        <v>44799.65013888889</v>
      </c>
      <c r="C574" s="1" t="n">
        <v>45938</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48718-2025</t>
        </is>
      </c>
      <c r="B575" s="1" t="n">
        <v>45936</v>
      </c>
      <c r="C575" s="1" t="n">
        <v>45938</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40172-2025</t>
        </is>
      </c>
      <c r="B576" s="1" t="n">
        <v>45894.6353125</v>
      </c>
      <c r="C576" s="1" t="n">
        <v>45938</v>
      </c>
      <c r="D576" t="inlineStr">
        <is>
          <t>STOCKHOLMS LÄN</t>
        </is>
      </c>
      <c r="E576" t="inlineStr">
        <is>
          <t>NORRTÄLJE</t>
        </is>
      </c>
      <c r="G576" t="n">
        <v>6</v>
      </c>
      <c r="H576" t="n">
        <v>0</v>
      </c>
      <c r="I576" t="n">
        <v>0</v>
      </c>
      <c r="J576" t="n">
        <v>0</v>
      </c>
      <c r="K576" t="n">
        <v>0</v>
      </c>
      <c r="L576" t="n">
        <v>0</v>
      </c>
      <c r="M576" t="n">
        <v>0</v>
      </c>
      <c r="N576" t="n">
        <v>0</v>
      </c>
      <c r="O576" t="n">
        <v>0</v>
      </c>
      <c r="P576" t="n">
        <v>0</v>
      </c>
      <c r="Q576" t="n">
        <v>0</v>
      </c>
      <c r="R576" s="2" t="inlineStr"/>
    </row>
    <row r="577" ht="15" customHeight="1">
      <c r="A577" t="inlineStr">
        <is>
          <t>A 40033-2025</t>
        </is>
      </c>
      <c r="B577" s="1" t="n">
        <v>45893</v>
      </c>
      <c r="C577" s="1" t="n">
        <v>45938</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26644-2024</t>
        </is>
      </c>
      <c r="B578" s="1" t="n">
        <v>45469</v>
      </c>
      <c r="C578" s="1" t="n">
        <v>45938</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45220-2024</t>
        </is>
      </c>
      <c r="B579" s="1" t="n">
        <v>45575</v>
      </c>
      <c r="C579" s="1" t="n">
        <v>45938</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16008-2025</t>
        </is>
      </c>
      <c r="B580" s="1" t="n">
        <v>45749</v>
      </c>
      <c r="C580" s="1" t="n">
        <v>45938</v>
      </c>
      <c r="D580" t="inlineStr">
        <is>
          <t>STOCKHOLMS LÄN</t>
        </is>
      </c>
      <c r="E580" t="inlineStr">
        <is>
          <t>NORRTÄLJE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21731-2023</t>
        </is>
      </c>
      <c r="B581" s="1" t="n">
        <v>45063</v>
      </c>
      <c r="C581" s="1" t="n">
        <v>45938</v>
      </c>
      <c r="D581" t="inlineStr">
        <is>
          <t>STOCKHOLMS LÄN</t>
        </is>
      </c>
      <c r="E581" t="inlineStr">
        <is>
          <t>NORRTÄLJE</t>
        </is>
      </c>
      <c r="G581" t="n">
        <v>2.3</v>
      </c>
      <c r="H581" t="n">
        <v>0</v>
      </c>
      <c r="I581" t="n">
        <v>0</v>
      </c>
      <c r="J581" t="n">
        <v>0</v>
      </c>
      <c r="K581" t="n">
        <v>0</v>
      </c>
      <c r="L581" t="n">
        <v>0</v>
      </c>
      <c r="M581" t="n">
        <v>0</v>
      </c>
      <c r="N581" t="n">
        <v>0</v>
      </c>
      <c r="O581" t="n">
        <v>0</v>
      </c>
      <c r="P581" t="n">
        <v>0</v>
      </c>
      <c r="Q581" t="n">
        <v>0</v>
      </c>
      <c r="R581" s="2" t="inlineStr"/>
    </row>
    <row r="582" ht="15" customHeight="1">
      <c r="A582" t="inlineStr">
        <is>
          <t>A 23266-2023</t>
        </is>
      </c>
      <c r="B582" s="1" t="n">
        <v>45075.90817129629</v>
      </c>
      <c r="C582" s="1" t="n">
        <v>45938</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40032-2025</t>
        </is>
      </c>
      <c r="B583" s="1" t="n">
        <v>45893</v>
      </c>
      <c r="C583" s="1" t="n">
        <v>45938</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21158-2022</t>
        </is>
      </c>
      <c r="B584" s="1" t="n">
        <v>44704</v>
      </c>
      <c r="C584" s="1" t="n">
        <v>45938</v>
      </c>
      <c r="D584" t="inlineStr">
        <is>
          <t>STOCKHOLMS LÄN</t>
        </is>
      </c>
      <c r="E584" t="inlineStr">
        <is>
          <t>NORRTÄLJE</t>
        </is>
      </c>
      <c r="G584" t="n">
        <v>17.8</v>
      </c>
      <c r="H584" t="n">
        <v>0</v>
      </c>
      <c r="I584" t="n">
        <v>0</v>
      </c>
      <c r="J584" t="n">
        <v>0</v>
      </c>
      <c r="K584" t="n">
        <v>0</v>
      </c>
      <c r="L584" t="n">
        <v>0</v>
      </c>
      <c r="M584" t="n">
        <v>0</v>
      </c>
      <c r="N584" t="n">
        <v>0</v>
      </c>
      <c r="O584" t="n">
        <v>0</v>
      </c>
      <c r="P584" t="n">
        <v>0</v>
      </c>
      <c r="Q584" t="n">
        <v>0</v>
      </c>
      <c r="R584" s="2" t="inlineStr"/>
    </row>
    <row r="585" ht="15" customHeight="1">
      <c r="A585" t="inlineStr">
        <is>
          <t>A 2982-2023</t>
        </is>
      </c>
      <c r="B585" s="1" t="n">
        <v>44945.67409722223</v>
      </c>
      <c r="C585" s="1" t="n">
        <v>45938</v>
      </c>
      <c r="D585" t="inlineStr">
        <is>
          <t>STOCKHOLMS LÄN</t>
        </is>
      </c>
      <c r="E585" t="inlineStr">
        <is>
          <t>NORRTÄLJE</t>
        </is>
      </c>
      <c r="G585" t="n">
        <v>3.3</v>
      </c>
      <c r="H585" t="n">
        <v>0</v>
      </c>
      <c r="I585" t="n">
        <v>0</v>
      </c>
      <c r="J585" t="n">
        <v>0</v>
      </c>
      <c r="K585" t="n">
        <v>0</v>
      </c>
      <c r="L585" t="n">
        <v>0</v>
      </c>
      <c r="M585" t="n">
        <v>0</v>
      </c>
      <c r="N585" t="n">
        <v>0</v>
      </c>
      <c r="O585" t="n">
        <v>0</v>
      </c>
      <c r="P585" t="n">
        <v>0</v>
      </c>
      <c r="Q585" t="n">
        <v>0</v>
      </c>
      <c r="R585" s="2" t="inlineStr"/>
    </row>
    <row r="586" ht="15" customHeight="1">
      <c r="A586" t="inlineStr">
        <is>
          <t>A 40292-2025</t>
        </is>
      </c>
      <c r="B586" s="1" t="n">
        <v>45895.3867824074</v>
      </c>
      <c r="C586" s="1" t="n">
        <v>45938</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40294-2025</t>
        </is>
      </c>
      <c r="B587" s="1" t="n">
        <v>45895.38778935185</v>
      </c>
      <c r="C587" s="1" t="n">
        <v>45938</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12535-2025</t>
        </is>
      </c>
      <c r="B588" s="1" t="n">
        <v>45730.69502314815</v>
      </c>
      <c r="C588" s="1" t="n">
        <v>45938</v>
      </c>
      <c r="D588" t="inlineStr">
        <is>
          <t>STOCKHOLMS LÄN</t>
        </is>
      </c>
      <c r="E588" t="inlineStr">
        <is>
          <t>NORRTÄLJE</t>
        </is>
      </c>
      <c r="G588" t="n">
        <v>7.1</v>
      </c>
      <c r="H588" t="n">
        <v>0</v>
      </c>
      <c r="I588" t="n">
        <v>0</v>
      </c>
      <c r="J588" t="n">
        <v>0</v>
      </c>
      <c r="K588" t="n">
        <v>0</v>
      </c>
      <c r="L588" t="n">
        <v>0</v>
      </c>
      <c r="M588" t="n">
        <v>0</v>
      </c>
      <c r="N588" t="n">
        <v>0</v>
      </c>
      <c r="O588" t="n">
        <v>0</v>
      </c>
      <c r="P588" t="n">
        <v>0</v>
      </c>
      <c r="Q588" t="n">
        <v>0</v>
      </c>
      <c r="R588" s="2" t="inlineStr"/>
    </row>
    <row r="589" ht="15" customHeight="1">
      <c r="A589" t="inlineStr">
        <is>
          <t>A 47521-2024</t>
        </is>
      </c>
      <c r="B589" s="1" t="n">
        <v>45587.62565972222</v>
      </c>
      <c r="C589" s="1" t="n">
        <v>45938</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58260-2023</t>
        </is>
      </c>
      <c r="B590" s="1" t="n">
        <v>45245</v>
      </c>
      <c r="C590" s="1" t="n">
        <v>45938</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58261-2023</t>
        </is>
      </c>
      <c r="B591" s="1" t="n">
        <v>45245</v>
      </c>
      <c r="C591" s="1" t="n">
        <v>45938</v>
      </c>
      <c r="D591" t="inlineStr">
        <is>
          <t>STOCKHOLMS LÄN</t>
        </is>
      </c>
      <c r="E591" t="inlineStr">
        <is>
          <t>NORRTÄLJE</t>
        </is>
      </c>
      <c r="G591" t="n">
        <v>53.5</v>
      </c>
      <c r="H591" t="n">
        <v>0</v>
      </c>
      <c r="I591" t="n">
        <v>0</v>
      </c>
      <c r="J591" t="n">
        <v>0</v>
      </c>
      <c r="K591" t="n">
        <v>0</v>
      </c>
      <c r="L591" t="n">
        <v>0</v>
      </c>
      <c r="M591" t="n">
        <v>0</v>
      </c>
      <c r="N591" t="n">
        <v>0</v>
      </c>
      <c r="O591" t="n">
        <v>0</v>
      </c>
      <c r="P591" t="n">
        <v>0</v>
      </c>
      <c r="Q591" t="n">
        <v>0</v>
      </c>
      <c r="R591" s="2" t="inlineStr"/>
    </row>
    <row r="592" ht="15" customHeight="1">
      <c r="A592" t="inlineStr">
        <is>
          <t>A 40228-2025</t>
        </is>
      </c>
      <c r="B592" s="1" t="n">
        <v>45894.70854166667</v>
      </c>
      <c r="C592" s="1" t="n">
        <v>45938</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32101-2022</t>
        </is>
      </c>
      <c r="B593" s="1" t="n">
        <v>44778.69210648148</v>
      </c>
      <c r="C593" s="1" t="n">
        <v>45938</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37136-2023</t>
        </is>
      </c>
      <c r="B594" s="1" t="n">
        <v>45155</v>
      </c>
      <c r="C594" s="1" t="n">
        <v>45938</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24835-2025</t>
        </is>
      </c>
      <c r="B595" s="1" t="n">
        <v>45799</v>
      </c>
      <c r="C595" s="1" t="n">
        <v>45938</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48593-2025</t>
        </is>
      </c>
      <c r="B596" s="1" t="n">
        <v>45936.4627662037</v>
      </c>
      <c r="C596" s="1" t="n">
        <v>45938</v>
      </c>
      <c r="D596" t="inlineStr">
        <is>
          <t>STOCKHOLMS LÄN</t>
        </is>
      </c>
      <c r="E596" t="inlineStr">
        <is>
          <t>NORRTÄLJE</t>
        </is>
      </c>
      <c r="G596" t="n">
        <v>4.2</v>
      </c>
      <c r="H596" t="n">
        <v>0</v>
      </c>
      <c r="I596" t="n">
        <v>0</v>
      </c>
      <c r="J596" t="n">
        <v>0</v>
      </c>
      <c r="K596" t="n">
        <v>0</v>
      </c>
      <c r="L596" t="n">
        <v>0</v>
      </c>
      <c r="M596" t="n">
        <v>0</v>
      </c>
      <c r="N596" t="n">
        <v>0</v>
      </c>
      <c r="O596" t="n">
        <v>0</v>
      </c>
      <c r="P596" t="n">
        <v>0</v>
      </c>
      <c r="Q596" t="n">
        <v>0</v>
      </c>
      <c r="R596" s="2" t="inlineStr"/>
    </row>
    <row r="597" ht="15" customHeight="1">
      <c r="A597" t="inlineStr">
        <is>
          <t>A 23150-2024</t>
        </is>
      </c>
      <c r="B597" s="1" t="n">
        <v>45450.64643518518</v>
      </c>
      <c r="C597" s="1" t="n">
        <v>45938</v>
      </c>
      <c r="D597" t="inlineStr">
        <is>
          <t>STOCKHOLMS LÄN</t>
        </is>
      </c>
      <c r="E597" t="inlineStr">
        <is>
          <t>NORRTÄLJE</t>
        </is>
      </c>
      <c r="F597" t="inlineStr">
        <is>
          <t>Kommuner</t>
        </is>
      </c>
      <c r="G597" t="n">
        <v>2.7</v>
      </c>
      <c r="H597" t="n">
        <v>0</v>
      </c>
      <c r="I597" t="n">
        <v>0</v>
      </c>
      <c r="J597" t="n">
        <v>0</v>
      </c>
      <c r="K597" t="n">
        <v>0</v>
      </c>
      <c r="L597" t="n">
        <v>0</v>
      </c>
      <c r="M597" t="n">
        <v>0</v>
      </c>
      <c r="N597" t="n">
        <v>0</v>
      </c>
      <c r="O597" t="n">
        <v>0</v>
      </c>
      <c r="P597" t="n">
        <v>0</v>
      </c>
      <c r="Q597" t="n">
        <v>0</v>
      </c>
      <c r="R597" s="2" t="inlineStr"/>
    </row>
    <row r="598" ht="15" customHeight="1">
      <c r="A598" t="inlineStr">
        <is>
          <t>A 18787-2022</t>
        </is>
      </c>
      <c r="B598" s="1" t="n">
        <v>44687</v>
      </c>
      <c r="C598" s="1" t="n">
        <v>45938</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13718-2022</t>
        </is>
      </c>
      <c r="B599" s="1" t="n">
        <v>44649</v>
      </c>
      <c r="C599" s="1" t="n">
        <v>45938</v>
      </c>
      <c r="D599" t="inlineStr">
        <is>
          <t>STOCKHOLMS LÄN</t>
        </is>
      </c>
      <c r="E599" t="inlineStr">
        <is>
          <t>NORRTÄLJE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49129-2025</t>
        </is>
      </c>
      <c r="B600" s="1" t="n">
        <v>45937.89517361111</v>
      </c>
      <c r="C600" s="1" t="n">
        <v>45938</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24933-2023</t>
        </is>
      </c>
      <c r="B601" s="1" t="n">
        <v>45085.5309375</v>
      </c>
      <c r="C601" s="1" t="n">
        <v>45938</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20011-2025</t>
        </is>
      </c>
      <c r="B602" s="1" t="n">
        <v>45772.29622685185</v>
      </c>
      <c r="C602" s="1" t="n">
        <v>45938</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48443-2025</t>
        </is>
      </c>
      <c r="B603" s="1" t="n">
        <v>45935.55326388889</v>
      </c>
      <c r="C603" s="1" t="n">
        <v>45938</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25621-2022</t>
        </is>
      </c>
      <c r="B604" s="1" t="n">
        <v>44732</v>
      </c>
      <c r="C604" s="1" t="n">
        <v>45938</v>
      </c>
      <c r="D604" t="inlineStr">
        <is>
          <t>STOCKHOLMS LÄN</t>
        </is>
      </c>
      <c r="E604" t="inlineStr">
        <is>
          <t>NORRTÄLJE</t>
        </is>
      </c>
      <c r="G604" t="n">
        <v>3.1</v>
      </c>
      <c r="H604" t="n">
        <v>0</v>
      </c>
      <c r="I604" t="n">
        <v>0</v>
      </c>
      <c r="J604" t="n">
        <v>0</v>
      </c>
      <c r="K604" t="n">
        <v>0</v>
      </c>
      <c r="L604" t="n">
        <v>0</v>
      </c>
      <c r="M604" t="n">
        <v>0</v>
      </c>
      <c r="N604" t="n">
        <v>0</v>
      </c>
      <c r="O604" t="n">
        <v>0</v>
      </c>
      <c r="P604" t="n">
        <v>0</v>
      </c>
      <c r="Q604" t="n">
        <v>0</v>
      </c>
      <c r="R604" s="2" t="inlineStr"/>
    </row>
    <row r="605" ht="15" customHeight="1">
      <c r="A605" t="inlineStr">
        <is>
          <t>A 56631-2024</t>
        </is>
      </c>
      <c r="B605" s="1" t="n">
        <v>45625</v>
      </c>
      <c r="C605" s="1" t="n">
        <v>45938</v>
      </c>
      <c r="D605" t="inlineStr">
        <is>
          <t>STOCKHOLMS LÄN</t>
        </is>
      </c>
      <c r="E605" t="inlineStr">
        <is>
          <t>NORRTÄLJE</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652-2025</t>
        </is>
      </c>
      <c r="B606" s="1" t="n">
        <v>45664</v>
      </c>
      <c r="C606" s="1" t="n">
        <v>45938</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36269-2022</t>
        </is>
      </c>
      <c r="B607" s="1" t="n">
        <v>44803</v>
      </c>
      <c r="C607" s="1" t="n">
        <v>45938</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36308-2022</t>
        </is>
      </c>
      <c r="B608" s="1" t="n">
        <v>44803</v>
      </c>
      <c r="C608" s="1" t="n">
        <v>45938</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40230-2025</t>
        </is>
      </c>
      <c r="B609" s="1" t="n">
        <v>45894.71101851852</v>
      </c>
      <c r="C609" s="1" t="n">
        <v>45938</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40217-2025</t>
        </is>
      </c>
      <c r="B610" s="1" t="n">
        <v>45894.68864583333</v>
      </c>
      <c r="C610" s="1" t="n">
        <v>45938</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6919-2025</t>
        </is>
      </c>
      <c r="B611" s="1" t="n">
        <v>45701.44372685185</v>
      </c>
      <c r="C611" s="1" t="n">
        <v>45938</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32100-2022</t>
        </is>
      </c>
      <c r="B612" s="1" t="n">
        <v>44778</v>
      </c>
      <c r="C612" s="1" t="n">
        <v>45938</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11332-2025</t>
        </is>
      </c>
      <c r="B613" s="1" t="n">
        <v>45726.48152777777</v>
      </c>
      <c r="C613" s="1" t="n">
        <v>45938</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29266-2022</t>
        </is>
      </c>
      <c r="B614" s="1" t="n">
        <v>44750.66068287037</v>
      </c>
      <c r="C614" s="1" t="n">
        <v>45938</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29278-2022</t>
        </is>
      </c>
      <c r="B615" s="1" t="n">
        <v>44750</v>
      </c>
      <c r="C615" s="1" t="n">
        <v>45938</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37444-2021</t>
        </is>
      </c>
      <c r="B616" s="1" t="n">
        <v>44398</v>
      </c>
      <c r="C616" s="1" t="n">
        <v>45938</v>
      </c>
      <c r="D616" t="inlineStr">
        <is>
          <t>STOCKHOLMS LÄN</t>
        </is>
      </c>
      <c r="E616" t="inlineStr">
        <is>
          <t>NORRTÄLJE</t>
        </is>
      </c>
      <c r="F616" t="inlineStr">
        <is>
          <t>Holmen skog AB</t>
        </is>
      </c>
      <c r="G616" t="n">
        <v>3.2</v>
      </c>
      <c r="H616" t="n">
        <v>0</v>
      </c>
      <c r="I616" t="n">
        <v>0</v>
      </c>
      <c r="J616" t="n">
        <v>0</v>
      </c>
      <c r="K616" t="n">
        <v>0</v>
      </c>
      <c r="L616" t="n">
        <v>0</v>
      </c>
      <c r="M616" t="n">
        <v>0</v>
      </c>
      <c r="N616" t="n">
        <v>0</v>
      </c>
      <c r="O616" t="n">
        <v>0</v>
      </c>
      <c r="P616" t="n">
        <v>0</v>
      </c>
      <c r="Q616" t="n">
        <v>0</v>
      </c>
      <c r="R616" s="2" t="inlineStr"/>
    </row>
    <row r="617" ht="15" customHeight="1">
      <c r="A617" t="inlineStr">
        <is>
          <t>A 30886-2022</t>
        </is>
      </c>
      <c r="B617" s="1" t="n">
        <v>44767.60601851852</v>
      </c>
      <c r="C617" s="1" t="n">
        <v>45938</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37273-2024</t>
        </is>
      </c>
      <c r="B618" s="1" t="n">
        <v>45540</v>
      </c>
      <c r="C618" s="1" t="n">
        <v>45938</v>
      </c>
      <c r="D618" t="inlineStr">
        <is>
          <t>STOCKHOLMS LÄN</t>
        </is>
      </c>
      <c r="E618" t="inlineStr">
        <is>
          <t>NORRTÄLJE</t>
        </is>
      </c>
      <c r="F618" t="inlineStr">
        <is>
          <t>Sveaskog</t>
        </is>
      </c>
      <c r="G618" t="n">
        <v>12.5</v>
      </c>
      <c r="H618" t="n">
        <v>0</v>
      </c>
      <c r="I618" t="n">
        <v>0</v>
      </c>
      <c r="J618" t="n">
        <v>0</v>
      </c>
      <c r="K618" t="n">
        <v>0</v>
      </c>
      <c r="L618" t="n">
        <v>0</v>
      </c>
      <c r="M618" t="n">
        <v>0</v>
      </c>
      <c r="N618" t="n">
        <v>0</v>
      </c>
      <c r="O618" t="n">
        <v>0</v>
      </c>
      <c r="P618" t="n">
        <v>0</v>
      </c>
      <c r="Q618" t="n">
        <v>0</v>
      </c>
      <c r="R618" s="2" t="inlineStr"/>
    </row>
    <row r="619" ht="15" customHeight="1">
      <c r="A619" t="inlineStr">
        <is>
          <t>A 12908-2025</t>
        </is>
      </c>
      <c r="B619" s="1" t="n">
        <v>45733.82105324074</v>
      </c>
      <c r="C619" s="1" t="n">
        <v>45938</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9654-2022</t>
        </is>
      </c>
      <c r="B620" s="1" t="n">
        <v>44617</v>
      </c>
      <c r="C620" s="1" t="n">
        <v>45938</v>
      </c>
      <c r="D620" t="inlineStr">
        <is>
          <t>STOCKHOLMS LÄN</t>
        </is>
      </c>
      <c r="E620" t="inlineStr">
        <is>
          <t>NORRTÄLJE</t>
        </is>
      </c>
      <c r="G620" t="n">
        <v>6.4</v>
      </c>
      <c r="H620" t="n">
        <v>0</v>
      </c>
      <c r="I620" t="n">
        <v>0</v>
      </c>
      <c r="J620" t="n">
        <v>0</v>
      </c>
      <c r="K620" t="n">
        <v>0</v>
      </c>
      <c r="L620" t="n">
        <v>0</v>
      </c>
      <c r="M620" t="n">
        <v>0</v>
      </c>
      <c r="N620" t="n">
        <v>0</v>
      </c>
      <c r="O620" t="n">
        <v>0</v>
      </c>
      <c r="P620" t="n">
        <v>0</v>
      </c>
      <c r="Q620" t="n">
        <v>0</v>
      </c>
      <c r="R620" s="2" t="inlineStr"/>
    </row>
    <row r="621" ht="15" customHeight="1">
      <c r="A621" t="inlineStr">
        <is>
          <t>A 40097-2025</t>
        </is>
      </c>
      <c r="B621" s="1" t="n">
        <v>45894.48322916667</v>
      </c>
      <c r="C621" s="1" t="n">
        <v>45938</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23060-2023</t>
        </is>
      </c>
      <c r="B622" s="1" t="n">
        <v>45075</v>
      </c>
      <c r="C622" s="1" t="n">
        <v>45938</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1453-2025</t>
        </is>
      </c>
      <c r="B623" s="1" t="n">
        <v>45670.3079050926</v>
      </c>
      <c r="C623" s="1" t="n">
        <v>45938</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5804-2025</t>
        </is>
      </c>
      <c r="B624" s="1" t="n">
        <v>45694.68207175926</v>
      </c>
      <c r="C624" s="1" t="n">
        <v>45938</v>
      </c>
      <c r="D624" t="inlineStr">
        <is>
          <t>STOCKHOLMS LÄN</t>
        </is>
      </c>
      <c r="E624" t="inlineStr">
        <is>
          <t>NORRTÄLJE</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5389-2025</t>
        </is>
      </c>
      <c r="B625" s="1" t="n">
        <v>45692</v>
      </c>
      <c r="C625" s="1" t="n">
        <v>45938</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50907-2022</t>
        </is>
      </c>
      <c r="B626" s="1" t="n">
        <v>44867.62090277778</v>
      </c>
      <c r="C626" s="1" t="n">
        <v>45938</v>
      </c>
      <c r="D626" t="inlineStr">
        <is>
          <t>STOCKHOLMS LÄN</t>
        </is>
      </c>
      <c r="E626" t="inlineStr">
        <is>
          <t>NORRTÄLJE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13051-2021</t>
        </is>
      </c>
      <c r="B627" s="1" t="n">
        <v>44272</v>
      </c>
      <c r="C627" s="1" t="n">
        <v>45938</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51720-2020</t>
        </is>
      </c>
      <c r="B628" s="1" t="n">
        <v>44113</v>
      </c>
      <c r="C628" s="1" t="n">
        <v>45938</v>
      </c>
      <c r="D628" t="inlineStr">
        <is>
          <t>STOCKHOLMS LÄN</t>
        </is>
      </c>
      <c r="E628" t="inlineStr">
        <is>
          <t>NORRTÄLJE</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29003-2023</t>
        </is>
      </c>
      <c r="B629" s="1" t="n">
        <v>45104</v>
      </c>
      <c r="C629" s="1" t="n">
        <v>45938</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33295-2023</t>
        </is>
      </c>
      <c r="B630" s="1" t="n">
        <v>45127.69371527778</v>
      </c>
      <c r="C630" s="1" t="n">
        <v>45938</v>
      </c>
      <c r="D630" t="inlineStr">
        <is>
          <t>STOCKHOLMS LÄN</t>
        </is>
      </c>
      <c r="E630" t="inlineStr">
        <is>
          <t>NORRTÄLJE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14127-2025</t>
        </is>
      </c>
      <c r="B631" s="1" t="n">
        <v>45740.47055555556</v>
      </c>
      <c r="C631" s="1" t="n">
        <v>45938</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16980-2023</t>
        </is>
      </c>
      <c r="B632" s="1" t="n">
        <v>45033</v>
      </c>
      <c r="C632" s="1" t="n">
        <v>45938</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32103-2022</t>
        </is>
      </c>
      <c r="B633" s="1" t="n">
        <v>44778</v>
      </c>
      <c r="C633" s="1" t="n">
        <v>45938</v>
      </c>
      <c r="D633" t="inlineStr">
        <is>
          <t>STOCKHOLMS LÄN</t>
        </is>
      </c>
      <c r="E633" t="inlineStr">
        <is>
          <t>NORRTÄLJE</t>
        </is>
      </c>
      <c r="G633" t="n">
        <v>3.4</v>
      </c>
      <c r="H633" t="n">
        <v>0</v>
      </c>
      <c r="I633" t="n">
        <v>0</v>
      </c>
      <c r="J633" t="n">
        <v>0</v>
      </c>
      <c r="K633" t="n">
        <v>0</v>
      </c>
      <c r="L633" t="n">
        <v>0</v>
      </c>
      <c r="M633" t="n">
        <v>0</v>
      </c>
      <c r="N633" t="n">
        <v>0</v>
      </c>
      <c r="O633" t="n">
        <v>0</v>
      </c>
      <c r="P633" t="n">
        <v>0</v>
      </c>
      <c r="Q633" t="n">
        <v>0</v>
      </c>
      <c r="R633" s="2" t="inlineStr"/>
    </row>
    <row r="634" ht="15" customHeight="1">
      <c r="A634" t="inlineStr">
        <is>
          <t>A 6401-2024</t>
        </is>
      </c>
      <c r="B634" s="1" t="n">
        <v>45338</v>
      </c>
      <c r="C634" s="1" t="n">
        <v>45938</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59504-2023</t>
        </is>
      </c>
      <c r="B635" s="1" t="n">
        <v>45254</v>
      </c>
      <c r="C635" s="1" t="n">
        <v>45938</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11499-2023</t>
        </is>
      </c>
      <c r="B636" s="1" t="n">
        <v>44993.66707175926</v>
      </c>
      <c r="C636" s="1" t="n">
        <v>45938</v>
      </c>
      <c r="D636" t="inlineStr">
        <is>
          <t>STOCKHOLMS LÄN</t>
        </is>
      </c>
      <c r="E636" t="inlineStr">
        <is>
          <t>NORRTÄLJE</t>
        </is>
      </c>
      <c r="F636" t="inlineStr">
        <is>
          <t>Holmen skog AB</t>
        </is>
      </c>
      <c r="G636" t="n">
        <v>2.8</v>
      </c>
      <c r="H636" t="n">
        <v>0</v>
      </c>
      <c r="I636" t="n">
        <v>0</v>
      </c>
      <c r="J636" t="n">
        <v>0</v>
      </c>
      <c r="K636" t="n">
        <v>0</v>
      </c>
      <c r="L636" t="n">
        <v>0</v>
      </c>
      <c r="M636" t="n">
        <v>0</v>
      </c>
      <c r="N636" t="n">
        <v>0</v>
      </c>
      <c r="O636" t="n">
        <v>0</v>
      </c>
      <c r="P636" t="n">
        <v>0</v>
      </c>
      <c r="Q636" t="n">
        <v>0</v>
      </c>
      <c r="R636" s="2" t="inlineStr"/>
    </row>
    <row r="637" ht="15" customHeight="1">
      <c r="A637" t="inlineStr">
        <is>
          <t>A 32595-2023</t>
        </is>
      </c>
      <c r="B637" s="1" t="n">
        <v>45121</v>
      </c>
      <c r="C637" s="1" t="n">
        <v>45938</v>
      </c>
      <c r="D637" t="inlineStr">
        <is>
          <t>STOCKHOLMS LÄN</t>
        </is>
      </c>
      <c r="E637" t="inlineStr">
        <is>
          <t>NORRTÄLJE</t>
        </is>
      </c>
      <c r="G637" t="n">
        <v>2.4</v>
      </c>
      <c r="H637" t="n">
        <v>0</v>
      </c>
      <c r="I637" t="n">
        <v>0</v>
      </c>
      <c r="J637" t="n">
        <v>0</v>
      </c>
      <c r="K637" t="n">
        <v>0</v>
      </c>
      <c r="L637" t="n">
        <v>0</v>
      </c>
      <c r="M637" t="n">
        <v>0</v>
      </c>
      <c r="N637" t="n">
        <v>0</v>
      </c>
      <c r="O637" t="n">
        <v>0</v>
      </c>
      <c r="P637" t="n">
        <v>0</v>
      </c>
      <c r="Q637" t="n">
        <v>0</v>
      </c>
      <c r="R637" s="2" t="inlineStr"/>
    </row>
    <row r="638" ht="15" customHeight="1">
      <c r="A638" t="inlineStr">
        <is>
          <t>A 576-2023</t>
        </is>
      </c>
      <c r="B638" s="1" t="n">
        <v>44925</v>
      </c>
      <c r="C638" s="1" t="n">
        <v>45938</v>
      </c>
      <c r="D638" t="inlineStr">
        <is>
          <t>STOCKHOLMS LÄN</t>
        </is>
      </c>
      <c r="E638" t="inlineStr">
        <is>
          <t>NORRTÄLJE</t>
        </is>
      </c>
      <c r="G638" t="n">
        <v>7.2</v>
      </c>
      <c r="H638" t="n">
        <v>0</v>
      </c>
      <c r="I638" t="n">
        <v>0</v>
      </c>
      <c r="J638" t="n">
        <v>0</v>
      </c>
      <c r="K638" t="n">
        <v>0</v>
      </c>
      <c r="L638" t="n">
        <v>0</v>
      </c>
      <c r="M638" t="n">
        <v>0</v>
      </c>
      <c r="N638" t="n">
        <v>0</v>
      </c>
      <c r="O638" t="n">
        <v>0</v>
      </c>
      <c r="P638" t="n">
        <v>0</v>
      </c>
      <c r="Q638" t="n">
        <v>0</v>
      </c>
      <c r="R638" s="2" t="inlineStr"/>
    </row>
    <row r="639" ht="15" customHeight="1">
      <c r="A639" t="inlineStr">
        <is>
          <t>A 10678-2025</t>
        </is>
      </c>
      <c r="B639" s="1" t="n">
        <v>45721.89123842592</v>
      </c>
      <c r="C639" s="1" t="n">
        <v>45938</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31936-2022</t>
        </is>
      </c>
      <c r="B640" s="1" t="n">
        <v>44777</v>
      </c>
      <c r="C640" s="1" t="n">
        <v>45938</v>
      </c>
      <c r="D640" t="inlineStr">
        <is>
          <t>STOCKHOLMS LÄN</t>
        </is>
      </c>
      <c r="E640" t="inlineStr">
        <is>
          <t>NORRTÄLJE</t>
        </is>
      </c>
      <c r="G640" t="n">
        <v>5.2</v>
      </c>
      <c r="H640" t="n">
        <v>0</v>
      </c>
      <c r="I640" t="n">
        <v>0</v>
      </c>
      <c r="J640" t="n">
        <v>0</v>
      </c>
      <c r="K640" t="n">
        <v>0</v>
      </c>
      <c r="L640" t="n">
        <v>0</v>
      </c>
      <c r="M640" t="n">
        <v>0</v>
      </c>
      <c r="N640" t="n">
        <v>0</v>
      </c>
      <c r="O640" t="n">
        <v>0</v>
      </c>
      <c r="P640" t="n">
        <v>0</v>
      </c>
      <c r="Q640" t="n">
        <v>0</v>
      </c>
      <c r="R640" s="2" t="inlineStr"/>
    </row>
    <row r="641" ht="15" customHeight="1">
      <c r="A641" t="inlineStr">
        <is>
          <t>A 59873-2024</t>
        </is>
      </c>
      <c r="B641" s="1" t="n">
        <v>45640.57305555556</v>
      </c>
      <c r="C641" s="1" t="n">
        <v>45938</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35916-2024</t>
        </is>
      </c>
      <c r="B642" s="1" t="n">
        <v>45533</v>
      </c>
      <c r="C642" s="1" t="n">
        <v>45938</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37550-2022</t>
        </is>
      </c>
      <c r="B643" s="1" t="n">
        <v>44809</v>
      </c>
      <c r="C643" s="1" t="n">
        <v>45938</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10098-2022</t>
        </is>
      </c>
      <c r="B644" s="1" t="n">
        <v>44621</v>
      </c>
      <c r="C644" s="1" t="n">
        <v>45938</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63161-2023</t>
        </is>
      </c>
      <c r="B645" s="1" t="n">
        <v>45273</v>
      </c>
      <c r="C645" s="1" t="n">
        <v>45938</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52321-2024</t>
        </is>
      </c>
      <c r="B646" s="1" t="n">
        <v>45608</v>
      </c>
      <c r="C646" s="1" t="n">
        <v>45938</v>
      </c>
      <c r="D646" t="inlineStr">
        <is>
          <t>STOCKHOLMS LÄN</t>
        </is>
      </c>
      <c r="E646" t="inlineStr">
        <is>
          <t>NORRTÄLJE</t>
        </is>
      </c>
      <c r="G646" t="n">
        <v>18.1</v>
      </c>
      <c r="H646" t="n">
        <v>0</v>
      </c>
      <c r="I646" t="n">
        <v>0</v>
      </c>
      <c r="J646" t="n">
        <v>0</v>
      </c>
      <c r="K646" t="n">
        <v>0</v>
      </c>
      <c r="L646" t="n">
        <v>0</v>
      </c>
      <c r="M646" t="n">
        <v>0</v>
      </c>
      <c r="N646" t="n">
        <v>0</v>
      </c>
      <c r="O646" t="n">
        <v>0</v>
      </c>
      <c r="P646" t="n">
        <v>0</v>
      </c>
      <c r="Q646" t="n">
        <v>0</v>
      </c>
      <c r="R646" s="2" t="inlineStr"/>
    </row>
    <row r="647" ht="15" customHeight="1">
      <c r="A647" t="inlineStr">
        <is>
          <t>A 48151-2024</t>
        </is>
      </c>
      <c r="B647" s="1" t="n">
        <v>45589.68289351852</v>
      </c>
      <c r="C647" s="1" t="n">
        <v>45938</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48161-2022</t>
        </is>
      </c>
      <c r="B648" s="1" t="n">
        <v>44858</v>
      </c>
      <c r="C648" s="1" t="n">
        <v>45938</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48798-2021</t>
        </is>
      </c>
      <c r="B649" s="1" t="n">
        <v>44452</v>
      </c>
      <c r="C649" s="1" t="n">
        <v>45938</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12111-2021</t>
        </is>
      </c>
      <c r="B650" s="1" t="n">
        <v>44266</v>
      </c>
      <c r="C650" s="1" t="n">
        <v>45938</v>
      </c>
      <c r="D650" t="inlineStr">
        <is>
          <t>STOCKHOLMS LÄN</t>
        </is>
      </c>
      <c r="E650" t="inlineStr">
        <is>
          <t>NORRTÄLJE</t>
        </is>
      </c>
      <c r="G650" t="n">
        <v>5.5</v>
      </c>
      <c r="H650" t="n">
        <v>0</v>
      </c>
      <c r="I650" t="n">
        <v>0</v>
      </c>
      <c r="J650" t="n">
        <v>0</v>
      </c>
      <c r="K650" t="n">
        <v>0</v>
      </c>
      <c r="L650" t="n">
        <v>0</v>
      </c>
      <c r="M650" t="n">
        <v>0</v>
      </c>
      <c r="N650" t="n">
        <v>0</v>
      </c>
      <c r="O650" t="n">
        <v>0</v>
      </c>
      <c r="P650" t="n">
        <v>0</v>
      </c>
      <c r="Q650" t="n">
        <v>0</v>
      </c>
      <c r="R650" s="2" t="inlineStr"/>
    </row>
    <row r="651" ht="15" customHeight="1">
      <c r="A651" t="inlineStr">
        <is>
          <t>A 7796-2025</t>
        </is>
      </c>
      <c r="B651" s="1" t="n">
        <v>45706.60130787037</v>
      </c>
      <c r="C651" s="1" t="n">
        <v>45938</v>
      </c>
      <c r="D651" t="inlineStr">
        <is>
          <t>STOCKHOLMS LÄN</t>
        </is>
      </c>
      <c r="E651" t="inlineStr">
        <is>
          <t>NORRTÄLJE</t>
        </is>
      </c>
      <c r="F651" t="inlineStr">
        <is>
          <t>Holmen skog AB</t>
        </is>
      </c>
      <c r="G651" t="n">
        <v>2.4</v>
      </c>
      <c r="H651" t="n">
        <v>0</v>
      </c>
      <c r="I651" t="n">
        <v>0</v>
      </c>
      <c r="J651" t="n">
        <v>0</v>
      </c>
      <c r="K651" t="n">
        <v>0</v>
      </c>
      <c r="L651" t="n">
        <v>0</v>
      </c>
      <c r="M651" t="n">
        <v>0</v>
      </c>
      <c r="N651" t="n">
        <v>0</v>
      </c>
      <c r="O651" t="n">
        <v>0</v>
      </c>
      <c r="P651" t="n">
        <v>0</v>
      </c>
      <c r="Q651" t="n">
        <v>0</v>
      </c>
      <c r="R651" s="2" t="inlineStr"/>
    </row>
    <row r="652" ht="15" customHeight="1">
      <c r="A652" t="inlineStr">
        <is>
          <t>A 15552-2021</t>
        </is>
      </c>
      <c r="B652" s="1" t="n">
        <v>44285</v>
      </c>
      <c r="C652" s="1" t="n">
        <v>45938</v>
      </c>
      <c r="D652" t="inlineStr">
        <is>
          <t>STOCKHOLMS LÄN</t>
        </is>
      </c>
      <c r="E652" t="inlineStr">
        <is>
          <t>NORRTÄLJE</t>
        </is>
      </c>
      <c r="G652" t="n">
        <v>10</v>
      </c>
      <c r="H652" t="n">
        <v>0</v>
      </c>
      <c r="I652" t="n">
        <v>0</v>
      </c>
      <c r="J652" t="n">
        <v>0</v>
      </c>
      <c r="K652" t="n">
        <v>0</v>
      </c>
      <c r="L652" t="n">
        <v>0</v>
      </c>
      <c r="M652" t="n">
        <v>0</v>
      </c>
      <c r="N652" t="n">
        <v>0</v>
      </c>
      <c r="O652" t="n">
        <v>0</v>
      </c>
      <c r="P652" t="n">
        <v>0</v>
      </c>
      <c r="Q652" t="n">
        <v>0</v>
      </c>
      <c r="R652" s="2" t="inlineStr"/>
    </row>
    <row r="653" ht="15" customHeight="1">
      <c r="A653" t="inlineStr">
        <is>
          <t>A 58040-2024</t>
        </is>
      </c>
      <c r="B653" s="1" t="n">
        <v>45631.73952546297</v>
      </c>
      <c r="C653" s="1" t="n">
        <v>45938</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58041-2024</t>
        </is>
      </c>
      <c r="B654" s="1" t="n">
        <v>45631.74673611111</v>
      </c>
      <c r="C654" s="1" t="n">
        <v>45938</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30268-2024</t>
        </is>
      </c>
      <c r="B655" s="1" t="n">
        <v>45490.60572916667</v>
      </c>
      <c r="C655" s="1" t="n">
        <v>45938</v>
      </c>
      <c r="D655" t="inlineStr">
        <is>
          <t>STOCKHOLMS LÄN</t>
        </is>
      </c>
      <c r="E655" t="inlineStr">
        <is>
          <t>NORRTÄLJE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54776-2023</t>
        </is>
      </c>
      <c r="B656" s="1" t="n">
        <v>45236.46369212963</v>
      </c>
      <c r="C656" s="1" t="n">
        <v>45938</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12407-2025</t>
        </is>
      </c>
      <c r="B657" s="1" t="n">
        <v>45730.42851851852</v>
      </c>
      <c r="C657" s="1" t="n">
        <v>45938</v>
      </c>
      <c r="D657" t="inlineStr">
        <is>
          <t>STOCKHOLMS LÄN</t>
        </is>
      </c>
      <c r="E657" t="inlineStr">
        <is>
          <t>NORRTÄLJE</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20370-2025</t>
        </is>
      </c>
      <c r="B658" s="1" t="n">
        <v>45775.41451388889</v>
      </c>
      <c r="C658" s="1" t="n">
        <v>45938</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19025-2025</t>
        </is>
      </c>
      <c r="B659" s="1" t="n">
        <v>45764.6359837963</v>
      </c>
      <c r="C659" s="1" t="n">
        <v>45938</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57442-2021</t>
        </is>
      </c>
      <c r="B660" s="1" t="n">
        <v>44483</v>
      </c>
      <c r="C660" s="1" t="n">
        <v>45938</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19580-2022</t>
        </is>
      </c>
      <c r="B661" s="1" t="n">
        <v>44693</v>
      </c>
      <c r="C661" s="1" t="n">
        <v>45938</v>
      </c>
      <c r="D661" t="inlineStr">
        <is>
          <t>STOCKHOLMS LÄN</t>
        </is>
      </c>
      <c r="E661" t="inlineStr">
        <is>
          <t>NORRTÄLJE</t>
        </is>
      </c>
      <c r="G661" t="n">
        <v>0.4</v>
      </c>
      <c r="H661" t="n">
        <v>0</v>
      </c>
      <c r="I661" t="n">
        <v>0</v>
      </c>
      <c r="J661" t="n">
        <v>0</v>
      </c>
      <c r="K661" t="n">
        <v>0</v>
      </c>
      <c r="L661" t="n">
        <v>0</v>
      </c>
      <c r="M661" t="n">
        <v>0</v>
      </c>
      <c r="N661" t="n">
        <v>0</v>
      </c>
      <c r="O661" t="n">
        <v>0</v>
      </c>
      <c r="P661" t="n">
        <v>0</v>
      </c>
      <c r="Q661" t="n">
        <v>0</v>
      </c>
      <c r="R661" s="2" t="inlineStr"/>
    </row>
    <row r="662" ht="15" customHeight="1">
      <c r="A662" t="inlineStr">
        <is>
          <t>A 54276-2021</t>
        </is>
      </c>
      <c r="B662" s="1" t="n">
        <v>44470</v>
      </c>
      <c r="C662" s="1" t="n">
        <v>45938</v>
      </c>
      <c r="D662" t="inlineStr">
        <is>
          <t>STOCKHOLMS LÄN</t>
        </is>
      </c>
      <c r="E662" t="inlineStr">
        <is>
          <t>NORRTÄLJE</t>
        </is>
      </c>
      <c r="G662" t="n">
        <v>7.3</v>
      </c>
      <c r="H662" t="n">
        <v>0</v>
      </c>
      <c r="I662" t="n">
        <v>0</v>
      </c>
      <c r="J662" t="n">
        <v>0</v>
      </c>
      <c r="K662" t="n">
        <v>0</v>
      </c>
      <c r="L662" t="n">
        <v>0</v>
      </c>
      <c r="M662" t="n">
        <v>0</v>
      </c>
      <c r="N662" t="n">
        <v>0</v>
      </c>
      <c r="O662" t="n">
        <v>0</v>
      </c>
      <c r="P662" t="n">
        <v>0</v>
      </c>
      <c r="Q662" t="n">
        <v>0</v>
      </c>
      <c r="R662" s="2" t="inlineStr"/>
    </row>
    <row r="663" ht="15" customHeight="1">
      <c r="A663" t="inlineStr">
        <is>
          <t>A 4316-2023</t>
        </is>
      </c>
      <c r="B663" s="1" t="n">
        <v>44953.67443287037</v>
      </c>
      <c r="C663" s="1" t="n">
        <v>45938</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41587-2023</t>
        </is>
      </c>
      <c r="B664" s="1" t="n">
        <v>45175</v>
      </c>
      <c r="C664" s="1" t="n">
        <v>45938</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55952-2024</t>
        </is>
      </c>
      <c r="B665" s="1" t="n">
        <v>45623.62563657408</v>
      </c>
      <c r="C665" s="1" t="n">
        <v>45938</v>
      </c>
      <c r="D665" t="inlineStr">
        <is>
          <t>STOCKHOLMS LÄN</t>
        </is>
      </c>
      <c r="E665" t="inlineStr">
        <is>
          <t>NORRTÄLJE</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8135-2025</t>
        </is>
      </c>
      <c r="B666" s="1" t="n">
        <v>45707.84997685185</v>
      </c>
      <c r="C666" s="1" t="n">
        <v>45938</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3383-2023</t>
        </is>
      </c>
      <c r="B667" s="1" t="n">
        <v>44949</v>
      </c>
      <c r="C667" s="1" t="n">
        <v>45938</v>
      </c>
      <c r="D667" t="inlineStr">
        <is>
          <t>STOCKHOLMS LÄN</t>
        </is>
      </c>
      <c r="E667" t="inlineStr">
        <is>
          <t>NORRTÄLJE</t>
        </is>
      </c>
      <c r="G667" t="n">
        <v>14.6</v>
      </c>
      <c r="H667" t="n">
        <v>0</v>
      </c>
      <c r="I667" t="n">
        <v>0</v>
      </c>
      <c r="J667" t="n">
        <v>0</v>
      </c>
      <c r="K667" t="n">
        <v>0</v>
      </c>
      <c r="L667" t="n">
        <v>0</v>
      </c>
      <c r="M667" t="n">
        <v>0</v>
      </c>
      <c r="N667" t="n">
        <v>0</v>
      </c>
      <c r="O667" t="n">
        <v>0</v>
      </c>
      <c r="P667" t="n">
        <v>0</v>
      </c>
      <c r="Q667" t="n">
        <v>0</v>
      </c>
      <c r="R667" s="2" t="inlineStr"/>
    </row>
    <row r="668" ht="15" customHeight="1">
      <c r="A668" t="inlineStr">
        <is>
          <t>A 3444-2023</t>
        </is>
      </c>
      <c r="B668" s="1" t="n">
        <v>44949</v>
      </c>
      <c r="C668" s="1" t="n">
        <v>45938</v>
      </c>
      <c r="D668" t="inlineStr">
        <is>
          <t>STOCKHOLMS LÄN</t>
        </is>
      </c>
      <c r="E668" t="inlineStr">
        <is>
          <t>NORRTÄLJE</t>
        </is>
      </c>
      <c r="G668" t="n">
        <v>5.1</v>
      </c>
      <c r="H668" t="n">
        <v>0</v>
      </c>
      <c r="I668" t="n">
        <v>0</v>
      </c>
      <c r="J668" t="n">
        <v>0</v>
      </c>
      <c r="K668" t="n">
        <v>0</v>
      </c>
      <c r="L668" t="n">
        <v>0</v>
      </c>
      <c r="M668" t="n">
        <v>0</v>
      </c>
      <c r="N668" t="n">
        <v>0</v>
      </c>
      <c r="O668" t="n">
        <v>0</v>
      </c>
      <c r="P668" t="n">
        <v>0</v>
      </c>
      <c r="Q668" t="n">
        <v>0</v>
      </c>
      <c r="R668" s="2" t="inlineStr"/>
    </row>
    <row r="669" ht="15" customHeight="1">
      <c r="A669" t="inlineStr">
        <is>
          <t>A 13148-2021</t>
        </is>
      </c>
      <c r="B669" s="1" t="n">
        <v>44272</v>
      </c>
      <c r="C669" s="1" t="n">
        <v>45938</v>
      </c>
      <c r="D669" t="inlineStr">
        <is>
          <t>STOCKHOLMS LÄN</t>
        </is>
      </c>
      <c r="E669" t="inlineStr">
        <is>
          <t>NORRTÄLJE</t>
        </is>
      </c>
      <c r="G669" t="n">
        <v>12.4</v>
      </c>
      <c r="H669" t="n">
        <v>0</v>
      </c>
      <c r="I669" t="n">
        <v>0</v>
      </c>
      <c r="J669" t="n">
        <v>0</v>
      </c>
      <c r="K669" t="n">
        <v>0</v>
      </c>
      <c r="L669" t="n">
        <v>0</v>
      </c>
      <c r="M669" t="n">
        <v>0</v>
      </c>
      <c r="N669" t="n">
        <v>0</v>
      </c>
      <c r="O669" t="n">
        <v>0</v>
      </c>
      <c r="P669" t="n">
        <v>0</v>
      </c>
      <c r="Q669" t="n">
        <v>0</v>
      </c>
      <c r="R669" s="2" t="inlineStr"/>
    </row>
    <row r="670" ht="15" customHeight="1">
      <c r="A670" t="inlineStr">
        <is>
          <t>A 30731-2023</t>
        </is>
      </c>
      <c r="B670" s="1" t="n">
        <v>45112</v>
      </c>
      <c r="C670" s="1" t="n">
        <v>45938</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4580-2025</t>
        </is>
      </c>
      <c r="B671" s="1" t="n">
        <v>45687.5038425926</v>
      </c>
      <c r="C671" s="1" t="n">
        <v>45938</v>
      </c>
      <c r="D671" t="inlineStr">
        <is>
          <t>STOCKHOLMS LÄN</t>
        </is>
      </c>
      <c r="E671" t="inlineStr">
        <is>
          <t>NORRTÄLJE</t>
        </is>
      </c>
      <c r="F671" t="inlineStr">
        <is>
          <t>Holmen skog AB</t>
        </is>
      </c>
      <c r="G671" t="n">
        <v>4.8</v>
      </c>
      <c r="H671" t="n">
        <v>0</v>
      </c>
      <c r="I671" t="n">
        <v>0</v>
      </c>
      <c r="J671" t="n">
        <v>0</v>
      </c>
      <c r="K671" t="n">
        <v>0</v>
      </c>
      <c r="L671" t="n">
        <v>0</v>
      </c>
      <c r="M671" t="n">
        <v>0</v>
      </c>
      <c r="N671" t="n">
        <v>0</v>
      </c>
      <c r="O671" t="n">
        <v>0</v>
      </c>
      <c r="P671" t="n">
        <v>0</v>
      </c>
      <c r="Q671" t="n">
        <v>0</v>
      </c>
      <c r="R671" s="2" t="inlineStr"/>
    </row>
    <row r="672" ht="15" customHeight="1">
      <c r="A672" t="inlineStr">
        <is>
          <t>A 31057-2022</t>
        </is>
      </c>
      <c r="B672" s="1" t="n">
        <v>44769</v>
      </c>
      <c r="C672" s="1" t="n">
        <v>45938</v>
      </c>
      <c r="D672" t="inlineStr">
        <is>
          <t>STOCKHOLMS LÄN</t>
        </is>
      </c>
      <c r="E672" t="inlineStr">
        <is>
          <t>NORRTÄLJE</t>
        </is>
      </c>
      <c r="G672" t="n">
        <v>6.5</v>
      </c>
      <c r="H672" t="n">
        <v>0</v>
      </c>
      <c r="I672" t="n">
        <v>0</v>
      </c>
      <c r="J672" t="n">
        <v>0</v>
      </c>
      <c r="K672" t="n">
        <v>0</v>
      </c>
      <c r="L672" t="n">
        <v>0</v>
      </c>
      <c r="M672" t="n">
        <v>0</v>
      </c>
      <c r="N672" t="n">
        <v>0</v>
      </c>
      <c r="O672" t="n">
        <v>0</v>
      </c>
      <c r="P672" t="n">
        <v>0</v>
      </c>
      <c r="Q672" t="n">
        <v>0</v>
      </c>
      <c r="R672" s="2" t="inlineStr"/>
    </row>
    <row r="673" ht="15" customHeight="1">
      <c r="A673" t="inlineStr">
        <is>
          <t>A 17304-2024</t>
        </is>
      </c>
      <c r="B673" s="1" t="n">
        <v>45414</v>
      </c>
      <c r="C673" s="1" t="n">
        <v>45938</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31140-2023</t>
        </is>
      </c>
      <c r="B674" s="1" t="n">
        <v>45113</v>
      </c>
      <c r="C674" s="1" t="n">
        <v>45938</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31149-2023</t>
        </is>
      </c>
      <c r="B675" s="1" t="n">
        <v>45113</v>
      </c>
      <c r="C675" s="1" t="n">
        <v>45938</v>
      </c>
      <c r="D675" t="inlineStr">
        <is>
          <t>STOCKHOLMS LÄN</t>
        </is>
      </c>
      <c r="E675" t="inlineStr">
        <is>
          <t>NORRTÄLJE</t>
        </is>
      </c>
      <c r="G675" t="n">
        <v>7.1</v>
      </c>
      <c r="H675" t="n">
        <v>0</v>
      </c>
      <c r="I675" t="n">
        <v>0</v>
      </c>
      <c r="J675" t="n">
        <v>0</v>
      </c>
      <c r="K675" t="n">
        <v>0</v>
      </c>
      <c r="L675" t="n">
        <v>0</v>
      </c>
      <c r="M675" t="n">
        <v>0</v>
      </c>
      <c r="N675" t="n">
        <v>0</v>
      </c>
      <c r="O675" t="n">
        <v>0</v>
      </c>
      <c r="P675" t="n">
        <v>0</v>
      </c>
      <c r="Q675" t="n">
        <v>0</v>
      </c>
      <c r="R675" s="2" t="inlineStr"/>
    </row>
    <row r="676" ht="15" customHeight="1">
      <c r="A676" t="inlineStr">
        <is>
          <t>A 11280-2023</t>
        </is>
      </c>
      <c r="B676" s="1" t="n">
        <v>44992</v>
      </c>
      <c r="C676" s="1" t="n">
        <v>45938</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4658-2024</t>
        </is>
      </c>
      <c r="B677" s="1" t="n">
        <v>45328.46336805556</v>
      </c>
      <c r="C677" s="1" t="n">
        <v>45938</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19131-2025</t>
        </is>
      </c>
      <c r="B678" s="1" t="n">
        <v>45769</v>
      </c>
      <c r="C678" s="1" t="n">
        <v>45938</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26668-2024</t>
        </is>
      </c>
      <c r="B679" s="1" t="n">
        <v>45469</v>
      </c>
      <c r="C679" s="1" t="n">
        <v>45938</v>
      </c>
      <c r="D679" t="inlineStr">
        <is>
          <t>STOCKHOLMS LÄN</t>
        </is>
      </c>
      <c r="E679" t="inlineStr">
        <is>
          <t>NORRTÄLJE</t>
        </is>
      </c>
      <c r="G679" t="n">
        <v>4.8</v>
      </c>
      <c r="H679" t="n">
        <v>0</v>
      </c>
      <c r="I679" t="n">
        <v>0</v>
      </c>
      <c r="J679" t="n">
        <v>0</v>
      </c>
      <c r="K679" t="n">
        <v>0</v>
      </c>
      <c r="L679" t="n">
        <v>0</v>
      </c>
      <c r="M679" t="n">
        <v>0</v>
      </c>
      <c r="N679" t="n">
        <v>0</v>
      </c>
      <c r="O679" t="n">
        <v>0</v>
      </c>
      <c r="P679" t="n">
        <v>0</v>
      </c>
      <c r="Q679" t="n">
        <v>0</v>
      </c>
      <c r="R679" s="2" t="inlineStr"/>
    </row>
    <row r="680" ht="15" customHeight="1">
      <c r="A680" t="inlineStr">
        <is>
          <t>A 21732-2023</t>
        </is>
      </c>
      <c r="B680" s="1" t="n">
        <v>45063</v>
      </c>
      <c r="C680" s="1" t="n">
        <v>45938</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23307-2024</t>
        </is>
      </c>
      <c r="B681" s="1" t="n">
        <v>45453</v>
      </c>
      <c r="C681" s="1" t="n">
        <v>45938</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31926-2022</t>
        </is>
      </c>
      <c r="B682" s="1" t="n">
        <v>44777</v>
      </c>
      <c r="C682" s="1" t="n">
        <v>45938</v>
      </c>
      <c r="D682" t="inlineStr">
        <is>
          <t>STOCKHOLMS LÄN</t>
        </is>
      </c>
      <c r="E682" t="inlineStr">
        <is>
          <t>NORRTÄLJE</t>
        </is>
      </c>
      <c r="G682" t="n">
        <v>5.2</v>
      </c>
      <c r="H682" t="n">
        <v>0</v>
      </c>
      <c r="I682" t="n">
        <v>0</v>
      </c>
      <c r="J682" t="n">
        <v>0</v>
      </c>
      <c r="K682" t="n">
        <v>0</v>
      </c>
      <c r="L682" t="n">
        <v>0</v>
      </c>
      <c r="M682" t="n">
        <v>0</v>
      </c>
      <c r="N682" t="n">
        <v>0</v>
      </c>
      <c r="O682" t="n">
        <v>0</v>
      </c>
      <c r="P682" t="n">
        <v>0</v>
      </c>
      <c r="Q682" t="n">
        <v>0</v>
      </c>
      <c r="R682" s="2" t="inlineStr"/>
    </row>
    <row r="683" ht="15" customHeight="1">
      <c r="A683" t="inlineStr">
        <is>
          <t>A 3386-2021</t>
        </is>
      </c>
      <c r="B683" s="1" t="n">
        <v>44218</v>
      </c>
      <c r="C683" s="1" t="n">
        <v>45938</v>
      </c>
      <c r="D683" t="inlineStr">
        <is>
          <t>STOCKHOLMS LÄN</t>
        </is>
      </c>
      <c r="E683" t="inlineStr">
        <is>
          <t>NORRTÄLJE</t>
        </is>
      </c>
      <c r="G683" t="n">
        <v>8</v>
      </c>
      <c r="H683" t="n">
        <v>0</v>
      </c>
      <c r="I683" t="n">
        <v>0</v>
      </c>
      <c r="J683" t="n">
        <v>0</v>
      </c>
      <c r="K683" t="n">
        <v>0</v>
      </c>
      <c r="L683" t="n">
        <v>0</v>
      </c>
      <c r="M683" t="n">
        <v>0</v>
      </c>
      <c r="N683" t="n">
        <v>0</v>
      </c>
      <c r="O683" t="n">
        <v>0</v>
      </c>
      <c r="P683" t="n">
        <v>0</v>
      </c>
      <c r="Q683" t="n">
        <v>0</v>
      </c>
      <c r="R683" s="2" t="inlineStr"/>
    </row>
    <row r="684" ht="15" customHeight="1">
      <c r="A684" t="inlineStr">
        <is>
          <t>A 21480-2022</t>
        </is>
      </c>
      <c r="B684" s="1" t="n">
        <v>44704</v>
      </c>
      <c r="C684" s="1" t="n">
        <v>45938</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7571-2024</t>
        </is>
      </c>
      <c r="B685" s="1" t="n">
        <v>45348.46300925926</v>
      </c>
      <c r="C685" s="1" t="n">
        <v>45938</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11041-2025</t>
        </is>
      </c>
      <c r="B686" s="1" t="n">
        <v>45723</v>
      </c>
      <c r="C686" s="1" t="n">
        <v>45938</v>
      </c>
      <c r="D686" t="inlineStr">
        <is>
          <t>STOCKHOLMS LÄN</t>
        </is>
      </c>
      <c r="E686" t="inlineStr">
        <is>
          <t>NORRTÄLJE</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9469-2021</t>
        </is>
      </c>
      <c r="B687" s="1" t="n">
        <v>44251</v>
      </c>
      <c r="C687" s="1" t="n">
        <v>45938</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37085-2021</t>
        </is>
      </c>
      <c r="B688" s="1" t="n">
        <v>44395</v>
      </c>
      <c r="C688" s="1" t="n">
        <v>45938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24024-2024</t>
        </is>
      </c>
      <c r="B689" s="1" t="n">
        <v>45456</v>
      </c>
      <c r="C689" s="1" t="n">
        <v>45938</v>
      </c>
      <c r="D689" t="inlineStr">
        <is>
          <t>STOCKHOLMS LÄN</t>
        </is>
      </c>
      <c r="E689" t="inlineStr">
        <is>
          <t>NORRTÄLJE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10511-2025</t>
        </is>
      </c>
      <c r="B690" s="1" t="n">
        <v>45721.40780092592</v>
      </c>
      <c r="C690" s="1" t="n">
        <v>45938</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28809-2023</t>
        </is>
      </c>
      <c r="B691" s="1" t="n">
        <v>45104</v>
      </c>
      <c r="C691" s="1" t="n">
        <v>45938</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28813-2023</t>
        </is>
      </c>
      <c r="B692" s="1" t="n">
        <v>45104</v>
      </c>
      <c r="C692" s="1" t="n">
        <v>45938</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56428-2023</t>
        </is>
      </c>
      <c r="B693" s="1" t="n">
        <v>45243.45289351852</v>
      </c>
      <c r="C693" s="1" t="n">
        <v>45938</v>
      </c>
      <c r="D693" t="inlineStr">
        <is>
          <t>STOCKHOLMS LÄN</t>
        </is>
      </c>
      <c r="E693" t="inlineStr">
        <is>
          <t>NORRTÄLJE</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40656-2022</t>
        </is>
      </c>
      <c r="B694" s="1" t="n">
        <v>44824.36069444445</v>
      </c>
      <c r="C694" s="1" t="n">
        <v>45938</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11849-2025</t>
        </is>
      </c>
      <c r="B695" s="1" t="n">
        <v>45728.38409722222</v>
      </c>
      <c r="C695" s="1" t="n">
        <v>45938</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17556-2025</t>
        </is>
      </c>
      <c r="B696" s="1" t="n">
        <v>45757.62482638889</v>
      </c>
      <c r="C696" s="1" t="n">
        <v>45938</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60694-2024</t>
        </is>
      </c>
      <c r="B697" s="1" t="n">
        <v>45644.47878472223</v>
      </c>
      <c r="C697" s="1" t="n">
        <v>45938</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40425-2021</t>
        </is>
      </c>
      <c r="B698" s="1" t="n">
        <v>44419</v>
      </c>
      <c r="C698" s="1" t="n">
        <v>45938</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58990-2021</t>
        </is>
      </c>
      <c r="B699" s="1" t="n">
        <v>44490.03621527777</v>
      </c>
      <c r="C699" s="1" t="n">
        <v>45938</v>
      </c>
      <c r="D699" t="inlineStr">
        <is>
          <t>STOCKHOLMS LÄN</t>
        </is>
      </c>
      <c r="E699" t="inlineStr">
        <is>
          <t>NORRTÄLJE</t>
        </is>
      </c>
      <c r="G699" t="n">
        <v>4.2</v>
      </c>
      <c r="H699" t="n">
        <v>0</v>
      </c>
      <c r="I699" t="n">
        <v>0</v>
      </c>
      <c r="J699" t="n">
        <v>0</v>
      </c>
      <c r="K699" t="n">
        <v>0</v>
      </c>
      <c r="L699" t="n">
        <v>0</v>
      </c>
      <c r="M699" t="n">
        <v>0</v>
      </c>
      <c r="N699" t="n">
        <v>0</v>
      </c>
      <c r="O699" t="n">
        <v>0</v>
      </c>
      <c r="P699" t="n">
        <v>0</v>
      </c>
      <c r="Q699" t="n">
        <v>0</v>
      </c>
      <c r="R699" s="2" t="inlineStr"/>
    </row>
    <row r="700" ht="15" customHeight="1">
      <c r="A700" t="inlineStr">
        <is>
          <t>A 42094-2023</t>
        </is>
      </c>
      <c r="B700" s="1" t="n">
        <v>45177.61498842593</v>
      </c>
      <c r="C700" s="1" t="n">
        <v>45938</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19450-2025</t>
        </is>
      </c>
      <c r="B701" s="1" t="n">
        <v>45770</v>
      </c>
      <c r="C701" s="1" t="n">
        <v>45938</v>
      </c>
      <c r="D701" t="inlineStr">
        <is>
          <t>STOCKHOLMS LÄN</t>
        </is>
      </c>
      <c r="E701" t="inlineStr">
        <is>
          <t>NORRTÄLJE</t>
        </is>
      </c>
      <c r="G701" t="n">
        <v>5.3</v>
      </c>
      <c r="H701" t="n">
        <v>0</v>
      </c>
      <c r="I701" t="n">
        <v>0</v>
      </c>
      <c r="J701" t="n">
        <v>0</v>
      </c>
      <c r="K701" t="n">
        <v>0</v>
      </c>
      <c r="L701" t="n">
        <v>0</v>
      </c>
      <c r="M701" t="n">
        <v>0</v>
      </c>
      <c r="N701" t="n">
        <v>0</v>
      </c>
      <c r="O701" t="n">
        <v>0</v>
      </c>
      <c r="P701" t="n">
        <v>0</v>
      </c>
      <c r="Q701" t="n">
        <v>0</v>
      </c>
      <c r="R701" s="2" t="inlineStr"/>
    </row>
    <row r="702" ht="15" customHeight="1">
      <c r="A702" t="inlineStr">
        <is>
          <t>A 20790-2025</t>
        </is>
      </c>
      <c r="B702" s="1" t="n">
        <v>45776.62563657408</v>
      </c>
      <c r="C702" s="1" t="n">
        <v>45938</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20699-2025</t>
        </is>
      </c>
      <c r="B703" s="1" t="n">
        <v>45776.47346064815</v>
      </c>
      <c r="C703" s="1" t="n">
        <v>45938</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8370-2025</t>
        </is>
      </c>
      <c r="B704" s="1" t="n">
        <v>45708</v>
      </c>
      <c r="C704" s="1" t="n">
        <v>45938</v>
      </c>
      <c r="D704" t="inlineStr">
        <is>
          <t>STOCKHOLMS LÄN</t>
        </is>
      </c>
      <c r="E704" t="inlineStr">
        <is>
          <t>NORRTÄLJE</t>
        </is>
      </c>
      <c r="F704" t="inlineStr">
        <is>
          <t>Övriga Aktiebolag</t>
        </is>
      </c>
      <c r="G704" t="n">
        <v>5.6</v>
      </c>
      <c r="H704" t="n">
        <v>0</v>
      </c>
      <c r="I704" t="n">
        <v>0</v>
      </c>
      <c r="J704" t="n">
        <v>0</v>
      </c>
      <c r="K704" t="n">
        <v>0</v>
      </c>
      <c r="L704" t="n">
        <v>0</v>
      </c>
      <c r="M704" t="n">
        <v>0</v>
      </c>
      <c r="N704" t="n">
        <v>0</v>
      </c>
      <c r="O704" t="n">
        <v>0</v>
      </c>
      <c r="P704" t="n">
        <v>0</v>
      </c>
      <c r="Q704" t="n">
        <v>0</v>
      </c>
      <c r="R704" s="2" t="inlineStr"/>
    </row>
    <row r="705" ht="15" customHeight="1">
      <c r="A705" t="inlineStr">
        <is>
          <t>A 3299-2022</t>
        </is>
      </c>
      <c r="B705" s="1" t="n">
        <v>44584.91001157407</v>
      </c>
      <c r="C705" s="1" t="n">
        <v>45938</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3152-2024</t>
        </is>
      </c>
      <c r="B706" s="1" t="n">
        <v>45316.60306712963</v>
      </c>
      <c r="C706" s="1" t="n">
        <v>45938</v>
      </c>
      <c r="D706" t="inlineStr">
        <is>
          <t>STOCKHOLMS LÄN</t>
        </is>
      </c>
      <c r="E706" t="inlineStr">
        <is>
          <t>NORRTÄLJE</t>
        </is>
      </c>
      <c r="G706" t="n">
        <v>7.9</v>
      </c>
      <c r="H706" t="n">
        <v>0</v>
      </c>
      <c r="I706" t="n">
        <v>0</v>
      </c>
      <c r="J706" t="n">
        <v>0</v>
      </c>
      <c r="K706" t="n">
        <v>0</v>
      </c>
      <c r="L706" t="n">
        <v>0</v>
      </c>
      <c r="M706" t="n">
        <v>0</v>
      </c>
      <c r="N706" t="n">
        <v>0</v>
      </c>
      <c r="O706" t="n">
        <v>0</v>
      </c>
      <c r="P706" t="n">
        <v>0</v>
      </c>
      <c r="Q706" t="n">
        <v>0</v>
      </c>
      <c r="R706" s="2" t="inlineStr"/>
    </row>
    <row r="707" ht="15" customHeight="1">
      <c r="A707" t="inlineStr">
        <is>
          <t>A 59326-2023</t>
        </is>
      </c>
      <c r="B707" s="1" t="n">
        <v>45253.63089120371</v>
      </c>
      <c r="C707" s="1" t="n">
        <v>45938</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44836-2023</t>
        </is>
      </c>
      <c r="B708" s="1" t="n">
        <v>45190.55609953704</v>
      </c>
      <c r="C708" s="1" t="n">
        <v>45938</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20779-2025</t>
        </is>
      </c>
      <c r="B709" s="1" t="n">
        <v>45776.59871527777</v>
      </c>
      <c r="C709" s="1" t="n">
        <v>45938</v>
      </c>
      <c r="D709" t="inlineStr">
        <is>
          <t>STOCKHOLMS LÄN</t>
        </is>
      </c>
      <c r="E709" t="inlineStr">
        <is>
          <t>NORRTÄLJE</t>
        </is>
      </c>
      <c r="G709" t="n">
        <v>6.9</v>
      </c>
      <c r="H709" t="n">
        <v>0</v>
      </c>
      <c r="I709" t="n">
        <v>0</v>
      </c>
      <c r="J709" t="n">
        <v>0</v>
      </c>
      <c r="K709" t="n">
        <v>0</v>
      </c>
      <c r="L709" t="n">
        <v>0</v>
      </c>
      <c r="M709" t="n">
        <v>0</v>
      </c>
      <c r="N709" t="n">
        <v>0</v>
      </c>
      <c r="O709" t="n">
        <v>0</v>
      </c>
      <c r="P709" t="n">
        <v>0</v>
      </c>
      <c r="Q709" t="n">
        <v>0</v>
      </c>
      <c r="R709" s="2" t="inlineStr"/>
    </row>
    <row r="710" ht="15" customHeight="1">
      <c r="A710" t="inlineStr">
        <is>
          <t>A 12348-2025</t>
        </is>
      </c>
      <c r="B710" s="1" t="n">
        <v>45730.35026620371</v>
      </c>
      <c r="C710" s="1" t="n">
        <v>45938</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17545-2025</t>
        </is>
      </c>
      <c r="B711" s="1" t="n">
        <v>45757.60658564815</v>
      </c>
      <c r="C711" s="1" t="n">
        <v>45938</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25094-2023</t>
        </is>
      </c>
      <c r="B712" s="1" t="n">
        <v>45086.3629050926</v>
      </c>
      <c r="C712" s="1" t="n">
        <v>45938</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36157-2024</t>
        </is>
      </c>
      <c r="B713" s="1" t="n">
        <v>45534.38240740741</v>
      </c>
      <c r="C713" s="1" t="n">
        <v>45938</v>
      </c>
      <c r="D713" t="inlineStr">
        <is>
          <t>STOCKHOLMS LÄN</t>
        </is>
      </c>
      <c r="E713" t="inlineStr">
        <is>
          <t>NORRTÄLJE</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47694-2023</t>
        </is>
      </c>
      <c r="B714" s="1" t="n">
        <v>45203.63303240741</v>
      </c>
      <c r="C714" s="1" t="n">
        <v>45938</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21771-2025</t>
        </is>
      </c>
      <c r="B715" s="1" t="n">
        <v>45783</v>
      </c>
      <c r="C715" s="1" t="n">
        <v>45938</v>
      </c>
      <c r="D715" t="inlineStr">
        <is>
          <t>STOCKHOLMS LÄN</t>
        </is>
      </c>
      <c r="E715" t="inlineStr">
        <is>
          <t>NORRTÄLJE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33353-2023</t>
        </is>
      </c>
      <c r="B716" s="1" t="n">
        <v>45128</v>
      </c>
      <c r="C716" s="1" t="n">
        <v>45938</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35532-2024</t>
        </is>
      </c>
      <c r="B717" s="1" t="n">
        <v>45531</v>
      </c>
      <c r="C717" s="1" t="n">
        <v>45938</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1654-2025</t>
        </is>
      </c>
      <c r="B718" s="1" t="n">
        <v>45670.65921296296</v>
      </c>
      <c r="C718" s="1" t="n">
        <v>45938</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62644-2023</t>
        </is>
      </c>
      <c r="B719" s="1" t="n">
        <v>45271</v>
      </c>
      <c r="C719" s="1" t="n">
        <v>45938</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3966-2024</t>
        </is>
      </c>
      <c r="B720" s="1" t="n">
        <v>45322</v>
      </c>
      <c r="C720" s="1" t="n">
        <v>45938</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21778-2025</t>
        </is>
      </c>
      <c r="B721" s="1" t="n">
        <v>45783.66429398148</v>
      </c>
      <c r="C721" s="1" t="n">
        <v>45938</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45938</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57353-2024</t>
        </is>
      </c>
      <c r="B723" s="1" t="n">
        <v>45629.65143518519</v>
      </c>
      <c r="C723" s="1" t="n">
        <v>45938</v>
      </c>
      <c r="D723" t="inlineStr">
        <is>
          <t>STOCKHOLMS LÄN</t>
        </is>
      </c>
      <c r="E723" t="inlineStr">
        <is>
          <t>NORRTÄLJE</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48587-2023</t>
        </is>
      </c>
      <c r="B724" s="1" t="n">
        <v>45208</v>
      </c>
      <c r="C724" s="1" t="n">
        <v>45938</v>
      </c>
      <c r="D724" t="inlineStr">
        <is>
          <t>STOCKHOLMS LÄN</t>
        </is>
      </c>
      <c r="E724" t="inlineStr">
        <is>
          <t>NORRTÄLJE</t>
        </is>
      </c>
      <c r="G724" t="n">
        <v>7</v>
      </c>
      <c r="H724" t="n">
        <v>0</v>
      </c>
      <c r="I724" t="n">
        <v>0</v>
      </c>
      <c r="J724" t="n">
        <v>0</v>
      </c>
      <c r="K724" t="n">
        <v>0</v>
      </c>
      <c r="L724" t="n">
        <v>0</v>
      </c>
      <c r="M724" t="n">
        <v>0</v>
      </c>
      <c r="N724" t="n">
        <v>0</v>
      </c>
      <c r="O724" t="n">
        <v>0</v>
      </c>
      <c r="P724" t="n">
        <v>0</v>
      </c>
      <c r="Q724" t="n">
        <v>0</v>
      </c>
      <c r="R724" s="2" t="inlineStr"/>
    </row>
    <row r="725" ht="15" customHeight="1">
      <c r="A725" t="inlineStr">
        <is>
          <t>A 13291-2025</t>
        </is>
      </c>
      <c r="B725" s="1" t="n">
        <v>45735</v>
      </c>
      <c r="C725" s="1" t="n">
        <v>45938</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23262-2023</t>
        </is>
      </c>
      <c r="B726" s="1" t="n">
        <v>45075.90270833333</v>
      </c>
      <c r="C726" s="1" t="n">
        <v>45938</v>
      </c>
      <c r="D726" t="inlineStr">
        <is>
          <t>STOCKHOLMS LÄN</t>
        </is>
      </c>
      <c r="E726" t="inlineStr">
        <is>
          <t>NORRTÄLJE</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23268-2023</t>
        </is>
      </c>
      <c r="B727" s="1" t="n">
        <v>45075.91042824074</v>
      </c>
      <c r="C727" s="1" t="n">
        <v>45938</v>
      </c>
      <c r="D727" t="inlineStr">
        <is>
          <t>STOCKHOLMS LÄN</t>
        </is>
      </c>
      <c r="E727" t="inlineStr">
        <is>
          <t>NORRTÄLJE</t>
        </is>
      </c>
      <c r="G727" t="n">
        <v>3.3</v>
      </c>
      <c r="H727" t="n">
        <v>0</v>
      </c>
      <c r="I727" t="n">
        <v>0</v>
      </c>
      <c r="J727" t="n">
        <v>0</v>
      </c>
      <c r="K727" t="n">
        <v>0</v>
      </c>
      <c r="L727" t="n">
        <v>0</v>
      </c>
      <c r="M727" t="n">
        <v>0</v>
      </c>
      <c r="N727" t="n">
        <v>0</v>
      </c>
      <c r="O727" t="n">
        <v>0</v>
      </c>
      <c r="P727" t="n">
        <v>0</v>
      </c>
      <c r="Q727" t="n">
        <v>0</v>
      </c>
      <c r="R727" s="2" t="inlineStr"/>
    </row>
    <row r="728" ht="15" customHeight="1">
      <c r="A728" t="inlineStr">
        <is>
          <t>A 23270-2023</t>
        </is>
      </c>
      <c r="B728" s="1" t="n">
        <v>45075.91265046296</v>
      </c>
      <c r="C728" s="1" t="n">
        <v>45938</v>
      </c>
      <c r="D728" t="inlineStr">
        <is>
          <t>STOCKHOLMS LÄN</t>
        </is>
      </c>
      <c r="E728" t="inlineStr">
        <is>
          <t>NORRTÄLJE</t>
        </is>
      </c>
      <c r="G728" t="n">
        <v>12.3</v>
      </c>
      <c r="H728" t="n">
        <v>0</v>
      </c>
      <c r="I728" t="n">
        <v>0</v>
      </c>
      <c r="J728" t="n">
        <v>0</v>
      </c>
      <c r="K728" t="n">
        <v>0</v>
      </c>
      <c r="L728" t="n">
        <v>0</v>
      </c>
      <c r="M728" t="n">
        <v>0</v>
      </c>
      <c r="N728" t="n">
        <v>0</v>
      </c>
      <c r="O728" t="n">
        <v>0</v>
      </c>
      <c r="P728" t="n">
        <v>0</v>
      </c>
      <c r="Q728" t="n">
        <v>0</v>
      </c>
      <c r="R728" s="2" t="inlineStr"/>
    </row>
    <row r="729" ht="15" customHeight="1">
      <c r="A729" t="inlineStr">
        <is>
          <t>A 23274-2023</t>
        </is>
      </c>
      <c r="B729" s="1" t="n">
        <v>45075.92153935185</v>
      </c>
      <c r="C729" s="1" t="n">
        <v>45938</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2549-2022</t>
        </is>
      </c>
      <c r="B730" s="1" t="n">
        <v>44580</v>
      </c>
      <c r="C730" s="1" t="n">
        <v>45938</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22202-2025</t>
        </is>
      </c>
      <c r="B731" s="1" t="n">
        <v>45785.65300925926</v>
      </c>
      <c r="C731" s="1" t="n">
        <v>45938</v>
      </c>
      <c r="D731" t="inlineStr">
        <is>
          <t>STOCKHOLMS LÄN</t>
        </is>
      </c>
      <c r="E731" t="inlineStr">
        <is>
          <t>NORRTÄLJE</t>
        </is>
      </c>
      <c r="G731" t="n">
        <v>10.2</v>
      </c>
      <c r="H731" t="n">
        <v>0</v>
      </c>
      <c r="I731" t="n">
        <v>0</v>
      </c>
      <c r="J731" t="n">
        <v>0</v>
      </c>
      <c r="K731" t="n">
        <v>0</v>
      </c>
      <c r="L731" t="n">
        <v>0</v>
      </c>
      <c r="M731" t="n">
        <v>0</v>
      </c>
      <c r="N731" t="n">
        <v>0</v>
      </c>
      <c r="O731" t="n">
        <v>0</v>
      </c>
      <c r="P731" t="n">
        <v>0</v>
      </c>
      <c r="Q731" t="n">
        <v>0</v>
      </c>
      <c r="R731" s="2" t="inlineStr"/>
    </row>
    <row r="732" ht="15" customHeight="1">
      <c r="A732" t="inlineStr">
        <is>
          <t>A 17843-2024</t>
        </is>
      </c>
      <c r="B732" s="1" t="n">
        <v>45418</v>
      </c>
      <c r="C732" s="1" t="n">
        <v>45938</v>
      </c>
      <c r="D732" t="inlineStr">
        <is>
          <t>STOCKHOLMS LÄN</t>
        </is>
      </c>
      <c r="E732" t="inlineStr">
        <is>
          <t>NORRTÄLJE</t>
        </is>
      </c>
      <c r="G732" t="n">
        <v>5.4</v>
      </c>
      <c r="H732" t="n">
        <v>0</v>
      </c>
      <c r="I732" t="n">
        <v>0</v>
      </c>
      <c r="J732" t="n">
        <v>0</v>
      </c>
      <c r="K732" t="n">
        <v>0</v>
      </c>
      <c r="L732" t="n">
        <v>0</v>
      </c>
      <c r="M732" t="n">
        <v>0</v>
      </c>
      <c r="N732" t="n">
        <v>0</v>
      </c>
      <c r="O732" t="n">
        <v>0</v>
      </c>
      <c r="P732" t="n">
        <v>0</v>
      </c>
      <c r="Q732" t="n">
        <v>0</v>
      </c>
      <c r="R732" s="2" t="inlineStr"/>
    </row>
    <row r="733" ht="15" customHeight="1">
      <c r="A733" t="inlineStr">
        <is>
          <t>A 4438-2023</t>
        </is>
      </c>
      <c r="B733" s="1" t="n">
        <v>44956</v>
      </c>
      <c r="C733" s="1" t="n">
        <v>45938</v>
      </c>
      <c r="D733" t="inlineStr">
        <is>
          <t>STOCKHOLMS LÄN</t>
        </is>
      </c>
      <c r="E733" t="inlineStr">
        <is>
          <t>NORRTÄLJE</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19058-2024</t>
        </is>
      </c>
      <c r="B734" s="1" t="n">
        <v>45427.89121527778</v>
      </c>
      <c r="C734" s="1" t="n">
        <v>45938</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26636-2023</t>
        </is>
      </c>
      <c r="B735" s="1" t="n">
        <v>45092</v>
      </c>
      <c r="C735" s="1" t="n">
        <v>45938</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26637-2023</t>
        </is>
      </c>
      <c r="B736" s="1" t="n">
        <v>45092</v>
      </c>
      <c r="C736" s="1" t="n">
        <v>45938</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47758-2023</t>
        </is>
      </c>
      <c r="B737" s="1" t="n">
        <v>45203.83891203703</v>
      </c>
      <c r="C737" s="1" t="n">
        <v>45938</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72704-2021</t>
        </is>
      </c>
      <c r="B738" s="1" t="n">
        <v>44546</v>
      </c>
      <c r="C738" s="1" t="n">
        <v>45938</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52743-2024</t>
        </is>
      </c>
      <c r="B739" s="1" t="n">
        <v>45610.47414351852</v>
      </c>
      <c r="C739" s="1" t="n">
        <v>45938</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16852-2024</t>
        </is>
      </c>
      <c r="B740" s="1" t="n">
        <v>45411.54768518519</v>
      </c>
      <c r="C740" s="1" t="n">
        <v>45938</v>
      </c>
      <c r="D740" t="inlineStr">
        <is>
          <t>STOCKHOLMS LÄN</t>
        </is>
      </c>
      <c r="E740" t="inlineStr">
        <is>
          <t>NORRTÄLJE</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51061-2023</t>
        </is>
      </c>
      <c r="B741" s="1" t="n">
        <v>45218.65849537037</v>
      </c>
      <c r="C741" s="1" t="n">
        <v>45938</v>
      </c>
      <c r="D741" t="inlineStr">
        <is>
          <t>STOCKHOLMS LÄN</t>
        </is>
      </c>
      <c r="E741" t="inlineStr">
        <is>
          <t>NORRTÄLJE</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16620-2024</t>
        </is>
      </c>
      <c r="B742" s="1" t="n">
        <v>45408.57707175926</v>
      </c>
      <c r="C742" s="1" t="n">
        <v>45938</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22697-2022</t>
        </is>
      </c>
      <c r="B743" s="1" t="n">
        <v>44714.56040509259</v>
      </c>
      <c r="C743" s="1" t="n">
        <v>45938</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45549-2022</t>
        </is>
      </c>
      <c r="B744" s="1" t="n">
        <v>44845.48064814815</v>
      </c>
      <c r="C744" s="1" t="n">
        <v>45938</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30719-2025</t>
        </is>
      </c>
      <c r="B745" s="1" t="n">
        <v>45831.56521990741</v>
      </c>
      <c r="C745" s="1" t="n">
        <v>45938</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54396-2021</t>
        </is>
      </c>
      <c r="B746" s="1" t="n">
        <v>44472</v>
      </c>
      <c r="C746" s="1" t="n">
        <v>45938</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24727-2023</t>
        </is>
      </c>
      <c r="B747" s="1" t="n">
        <v>45084.57695601852</v>
      </c>
      <c r="C747" s="1" t="n">
        <v>45938</v>
      </c>
      <c r="D747" t="inlineStr">
        <is>
          <t>STOCKHOLMS LÄN</t>
        </is>
      </c>
      <c r="E747" t="inlineStr">
        <is>
          <t>NORRTÄLJE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22416-2025</t>
        </is>
      </c>
      <c r="B748" s="1" t="n">
        <v>45786.55645833333</v>
      </c>
      <c r="C748" s="1" t="n">
        <v>45938</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48722-2023</t>
        </is>
      </c>
      <c r="B749" s="1" t="n">
        <v>45208.70996527778</v>
      </c>
      <c r="C749" s="1" t="n">
        <v>45938</v>
      </c>
      <c r="D749" t="inlineStr">
        <is>
          <t>STOCKHOLMS LÄN</t>
        </is>
      </c>
      <c r="E749" t="inlineStr">
        <is>
          <t>NORRTÄLJE</t>
        </is>
      </c>
      <c r="G749" t="n">
        <v>0.3</v>
      </c>
      <c r="H749" t="n">
        <v>0</v>
      </c>
      <c r="I749" t="n">
        <v>0</v>
      </c>
      <c r="J749" t="n">
        <v>0</v>
      </c>
      <c r="K749" t="n">
        <v>0</v>
      </c>
      <c r="L749" t="n">
        <v>0</v>
      </c>
      <c r="M749" t="n">
        <v>0</v>
      </c>
      <c r="N749" t="n">
        <v>0</v>
      </c>
      <c r="O749" t="n">
        <v>0</v>
      </c>
      <c r="P749" t="n">
        <v>0</v>
      </c>
      <c r="Q749" t="n">
        <v>0</v>
      </c>
      <c r="R749" s="2" t="inlineStr"/>
    </row>
    <row r="750" ht="15" customHeight="1">
      <c r="A750" t="inlineStr">
        <is>
          <t>A 35235-2024</t>
        </is>
      </c>
      <c r="B750" s="1" t="n">
        <v>45530</v>
      </c>
      <c r="C750" s="1" t="n">
        <v>45938</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58785-2024</t>
        </is>
      </c>
      <c r="B751" s="1" t="n">
        <v>45635.88849537037</v>
      </c>
      <c r="C751" s="1" t="n">
        <v>45938</v>
      </c>
      <c r="D751" t="inlineStr">
        <is>
          <t>STOCKHOLMS LÄN</t>
        </is>
      </c>
      <c r="E751" t="inlineStr">
        <is>
          <t>NORRTÄLJE</t>
        </is>
      </c>
      <c r="G751" t="n">
        <v>3.3</v>
      </c>
      <c r="H751" t="n">
        <v>0</v>
      </c>
      <c r="I751" t="n">
        <v>0</v>
      </c>
      <c r="J751" t="n">
        <v>0</v>
      </c>
      <c r="K751" t="n">
        <v>0</v>
      </c>
      <c r="L751" t="n">
        <v>0</v>
      </c>
      <c r="M751" t="n">
        <v>0</v>
      </c>
      <c r="N751" t="n">
        <v>0</v>
      </c>
      <c r="O751" t="n">
        <v>0</v>
      </c>
      <c r="P751" t="n">
        <v>0</v>
      </c>
      <c r="Q751" t="n">
        <v>0</v>
      </c>
      <c r="R751" s="2" t="inlineStr"/>
    </row>
    <row r="752" ht="15" customHeight="1">
      <c r="A752" t="inlineStr">
        <is>
          <t>A 1448-2023</t>
        </is>
      </c>
      <c r="B752" s="1" t="n">
        <v>44937</v>
      </c>
      <c r="C752" s="1" t="n">
        <v>45938</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55755-2023</t>
        </is>
      </c>
      <c r="B753" s="1" t="n">
        <v>45239</v>
      </c>
      <c r="C753" s="1" t="n">
        <v>45938</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2182-2022</t>
        </is>
      </c>
      <c r="B754" s="1" t="n">
        <v>44578</v>
      </c>
      <c r="C754" s="1" t="n">
        <v>45938</v>
      </c>
      <c r="D754" t="inlineStr">
        <is>
          <t>STOCKHOLMS LÄN</t>
        </is>
      </c>
      <c r="E754" t="inlineStr">
        <is>
          <t>NORRTÄLJE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8736-2024</t>
        </is>
      </c>
      <c r="B755" s="1" t="n">
        <v>45356.4722800926</v>
      </c>
      <c r="C755" s="1" t="n">
        <v>45938</v>
      </c>
      <c r="D755" t="inlineStr">
        <is>
          <t>STOCKHOLMS LÄN</t>
        </is>
      </c>
      <c r="E755" t="inlineStr">
        <is>
          <t>NORRTÄLJE</t>
        </is>
      </c>
      <c r="G755" t="n">
        <v>8.9</v>
      </c>
      <c r="H755" t="n">
        <v>0</v>
      </c>
      <c r="I755" t="n">
        <v>0</v>
      </c>
      <c r="J755" t="n">
        <v>0</v>
      </c>
      <c r="K755" t="n">
        <v>0</v>
      </c>
      <c r="L755" t="n">
        <v>0</v>
      </c>
      <c r="M755" t="n">
        <v>0</v>
      </c>
      <c r="N755" t="n">
        <v>0</v>
      </c>
      <c r="O755" t="n">
        <v>0</v>
      </c>
      <c r="P755" t="n">
        <v>0</v>
      </c>
      <c r="Q755" t="n">
        <v>0</v>
      </c>
      <c r="R755" s="2" t="inlineStr"/>
    </row>
    <row r="756" ht="15" customHeight="1">
      <c r="A756" t="inlineStr">
        <is>
          <t>A 13268-2025</t>
        </is>
      </c>
      <c r="B756" s="1" t="n">
        <v>45735</v>
      </c>
      <c r="C756" s="1" t="n">
        <v>45938</v>
      </c>
      <c r="D756" t="inlineStr">
        <is>
          <t>STOCKHOLMS LÄN</t>
        </is>
      </c>
      <c r="E756" t="inlineStr">
        <is>
          <t>NORRTÄLJE</t>
        </is>
      </c>
      <c r="G756" t="n">
        <v>11.4</v>
      </c>
      <c r="H756" t="n">
        <v>0</v>
      </c>
      <c r="I756" t="n">
        <v>0</v>
      </c>
      <c r="J756" t="n">
        <v>0</v>
      </c>
      <c r="K756" t="n">
        <v>0</v>
      </c>
      <c r="L756" t="n">
        <v>0</v>
      </c>
      <c r="M756" t="n">
        <v>0</v>
      </c>
      <c r="N756" t="n">
        <v>0</v>
      </c>
      <c r="O756" t="n">
        <v>0</v>
      </c>
      <c r="P756" t="n">
        <v>0</v>
      </c>
      <c r="Q756" t="n">
        <v>0</v>
      </c>
      <c r="R756" s="2" t="inlineStr"/>
    </row>
    <row r="757" ht="15" customHeight="1">
      <c r="A757" t="inlineStr">
        <is>
          <t>A 8414-2025</t>
        </is>
      </c>
      <c r="B757" s="1" t="n">
        <v>45709.39361111111</v>
      </c>
      <c r="C757" s="1" t="n">
        <v>45938</v>
      </c>
      <c r="D757" t="inlineStr">
        <is>
          <t>STOCKHOLMS LÄN</t>
        </is>
      </c>
      <c r="E757" t="inlineStr">
        <is>
          <t>NORRTÄLJE</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33149-2022</t>
        </is>
      </c>
      <c r="B758" s="1" t="n">
        <v>44785</v>
      </c>
      <c r="C758" s="1" t="n">
        <v>45938</v>
      </c>
      <c r="D758" t="inlineStr">
        <is>
          <t>STOCKHOLMS LÄN</t>
        </is>
      </c>
      <c r="E758" t="inlineStr">
        <is>
          <t>NORRTÄLJE</t>
        </is>
      </c>
      <c r="F758" t="inlineStr">
        <is>
          <t>Holmen skog AB</t>
        </is>
      </c>
      <c r="G758" t="n">
        <v>4.4</v>
      </c>
      <c r="H758" t="n">
        <v>0</v>
      </c>
      <c r="I758" t="n">
        <v>0</v>
      </c>
      <c r="J758" t="n">
        <v>0</v>
      </c>
      <c r="K758" t="n">
        <v>0</v>
      </c>
      <c r="L758" t="n">
        <v>0</v>
      </c>
      <c r="M758" t="n">
        <v>0</v>
      </c>
      <c r="N758" t="n">
        <v>0</v>
      </c>
      <c r="O758" t="n">
        <v>0</v>
      </c>
      <c r="P758" t="n">
        <v>0</v>
      </c>
      <c r="Q758" t="n">
        <v>0</v>
      </c>
      <c r="R758" s="2" t="inlineStr"/>
    </row>
    <row r="759" ht="15" customHeight="1">
      <c r="A759" t="inlineStr">
        <is>
          <t>A 36625-2024</t>
        </is>
      </c>
      <c r="B759" s="1" t="n">
        <v>45537</v>
      </c>
      <c r="C759" s="1" t="n">
        <v>45938</v>
      </c>
      <c r="D759" t="inlineStr">
        <is>
          <t>STOCKHOLMS LÄN</t>
        </is>
      </c>
      <c r="E759" t="inlineStr">
        <is>
          <t>NORRTÄLJE</t>
        </is>
      </c>
      <c r="G759" t="n">
        <v>3.8</v>
      </c>
      <c r="H759" t="n">
        <v>0</v>
      </c>
      <c r="I759" t="n">
        <v>0</v>
      </c>
      <c r="J759" t="n">
        <v>0</v>
      </c>
      <c r="K759" t="n">
        <v>0</v>
      </c>
      <c r="L759" t="n">
        <v>0</v>
      </c>
      <c r="M759" t="n">
        <v>0</v>
      </c>
      <c r="N759" t="n">
        <v>0</v>
      </c>
      <c r="O759" t="n">
        <v>0</v>
      </c>
      <c r="P759" t="n">
        <v>0</v>
      </c>
      <c r="Q759" t="n">
        <v>0</v>
      </c>
      <c r="R759" s="2" t="inlineStr"/>
    </row>
    <row r="760" ht="15" customHeight="1">
      <c r="A760" t="inlineStr">
        <is>
          <t>A 44891-2023</t>
        </is>
      </c>
      <c r="B760" s="1" t="n">
        <v>45187</v>
      </c>
      <c r="C760" s="1" t="n">
        <v>45938</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12902-2024</t>
        </is>
      </c>
      <c r="B761" s="1" t="n">
        <v>45385.38146990741</v>
      </c>
      <c r="C761" s="1" t="n">
        <v>45938</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44032-2024</t>
        </is>
      </c>
      <c r="B762" s="1" t="n">
        <v>45572.57828703704</v>
      </c>
      <c r="C762" s="1" t="n">
        <v>45938</v>
      </c>
      <c r="D762" t="inlineStr">
        <is>
          <t>STOCKHOLMS LÄN</t>
        </is>
      </c>
      <c r="E762" t="inlineStr">
        <is>
          <t>NORRTÄLJE</t>
        </is>
      </c>
      <c r="G762" t="n">
        <v>8.6</v>
      </c>
      <c r="H762" t="n">
        <v>0</v>
      </c>
      <c r="I762" t="n">
        <v>0</v>
      </c>
      <c r="J762" t="n">
        <v>0</v>
      </c>
      <c r="K762" t="n">
        <v>0</v>
      </c>
      <c r="L762" t="n">
        <v>0</v>
      </c>
      <c r="M762" t="n">
        <v>0</v>
      </c>
      <c r="N762" t="n">
        <v>0</v>
      </c>
      <c r="O762" t="n">
        <v>0</v>
      </c>
      <c r="P762" t="n">
        <v>0</v>
      </c>
      <c r="Q762" t="n">
        <v>0</v>
      </c>
      <c r="R762" s="2" t="inlineStr"/>
    </row>
    <row r="763" ht="15" customHeight="1">
      <c r="A763" t="inlineStr">
        <is>
          <t>A 24563-2024</t>
        </is>
      </c>
      <c r="B763" s="1" t="n">
        <v>45460.44347222222</v>
      </c>
      <c r="C763" s="1" t="n">
        <v>45938</v>
      </c>
      <c r="D763" t="inlineStr">
        <is>
          <t>STOCKHOLMS LÄN</t>
        </is>
      </c>
      <c r="E763" t="inlineStr">
        <is>
          <t>NORRTÄLJE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17348-2024</t>
        </is>
      </c>
      <c r="B764" s="1" t="n">
        <v>45414.58650462963</v>
      </c>
      <c r="C764" s="1" t="n">
        <v>45938</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39237-2024</t>
        </is>
      </c>
      <c r="B765" s="1" t="n">
        <v>45549</v>
      </c>
      <c r="C765" s="1" t="n">
        <v>45938</v>
      </c>
      <c r="D765" t="inlineStr">
        <is>
          <t>STOCKHOLMS LÄN</t>
        </is>
      </c>
      <c r="E765" t="inlineStr">
        <is>
          <t>NORRTÄLJE</t>
        </is>
      </c>
      <c r="G765" t="n">
        <v>13.3</v>
      </c>
      <c r="H765" t="n">
        <v>0</v>
      </c>
      <c r="I765" t="n">
        <v>0</v>
      </c>
      <c r="J765" t="n">
        <v>0</v>
      </c>
      <c r="K765" t="n">
        <v>0</v>
      </c>
      <c r="L765" t="n">
        <v>0</v>
      </c>
      <c r="M765" t="n">
        <v>0</v>
      </c>
      <c r="N765" t="n">
        <v>0</v>
      </c>
      <c r="O765" t="n">
        <v>0</v>
      </c>
      <c r="P765" t="n">
        <v>0</v>
      </c>
      <c r="Q765" t="n">
        <v>0</v>
      </c>
      <c r="R765" s="2" t="inlineStr"/>
    </row>
    <row r="766" ht="15" customHeight="1">
      <c r="A766" t="inlineStr">
        <is>
          <t>A 45746-2024</t>
        </is>
      </c>
      <c r="B766" s="1" t="n">
        <v>45579</v>
      </c>
      <c r="C766" s="1" t="n">
        <v>45938</v>
      </c>
      <c r="D766" t="inlineStr">
        <is>
          <t>STOCKHOLMS LÄN</t>
        </is>
      </c>
      <c r="E766" t="inlineStr">
        <is>
          <t>NORRTÄLJE</t>
        </is>
      </c>
      <c r="G766" t="n">
        <v>3.3</v>
      </c>
      <c r="H766" t="n">
        <v>0</v>
      </c>
      <c r="I766" t="n">
        <v>0</v>
      </c>
      <c r="J766" t="n">
        <v>0</v>
      </c>
      <c r="K766" t="n">
        <v>0</v>
      </c>
      <c r="L766" t="n">
        <v>0</v>
      </c>
      <c r="M766" t="n">
        <v>0</v>
      </c>
      <c r="N766" t="n">
        <v>0</v>
      </c>
      <c r="O766" t="n">
        <v>0</v>
      </c>
      <c r="P766" t="n">
        <v>0</v>
      </c>
      <c r="Q766" t="n">
        <v>0</v>
      </c>
      <c r="R766" s="2" t="inlineStr"/>
    </row>
    <row r="767" ht="15" customHeight="1">
      <c r="A767" t="inlineStr">
        <is>
          <t>A 8400-2024</t>
        </is>
      </c>
      <c r="B767" s="1" t="n">
        <v>45352.74090277778</v>
      </c>
      <c r="C767" s="1" t="n">
        <v>45938</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45938</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48145-2024</t>
        </is>
      </c>
      <c r="B769" s="1" t="n">
        <v>45589.6756712963</v>
      </c>
      <c r="C769" s="1" t="n">
        <v>45938</v>
      </c>
      <c r="D769" t="inlineStr">
        <is>
          <t>STOCKHOLMS LÄN</t>
        </is>
      </c>
      <c r="E769" t="inlineStr">
        <is>
          <t>NORRTÄLJE</t>
        </is>
      </c>
      <c r="G769" t="n">
        <v>3.4</v>
      </c>
      <c r="H769" t="n">
        <v>0</v>
      </c>
      <c r="I769" t="n">
        <v>0</v>
      </c>
      <c r="J769" t="n">
        <v>0</v>
      </c>
      <c r="K769" t="n">
        <v>0</v>
      </c>
      <c r="L769" t="n">
        <v>0</v>
      </c>
      <c r="M769" t="n">
        <v>0</v>
      </c>
      <c r="N769" t="n">
        <v>0</v>
      </c>
      <c r="O769" t="n">
        <v>0</v>
      </c>
      <c r="P769" t="n">
        <v>0</v>
      </c>
      <c r="Q769" t="n">
        <v>0</v>
      </c>
      <c r="R769" s="2" t="inlineStr"/>
    </row>
    <row r="770" ht="15" customHeight="1">
      <c r="A770" t="inlineStr">
        <is>
          <t>A 23998-2024</t>
        </is>
      </c>
      <c r="B770" s="1" t="n">
        <v>45456</v>
      </c>
      <c r="C770" s="1" t="n">
        <v>45938</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15447-2023</t>
        </is>
      </c>
      <c r="B771" s="1" t="n">
        <v>45020</v>
      </c>
      <c r="C771" s="1" t="n">
        <v>45938</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6537-2024</t>
        </is>
      </c>
      <c r="B772" s="1" t="n">
        <v>45341.39853009259</v>
      </c>
      <c r="C772" s="1" t="n">
        <v>45938</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40175-2024</t>
        </is>
      </c>
      <c r="B773" s="1" t="n">
        <v>45554.55707175926</v>
      </c>
      <c r="C773" s="1" t="n">
        <v>45938</v>
      </c>
      <c r="D773" t="inlineStr">
        <is>
          <t>STOCKHOLMS LÄN</t>
        </is>
      </c>
      <c r="E773" t="inlineStr">
        <is>
          <t>NORRTÄLJE</t>
        </is>
      </c>
      <c r="G773" t="n">
        <v>7.7</v>
      </c>
      <c r="H773" t="n">
        <v>0</v>
      </c>
      <c r="I773" t="n">
        <v>0</v>
      </c>
      <c r="J773" t="n">
        <v>0</v>
      </c>
      <c r="K773" t="n">
        <v>0</v>
      </c>
      <c r="L773" t="n">
        <v>0</v>
      </c>
      <c r="M773" t="n">
        <v>0</v>
      </c>
      <c r="N773" t="n">
        <v>0</v>
      </c>
      <c r="O773" t="n">
        <v>0</v>
      </c>
      <c r="P773" t="n">
        <v>0</v>
      </c>
      <c r="Q773" t="n">
        <v>0</v>
      </c>
      <c r="R773" s="2" t="inlineStr"/>
    </row>
    <row r="774" ht="15" customHeight="1">
      <c r="A774" t="inlineStr">
        <is>
          <t>A 54558-2024</t>
        </is>
      </c>
      <c r="B774" s="1" t="n">
        <v>45617.62358796296</v>
      </c>
      <c r="C774" s="1" t="n">
        <v>45938</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23056-2023</t>
        </is>
      </c>
      <c r="B775" s="1" t="n">
        <v>45075</v>
      </c>
      <c r="C775" s="1" t="n">
        <v>45938</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67393-2020</t>
        </is>
      </c>
      <c r="B776" s="1" t="n">
        <v>44181</v>
      </c>
      <c r="C776" s="1" t="n">
        <v>45938</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45938</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23263-2023</t>
        </is>
      </c>
      <c r="B778" s="1" t="n">
        <v>45075</v>
      </c>
      <c r="C778" s="1" t="n">
        <v>45938</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23264-2023</t>
        </is>
      </c>
      <c r="B779" s="1" t="n">
        <v>45075</v>
      </c>
      <c r="C779" s="1" t="n">
        <v>45938</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23267-2023</t>
        </is>
      </c>
      <c r="B780" s="1" t="n">
        <v>45075.90934027778</v>
      </c>
      <c r="C780" s="1" t="n">
        <v>45938</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23269-2023</t>
        </is>
      </c>
      <c r="B781" s="1" t="n">
        <v>45075.91148148148</v>
      </c>
      <c r="C781" s="1" t="n">
        <v>45938</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19911-2025</t>
        </is>
      </c>
      <c r="B782" s="1" t="n">
        <v>45771</v>
      </c>
      <c r="C782" s="1" t="n">
        <v>45938</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5831-2022</t>
        </is>
      </c>
      <c r="B783" s="1" t="n">
        <v>44596</v>
      </c>
      <c r="C783" s="1" t="n">
        <v>45938</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5867-2022</t>
        </is>
      </c>
      <c r="B784" s="1" t="n">
        <v>44596.66335648148</v>
      </c>
      <c r="C784" s="1" t="n">
        <v>45938</v>
      </c>
      <c r="D784" t="inlineStr">
        <is>
          <t>STOCKHOLMS LÄN</t>
        </is>
      </c>
      <c r="E784" t="inlineStr">
        <is>
          <t>NORRTÄLJE</t>
        </is>
      </c>
      <c r="F784" t="inlineStr">
        <is>
          <t>Naturvårdsverket</t>
        </is>
      </c>
      <c r="G784" t="n">
        <v>1.6</v>
      </c>
      <c r="H784" t="n">
        <v>0</v>
      </c>
      <c r="I784" t="n">
        <v>0</v>
      </c>
      <c r="J784" t="n">
        <v>0</v>
      </c>
      <c r="K784" t="n">
        <v>0</v>
      </c>
      <c r="L784" t="n">
        <v>0</v>
      </c>
      <c r="M784" t="n">
        <v>0</v>
      </c>
      <c r="N784" t="n">
        <v>0</v>
      </c>
      <c r="O784" t="n">
        <v>0</v>
      </c>
      <c r="P784" t="n">
        <v>0</v>
      </c>
      <c r="Q784" t="n">
        <v>0</v>
      </c>
      <c r="R784" s="2" t="inlineStr"/>
    </row>
    <row r="785" ht="15" customHeight="1">
      <c r="A785" t="inlineStr">
        <is>
          <t>A 20244-2025</t>
        </is>
      </c>
      <c r="B785" s="1" t="n">
        <v>45772.71221064815</v>
      </c>
      <c r="C785" s="1" t="n">
        <v>45938</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48633-2023</t>
        </is>
      </c>
      <c r="B786" s="1" t="n">
        <v>45208.58004629629</v>
      </c>
      <c r="C786" s="1" t="n">
        <v>45938</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39669-2024</t>
        </is>
      </c>
      <c r="B787" s="1" t="n">
        <v>45552.52827546297</v>
      </c>
      <c r="C787" s="1" t="n">
        <v>45938</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43170-2023</t>
        </is>
      </c>
      <c r="B788" s="1" t="n">
        <v>45183</v>
      </c>
      <c r="C788" s="1" t="n">
        <v>45938</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9-2024</t>
        </is>
      </c>
      <c r="B789" s="1" t="n">
        <v>45293</v>
      </c>
      <c r="C789" s="1" t="n">
        <v>45938</v>
      </c>
      <c r="D789" t="inlineStr">
        <is>
          <t>STOCKHOLMS LÄN</t>
        </is>
      </c>
      <c r="E789" t="inlineStr">
        <is>
          <t>NORRTÄLJE</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22832-2021</t>
        </is>
      </c>
      <c r="B790" s="1" t="n">
        <v>44325</v>
      </c>
      <c r="C790" s="1" t="n">
        <v>45938</v>
      </c>
      <c r="D790" t="inlineStr">
        <is>
          <t>STOCKHOLMS LÄN</t>
        </is>
      </c>
      <c r="E790" t="inlineStr">
        <is>
          <t>NORRTÄLJE</t>
        </is>
      </c>
      <c r="G790" t="n">
        <v>6.8</v>
      </c>
      <c r="H790" t="n">
        <v>0</v>
      </c>
      <c r="I790" t="n">
        <v>0</v>
      </c>
      <c r="J790" t="n">
        <v>0</v>
      </c>
      <c r="K790" t="n">
        <v>0</v>
      </c>
      <c r="L790" t="n">
        <v>0</v>
      </c>
      <c r="M790" t="n">
        <v>0</v>
      </c>
      <c r="N790" t="n">
        <v>0</v>
      </c>
      <c r="O790" t="n">
        <v>0</v>
      </c>
      <c r="P790" t="n">
        <v>0</v>
      </c>
      <c r="Q790" t="n">
        <v>0</v>
      </c>
      <c r="R790" s="2" t="inlineStr"/>
    </row>
    <row r="791" ht="15" customHeight="1">
      <c r="A791" t="inlineStr">
        <is>
          <t>A 16913-2025</t>
        </is>
      </c>
      <c r="B791" s="1" t="n">
        <v>45755.36583333334</v>
      </c>
      <c r="C791" s="1" t="n">
        <v>45938</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4035-2023</t>
        </is>
      </c>
      <c r="B792" s="1" t="n">
        <v>44952.57989583333</v>
      </c>
      <c r="C792" s="1" t="n">
        <v>45938</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33793-2022</t>
        </is>
      </c>
      <c r="B793" s="1" t="n">
        <v>44790</v>
      </c>
      <c r="C793" s="1" t="n">
        <v>45938</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53600-2022</t>
        </is>
      </c>
      <c r="B794" s="1" t="n">
        <v>44879.70518518519</v>
      </c>
      <c r="C794" s="1" t="n">
        <v>45938</v>
      </c>
      <c r="D794" t="inlineStr">
        <is>
          <t>STOCKHOLMS LÄN</t>
        </is>
      </c>
      <c r="E794" t="inlineStr">
        <is>
          <t>NORRTÄLJE</t>
        </is>
      </c>
      <c r="G794" t="n">
        <v>4.3</v>
      </c>
      <c r="H794" t="n">
        <v>0</v>
      </c>
      <c r="I794" t="n">
        <v>0</v>
      </c>
      <c r="J794" t="n">
        <v>0</v>
      </c>
      <c r="K794" t="n">
        <v>0</v>
      </c>
      <c r="L794" t="n">
        <v>0</v>
      </c>
      <c r="M794" t="n">
        <v>0</v>
      </c>
      <c r="N794" t="n">
        <v>0</v>
      </c>
      <c r="O794" t="n">
        <v>0</v>
      </c>
      <c r="P794" t="n">
        <v>0</v>
      </c>
      <c r="Q794" t="n">
        <v>0</v>
      </c>
      <c r="R794" s="2" t="inlineStr"/>
    </row>
    <row r="795" ht="15" customHeight="1">
      <c r="A795" t="inlineStr">
        <is>
          <t>A 7697-2025</t>
        </is>
      </c>
      <c r="B795" s="1" t="n">
        <v>45706.40086805556</v>
      </c>
      <c r="C795" s="1" t="n">
        <v>45938</v>
      </c>
      <c r="D795" t="inlineStr">
        <is>
          <t>STOCKHOLMS LÄN</t>
        </is>
      </c>
      <c r="E795" t="inlineStr">
        <is>
          <t>NORRTÄLJE</t>
        </is>
      </c>
      <c r="F795" t="inlineStr">
        <is>
          <t>Holmen skog AB</t>
        </is>
      </c>
      <c r="G795" t="n">
        <v>1.8</v>
      </c>
      <c r="H795" t="n">
        <v>0</v>
      </c>
      <c r="I795" t="n">
        <v>0</v>
      </c>
      <c r="J795" t="n">
        <v>0</v>
      </c>
      <c r="K795" t="n">
        <v>0</v>
      </c>
      <c r="L795" t="n">
        <v>0</v>
      </c>
      <c r="M795" t="n">
        <v>0</v>
      </c>
      <c r="N795" t="n">
        <v>0</v>
      </c>
      <c r="O795" t="n">
        <v>0</v>
      </c>
      <c r="P795" t="n">
        <v>0</v>
      </c>
      <c r="Q795" t="n">
        <v>0</v>
      </c>
      <c r="R795" s="2" t="inlineStr"/>
    </row>
    <row r="796" ht="15" customHeight="1">
      <c r="A796" t="inlineStr">
        <is>
          <t>A 30221-2024</t>
        </is>
      </c>
      <c r="B796" s="1" t="n">
        <v>45490.45342592592</v>
      </c>
      <c r="C796" s="1" t="n">
        <v>45938</v>
      </c>
      <c r="D796" t="inlineStr">
        <is>
          <t>STOCKHOLMS LÄN</t>
        </is>
      </c>
      <c r="E796" t="inlineStr">
        <is>
          <t>NORRTÄLJE</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13-2024</t>
        </is>
      </c>
      <c r="B797" s="1" t="n">
        <v>45293.37263888889</v>
      </c>
      <c r="C797" s="1" t="n">
        <v>45938</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19-2024</t>
        </is>
      </c>
      <c r="B798" s="1" t="n">
        <v>45293</v>
      </c>
      <c r="C798" s="1" t="n">
        <v>45938</v>
      </c>
      <c r="D798" t="inlineStr">
        <is>
          <t>STOCKHOLMS LÄN</t>
        </is>
      </c>
      <c r="E798" t="inlineStr">
        <is>
          <t>NORRTÄLJE</t>
        </is>
      </c>
      <c r="G798" t="n">
        <v>0.3</v>
      </c>
      <c r="H798" t="n">
        <v>0</v>
      </c>
      <c r="I798" t="n">
        <v>0</v>
      </c>
      <c r="J798" t="n">
        <v>0</v>
      </c>
      <c r="K798" t="n">
        <v>0</v>
      </c>
      <c r="L798" t="n">
        <v>0</v>
      </c>
      <c r="M798" t="n">
        <v>0</v>
      </c>
      <c r="N798" t="n">
        <v>0</v>
      </c>
      <c r="O798" t="n">
        <v>0</v>
      </c>
      <c r="P798" t="n">
        <v>0</v>
      </c>
      <c r="Q798" t="n">
        <v>0</v>
      </c>
      <c r="R798" s="2" t="inlineStr"/>
    </row>
    <row r="799" ht="15" customHeight="1">
      <c r="A799" t="inlineStr">
        <is>
          <t>A 31559-2022</t>
        </is>
      </c>
      <c r="B799" s="1" t="n">
        <v>44775</v>
      </c>
      <c r="C799" s="1" t="n">
        <v>45938</v>
      </c>
      <c r="D799" t="inlineStr">
        <is>
          <t>STOCKHOLMS LÄN</t>
        </is>
      </c>
      <c r="E799" t="inlineStr">
        <is>
          <t>NORRTÄLJE</t>
        </is>
      </c>
      <c r="G799" t="n">
        <v>5.6</v>
      </c>
      <c r="H799" t="n">
        <v>0</v>
      </c>
      <c r="I799" t="n">
        <v>0</v>
      </c>
      <c r="J799" t="n">
        <v>0</v>
      </c>
      <c r="K799" t="n">
        <v>0</v>
      </c>
      <c r="L799" t="n">
        <v>0</v>
      </c>
      <c r="M799" t="n">
        <v>0</v>
      </c>
      <c r="N799" t="n">
        <v>0</v>
      </c>
      <c r="O799" t="n">
        <v>0</v>
      </c>
      <c r="P799" t="n">
        <v>0</v>
      </c>
      <c r="Q799" t="n">
        <v>0</v>
      </c>
      <c r="R799" s="2" t="inlineStr"/>
    </row>
    <row r="800" ht="15" customHeight="1">
      <c r="A800" t="inlineStr">
        <is>
          <t>A 8419-2025</t>
        </is>
      </c>
      <c r="B800" s="1" t="n">
        <v>45709.40231481481</v>
      </c>
      <c r="C800" s="1" t="n">
        <v>45938</v>
      </c>
      <c r="D800" t="inlineStr">
        <is>
          <t>STOCKHOLMS LÄN</t>
        </is>
      </c>
      <c r="E800" t="inlineStr">
        <is>
          <t>NORRTÄLJE</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66662-2020</t>
        </is>
      </c>
      <c r="B801" s="1" t="n">
        <v>44179</v>
      </c>
      <c r="C801" s="1" t="n">
        <v>45938</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35161-2022</t>
        </is>
      </c>
      <c r="B802" s="1" t="n">
        <v>44797</v>
      </c>
      <c r="C802" s="1" t="n">
        <v>45938</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62998-2023</t>
        </is>
      </c>
      <c r="B803" s="1" t="n">
        <v>45272.64479166667</v>
      </c>
      <c r="C803" s="1" t="n">
        <v>45938</v>
      </c>
      <c r="D803" t="inlineStr">
        <is>
          <t>STOCKHOLMS LÄN</t>
        </is>
      </c>
      <c r="E803" t="inlineStr">
        <is>
          <t>NORRTÄLJE</t>
        </is>
      </c>
      <c r="G803" t="n">
        <v>16.3</v>
      </c>
      <c r="H803" t="n">
        <v>0</v>
      </c>
      <c r="I803" t="n">
        <v>0</v>
      </c>
      <c r="J803" t="n">
        <v>0</v>
      </c>
      <c r="K803" t="n">
        <v>0</v>
      </c>
      <c r="L803" t="n">
        <v>0</v>
      </c>
      <c r="M803" t="n">
        <v>0</v>
      </c>
      <c r="N803" t="n">
        <v>0</v>
      </c>
      <c r="O803" t="n">
        <v>0</v>
      </c>
      <c r="P803" t="n">
        <v>0</v>
      </c>
      <c r="Q803" t="n">
        <v>0</v>
      </c>
      <c r="R803" s="2" t="inlineStr"/>
    </row>
    <row r="804" ht="15" customHeight="1">
      <c r="A804" t="inlineStr">
        <is>
          <t>A 63015-2023</t>
        </is>
      </c>
      <c r="B804" s="1" t="n">
        <v>45272</v>
      </c>
      <c r="C804" s="1" t="n">
        <v>45938</v>
      </c>
      <c r="D804" t="inlineStr">
        <is>
          <t>STOCKHOLMS LÄN</t>
        </is>
      </c>
      <c r="E804" t="inlineStr">
        <is>
          <t>NORRTÄLJE</t>
        </is>
      </c>
      <c r="G804" t="n">
        <v>13.1</v>
      </c>
      <c r="H804" t="n">
        <v>0</v>
      </c>
      <c r="I804" t="n">
        <v>0</v>
      </c>
      <c r="J804" t="n">
        <v>0</v>
      </c>
      <c r="K804" t="n">
        <v>0</v>
      </c>
      <c r="L804" t="n">
        <v>0</v>
      </c>
      <c r="M804" t="n">
        <v>0</v>
      </c>
      <c r="N804" t="n">
        <v>0</v>
      </c>
      <c r="O804" t="n">
        <v>0</v>
      </c>
      <c r="P804" t="n">
        <v>0</v>
      </c>
      <c r="Q804" t="n">
        <v>0</v>
      </c>
      <c r="R804" s="2" t="inlineStr"/>
    </row>
    <row r="805" ht="15" customHeight="1">
      <c r="A805" t="inlineStr">
        <is>
          <t>A 58989-2021</t>
        </is>
      </c>
      <c r="B805" s="1" t="n">
        <v>44490.02482638889</v>
      </c>
      <c r="C805" s="1" t="n">
        <v>45938</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27831-2024</t>
        </is>
      </c>
      <c r="B806" s="1" t="n">
        <v>45475.61896990741</v>
      </c>
      <c r="C806" s="1" t="n">
        <v>45938</v>
      </c>
      <c r="D806" t="inlineStr">
        <is>
          <t>STOCKHOLMS LÄN</t>
        </is>
      </c>
      <c r="E806" t="inlineStr">
        <is>
          <t>NORRTÄLJE</t>
        </is>
      </c>
      <c r="G806" t="n">
        <v>3.8</v>
      </c>
      <c r="H806" t="n">
        <v>0</v>
      </c>
      <c r="I806" t="n">
        <v>0</v>
      </c>
      <c r="J806" t="n">
        <v>0</v>
      </c>
      <c r="K806" t="n">
        <v>0</v>
      </c>
      <c r="L806" t="n">
        <v>0</v>
      </c>
      <c r="M806" t="n">
        <v>0</v>
      </c>
      <c r="N806" t="n">
        <v>0</v>
      </c>
      <c r="O806" t="n">
        <v>0</v>
      </c>
      <c r="P806" t="n">
        <v>0</v>
      </c>
      <c r="Q806" t="n">
        <v>0</v>
      </c>
      <c r="R806" s="2" t="inlineStr"/>
    </row>
    <row r="807" ht="15" customHeight="1">
      <c r="A807" t="inlineStr">
        <is>
          <t>A 46988-2024</t>
        </is>
      </c>
      <c r="B807" s="1" t="n">
        <v>45586</v>
      </c>
      <c r="C807" s="1" t="n">
        <v>45938</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21529-2021</t>
        </is>
      </c>
      <c r="B808" s="1" t="n">
        <v>44321</v>
      </c>
      <c r="C808" s="1" t="n">
        <v>45938</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13701-2022</t>
        </is>
      </c>
      <c r="B809" s="1" t="n">
        <v>44648</v>
      </c>
      <c r="C809" s="1" t="n">
        <v>45938</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33175-2024</t>
        </is>
      </c>
      <c r="B810" s="1" t="n">
        <v>45518</v>
      </c>
      <c r="C810" s="1" t="n">
        <v>45938</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44708.67822916667</v>
      </c>
      <c r="C811" s="1" t="n">
        <v>45938</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20730-2024</t>
        </is>
      </c>
      <c r="B812" s="1" t="n">
        <v>45436</v>
      </c>
      <c r="C812" s="1" t="n">
        <v>45938</v>
      </c>
      <c r="D812" t="inlineStr">
        <is>
          <t>STOCKHOLMS LÄN</t>
        </is>
      </c>
      <c r="E812" t="inlineStr">
        <is>
          <t>NORRTÄLJE</t>
        </is>
      </c>
      <c r="G812" t="n">
        <v>7.3</v>
      </c>
      <c r="H812" t="n">
        <v>0</v>
      </c>
      <c r="I812" t="n">
        <v>0</v>
      </c>
      <c r="J812" t="n">
        <v>0</v>
      </c>
      <c r="K812" t="n">
        <v>0</v>
      </c>
      <c r="L812" t="n">
        <v>0</v>
      </c>
      <c r="M812" t="n">
        <v>0</v>
      </c>
      <c r="N812" t="n">
        <v>0</v>
      </c>
      <c r="O812" t="n">
        <v>0</v>
      </c>
      <c r="P812" t="n">
        <v>0</v>
      </c>
      <c r="Q812" t="n">
        <v>0</v>
      </c>
      <c r="R812" s="2" t="inlineStr"/>
    </row>
    <row r="813" ht="15" customHeight="1">
      <c r="A813" t="inlineStr">
        <is>
          <t>A 12901-2024</t>
        </is>
      </c>
      <c r="B813" s="1" t="n">
        <v>45385.37922453704</v>
      </c>
      <c r="C813" s="1" t="n">
        <v>45938</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8950-2025</t>
        </is>
      </c>
      <c r="B814" s="1" t="n">
        <v>45713</v>
      </c>
      <c r="C814" s="1" t="n">
        <v>45938</v>
      </c>
      <c r="D814" t="inlineStr">
        <is>
          <t>STOCKHOLMS LÄN</t>
        </is>
      </c>
      <c r="E814" t="inlineStr">
        <is>
          <t>NORRTÄLJE</t>
        </is>
      </c>
      <c r="F814" t="inlineStr">
        <is>
          <t>Övriga Aktiebolag</t>
        </is>
      </c>
      <c r="G814" t="n">
        <v>3.6</v>
      </c>
      <c r="H814" t="n">
        <v>0</v>
      </c>
      <c r="I814" t="n">
        <v>0</v>
      </c>
      <c r="J814" t="n">
        <v>0</v>
      </c>
      <c r="K814" t="n">
        <v>0</v>
      </c>
      <c r="L814" t="n">
        <v>0</v>
      </c>
      <c r="M814" t="n">
        <v>0</v>
      </c>
      <c r="N814" t="n">
        <v>0</v>
      </c>
      <c r="O814" t="n">
        <v>0</v>
      </c>
      <c r="P814" t="n">
        <v>0</v>
      </c>
      <c r="Q814" t="n">
        <v>0</v>
      </c>
      <c r="R814" s="2" t="inlineStr"/>
    </row>
    <row r="815" ht="15" customHeight="1">
      <c r="A815" t="inlineStr">
        <is>
          <t>A 14132-2025</t>
        </is>
      </c>
      <c r="B815" s="1" t="n">
        <v>45740.47550925926</v>
      </c>
      <c r="C815" s="1" t="n">
        <v>45938</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14133-2025</t>
        </is>
      </c>
      <c r="B816" s="1" t="n">
        <v>45740.47724537037</v>
      </c>
      <c r="C816" s="1" t="n">
        <v>45938</v>
      </c>
      <c r="D816" t="inlineStr">
        <is>
          <t>STOCKHOLMS LÄN</t>
        </is>
      </c>
      <c r="E816" t="inlineStr">
        <is>
          <t>NORRTÄLJE</t>
        </is>
      </c>
      <c r="G816" t="n">
        <v>0.4</v>
      </c>
      <c r="H816" t="n">
        <v>0</v>
      </c>
      <c r="I816" t="n">
        <v>0</v>
      </c>
      <c r="J816" t="n">
        <v>0</v>
      </c>
      <c r="K816" t="n">
        <v>0</v>
      </c>
      <c r="L816" t="n">
        <v>0</v>
      </c>
      <c r="M816" t="n">
        <v>0</v>
      </c>
      <c r="N816" t="n">
        <v>0</v>
      </c>
      <c r="O816" t="n">
        <v>0</v>
      </c>
      <c r="P816" t="n">
        <v>0</v>
      </c>
      <c r="Q816" t="n">
        <v>0</v>
      </c>
      <c r="R816" s="2" t="inlineStr"/>
    </row>
    <row r="817" ht="15" customHeight="1">
      <c r="A817" t="inlineStr">
        <is>
          <t>A 8792-2025</t>
        </is>
      </c>
      <c r="B817" s="1" t="n">
        <v>45712</v>
      </c>
      <c r="C817" s="1" t="n">
        <v>45938</v>
      </c>
      <c r="D817" t="inlineStr">
        <is>
          <t>STOCKHOLMS LÄN</t>
        </is>
      </c>
      <c r="E817" t="inlineStr">
        <is>
          <t>NORRTÄLJE</t>
        </is>
      </c>
      <c r="F817" t="inlineStr">
        <is>
          <t>Övriga Aktiebolag</t>
        </is>
      </c>
      <c r="G817" t="n">
        <v>6.6</v>
      </c>
      <c r="H817" t="n">
        <v>0</v>
      </c>
      <c r="I817" t="n">
        <v>0</v>
      </c>
      <c r="J817" t="n">
        <v>0</v>
      </c>
      <c r="K817" t="n">
        <v>0</v>
      </c>
      <c r="L817" t="n">
        <v>0</v>
      </c>
      <c r="M817" t="n">
        <v>0</v>
      </c>
      <c r="N817" t="n">
        <v>0</v>
      </c>
      <c r="O817" t="n">
        <v>0</v>
      </c>
      <c r="P817" t="n">
        <v>0</v>
      </c>
      <c r="Q817" t="n">
        <v>0</v>
      </c>
      <c r="R817" s="2" t="inlineStr"/>
    </row>
    <row r="818" ht="15" customHeight="1">
      <c r="A818" t="inlineStr">
        <is>
          <t>A 12301-2025</t>
        </is>
      </c>
      <c r="B818" s="1" t="n">
        <v>45729.7271875</v>
      </c>
      <c r="C818" s="1" t="n">
        <v>45938</v>
      </c>
      <c r="D818" t="inlineStr">
        <is>
          <t>STOCKHOLMS LÄN</t>
        </is>
      </c>
      <c r="E818" t="inlineStr">
        <is>
          <t>NORRTÄLJE</t>
        </is>
      </c>
      <c r="G818" t="n">
        <v>3.2</v>
      </c>
      <c r="H818" t="n">
        <v>0</v>
      </c>
      <c r="I818" t="n">
        <v>0</v>
      </c>
      <c r="J818" t="n">
        <v>0</v>
      </c>
      <c r="K818" t="n">
        <v>0</v>
      </c>
      <c r="L818" t="n">
        <v>0</v>
      </c>
      <c r="M818" t="n">
        <v>0</v>
      </c>
      <c r="N818" t="n">
        <v>0</v>
      </c>
      <c r="O818" t="n">
        <v>0</v>
      </c>
      <c r="P818" t="n">
        <v>0</v>
      </c>
      <c r="Q818" t="n">
        <v>0</v>
      </c>
      <c r="R818" s="2" t="inlineStr"/>
    </row>
    <row r="819" ht="15" customHeight="1">
      <c r="A819" t="inlineStr">
        <is>
          <t>A 24887-2023</t>
        </is>
      </c>
      <c r="B819" s="1" t="n">
        <v>45085</v>
      </c>
      <c r="C819" s="1" t="n">
        <v>45938</v>
      </c>
      <c r="D819" t="inlineStr">
        <is>
          <t>STOCKHOLMS LÄN</t>
        </is>
      </c>
      <c r="E819" t="inlineStr">
        <is>
          <t>NORRTÄLJE</t>
        </is>
      </c>
      <c r="G819" t="n">
        <v>13.9</v>
      </c>
      <c r="H819" t="n">
        <v>0</v>
      </c>
      <c r="I819" t="n">
        <v>0</v>
      </c>
      <c r="J819" t="n">
        <v>0</v>
      </c>
      <c r="K819" t="n">
        <v>0</v>
      </c>
      <c r="L819" t="n">
        <v>0</v>
      </c>
      <c r="M819" t="n">
        <v>0</v>
      </c>
      <c r="N819" t="n">
        <v>0</v>
      </c>
      <c r="O819" t="n">
        <v>0</v>
      </c>
      <c r="P819" t="n">
        <v>0</v>
      </c>
      <c r="Q819" t="n">
        <v>0</v>
      </c>
      <c r="R819" s="2" t="inlineStr"/>
    </row>
    <row r="820" ht="15" customHeight="1">
      <c r="A820" t="inlineStr">
        <is>
          <t>A 24351-2025</t>
        </is>
      </c>
      <c r="B820" s="1" t="n">
        <v>45797.58399305555</v>
      </c>
      <c r="C820" s="1" t="n">
        <v>45938</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13283-2025</t>
        </is>
      </c>
      <c r="B821" s="1" t="n">
        <v>45735</v>
      </c>
      <c r="C821" s="1" t="n">
        <v>45938</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38612-2022</t>
        </is>
      </c>
      <c r="B822" s="1" t="n">
        <v>44813</v>
      </c>
      <c r="C822" s="1" t="n">
        <v>45938</v>
      </c>
      <c r="D822" t="inlineStr">
        <is>
          <t>STOCKHOLMS LÄN</t>
        </is>
      </c>
      <c r="E822" t="inlineStr">
        <is>
          <t>NORRTÄLJE</t>
        </is>
      </c>
      <c r="G822" t="n">
        <v>1.7</v>
      </c>
      <c r="H822" t="n">
        <v>0</v>
      </c>
      <c r="I822" t="n">
        <v>0</v>
      </c>
      <c r="J822" t="n">
        <v>0</v>
      </c>
      <c r="K822" t="n">
        <v>0</v>
      </c>
      <c r="L822" t="n">
        <v>0</v>
      </c>
      <c r="M822" t="n">
        <v>0</v>
      </c>
      <c r="N822" t="n">
        <v>0</v>
      </c>
      <c r="O822" t="n">
        <v>0</v>
      </c>
      <c r="P822" t="n">
        <v>0</v>
      </c>
      <c r="Q822" t="n">
        <v>0</v>
      </c>
      <c r="R822" s="2" t="inlineStr"/>
    </row>
    <row r="823" ht="15" customHeight="1">
      <c r="A823" t="inlineStr">
        <is>
          <t>A 4326-2023</t>
        </is>
      </c>
      <c r="B823" s="1" t="n">
        <v>44953.70481481482</v>
      </c>
      <c r="C823" s="1" t="n">
        <v>45938</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54504-2024</t>
        </is>
      </c>
      <c r="B824" s="1" t="n">
        <v>45617.58453703704</v>
      </c>
      <c r="C824" s="1" t="n">
        <v>45938</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24687-2025</t>
        </is>
      </c>
      <c r="B825" s="1" t="n">
        <v>45798.66767361111</v>
      </c>
      <c r="C825" s="1" t="n">
        <v>45938</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21745-2023</t>
        </is>
      </c>
      <c r="B826" s="1" t="n">
        <v>45065.55917824074</v>
      </c>
      <c r="C826" s="1" t="n">
        <v>45938</v>
      </c>
      <c r="D826" t="inlineStr">
        <is>
          <t>STOCKHOLMS LÄN</t>
        </is>
      </c>
      <c r="E826" t="inlineStr">
        <is>
          <t>NORRTÄLJE</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24638-2025</t>
        </is>
      </c>
      <c r="B827" s="1" t="n">
        <v>45798</v>
      </c>
      <c r="C827" s="1" t="n">
        <v>45938</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21894-2023</t>
        </is>
      </c>
      <c r="B828" s="1" t="n">
        <v>45068.51783564815</v>
      </c>
      <c r="C828" s="1" t="n">
        <v>45938</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13276-2022</t>
        </is>
      </c>
      <c r="B829" s="1" t="n">
        <v>44644</v>
      </c>
      <c r="C829" s="1" t="n">
        <v>45938</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28603-2024</t>
        </is>
      </c>
      <c r="B830" s="1" t="n">
        <v>45478.42887731481</v>
      </c>
      <c r="C830" s="1" t="n">
        <v>45938</v>
      </c>
      <c r="D830" t="inlineStr">
        <is>
          <t>STOCKHOLMS LÄN</t>
        </is>
      </c>
      <c r="E830" t="inlineStr">
        <is>
          <t>NORRTÄLJE</t>
        </is>
      </c>
      <c r="G830" t="n">
        <v>5.6</v>
      </c>
      <c r="H830" t="n">
        <v>0</v>
      </c>
      <c r="I830" t="n">
        <v>0</v>
      </c>
      <c r="J830" t="n">
        <v>0</v>
      </c>
      <c r="K830" t="n">
        <v>0</v>
      </c>
      <c r="L830" t="n">
        <v>0</v>
      </c>
      <c r="M830" t="n">
        <v>0</v>
      </c>
      <c r="N830" t="n">
        <v>0</v>
      </c>
      <c r="O830" t="n">
        <v>0</v>
      </c>
      <c r="P830" t="n">
        <v>0</v>
      </c>
      <c r="Q830" t="n">
        <v>0</v>
      </c>
      <c r="R830" s="2" t="inlineStr"/>
    </row>
    <row r="831" ht="15" customHeight="1">
      <c r="A831" t="inlineStr">
        <is>
          <t>A 28182-2022</t>
        </is>
      </c>
      <c r="B831" s="1" t="n">
        <v>44746.58530092592</v>
      </c>
      <c r="C831" s="1" t="n">
        <v>45938</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34461-2023</t>
        </is>
      </c>
      <c r="B832" s="1" t="n">
        <v>45139</v>
      </c>
      <c r="C832" s="1" t="n">
        <v>45938</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24690-2025</t>
        </is>
      </c>
      <c r="B833" s="1" t="n">
        <v>45798.67082175926</v>
      </c>
      <c r="C833" s="1" t="n">
        <v>45938</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33279-2025</t>
        </is>
      </c>
      <c r="B834" s="1" t="n">
        <v>45840.70885416667</v>
      </c>
      <c r="C834" s="1" t="n">
        <v>45938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47259-2024</t>
        </is>
      </c>
      <c r="B835" s="1" t="n">
        <v>45586</v>
      </c>
      <c r="C835" s="1" t="n">
        <v>45938</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51046-2023</t>
        </is>
      </c>
      <c r="B836" s="1" t="n">
        <v>45218</v>
      </c>
      <c r="C836" s="1" t="n">
        <v>45938</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25702-2025</t>
        </is>
      </c>
      <c r="B837" s="1" t="n">
        <v>45800</v>
      </c>
      <c r="C837" s="1" t="n">
        <v>45938</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25712-2025</t>
        </is>
      </c>
      <c r="B838" s="1" t="n">
        <v>45803.69228009259</v>
      </c>
      <c r="C838" s="1" t="n">
        <v>45938</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25725-2025</t>
        </is>
      </c>
      <c r="B839" s="1" t="n">
        <v>45800</v>
      </c>
      <c r="C839" s="1" t="n">
        <v>45938</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25733-2025</t>
        </is>
      </c>
      <c r="B840" s="1" t="n">
        <v>45800</v>
      </c>
      <c r="C840" s="1" t="n">
        <v>45938</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39238-2024</t>
        </is>
      </c>
      <c r="B841" s="1" t="n">
        <v>45549</v>
      </c>
      <c r="C841" s="1" t="n">
        <v>45938</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25571-2025</t>
        </is>
      </c>
      <c r="B842" s="1" t="n">
        <v>45803.4675</v>
      </c>
      <c r="C842" s="1" t="n">
        <v>45938</v>
      </c>
      <c r="D842" t="inlineStr">
        <is>
          <t>STOCKHOLMS LÄN</t>
        </is>
      </c>
      <c r="E842" t="inlineStr">
        <is>
          <t>NORRTÄLJE</t>
        </is>
      </c>
      <c r="G842" t="n">
        <v>5.4</v>
      </c>
      <c r="H842" t="n">
        <v>0</v>
      </c>
      <c r="I842" t="n">
        <v>0</v>
      </c>
      <c r="J842" t="n">
        <v>0</v>
      </c>
      <c r="K842" t="n">
        <v>0</v>
      </c>
      <c r="L842" t="n">
        <v>0</v>
      </c>
      <c r="M842" t="n">
        <v>0</v>
      </c>
      <c r="N842" t="n">
        <v>0</v>
      </c>
      <c r="O842" t="n">
        <v>0</v>
      </c>
      <c r="P842" t="n">
        <v>0</v>
      </c>
      <c r="Q842" t="n">
        <v>0</v>
      </c>
      <c r="R842" s="2" t="inlineStr"/>
    </row>
    <row r="843" ht="15" customHeight="1">
      <c r="A843" t="inlineStr">
        <is>
          <t>A 25721-2025</t>
        </is>
      </c>
      <c r="B843" s="1" t="n">
        <v>45800</v>
      </c>
      <c r="C843" s="1" t="n">
        <v>45938</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63824-2020</t>
        </is>
      </c>
      <c r="B844" s="1" t="n">
        <v>44162</v>
      </c>
      <c r="C844" s="1" t="n">
        <v>45938</v>
      </c>
      <c r="D844" t="inlineStr">
        <is>
          <t>STOCKHOLMS LÄN</t>
        </is>
      </c>
      <c r="E844" t="inlineStr">
        <is>
          <t>NORRTÄLJE</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17382-2024</t>
        </is>
      </c>
      <c r="B845" s="1" t="n">
        <v>45414.65855324074</v>
      </c>
      <c r="C845" s="1" t="n">
        <v>45938</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25697-2025</t>
        </is>
      </c>
      <c r="B846" s="1" t="n">
        <v>45803.66587962963</v>
      </c>
      <c r="C846" s="1" t="n">
        <v>45938</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41218-2024</t>
        </is>
      </c>
      <c r="B847" s="1" t="n">
        <v>45559.54706018518</v>
      </c>
      <c r="C847" s="1" t="n">
        <v>45938</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6070-2022</t>
        </is>
      </c>
      <c r="B848" s="1" t="n">
        <v>44599.58428240741</v>
      </c>
      <c r="C848" s="1" t="n">
        <v>45938</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17039-2024</t>
        </is>
      </c>
      <c r="B849" s="1" t="n">
        <v>45412.4104050926</v>
      </c>
      <c r="C849" s="1" t="n">
        <v>45938</v>
      </c>
      <c r="D849" t="inlineStr">
        <is>
          <t>STOCKHOLMS LÄN</t>
        </is>
      </c>
      <c r="E849" t="inlineStr">
        <is>
          <t>NORRTÄLJE</t>
        </is>
      </c>
      <c r="G849" t="n">
        <v>5.9</v>
      </c>
      <c r="H849" t="n">
        <v>0</v>
      </c>
      <c r="I849" t="n">
        <v>0</v>
      </c>
      <c r="J849" t="n">
        <v>0</v>
      </c>
      <c r="K849" t="n">
        <v>0</v>
      </c>
      <c r="L849" t="n">
        <v>0</v>
      </c>
      <c r="M849" t="n">
        <v>0</v>
      </c>
      <c r="N849" t="n">
        <v>0</v>
      </c>
      <c r="O849" t="n">
        <v>0</v>
      </c>
      <c r="P849" t="n">
        <v>0</v>
      </c>
      <c r="Q849" t="n">
        <v>0</v>
      </c>
      <c r="R849" s="2" t="inlineStr"/>
    </row>
    <row r="850" ht="15" customHeight="1">
      <c r="A850" t="inlineStr">
        <is>
          <t>A 25709-2025</t>
        </is>
      </c>
      <c r="B850" s="1" t="n">
        <v>45800</v>
      </c>
      <c r="C850" s="1" t="n">
        <v>45938</v>
      </c>
      <c r="D850" t="inlineStr">
        <is>
          <t>STOCKHOLMS LÄN</t>
        </is>
      </c>
      <c r="E850" t="inlineStr">
        <is>
          <t>NORRTÄLJE</t>
        </is>
      </c>
      <c r="G850" t="n">
        <v>4.6</v>
      </c>
      <c r="H850" t="n">
        <v>0</v>
      </c>
      <c r="I850" t="n">
        <v>0</v>
      </c>
      <c r="J850" t="n">
        <v>0</v>
      </c>
      <c r="K850" t="n">
        <v>0</v>
      </c>
      <c r="L850" t="n">
        <v>0</v>
      </c>
      <c r="M850" t="n">
        <v>0</v>
      </c>
      <c r="N850" t="n">
        <v>0</v>
      </c>
      <c r="O850" t="n">
        <v>0</v>
      </c>
      <c r="P850" t="n">
        <v>0</v>
      </c>
      <c r="Q850" t="n">
        <v>0</v>
      </c>
      <c r="R850" s="2" t="inlineStr"/>
    </row>
    <row r="851" ht="15" customHeight="1">
      <c r="A851" t="inlineStr">
        <is>
          <t>A 48180-2023</t>
        </is>
      </c>
      <c r="B851" s="1" t="n">
        <v>45205</v>
      </c>
      <c r="C851" s="1" t="n">
        <v>45938</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35695-2023</t>
        </is>
      </c>
      <c r="B852" s="1" t="n">
        <v>45147.65407407407</v>
      </c>
      <c r="C852" s="1" t="n">
        <v>45938</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45173-2023</t>
        </is>
      </c>
      <c r="B853" s="1" t="n">
        <v>45191</v>
      </c>
      <c r="C853" s="1" t="n">
        <v>45938</v>
      </c>
      <c r="D853" t="inlineStr">
        <is>
          <t>STOCKHOLMS LÄN</t>
        </is>
      </c>
      <c r="E853" t="inlineStr">
        <is>
          <t>NORRTÄLJE</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25270-2025</t>
        </is>
      </c>
      <c r="B854" s="1" t="n">
        <v>45800</v>
      </c>
      <c r="C854" s="1" t="n">
        <v>45938</v>
      </c>
      <c r="D854" t="inlineStr">
        <is>
          <t>STOCKHOLMS LÄN</t>
        </is>
      </c>
      <c r="E854" t="inlineStr">
        <is>
          <t>NORRTÄLJE</t>
        </is>
      </c>
      <c r="F854" t="inlineStr">
        <is>
          <t>Övriga Aktiebolag</t>
        </is>
      </c>
      <c r="G854" t="n">
        <v>30</v>
      </c>
      <c r="H854" t="n">
        <v>0</v>
      </c>
      <c r="I854" t="n">
        <v>0</v>
      </c>
      <c r="J854" t="n">
        <v>0</v>
      </c>
      <c r="K854" t="n">
        <v>0</v>
      </c>
      <c r="L854" t="n">
        <v>0</v>
      </c>
      <c r="M854" t="n">
        <v>0</v>
      </c>
      <c r="N854" t="n">
        <v>0</v>
      </c>
      <c r="O854" t="n">
        <v>0</v>
      </c>
      <c r="P854" t="n">
        <v>0</v>
      </c>
      <c r="Q854" t="n">
        <v>0</v>
      </c>
      <c r="R854" s="2" t="inlineStr"/>
    </row>
    <row r="855" ht="15" customHeight="1">
      <c r="A855" t="inlineStr">
        <is>
          <t>A 38449-2022</t>
        </is>
      </c>
      <c r="B855" s="1" t="n">
        <v>44813</v>
      </c>
      <c r="C855" s="1" t="n">
        <v>45938</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45847.37414351852</v>
      </c>
      <c r="C856" s="1" t="n">
        <v>45938</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53561-2023</t>
        </is>
      </c>
      <c r="B857" s="1" t="n">
        <v>45224</v>
      </c>
      <c r="C857" s="1" t="n">
        <v>45938</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24705-2023</t>
        </is>
      </c>
      <c r="B858" s="1" t="n">
        <v>45084.54459490741</v>
      </c>
      <c r="C858" s="1" t="n">
        <v>45938</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21696-2024</t>
        </is>
      </c>
      <c r="B859" s="1" t="n">
        <v>45442.45686342593</v>
      </c>
      <c r="C859" s="1" t="n">
        <v>45938</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26051-2025</t>
        </is>
      </c>
      <c r="B860" s="1" t="n">
        <v>45804.74479166666</v>
      </c>
      <c r="C860" s="1" t="n">
        <v>45938</v>
      </c>
      <c r="D860" t="inlineStr">
        <is>
          <t>STOCKHOLMS LÄN</t>
        </is>
      </c>
      <c r="E860" t="inlineStr">
        <is>
          <t>NORRTÄLJE</t>
        </is>
      </c>
      <c r="G860" t="n">
        <v>3.2</v>
      </c>
      <c r="H860" t="n">
        <v>0</v>
      </c>
      <c r="I860" t="n">
        <v>0</v>
      </c>
      <c r="J860" t="n">
        <v>0</v>
      </c>
      <c r="K860" t="n">
        <v>0</v>
      </c>
      <c r="L860" t="n">
        <v>0</v>
      </c>
      <c r="M860" t="n">
        <v>0</v>
      </c>
      <c r="N860" t="n">
        <v>0</v>
      </c>
      <c r="O860" t="n">
        <v>0</v>
      </c>
      <c r="P860" t="n">
        <v>0</v>
      </c>
      <c r="Q860" t="n">
        <v>0</v>
      </c>
      <c r="R860" s="2" t="inlineStr"/>
    </row>
    <row r="861" ht="15" customHeight="1">
      <c r="A861" t="inlineStr">
        <is>
          <t>A 56166-2020</t>
        </is>
      </c>
      <c r="B861" s="1" t="n">
        <v>44133</v>
      </c>
      <c r="C861" s="1" t="n">
        <v>45938</v>
      </c>
      <c r="D861" t="inlineStr">
        <is>
          <t>STOCKHOLMS LÄN</t>
        </is>
      </c>
      <c r="E861" t="inlineStr">
        <is>
          <t>NORRTÄLJE</t>
        </is>
      </c>
      <c r="G861" t="n">
        <v>4.4</v>
      </c>
      <c r="H861" t="n">
        <v>0</v>
      </c>
      <c r="I861" t="n">
        <v>0</v>
      </c>
      <c r="J861" t="n">
        <v>0</v>
      </c>
      <c r="K861" t="n">
        <v>0</v>
      </c>
      <c r="L861" t="n">
        <v>0</v>
      </c>
      <c r="M861" t="n">
        <v>0</v>
      </c>
      <c r="N861" t="n">
        <v>0</v>
      </c>
      <c r="O861" t="n">
        <v>0</v>
      </c>
      <c r="P861" t="n">
        <v>0</v>
      </c>
      <c r="Q861" t="n">
        <v>0</v>
      </c>
      <c r="R861" s="2" t="inlineStr"/>
    </row>
    <row r="862" ht="15" customHeight="1">
      <c r="A862" t="inlineStr">
        <is>
          <t>A 67990-2021</t>
        </is>
      </c>
      <c r="B862" s="1" t="n">
        <v>44525</v>
      </c>
      <c r="C862" s="1" t="n">
        <v>45938</v>
      </c>
      <c r="D862" t="inlineStr">
        <is>
          <t>STOCKHOLMS LÄN</t>
        </is>
      </c>
      <c r="E862" t="inlineStr">
        <is>
          <t>NORRTÄLJE</t>
        </is>
      </c>
      <c r="F862" t="inlineStr">
        <is>
          <t>Sveaskog</t>
        </is>
      </c>
      <c r="G862" t="n">
        <v>7.8</v>
      </c>
      <c r="H862" t="n">
        <v>0</v>
      </c>
      <c r="I862" t="n">
        <v>0</v>
      </c>
      <c r="J862" t="n">
        <v>0</v>
      </c>
      <c r="K862" t="n">
        <v>0</v>
      </c>
      <c r="L862" t="n">
        <v>0</v>
      </c>
      <c r="M862" t="n">
        <v>0</v>
      </c>
      <c r="N862" t="n">
        <v>0</v>
      </c>
      <c r="O862" t="n">
        <v>0</v>
      </c>
      <c r="P862" t="n">
        <v>0</v>
      </c>
      <c r="Q862" t="n">
        <v>0</v>
      </c>
      <c r="R862" s="2" t="inlineStr"/>
    </row>
    <row r="863" ht="15" customHeight="1">
      <c r="A863" t="inlineStr">
        <is>
          <t>A 71552-2021</t>
        </is>
      </c>
      <c r="B863" s="1" t="n">
        <v>44540</v>
      </c>
      <c r="C863" s="1" t="n">
        <v>45938</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73992-2021</t>
        </is>
      </c>
      <c r="B864" s="1" t="n">
        <v>44556</v>
      </c>
      <c r="C864" s="1" t="n">
        <v>45938</v>
      </c>
      <c r="D864" t="inlineStr">
        <is>
          <t>STOCKHOLMS LÄN</t>
        </is>
      </c>
      <c r="E864" t="inlineStr">
        <is>
          <t>NORRTÄLJE</t>
        </is>
      </c>
      <c r="G864" t="n">
        <v>12.5</v>
      </c>
      <c r="H864" t="n">
        <v>0</v>
      </c>
      <c r="I864" t="n">
        <v>0</v>
      </c>
      <c r="J864" t="n">
        <v>0</v>
      </c>
      <c r="K864" t="n">
        <v>0</v>
      </c>
      <c r="L864" t="n">
        <v>0</v>
      </c>
      <c r="M864" t="n">
        <v>0</v>
      </c>
      <c r="N864" t="n">
        <v>0</v>
      </c>
      <c r="O864" t="n">
        <v>0</v>
      </c>
      <c r="P864" t="n">
        <v>0</v>
      </c>
      <c r="Q864" t="n">
        <v>0</v>
      </c>
      <c r="R864" s="2" t="inlineStr"/>
    </row>
    <row r="865" ht="15" customHeight="1">
      <c r="A865" t="inlineStr">
        <is>
          <t>A 26113-2024</t>
        </is>
      </c>
      <c r="B865" s="1" t="n">
        <v>45468.45541666666</v>
      </c>
      <c r="C865" s="1" t="n">
        <v>45938</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26116-2024</t>
        </is>
      </c>
      <c r="B866" s="1" t="n">
        <v>45468.45747685185</v>
      </c>
      <c r="C866" s="1" t="n">
        <v>45938</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26708-2025</t>
        </is>
      </c>
      <c r="B867" s="1" t="n">
        <v>45810.45633101852</v>
      </c>
      <c r="C867" s="1" t="n">
        <v>45938</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15978-2024</t>
        </is>
      </c>
      <c r="B868" s="1" t="n">
        <v>45405.57927083333</v>
      </c>
      <c r="C868" s="1" t="n">
        <v>45938</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11333-2025</t>
        </is>
      </c>
      <c r="B869" s="1" t="n">
        <v>45726.48377314815</v>
      </c>
      <c r="C869" s="1" t="n">
        <v>45938</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26702-2025</t>
        </is>
      </c>
      <c r="B870" s="1" t="n">
        <v>45810.45236111111</v>
      </c>
      <c r="C870" s="1" t="n">
        <v>45938</v>
      </c>
      <c r="D870" t="inlineStr">
        <is>
          <t>STOCKHOLMS LÄN</t>
        </is>
      </c>
      <c r="E870" t="inlineStr">
        <is>
          <t>NORRTÄLJE</t>
        </is>
      </c>
      <c r="G870" t="n">
        <v>7.3</v>
      </c>
      <c r="H870" t="n">
        <v>0</v>
      </c>
      <c r="I870" t="n">
        <v>0</v>
      </c>
      <c r="J870" t="n">
        <v>0</v>
      </c>
      <c r="K870" t="n">
        <v>0</v>
      </c>
      <c r="L870" t="n">
        <v>0</v>
      </c>
      <c r="M870" t="n">
        <v>0</v>
      </c>
      <c r="N870" t="n">
        <v>0</v>
      </c>
      <c r="O870" t="n">
        <v>0</v>
      </c>
      <c r="P870" t="n">
        <v>0</v>
      </c>
      <c r="Q870" t="n">
        <v>0</v>
      </c>
      <c r="R870" s="2" t="inlineStr"/>
    </row>
    <row r="871" ht="15" customHeight="1">
      <c r="A871" t="inlineStr">
        <is>
          <t>A 34391-2023</t>
        </is>
      </c>
      <c r="B871" s="1" t="n">
        <v>45139.51457175926</v>
      </c>
      <c r="C871" s="1" t="n">
        <v>45938</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23061-2025</t>
        </is>
      </c>
      <c r="B872" s="1" t="n">
        <v>45790.81410879629</v>
      </c>
      <c r="C872" s="1" t="n">
        <v>45938</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27040-2025</t>
        </is>
      </c>
      <c r="B873" s="1" t="n">
        <v>45811.60451388889</v>
      </c>
      <c r="C873" s="1" t="n">
        <v>45938</v>
      </c>
      <c r="D873" t="inlineStr">
        <is>
          <t>STOCKHOLMS LÄN</t>
        </is>
      </c>
      <c r="E873" t="inlineStr">
        <is>
          <t>NORRTÄLJE</t>
        </is>
      </c>
      <c r="G873" t="n">
        <v>4.3</v>
      </c>
      <c r="H873" t="n">
        <v>0</v>
      </c>
      <c r="I873" t="n">
        <v>0</v>
      </c>
      <c r="J873" t="n">
        <v>0</v>
      </c>
      <c r="K873" t="n">
        <v>0</v>
      </c>
      <c r="L873" t="n">
        <v>0</v>
      </c>
      <c r="M873" t="n">
        <v>0</v>
      </c>
      <c r="N873" t="n">
        <v>0</v>
      </c>
      <c r="O873" t="n">
        <v>0</v>
      </c>
      <c r="P873" t="n">
        <v>0</v>
      </c>
      <c r="Q873" t="n">
        <v>0</v>
      </c>
      <c r="R873" s="2" t="inlineStr"/>
    </row>
    <row r="874" ht="15" customHeight="1">
      <c r="A874" t="inlineStr">
        <is>
          <t>A 26747-2025</t>
        </is>
      </c>
      <c r="B874" s="1" t="n">
        <v>45810.5333912037</v>
      </c>
      <c r="C874" s="1" t="n">
        <v>45938</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26675-2025</t>
        </is>
      </c>
      <c r="B875" s="1" t="n">
        <v>45810.42393518519</v>
      </c>
      <c r="C875" s="1" t="n">
        <v>45938</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67921-2021</t>
        </is>
      </c>
      <c r="B876" s="1" t="n">
        <v>44525</v>
      </c>
      <c r="C876" s="1" t="n">
        <v>45938</v>
      </c>
      <c r="D876" t="inlineStr">
        <is>
          <t>STOCKHOLMS LÄN</t>
        </is>
      </c>
      <c r="E876" t="inlineStr">
        <is>
          <t>NORRTÄLJE</t>
        </is>
      </c>
      <c r="G876" t="n">
        <v>6.3</v>
      </c>
      <c r="H876" t="n">
        <v>0</v>
      </c>
      <c r="I876" t="n">
        <v>0</v>
      </c>
      <c r="J876" t="n">
        <v>0</v>
      </c>
      <c r="K876" t="n">
        <v>0</v>
      </c>
      <c r="L876" t="n">
        <v>0</v>
      </c>
      <c r="M876" t="n">
        <v>0</v>
      </c>
      <c r="N876" t="n">
        <v>0</v>
      </c>
      <c r="O876" t="n">
        <v>0</v>
      </c>
      <c r="P876" t="n">
        <v>0</v>
      </c>
      <c r="Q876" t="n">
        <v>0</v>
      </c>
      <c r="R876" s="2" t="inlineStr"/>
    </row>
    <row r="877" ht="15" customHeight="1">
      <c r="A877" t="inlineStr">
        <is>
          <t>A 27554-2025</t>
        </is>
      </c>
      <c r="B877" s="1" t="n">
        <v>45813.4709375</v>
      </c>
      <c r="C877" s="1" t="n">
        <v>45938</v>
      </c>
      <c r="D877" t="inlineStr">
        <is>
          <t>STOCKHOLMS LÄN</t>
        </is>
      </c>
      <c r="E877" t="inlineStr">
        <is>
          <t>NORRTÄLJE</t>
        </is>
      </c>
      <c r="F877" t="inlineStr">
        <is>
          <t>Övriga Aktiebolag</t>
        </is>
      </c>
      <c r="G877" t="n">
        <v>2.5</v>
      </c>
      <c r="H877" t="n">
        <v>0</v>
      </c>
      <c r="I877" t="n">
        <v>0</v>
      </c>
      <c r="J877" t="n">
        <v>0</v>
      </c>
      <c r="K877" t="n">
        <v>0</v>
      </c>
      <c r="L877" t="n">
        <v>0</v>
      </c>
      <c r="M877" t="n">
        <v>0</v>
      </c>
      <c r="N877" t="n">
        <v>0</v>
      </c>
      <c r="O877" t="n">
        <v>0</v>
      </c>
      <c r="P877" t="n">
        <v>0</v>
      </c>
      <c r="Q877" t="n">
        <v>0</v>
      </c>
      <c r="R877" s="2" t="inlineStr"/>
    </row>
    <row r="878" ht="15" customHeight="1">
      <c r="A878" t="inlineStr">
        <is>
          <t>A 25681-2024</t>
        </is>
      </c>
      <c r="B878" s="1" t="n">
        <v>45463.80486111111</v>
      </c>
      <c r="C878" s="1" t="n">
        <v>45938</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27700-2025</t>
        </is>
      </c>
      <c r="B879" s="1" t="n">
        <v>45813.6799537037</v>
      </c>
      <c r="C879" s="1" t="n">
        <v>45938</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57987-2020</t>
        </is>
      </c>
      <c r="B880" s="1" t="n">
        <v>44143</v>
      </c>
      <c r="C880" s="1" t="n">
        <v>45938</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58853-2024</t>
        </is>
      </c>
      <c r="B881" s="1" t="n">
        <v>45636.38974537037</v>
      </c>
      <c r="C881" s="1" t="n">
        <v>45938</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27697-2025</t>
        </is>
      </c>
      <c r="B882" s="1" t="n">
        <v>45813.66961805556</v>
      </c>
      <c r="C882" s="1" t="n">
        <v>45938</v>
      </c>
      <c r="D882" t="inlineStr">
        <is>
          <t>STOCKHOLMS LÄN</t>
        </is>
      </c>
      <c r="E882" t="inlineStr">
        <is>
          <t>NORRTÄLJE</t>
        </is>
      </c>
      <c r="G882" t="n">
        <v>6.2</v>
      </c>
      <c r="H882" t="n">
        <v>0</v>
      </c>
      <c r="I882" t="n">
        <v>0</v>
      </c>
      <c r="J882" t="n">
        <v>0</v>
      </c>
      <c r="K882" t="n">
        <v>0</v>
      </c>
      <c r="L882" t="n">
        <v>0</v>
      </c>
      <c r="M882" t="n">
        <v>0</v>
      </c>
      <c r="N882" t="n">
        <v>0</v>
      </c>
      <c r="O882" t="n">
        <v>0</v>
      </c>
      <c r="P882" t="n">
        <v>0</v>
      </c>
      <c r="Q882" t="n">
        <v>0</v>
      </c>
      <c r="R882" s="2" t="inlineStr"/>
    </row>
    <row r="883" ht="15" customHeight="1">
      <c r="A883" t="inlineStr">
        <is>
          <t>A 27802-2025</t>
        </is>
      </c>
      <c r="B883" s="1" t="n">
        <v>45817.2565625</v>
      </c>
      <c r="C883" s="1" t="n">
        <v>45938</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27806-2025</t>
        </is>
      </c>
      <c r="B884" s="1" t="n">
        <v>45817.30329861111</v>
      </c>
      <c r="C884" s="1" t="n">
        <v>45938</v>
      </c>
      <c r="D884" t="inlineStr">
        <is>
          <t>STOCKHOLMS LÄN</t>
        </is>
      </c>
      <c r="E884" t="inlineStr">
        <is>
          <t>NORRTÄLJE</t>
        </is>
      </c>
      <c r="G884" t="n">
        <v>3</v>
      </c>
      <c r="H884" t="n">
        <v>0</v>
      </c>
      <c r="I884" t="n">
        <v>0</v>
      </c>
      <c r="J884" t="n">
        <v>0</v>
      </c>
      <c r="K884" t="n">
        <v>0</v>
      </c>
      <c r="L884" t="n">
        <v>0</v>
      </c>
      <c r="M884" t="n">
        <v>0</v>
      </c>
      <c r="N884" t="n">
        <v>0</v>
      </c>
      <c r="O884" t="n">
        <v>0</v>
      </c>
      <c r="P884" t="n">
        <v>0</v>
      </c>
      <c r="Q884" t="n">
        <v>0</v>
      </c>
      <c r="R884" s="2" t="inlineStr"/>
    </row>
    <row r="885" ht="15" customHeight="1">
      <c r="A885" t="inlineStr">
        <is>
          <t>A 27808-2025</t>
        </is>
      </c>
      <c r="B885" s="1" t="n">
        <v>45817.31085648148</v>
      </c>
      <c r="C885" s="1" t="n">
        <v>45938</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27810-2025</t>
        </is>
      </c>
      <c r="B886" s="1" t="n">
        <v>45817.31708333334</v>
      </c>
      <c r="C886" s="1" t="n">
        <v>45938</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27811-2025</t>
        </is>
      </c>
      <c r="B887" s="1" t="n">
        <v>45817.31986111111</v>
      </c>
      <c r="C887" s="1" t="n">
        <v>45938</v>
      </c>
      <c r="D887" t="inlineStr">
        <is>
          <t>STOCKHOLMS LÄN</t>
        </is>
      </c>
      <c r="E887" t="inlineStr">
        <is>
          <t>NORRTÄLJE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27818-2025</t>
        </is>
      </c>
      <c r="B888" s="1" t="n">
        <v>45817.33503472222</v>
      </c>
      <c r="C888" s="1" t="n">
        <v>45938</v>
      </c>
      <c r="D888" t="inlineStr">
        <is>
          <t>STOCKHOLMS LÄN</t>
        </is>
      </c>
      <c r="E888" t="inlineStr">
        <is>
          <t>NORRTÄLJE</t>
        </is>
      </c>
      <c r="F888" t="inlineStr">
        <is>
          <t>Sveaskog</t>
        </is>
      </c>
      <c r="G888" t="n">
        <v>0.3</v>
      </c>
      <c r="H888" t="n">
        <v>0</v>
      </c>
      <c r="I888" t="n">
        <v>0</v>
      </c>
      <c r="J888" t="n">
        <v>0</v>
      </c>
      <c r="K888" t="n">
        <v>0</v>
      </c>
      <c r="L888" t="n">
        <v>0</v>
      </c>
      <c r="M888" t="n">
        <v>0</v>
      </c>
      <c r="N888" t="n">
        <v>0</v>
      </c>
      <c r="O888" t="n">
        <v>0</v>
      </c>
      <c r="P888" t="n">
        <v>0</v>
      </c>
      <c r="Q888" t="n">
        <v>0</v>
      </c>
      <c r="R888" s="2" t="inlineStr"/>
    </row>
    <row r="889" ht="15" customHeight="1">
      <c r="A889" t="inlineStr">
        <is>
          <t>A 35438-2023</t>
        </is>
      </c>
      <c r="B889" s="1" t="n">
        <v>45146</v>
      </c>
      <c r="C889" s="1" t="n">
        <v>45938</v>
      </c>
      <c r="D889" t="inlineStr">
        <is>
          <t>STOCKHOLMS LÄN</t>
        </is>
      </c>
      <c r="E889" t="inlineStr">
        <is>
          <t>NORRTÄLJE</t>
        </is>
      </c>
      <c r="F889" t="inlineStr">
        <is>
          <t>Kommuner</t>
        </is>
      </c>
      <c r="G889" t="n">
        <v>1.9</v>
      </c>
      <c r="H889" t="n">
        <v>0</v>
      </c>
      <c r="I889" t="n">
        <v>0</v>
      </c>
      <c r="J889" t="n">
        <v>0</v>
      </c>
      <c r="K889" t="n">
        <v>0</v>
      </c>
      <c r="L889" t="n">
        <v>0</v>
      </c>
      <c r="M889" t="n">
        <v>0</v>
      </c>
      <c r="N889" t="n">
        <v>0</v>
      </c>
      <c r="O889" t="n">
        <v>0</v>
      </c>
      <c r="P889" t="n">
        <v>0</v>
      </c>
      <c r="Q889" t="n">
        <v>0</v>
      </c>
      <c r="R889" s="2" t="inlineStr"/>
    </row>
    <row r="890" ht="15" customHeight="1">
      <c r="A890" t="inlineStr">
        <is>
          <t>A 27801-2025</t>
        </is>
      </c>
      <c r="B890" s="1" t="n">
        <v>45817.25471064815</v>
      </c>
      <c r="C890" s="1" t="n">
        <v>45938</v>
      </c>
      <c r="D890" t="inlineStr">
        <is>
          <t>STOCKHOLMS LÄN</t>
        </is>
      </c>
      <c r="E890" t="inlineStr">
        <is>
          <t>NORRTÄLJE</t>
        </is>
      </c>
      <c r="G890" t="n">
        <v>2</v>
      </c>
      <c r="H890" t="n">
        <v>0</v>
      </c>
      <c r="I890" t="n">
        <v>0</v>
      </c>
      <c r="J890" t="n">
        <v>0</v>
      </c>
      <c r="K890" t="n">
        <v>0</v>
      </c>
      <c r="L890" t="n">
        <v>0</v>
      </c>
      <c r="M890" t="n">
        <v>0</v>
      </c>
      <c r="N890" t="n">
        <v>0</v>
      </c>
      <c r="O890" t="n">
        <v>0</v>
      </c>
      <c r="P890" t="n">
        <v>0</v>
      </c>
      <c r="Q890" t="n">
        <v>0</v>
      </c>
      <c r="R890" s="2" t="inlineStr"/>
    </row>
    <row r="891" ht="15" customHeight="1">
      <c r="A891" t="inlineStr">
        <is>
          <t>A 20291-2022</t>
        </is>
      </c>
      <c r="B891" s="1" t="n">
        <v>44698</v>
      </c>
      <c r="C891" s="1" t="n">
        <v>45938</v>
      </c>
      <c r="D891" t="inlineStr">
        <is>
          <t>STOCKHOLMS LÄN</t>
        </is>
      </c>
      <c r="E891" t="inlineStr">
        <is>
          <t>NORRTÄLJE</t>
        </is>
      </c>
      <c r="F891" t="inlineStr">
        <is>
          <t>Naturvårdsverket</t>
        </is>
      </c>
      <c r="G891" t="n">
        <v>2</v>
      </c>
      <c r="H891" t="n">
        <v>0</v>
      </c>
      <c r="I891" t="n">
        <v>0</v>
      </c>
      <c r="J891" t="n">
        <v>0</v>
      </c>
      <c r="K891" t="n">
        <v>0</v>
      </c>
      <c r="L891" t="n">
        <v>0</v>
      </c>
      <c r="M891" t="n">
        <v>0</v>
      </c>
      <c r="N891" t="n">
        <v>0</v>
      </c>
      <c r="O891" t="n">
        <v>0</v>
      </c>
      <c r="P891" t="n">
        <v>0</v>
      </c>
      <c r="Q891" t="n">
        <v>0</v>
      </c>
      <c r="R891" s="2" t="inlineStr"/>
    </row>
    <row r="892" ht="15" customHeight="1">
      <c r="A892" t="inlineStr">
        <is>
          <t>A 26115-2024</t>
        </is>
      </c>
      <c r="B892" s="1" t="n">
        <v>45468.45628472222</v>
      </c>
      <c r="C892" s="1" t="n">
        <v>45938</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27803-2025</t>
        </is>
      </c>
      <c r="B893" s="1" t="n">
        <v>45817.291875</v>
      </c>
      <c r="C893" s="1" t="n">
        <v>45938</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27813-2025</t>
        </is>
      </c>
      <c r="B894" s="1" t="n">
        <v>45817.32538194444</v>
      </c>
      <c r="C894" s="1" t="n">
        <v>45938</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27821-2025</t>
        </is>
      </c>
      <c r="B895" s="1" t="n">
        <v>45817.34083333334</v>
      </c>
      <c r="C895" s="1" t="n">
        <v>45938</v>
      </c>
      <c r="D895" t="inlineStr">
        <is>
          <t>STOCKHOLMS LÄN</t>
        </is>
      </c>
      <c r="E895" t="inlineStr">
        <is>
          <t>NORRTÄLJE</t>
        </is>
      </c>
      <c r="G895" t="n">
        <v>3.2</v>
      </c>
      <c r="H895" t="n">
        <v>0</v>
      </c>
      <c r="I895" t="n">
        <v>0</v>
      </c>
      <c r="J895" t="n">
        <v>0</v>
      </c>
      <c r="K895" t="n">
        <v>0</v>
      </c>
      <c r="L895" t="n">
        <v>0</v>
      </c>
      <c r="M895" t="n">
        <v>0</v>
      </c>
      <c r="N895" t="n">
        <v>0</v>
      </c>
      <c r="O895" t="n">
        <v>0</v>
      </c>
      <c r="P895" t="n">
        <v>0</v>
      </c>
      <c r="Q895" t="n">
        <v>0</v>
      </c>
      <c r="R895" s="2" t="inlineStr"/>
    </row>
    <row r="896" ht="15" customHeight="1">
      <c r="A896" t="inlineStr">
        <is>
          <t>A 28816-2023</t>
        </is>
      </c>
      <c r="B896" s="1" t="n">
        <v>45104</v>
      </c>
      <c r="C896" s="1" t="n">
        <v>45938</v>
      </c>
      <c r="D896" t="inlineStr">
        <is>
          <t>STOCKHOLMS LÄN</t>
        </is>
      </c>
      <c r="E896" t="inlineStr">
        <is>
          <t>NORRTÄLJE</t>
        </is>
      </c>
      <c r="F896" t="inlineStr">
        <is>
          <t>Kommuner</t>
        </is>
      </c>
      <c r="G896" t="n">
        <v>0.5</v>
      </c>
      <c r="H896" t="n">
        <v>0</v>
      </c>
      <c r="I896" t="n">
        <v>0</v>
      </c>
      <c r="J896" t="n">
        <v>0</v>
      </c>
      <c r="K896" t="n">
        <v>0</v>
      </c>
      <c r="L896" t="n">
        <v>0</v>
      </c>
      <c r="M896" t="n">
        <v>0</v>
      </c>
      <c r="N896" t="n">
        <v>0</v>
      </c>
      <c r="O896" t="n">
        <v>0</v>
      </c>
      <c r="P896" t="n">
        <v>0</v>
      </c>
      <c r="Q896" t="n">
        <v>0</v>
      </c>
      <c r="R896" s="2" t="inlineStr"/>
    </row>
    <row r="897" ht="15" customHeight="1">
      <c r="A897" t="inlineStr">
        <is>
          <t>A 15528-2025</t>
        </is>
      </c>
      <c r="B897" s="1" t="n">
        <v>45747.63471064815</v>
      </c>
      <c r="C897" s="1" t="n">
        <v>45938</v>
      </c>
      <c r="D897" t="inlineStr">
        <is>
          <t>STOCKHOLMS LÄN</t>
        </is>
      </c>
      <c r="E897" t="inlineStr">
        <is>
          <t>NORRTÄLJE</t>
        </is>
      </c>
      <c r="G897" t="n">
        <v>10</v>
      </c>
      <c r="H897" t="n">
        <v>0</v>
      </c>
      <c r="I897" t="n">
        <v>0</v>
      </c>
      <c r="J897" t="n">
        <v>0</v>
      </c>
      <c r="K897" t="n">
        <v>0</v>
      </c>
      <c r="L897" t="n">
        <v>0</v>
      </c>
      <c r="M897" t="n">
        <v>0</v>
      </c>
      <c r="N897" t="n">
        <v>0</v>
      </c>
      <c r="O897" t="n">
        <v>0</v>
      </c>
      <c r="P897" t="n">
        <v>0</v>
      </c>
      <c r="Q897" t="n">
        <v>0</v>
      </c>
      <c r="R897" s="2" t="inlineStr"/>
    </row>
    <row r="898" ht="15" customHeight="1">
      <c r="A898" t="inlineStr">
        <is>
          <t>A 11901-2024</t>
        </is>
      </c>
      <c r="B898" s="1" t="n">
        <v>45376.55638888889</v>
      </c>
      <c r="C898" s="1" t="n">
        <v>45938</v>
      </c>
      <c r="D898" t="inlineStr">
        <is>
          <t>STOCKHOLMS LÄN</t>
        </is>
      </c>
      <c r="E898" t="inlineStr">
        <is>
          <t>NORRTÄLJE</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19118-2022</t>
        </is>
      </c>
      <c r="B899" s="1" t="n">
        <v>44691.5652662037</v>
      </c>
      <c r="C899" s="1" t="n">
        <v>45938</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58888-2020</t>
        </is>
      </c>
      <c r="B900" s="1" t="n">
        <v>44146</v>
      </c>
      <c r="C900" s="1" t="n">
        <v>45938</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44075-2023</t>
        </is>
      </c>
      <c r="B901" s="1" t="n">
        <v>45188.41637731482</v>
      </c>
      <c r="C901" s="1" t="n">
        <v>45938</v>
      </c>
      <c r="D901" t="inlineStr">
        <is>
          <t>STOCKHOLMS LÄN</t>
        </is>
      </c>
      <c r="E901" t="inlineStr">
        <is>
          <t>NORRTÄLJE</t>
        </is>
      </c>
      <c r="F901" t="inlineStr">
        <is>
          <t>Holmen skog AB</t>
        </is>
      </c>
      <c r="G901" t="n">
        <v>2.4</v>
      </c>
      <c r="H901" t="n">
        <v>0</v>
      </c>
      <c r="I901" t="n">
        <v>0</v>
      </c>
      <c r="J901" t="n">
        <v>0</v>
      </c>
      <c r="K901" t="n">
        <v>0</v>
      </c>
      <c r="L901" t="n">
        <v>0</v>
      </c>
      <c r="M901" t="n">
        <v>0</v>
      </c>
      <c r="N901" t="n">
        <v>0</v>
      </c>
      <c r="O901" t="n">
        <v>0</v>
      </c>
      <c r="P901" t="n">
        <v>0</v>
      </c>
      <c r="Q901" t="n">
        <v>0</v>
      </c>
      <c r="R901" s="2" t="inlineStr"/>
    </row>
    <row r="902" ht="15" customHeight="1">
      <c r="A902" t="inlineStr">
        <is>
          <t>A 8739-2024</t>
        </is>
      </c>
      <c r="B902" s="1" t="n">
        <v>45356.47784722222</v>
      </c>
      <c r="C902" s="1" t="n">
        <v>45938</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38759-2022</t>
        </is>
      </c>
      <c r="B903" s="1" t="n">
        <v>44816</v>
      </c>
      <c r="C903" s="1" t="n">
        <v>45938</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32857-2021</t>
        </is>
      </c>
      <c r="B904" s="1" t="n">
        <v>44375</v>
      </c>
      <c r="C904" s="1" t="n">
        <v>45938</v>
      </c>
      <c r="D904" t="inlineStr">
        <is>
          <t>STOCKHOLMS LÄN</t>
        </is>
      </c>
      <c r="E904" t="inlineStr">
        <is>
          <t>NORRTÄLJE</t>
        </is>
      </c>
      <c r="G904" t="n">
        <v>2.9</v>
      </c>
      <c r="H904" t="n">
        <v>0</v>
      </c>
      <c r="I904" t="n">
        <v>0</v>
      </c>
      <c r="J904" t="n">
        <v>0</v>
      </c>
      <c r="K904" t="n">
        <v>0</v>
      </c>
      <c r="L904" t="n">
        <v>0</v>
      </c>
      <c r="M904" t="n">
        <v>0</v>
      </c>
      <c r="N904" t="n">
        <v>0</v>
      </c>
      <c r="O904" t="n">
        <v>0</v>
      </c>
      <c r="P904" t="n">
        <v>0</v>
      </c>
      <c r="Q904" t="n">
        <v>0</v>
      </c>
      <c r="R904" s="2" t="inlineStr"/>
    </row>
    <row r="905" ht="15" customHeight="1">
      <c r="A905" t="inlineStr">
        <is>
          <t>A 29714-2023</t>
        </is>
      </c>
      <c r="B905" s="1" t="n">
        <v>45107.42538194444</v>
      </c>
      <c r="C905" s="1" t="n">
        <v>45938</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23271-2023</t>
        </is>
      </c>
      <c r="B906" s="1" t="n">
        <v>45075.91362268518</v>
      </c>
      <c r="C906" s="1" t="n">
        <v>45938</v>
      </c>
      <c r="D906" t="inlineStr">
        <is>
          <t>STOCKHOLMS LÄN</t>
        </is>
      </c>
      <c r="E906" t="inlineStr">
        <is>
          <t>NORRTÄLJE</t>
        </is>
      </c>
      <c r="G906" t="n">
        <v>5.1</v>
      </c>
      <c r="H906" t="n">
        <v>0</v>
      </c>
      <c r="I906" t="n">
        <v>0</v>
      </c>
      <c r="J906" t="n">
        <v>0</v>
      </c>
      <c r="K906" t="n">
        <v>0</v>
      </c>
      <c r="L906" t="n">
        <v>0</v>
      </c>
      <c r="M906" t="n">
        <v>0</v>
      </c>
      <c r="N906" t="n">
        <v>0</v>
      </c>
      <c r="O906" t="n">
        <v>0</v>
      </c>
      <c r="P906" t="n">
        <v>0</v>
      </c>
      <c r="Q906" t="n">
        <v>0</v>
      </c>
      <c r="R906" s="2" t="inlineStr"/>
    </row>
    <row r="907" ht="15" customHeight="1">
      <c r="A907" t="inlineStr">
        <is>
          <t>A 23273-2023</t>
        </is>
      </c>
      <c r="B907" s="1" t="n">
        <v>45075.91971064815</v>
      </c>
      <c r="C907" s="1" t="n">
        <v>45938</v>
      </c>
      <c r="D907" t="inlineStr">
        <is>
          <t>STOCKHOLMS LÄN</t>
        </is>
      </c>
      <c r="E907" t="inlineStr">
        <is>
          <t>NORRTÄLJE</t>
        </is>
      </c>
      <c r="G907" t="n">
        <v>7.5</v>
      </c>
      <c r="H907" t="n">
        <v>0</v>
      </c>
      <c r="I907" t="n">
        <v>0</v>
      </c>
      <c r="J907" t="n">
        <v>0</v>
      </c>
      <c r="K907" t="n">
        <v>0</v>
      </c>
      <c r="L907" t="n">
        <v>0</v>
      </c>
      <c r="M907" t="n">
        <v>0</v>
      </c>
      <c r="N907" t="n">
        <v>0</v>
      </c>
      <c r="O907" t="n">
        <v>0</v>
      </c>
      <c r="P907" t="n">
        <v>0</v>
      </c>
      <c r="Q907" t="n">
        <v>0</v>
      </c>
      <c r="R907" s="2" t="inlineStr"/>
    </row>
    <row r="908" ht="15" customHeight="1">
      <c r="A908" t="inlineStr">
        <is>
          <t>A 29250-2025</t>
        </is>
      </c>
      <c r="B908" s="1" t="n">
        <v>45824.37275462963</v>
      </c>
      <c r="C908" s="1" t="n">
        <v>45938</v>
      </c>
      <c r="D908" t="inlineStr">
        <is>
          <t>STOCKHOLMS LÄN</t>
        </is>
      </c>
      <c r="E908" t="inlineStr">
        <is>
          <t>NORRTÄLJE</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7603-2025</t>
        </is>
      </c>
      <c r="B909" s="1" t="n">
        <v>45705.66126157407</v>
      </c>
      <c r="C909" s="1" t="n">
        <v>45938</v>
      </c>
      <c r="D909" t="inlineStr">
        <is>
          <t>STOCKHOLMS LÄN</t>
        </is>
      </c>
      <c r="E909" t="inlineStr">
        <is>
          <t>NORRTÄLJE</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30699-2025</t>
        </is>
      </c>
      <c r="B910" s="1" t="n">
        <v>45831.54618055555</v>
      </c>
      <c r="C910" s="1" t="n">
        <v>45938</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30802-2022</t>
        </is>
      </c>
      <c r="B911" s="1" t="n">
        <v>44764</v>
      </c>
      <c r="C911" s="1" t="n">
        <v>45938</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30639-2025</t>
        </is>
      </c>
      <c r="B912" s="1" t="n">
        <v>45831.4844212963</v>
      </c>
      <c r="C912" s="1" t="n">
        <v>45938</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30668-2025</t>
        </is>
      </c>
      <c r="B913" s="1" t="n">
        <v>45831.51659722222</v>
      </c>
      <c r="C913" s="1" t="n">
        <v>45938</v>
      </c>
      <c r="D913" t="inlineStr">
        <is>
          <t>STOCKHOLMS LÄN</t>
        </is>
      </c>
      <c r="E913" t="inlineStr">
        <is>
          <t>NORRTÄLJE</t>
        </is>
      </c>
      <c r="G913" t="n">
        <v>4.9</v>
      </c>
      <c r="H913" t="n">
        <v>0</v>
      </c>
      <c r="I913" t="n">
        <v>0</v>
      </c>
      <c r="J913" t="n">
        <v>0</v>
      </c>
      <c r="K913" t="n">
        <v>0</v>
      </c>
      <c r="L913" t="n">
        <v>0</v>
      </c>
      <c r="M913" t="n">
        <v>0</v>
      </c>
      <c r="N913" t="n">
        <v>0</v>
      </c>
      <c r="O913" t="n">
        <v>0</v>
      </c>
      <c r="P913" t="n">
        <v>0</v>
      </c>
      <c r="Q913" t="n">
        <v>0</v>
      </c>
      <c r="R913" s="2" t="inlineStr"/>
    </row>
    <row r="914" ht="15" customHeight="1">
      <c r="A914" t="inlineStr">
        <is>
          <t>A 55369-2023</t>
        </is>
      </c>
      <c r="B914" s="1" t="n">
        <v>45238</v>
      </c>
      <c r="C914" s="1" t="n">
        <v>45938</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61113-2023</t>
        </is>
      </c>
      <c r="B915" s="1" t="n">
        <v>45261</v>
      </c>
      <c r="C915" s="1" t="n">
        <v>45938</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3283-2025</t>
        </is>
      </c>
      <c r="B916" s="1" t="n">
        <v>45679</v>
      </c>
      <c r="C916" s="1" t="n">
        <v>45938</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31170-2025</t>
        </is>
      </c>
      <c r="B917" s="1" t="n">
        <v>45832.66385416667</v>
      </c>
      <c r="C917" s="1" t="n">
        <v>45938</v>
      </c>
      <c r="D917" t="inlineStr">
        <is>
          <t>STOCKHOLMS LÄN</t>
        </is>
      </c>
      <c r="E917" t="inlineStr">
        <is>
          <t>NORRTÄLJE</t>
        </is>
      </c>
      <c r="G917" t="n">
        <v>2.7</v>
      </c>
      <c r="H917" t="n">
        <v>0</v>
      </c>
      <c r="I917" t="n">
        <v>0</v>
      </c>
      <c r="J917" t="n">
        <v>0</v>
      </c>
      <c r="K917" t="n">
        <v>0</v>
      </c>
      <c r="L917" t="n">
        <v>0</v>
      </c>
      <c r="M917" t="n">
        <v>0</v>
      </c>
      <c r="N917" t="n">
        <v>0</v>
      </c>
      <c r="O917" t="n">
        <v>0</v>
      </c>
      <c r="P917" t="n">
        <v>0</v>
      </c>
      <c r="Q917" t="n">
        <v>0</v>
      </c>
      <c r="R917" s="2" t="inlineStr"/>
    </row>
    <row r="918" ht="15" customHeight="1">
      <c r="A918" t="inlineStr">
        <is>
          <t>A 34295-2024</t>
        </is>
      </c>
      <c r="B918" s="1" t="n">
        <v>45524</v>
      </c>
      <c r="C918" s="1" t="n">
        <v>45938</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31880-2025</t>
        </is>
      </c>
      <c r="B919" s="1" t="n">
        <v>45834.65538194445</v>
      </c>
      <c r="C919" s="1" t="n">
        <v>45938</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58311-2023</t>
        </is>
      </c>
      <c r="B920" s="1" t="n">
        <v>45245</v>
      </c>
      <c r="C920" s="1" t="n">
        <v>45938</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32122-2025</t>
        </is>
      </c>
      <c r="B921" s="1" t="n">
        <v>45835.4928125</v>
      </c>
      <c r="C921" s="1" t="n">
        <v>45938</v>
      </c>
      <c r="D921" t="inlineStr">
        <is>
          <t>STOCKHOLMS LÄN</t>
        </is>
      </c>
      <c r="E921" t="inlineStr">
        <is>
          <t>NORRTÄLJE</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31868-2025</t>
        </is>
      </c>
      <c r="B922" s="1" t="n">
        <v>45834.6447337963</v>
      </c>
      <c r="C922" s="1" t="n">
        <v>45938</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23692-2024</t>
        </is>
      </c>
      <c r="B923" s="1" t="n">
        <v>45454.65774305556</v>
      </c>
      <c r="C923" s="1" t="n">
        <v>45938</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6413-2025</t>
        </is>
      </c>
      <c r="B924" s="1" t="n">
        <v>45699.46283564815</v>
      </c>
      <c r="C924" s="1" t="n">
        <v>45938</v>
      </c>
      <c r="D924" t="inlineStr">
        <is>
          <t>STOCKHOLMS LÄN</t>
        </is>
      </c>
      <c r="E924" t="inlineStr">
        <is>
          <t>NORRTÄLJE</t>
        </is>
      </c>
      <c r="G924" t="n">
        <v>3.6</v>
      </c>
      <c r="H924" t="n">
        <v>0</v>
      </c>
      <c r="I924" t="n">
        <v>0</v>
      </c>
      <c r="J924" t="n">
        <v>0</v>
      </c>
      <c r="K924" t="n">
        <v>0</v>
      </c>
      <c r="L924" t="n">
        <v>0</v>
      </c>
      <c r="M924" t="n">
        <v>0</v>
      </c>
      <c r="N924" t="n">
        <v>0</v>
      </c>
      <c r="O924" t="n">
        <v>0</v>
      </c>
      <c r="P924" t="n">
        <v>0</v>
      </c>
      <c r="Q924" t="n">
        <v>0</v>
      </c>
      <c r="R924" s="2" t="inlineStr"/>
    </row>
    <row r="925" ht="15" customHeight="1">
      <c r="A925" t="inlineStr">
        <is>
          <t>A 32016-2025</t>
        </is>
      </c>
      <c r="B925" s="1" t="n">
        <v>45835</v>
      </c>
      <c r="C925" s="1" t="n">
        <v>45938</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20473-2021</t>
        </is>
      </c>
      <c r="B926" s="1" t="n">
        <v>44315</v>
      </c>
      <c r="C926" s="1" t="n">
        <v>45938</v>
      </c>
      <c r="D926" t="inlineStr">
        <is>
          <t>STOCKHOLMS LÄN</t>
        </is>
      </c>
      <c r="E926" t="inlineStr">
        <is>
          <t>NORRTÄLJE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32283-2025</t>
        </is>
      </c>
      <c r="B927" s="1" t="n">
        <v>45835.68076388889</v>
      </c>
      <c r="C927" s="1" t="n">
        <v>45938</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31874-2025</t>
        </is>
      </c>
      <c r="B928" s="1" t="n">
        <v>45834</v>
      </c>
      <c r="C928" s="1" t="n">
        <v>45938</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32094-2025</t>
        </is>
      </c>
      <c r="B929" s="1" t="n">
        <v>45835.46034722222</v>
      </c>
      <c r="C929" s="1" t="n">
        <v>45938</v>
      </c>
      <c r="D929" t="inlineStr">
        <is>
          <t>STOCKHOLMS LÄN</t>
        </is>
      </c>
      <c r="E929" t="inlineStr">
        <is>
          <t>NORRTÄLJE</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53652-2020</t>
        </is>
      </c>
      <c r="B930" s="1" t="n">
        <v>44124</v>
      </c>
      <c r="C930" s="1" t="n">
        <v>45938</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32480-2025</t>
        </is>
      </c>
      <c r="B931" s="1" t="n">
        <v>45838.43261574074</v>
      </c>
      <c r="C931" s="1" t="n">
        <v>45938</v>
      </c>
      <c r="D931" t="inlineStr">
        <is>
          <t>STOCKHOLMS LÄN</t>
        </is>
      </c>
      <c r="E931" t="inlineStr">
        <is>
          <t>NORRTÄLJE</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32872-2025</t>
        </is>
      </c>
      <c r="B932" s="1" t="n">
        <v>45839</v>
      </c>
      <c r="C932" s="1" t="n">
        <v>45938</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32903-2025</t>
        </is>
      </c>
      <c r="B933" s="1" t="n">
        <v>45839.62398148148</v>
      </c>
      <c r="C933" s="1" t="n">
        <v>45938</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32395-2025</t>
        </is>
      </c>
      <c r="B934" s="1" t="n">
        <v>45837.93730324074</v>
      </c>
      <c r="C934" s="1" t="n">
        <v>45938</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32396-2025</t>
        </is>
      </c>
      <c r="B935" s="1" t="n">
        <v>45837</v>
      </c>
      <c r="C935" s="1" t="n">
        <v>45938</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32397-2025</t>
        </is>
      </c>
      <c r="B936" s="1" t="n">
        <v>45837.94081018519</v>
      </c>
      <c r="C936" s="1" t="n">
        <v>45938</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54273-2021</t>
        </is>
      </c>
      <c r="B937" s="1" t="n">
        <v>44470.72987268519</v>
      </c>
      <c r="C937" s="1" t="n">
        <v>45938</v>
      </c>
      <c r="D937" t="inlineStr">
        <is>
          <t>STOCKHOLMS LÄN</t>
        </is>
      </c>
      <c r="E937" t="inlineStr">
        <is>
          <t>NORRTÄLJE</t>
        </is>
      </c>
      <c r="G937" t="n">
        <v>2.7</v>
      </c>
      <c r="H937" t="n">
        <v>0</v>
      </c>
      <c r="I937" t="n">
        <v>0</v>
      </c>
      <c r="J937" t="n">
        <v>0</v>
      </c>
      <c r="K937" t="n">
        <v>0</v>
      </c>
      <c r="L937" t="n">
        <v>0</v>
      </c>
      <c r="M937" t="n">
        <v>0</v>
      </c>
      <c r="N937" t="n">
        <v>0</v>
      </c>
      <c r="O937" t="n">
        <v>0</v>
      </c>
      <c r="P937" t="n">
        <v>0</v>
      </c>
      <c r="Q937" t="n">
        <v>0</v>
      </c>
      <c r="R937" s="2" t="inlineStr"/>
    </row>
    <row r="938" ht="15" customHeight="1">
      <c r="A938" t="inlineStr">
        <is>
          <t>A 7806-2025</t>
        </is>
      </c>
      <c r="B938" s="1" t="n">
        <v>45706.61178240741</v>
      </c>
      <c r="C938" s="1" t="n">
        <v>45938</v>
      </c>
      <c r="D938" t="inlineStr">
        <is>
          <t>STOCKHOLMS LÄN</t>
        </is>
      </c>
      <c r="E938" t="inlineStr">
        <is>
          <t>NORRTÄLJE</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33702-2025</t>
        </is>
      </c>
      <c r="B939" s="1" t="n">
        <v>45841.74596064815</v>
      </c>
      <c r="C939" s="1" t="n">
        <v>45938</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53792-2023</t>
        </is>
      </c>
      <c r="B940" s="1" t="n">
        <v>45231.34144675926</v>
      </c>
      <c r="C940" s="1" t="n">
        <v>45938</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21329-2022</t>
        </is>
      </c>
      <c r="B941" s="1" t="n">
        <v>44705.60626157407</v>
      </c>
      <c r="C941" s="1" t="n">
        <v>45938</v>
      </c>
      <c r="D941" t="inlineStr">
        <is>
          <t>STOCKHOLMS LÄN</t>
        </is>
      </c>
      <c r="E941" t="inlineStr">
        <is>
          <t>NORRTÄLJE</t>
        </is>
      </c>
      <c r="G941" t="n">
        <v>4.1</v>
      </c>
      <c r="H941" t="n">
        <v>0</v>
      </c>
      <c r="I941" t="n">
        <v>0</v>
      </c>
      <c r="J941" t="n">
        <v>0</v>
      </c>
      <c r="K941" t="n">
        <v>0</v>
      </c>
      <c r="L941" t="n">
        <v>0</v>
      </c>
      <c r="M941" t="n">
        <v>0</v>
      </c>
      <c r="N941" t="n">
        <v>0</v>
      </c>
      <c r="O941" t="n">
        <v>0</v>
      </c>
      <c r="P941" t="n">
        <v>0</v>
      </c>
      <c r="Q941" t="n">
        <v>0</v>
      </c>
      <c r="R941" s="2" t="inlineStr"/>
    </row>
    <row r="942" ht="15" customHeight="1">
      <c r="A942" t="inlineStr">
        <is>
          <t>A 33211-2025</t>
        </is>
      </c>
      <c r="B942" s="1" t="n">
        <v>45840.62755787037</v>
      </c>
      <c r="C942" s="1" t="n">
        <v>45938</v>
      </c>
      <c r="D942" t="inlineStr">
        <is>
          <t>STOCKHOLMS LÄN</t>
        </is>
      </c>
      <c r="E942" t="inlineStr">
        <is>
          <t>NORRTÄLJE</t>
        </is>
      </c>
      <c r="G942" t="n">
        <v>5.1</v>
      </c>
      <c r="H942" t="n">
        <v>0</v>
      </c>
      <c r="I942" t="n">
        <v>0</v>
      </c>
      <c r="J942" t="n">
        <v>0</v>
      </c>
      <c r="K942" t="n">
        <v>0</v>
      </c>
      <c r="L942" t="n">
        <v>0</v>
      </c>
      <c r="M942" t="n">
        <v>0</v>
      </c>
      <c r="N942" t="n">
        <v>0</v>
      </c>
      <c r="O942" t="n">
        <v>0</v>
      </c>
      <c r="P942" t="n">
        <v>0</v>
      </c>
      <c r="Q942" t="n">
        <v>0</v>
      </c>
      <c r="R942" s="2" t="inlineStr"/>
    </row>
    <row r="943" ht="15" customHeight="1">
      <c r="A943" t="inlineStr">
        <is>
          <t>A 50569-2022</t>
        </is>
      </c>
      <c r="B943" s="1" t="n">
        <v>44866.63775462963</v>
      </c>
      <c r="C943" s="1" t="n">
        <v>45938</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33265-2025</t>
        </is>
      </c>
      <c r="B944" s="1" t="n">
        <v>45840.67829861111</v>
      </c>
      <c r="C944" s="1" t="n">
        <v>45938</v>
      </c>
      <c r="D944" t="inlineStr">
        <is>
          <t>STOCKHOLMS LÄN</t>
        </is>
      </c>
      <c r="E944" t="inlineStr">
        <is>
          <t>NORRTÄLJE</t>
        </is>
      </c>
      <c r="G944" t="n">
        <v>5.5</v>
      </c>
      <c r="H944" t="n">
        <v>0</v>
      </c>
      <c r="I944" t="n">
        <v>0</v>
      </c>
      <c r="J944" t="n">
        <v>0</v>
      </c>
      <c r="K944" t="n">
        <v>0</v>
      </c>
      <c r="L944" t="n">
        <v>0</v>
      </c>
      <c r="M944" t="n">
        <v>0</v>
      </c>
      <c r="N944" t="n">
        <v>0</v>
      </c>
      <c r="O944" t="n">
        <v>0</v>
      </c>
      <c r="P944" t="n">
        <v>0</v>
      </c>
      <c r="Q944" t="n">
        <v>0</v>
      </c>
      <c r="R944" s="2" t="inlineStr"/>
    </row>
    <row r="945" ht="15" customHeight="1">
      <c r="A945" t="inlineStr">
        <is>
          <t>A 24501-2023</t>
        </is>
      </c>
      <c r="B945" s="1" t="n">
        <v>45082</v>
      </c>
      <c r="C945" s="1" t="n">
        <v>45938</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24520-2023</t>
        </is>
      </c>
      <c r="B946" s="1" t="n">
        <v>45082.68922453704</v>
      </c>
      <c r="C946" s="1" t="n">
        <v>45938</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33552-2025</t>
        </is>
      </c>
      <c r="B947" s="1" t="n">
        <v>45841.5737962963</v>
      </c>
      <c r="C947" s="1" t="n">
        <v>45938</v>
      </c>
      <c r="D947" t="inlineStr">
        <is>
          <t>STOCKHOLMS LÄN</t>
        </is>
      </c>
      <c r="E947" t="inlineStr">
        <is>
          <t>NORRTÄLJE</t>
        </is>
      </c>
      <c r="G947" t="n">
        <v>8.9</v>
      </c>
      <c r="H947" t="n">
        <v>0</v>
      </c>
      <c r="I947" t="n">
        <v>0</v>
      </c>
      <c r="J947" t="n">
        <v>0</v>
      </c>
      <c r="K947" t="n">
        <v>0</v>
      </c>
      <c r="L947" t="n">
        <v>0</v>
      </c>
      <c r="M947" t="n">
        <v>0</v>
      </c>
      <c r="N947" t="n">
        <v>0</v>
      </c>
      <c r="O947" t="n">
        <v>0</v>
      </c>
      <c r="P947" t="n">
        <v>0</v>
      </c>
      <c r="Q947" t="n">
        <v>0</v>
      </c>
      <c r="R947" s="2" t="inlineStr"/>
    </row>
    <row r="948" ht="15" customHeight="1">
      <c r="A948" t="inlineStr">
        <is>
          <t>A 33336-2025</t>
        </is>
      </c>
      <c r="B948" s="1" t="n">
        <v>45841.35611111111</v>
      </c>
      <c r="C948" s="1" t="n">
        <v>45938</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33824-2025</t>
        </is>
      </c>
      <c r="B949" s="1" t="n">
        <v>45842.46885416667</v>
      </c>
      <c r="C949" s="1" t="n">
        <v>45938</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60654-2023</t>
        </is>
      </c>
      <c r="B950" s="1" t="n">
        <v>45260.43225694444</v>
      </c>
      <c r="C950" s="1" t="n">
        <v>45938</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60656-2023</t>
        </is>
      </c>
      <c r="B951" s="1" t="n">
        <v>45260.4333449074</v>
      </c>
      <c r="C951" s="1" t="n">
        <v>45938</v>
      </c>
      <c r="D951" t="inlineStr">
        <is>
          <t>STOCKHOLMS LÄN</t>
        </is>
      </c>
      <c r="E951" t="inlineStr">
        <is>
          <t>NORRTÄLJE</t>
        </is>
      </c>
      <c r="G951" t="n">
        <v>4.8</v>
      </c>
      <c r="H951" t="n">
        <v>0</v>
      </c>
      <c r="I951" t="n">
        <v>0</v>
      </c>
      <c r="J951" t="n">
        <v>0</v>
      </c>
      <c r="K951" t="n">
        <v>0</v>
      </c>
      <c r="L951" t="n">
        <v>0</v>
      </c>
      <c r="M951" t="n">
        <v>0</v>
      </c>
      <c r="N951" t="n">
        <v>0</v>
      </c>
      <c r="O951" t="n">
        <v>0</v>
      </c>
      <c r="P951" t="n">
        <v>0</v>
      </c>
      <c r="Q951" t="n">
        <v>0</v>
      </c>
      <c r="R951" s="2" t="inlineStr"/>
    </row>
    <row r="952" ht="15" customHeight="1">
      <c r="A952" t="inlineStr">
        <is>
          <t>A 34006-2025</t>
        </is>
      </c>
      <c r="B952" s="1" t="n">
        <v>45844.62609953704</v>
      </c>
      <c r="C952" s="1" t="n">
        <v>45938</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34139-2025</t>
        </is>
      </c>
      <c r="B953" s="1" t="n">
        <v>45845</v>
      </c>
      <c r="C953" s="1" t="n">
        <v>45938</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54496-2024</t>
        </is>
      </c>
      <c r="B954" s="1" t="n">
        <v>45617.57439814815</v>
      </c>
      <c r="C954" s="1" t="n">
        <v>45938</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34010-2025</t>
        </is>
      </c>
      <c r="B955" s="1" t="n">
        <v>45844.91234953704</v>
      </c>
      <c r="C955" s="1" t="n">
        <v>45938</v>
      </c>
      <c r="D955" t="inlineStr">
        <is>
          <t>STOCKHOLMS LÄN</t>
        </is>
      </c>
      <c r="E955" t="inlineStr">
        <is>
          <t>NORRTÄLJE</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36689-2023</t>
        </is>
      </c>
      <c r="B956" s="1" t="n">
        <v>45152</v>
      </c>
      <c r="C956" s="1" t="n">
        <v>45938</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21386-2023</t>
        </is>
      </c>
      <c r="B957" s="1" t="n">
        <v>45063.35880787037</v>
      </c>
      <c r="C957" s="1" t="n">
        <v>45938</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46073-2024</t>
        </is>
      </c>
      <c r="B958" s="1" t="n">
        <v>45581</v>
      </c>
      <c r="C958" s="1" t="n">
        <v>45938</v>
      </c>
      <c r="D958" t="inlineStr">
        <is>
          <t>STOCKHOLMS LÄN</t>
        </is>
      </c>
      <c r="E958" t="inlineStr">
        <is>
          <t>NORRTÄLJE</t>
        </is>
      </c>
      <c r="G958" t="n">
        <v>2</v>
      </c>
      <c r="H958" t="n">
        <v>0</v>
      </c>
      <c r="I958" t="n">
        <v>0</v>
      </c>
      <c r="J958" t="n">
        <v>0</v>
      </c>
      <c r="K958" t="n">
        <v>0</v>
      </c>
      <c r="L958" t="n">
        <v>0</v>
      </c>
      <c r="M958" t="n">
        <v>0</v>
      </c>
      <c r="N958" t="n">
        <v>0</v>
      </c>
      <c r="O958" t="n">
        <v>0</v>
      </c>
      <c r="P958" t="n">
        <v>0</v>
      </c>
      <c r="Q958" t="n">
        <v>0</v>
      </c>
      <c r="R958" s="2" t="inlineStr"/>
    </row>
    <row r="959" ht="15" customHeight="1">
      <c r="A959" t="inlineStr">
        <is>
          <t>A 10642-2025</t>
        </is>
      </c>
      <c r="B959" s="1" t="n">
        <v>45721.65858796296</v>
      </c>
      <c r="C959" s="1" t="n">
        <v>45938</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45938</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53312-2024</t>
        </is>
      </c>
      <c r="B961" s="1" t="n">
        <v>45614.39627314815</v>
      </c>
      <c r="C961" s="1" t="n">
        <v>45938</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39202-2024</t>
        </is>
      </c>
      <c r="B962" s="1" t="n">
        <v>45548.72306712963</v>
      </c>
      <c r="C962" s="1" t="n">
        <v>45938</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39610-2025</t>
        </is>
      </c>
      <c r="B963" s="1" t="n">
        <v>45890.56001157407</v>
      </c>
      <c r="C963" s="1" t="n">
        <v>45938</v>
      </c>
      <c r="D963" t="inlineStr">
        <is>
          <t>STOCKHOLMS LÄN</t>
        </is>
      </c>
      <c r="E963" t="inlineStr">
        <is>
          <t>NORRTÄLJE</t>
        </is>
      </c>
      <c r="G963" t="n">
        <v>28.6</v>
      </c>
      <c r="H963" t="n">
        <v>0</v>
      </c>
      <c r="I963" t="n">
        <v>0</v>
      </c>
      <c r="J963" t="n">
        <v>0</v>
      </c>
      <c r="K963" t="n">
        <v>0</v>
      </c>
      <c r="L963" t="n">
        <v>0</v>
      </c>
      <c r="M963" t="n">
        <v>0</v>
      </c>
      <c r="N963" t="n">
        <v>0</v>
      </c>
      <c r="O963" t="n">
        <v>0</v>
      </c>
      <c r="P963" t="n">
        <v>0</v>
      </c>
      <c r="Q963" t="n">
        <v>0</v>
      </c>
      <c r="R963" s="2" t="inlineStr"/>
    </row>
    <row r="964" ht="15" customHeight="1">
      <c r="A964" t="inlineStr">
        <is>
          <t>A 22756-2022</t>
        </is>
      </c>
      <c r="B964" s="1" t="n">
        <v>44714.92253472222</v>
      </c>
      <c r="C964" s="1" t="n">
        <v>45938</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4581-2025</t>
        </is>
      </c>
      <c r="B965" s="1" t="n">
        <v>45687</v>
      </c>
      <c r="C965" s="1" t="n">
        <v>45938</v>
      </c>
      <c r="D965" t="inlineStr">
        <is>
          <t>STOCKHOLMS LÄN</t>
        </is>
      </c>
      <c r="E965" t="inlineStr">
        <is>
          <t>NORRTÄLJE</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15733-2025</t>
        </is>
      </c>
      <c r="B966" s="1" t="n">
        <v>45748</v>
      </c>
      <c r="C966" s="1" t="n">
        <v>45938</v>
      </c>
      <c r="D966" t="inlineStr">
        <is>
          <t>STOCKHOLMS LÄN</t>
        </is>
      </c>
      <c r="E966" t="inlineStr">
        <is>
          <t>NORRTÄLJE</t>
        </is>
      </c>
      <c r="G966" t="n">
        <v>13.3</v>
      </c>
      <c r="H966" t="n">
        <v>0</v>
      </c>
      <c r="I966" t="n">
        <v>0</v>
      </c>
      <c r="J966" t="n">
        <v>0</v>
      </c>
      <c r="K966" t="n">
        <v>0</v>
      </c>
      <c r="L966" t="n">
        <v>0</v>
      </c>
      <c r="M966" t="n">
        <v>0</v>
      </c>
      <c r="N966" t="n">
        <v>0</v>
      </c>
      <c r="O966" t="n">
        <v>0</v>
      </c>
      <c r="P966" t="n">
        <v>0</v>
      </c>
      <c r="Q966" t="n">
        <v>0</v>
      </c>
      <c r="R966" s="2" t="inlineStr"/>
    </row>
    <row r="967" ht="15" customHeight="1">
      <c r="A967" t="inlineStr">
        <is>
          <t>A 35256-2025</t>
        </is>
      </c>
      <c r="B967" s="1" t="n">
        <v>45853</v>
      </c>
      <c r="C967" s="1" t="n">
        <v>45938</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60765-2023</t>
        </is>
      </c>
      <c r="B968" s="1" t="n">
        <v>45260</v>
      </c>
      <c r="C968" s="1" t="n">
        <v>45938</v>
      </c>
      <c r="D968" t="inlineStr">
        <is>
          <t>STOCKHOLMS LÄN</t>
        </is>
      </c>
      <c r="E968" t="inlineStr">
        <is>
          <t>NORRTÄLJE</t>
        </is>
      </c>
      <c r="G968" t="n">
        <v>3.7</v>
      </c>
      <c r="H968" t="n">
        <v>0</v>
      </c>
      <c r="I968" t="n">
        <v>0</v>
      </c>
      <c r="J968" t="n">
        <v>0</v>
      </c>
      <c r="K968" t="n">
        <v>0</v>
      </c>
      <c r="L968" t="n">
        <v>0</v>
      </c>
      <c r="M968" t="n">
        <v>0</v>
      </c>
      <c r="N968" t="n">
        <v>0</v>
      </c>
      <c r="O968" t="n">
        <v>0</v>
      </c>
      <c r="P968" t="n">
        <v>0</v>
      </c>
      <c r="Q968" t="n">
        <v>0</v>
      </c>
      <c r="R968" s="2" t="inlineStr"/>
    </row>
    <row r="969" ht="15" customHeight="1">
      <c r="A969" t="inlineStr">
        <is>
          <t>A 35110-2025</t>
        </is>
      </c>
      <c r="B969" s="1" t="n">
        <v>45852.58030092593</v>
      </c>
      <c r="C969" s="1" t="n">
        <v>45938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23801-2022</t>
        </is>
      </c>
      <c r="B970" s="1" t="n">
        <v>44722</v>
      </c>
      <c r="C970" s="1" t="n">
        <v>45938</v>
      </c>
      <c r="D970" t="inlineStr">
        <is>
          <t>STOCKHOLMS LÄN</t>
        </is>
      </c>
      <c r="E970" t="inlineStr">
        <is>
          <t>NORRTÄLJE</t>
        </is>
      </c>
      <c r="G970" t="n">
        <v>6.8</v>
      </c>
      <c r="H970" t="n">
        <v>0</v>
      </c>
      <c r="I970" t="n">
        <v>0</v>
      </c>
      <c r="J970" t="n">
        <v>0</v>
      </c>
      <c r="K970" t="n">
        <v>0</v>
      </c>
      <c r="L970" t="n">
        <v>0</v>
      </c>
      <c r="M970" t="n">
        <v>0</v>
      </c>
      <c r="N970" t="n">
        <v>0</v>
      </c>
      <c r="O970" t="n">
        <v>0</v>
      </c>
      <c r="P970" t="n">
        <v>0</v>
      </c>
      <c r="Q970" t="n">
        <v>0</v>
      </c>
      <c r="R970" s="2" t="inlineStr"/>
    </row>
    <row r="971" ht="15" customHeight="1">
      <c r="A971" t="inlineStr">
        <is>
          <t>A 59276-2023</t>
        </is>
      </c>
      <c r="B971" s="1" t="n">
        <v>45253.55641203704</v>
      </c>
      <c r="C971" s="1" t="n">
        <v>45938</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46914-2022</t>
        </is>
      </c>
      <c r="B972" s="1" t="n">
        <v>44851</v>
      </c>
      <c r="C972" s="1" t="n">
        <v>45938</v>
      </c>
      <c r="D972" t="inlineStr">
        <is>
          <t>STOCKHOLMS LÄN</t>
        </is>
      </c>
      <c r="E972" t="inlineStr">
        <is>
          <t>NORRTÄLJE</t>
        </is>
      </c>
      <c r="G972" t="n">
        <v>2.4</v>
      </c>
      <c r="H972" t="n">
        <v>0</v>
      </c>
      <c r="I972" t="n">
        <v>0</v>
      </c>
      <c r="J972" t="n">
        <v>0</v>
      </c>
      <c r="K972" t="n">
        <v>0</v>
      </c>
      <c r="L972" t="n">
        <v>0</v>
      </c>
      <c r="M972" t="n">
        <v>0</v>
      </c>
      <c r="N972" t="n">
        <v>0</v>
      </c>
      <c r="O972" t="n">
        <v>0</v>
      </c>
      <c r="P972" t="n">
        <v>0</v>
      </c>
      <c r="Q972" t="n">
        <v>0</v>
      </c>
      <c r="R972" s="2" t="inlineStr"/>
    </row>
    <row r="973" ht="15" customHeight="1">
      <c r="A973" t="inlineStr">
        <is>
          <t>A 53607-2020</t>
        </is>
      </c>
      <c r="B973" s="1" t="n">
        <v>44124</v>
      </c>
      <c r="C973" s="1" t="n">
        <v>45938</v>
      </c>
      <c r="D973" t="inlineStr">
        <is>
          <t>STOCKHOLMS LÄN</t>
        </is>
      </c>
      <c r="E973" t="inlineStr">
        <is>
          <t>NORRTÄLJE</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35254-2025</t>
        </is>
      </c>
      <c r="B974" s="1" t="n">
        <v>45853</v>
      </c>
      <c r="C974" s="1" t="n">
        <v>45938</v>
      </c>
      <c r="D974" t="inlineStr">
        <is>
          <t>STOCKHOLMS LÄN</t>
        </is>
      </c>
      <c r="E974" t="inlineStr">
        <is>
          <t>NORRTÄLJE</t>
        </is>
      </c>
      <c r="G974" t="n">
        <v>6.5</v>
      </c>
      <c r="H974" t="n">
        <v>0</v>
      </c>
      <c r="I974" t="n">
        <v>0</v>
      </c>
      <c r="J974" t="n">
        <v>0</v>
      </c>
      <c r="K974" t="n">
        <v>0</v>
      </c>
      <c r="L974" t="n">
        <v>0</v>
      </c>
      <c r="M974" t="n">
        <v>0</v>
      </c>
      <c r="N974" t="n">
        <v>0</v>
      </c>
      <c r="O974" t="n">
        <v>0</v>
      </c>
      <c r="P974" t="n">
        <v>0</v>
      </c>
      <c r="Q974" t="n">
        <v>0</v>
      </c>
      <c r="R974" s="2" t="inlineStr"/>
    </row>
    <row r="975" ht="15" customHeight="1">
      <c r="A975" t="inlineStr">
        <is>
          <t>A 18541-2023</t>
        </is>
      </c>
      <c r="B975" s="1" t="n">
        <v>45042.74291666667</v>
      </c>
      <c r="C975" s="1" t="n">
        <v>45938</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40529-2025</t>
        </is>
      </c>
      <c r="B976" s="1" t="n">
        <v>45896.38466435186</v>
      </c>
      <c r="C976" s="1" t="n">
        <v>45938</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3509-2022</t>
        </is>
      </c>
      <c r="B977" s="1" t="n">
        <v>44585</v>
      </c>
      <c r="C977" s="1" t="n">
        <v>45938</v>
      </c>
      <c r="D977" t="inlineStr">
        <is>
          <t>STOCKHOLMS LÄN</t>
        </is>
      </c>
      <c r="E977" t="inlineStr">
        <is>
          <t>NORRTÄLJE</t>
        </is>
      </c>
      <c r="F977" t="inlineStr">
        <is>
          <t>Kommuner</t>
        </is>
      </c>
      <c r="G977" t="n">
        <v>0.8</v>
      </c>
      <c r="H977" t="n">
        <v>0</v>
      </c>
      <c r="I977" t="n">
        <v>0</v>
      </c>
      <c r="J977" t="n">
        <v>0</v>
      </c>
      <c r="K977" t="n">
        <v>0</v>
      </c>
      <c r="L977" t="n">
        <v>0</v>
      </c>
      <c r="M977" t="n">
        <v>0</v>
      </c>
      <c r="N977" t="n">
        <v>0</v>
      </c>
      <c r="O977" t="n">
        <v>0</v>
      </c>
      <c r="P977" t="n">
        <v>0</v>
      </c>
      <c r="Q977" t="n">
        <v>0</v>
      </c>
      <c r="R977" s="2" t="inlineStr"/>
    </row>
    <row r="978" ht="15" customHeight="1">
      <c r="A978" t="inlineStr">
        <is>
          <t>A 26407-2024</t>
        </is>
      </c>
      <c r="B978" s="1" t="n">
        <v>45469</v>
      </c>
      <c r="C978" s="1" t="n">
        <v>45938</v>
      </c>
      <c r="D978" t="inlineStr">
        <is>
          <t>STOCKHOLMS LÄN</t>
        </is>
      </c>
      <c r="E978" t="inlineStr">
        <is>
          <t>NORRTÄLJE</t>
        </is>
      </c>
      <c r="G978" t="n">
        <v>3.5</v>
      </c>
      <c r="H978" t="n">
        <v>0</v>
      </c>
      <c r="I978" t="n">
        <v>0</v>
      </c>
      <c r="J978" t="n">
        <v>0</v>
      </c>
      <c r="K978" t="n">
        <v>0</v>
      </c>
      <c r="L978" t="n">
        <v>0</v>
      </c>
      <c r="M978" t="n">
        <v>0</v>
      </c>
      <c r="N978" t="n">
        <v>0</v>
      </c>
      <c r="O978" t="n">
        <v>0</v>
      </c>
      <c r="P978" t="n">
        <v>0</v>
      </c>
      <c r="Q978" t="n">
        <v>0</v>
      </c>
      <c r="R978" s="2" t="inlineStr"/>
    </row>
    <row r="979" ht="15" customHeight="1">
      <c r="A979" t="inlineStr">
        <is>
          <t>A 12890-2024</t>
        </is>
      </c>
      <c r="B979" s="1" t="n">
        <v>45385.36243055556</v>
      </c>
      <c r="C979" s="1" t="n">
        <v>45938</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40831-2025</t>
        </is>
      </c>
      <c r="B980" s="1" t="n">
        <v>45897.51077546296</v>
      </c>
      <c r="C980" s="1" t="n">
        <v>45938</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40837-2025</t>
        </is>
      </c>
      <c r="B981" s="1" t="n">
        <v>45897.51328703704</v>
      </c>
      <c r="C981" s="1" t="n">
        <v>45938</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35479-2025</t>
        </is>
      </c>
      <c r="B982" s="1" t="n">
        <v>45855.69387731481</v>
      </c>
      <c r="C982" s="1" t="n">
        <v>45938</v>
      </c>
      <c r="D982" t="inlineStr">
        <is>
          <t>STOCKHOLMS LÄN</t>
        </is>
      </c>
      <c r="E982" t="inlineStr">
        <is>
          <t>NORRTÄLJE</t>
        </is>
      </c>
      <c r="F982" t="inlineStr">
        <is>
          <t>Holmen skog AB</t>
        </is>
      </c>
      <c r="G982" t="n">
        <v>1.8</v>
      </c>
      <c r="H982" t="n">
        <v>0</v>
      </c>
      <c r="I982" t="n">
        <v>0</v>
      </c>
      <c r="J982" t="n">
        <v>0</v>
      </c>
      <c r="K982" t="n">
        <v>0</v>
      </c>
      <c r="L982" t="n">
        <v>0</v>
      </c>
      <c r="M982" t="n">
        <v>0</v>
      </c>
      <c r="N982" t="n">
        <v>0</v>
      </c>
      <c r="O982" t="n">
        <v>0</v>
      </c>
      <c r="P982" t="n">
        <v>0</v>
      </c>
      <c r="Q982" t="n">
        <v>0</v>
      </c>
      <c r="R982" s="2" t="inlineStr"/>
    </row>
    <row r="983" ht="15" customHeight="1">
      <c r="A983" t="inlineStr">
        <is>
          <t>A 40829-2025</t>
        </is>
      </c>
      <c r="B983" s="1" t="n">
        <v>45897.50802083333</v>
      </c>
      <c r="C983" s="1" t="n">
        <v>45938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35451-2025</t>
        </is>
      </c>
      <c r="B984" s="1" t="n">
        <v>45855.57033564815</v>
      </c>
      <c r="C984" s="1" t="n">
        <v>45938</v>
      </c>
      <c r="D984" t="inlineStr">
        <is>
          <t>STOCKHOLMS LÄN</t>
        </is>
      </c>
      <c r="E984" t="inlineStr">
        <is>
          <t>NORRTÄLJE</t>
        </is>
      </c>
      <c r="F984" t="inlineStr">
        <is>
          <t>Holmen skog AB</t>
        </is>
      </c>
      <c r="G984" t="n">
        <v>7.4</v>
      </c>
      <c r="H984" t="n">
        <v>0</v>
      </c>
      <c r="I984" t="n">
        <v>0</v>
      </c>
      <c r="J984" t="n">
        <v>0</v>
      </c>
      <c r="K984" t="n">
        <v>0</v>
      </c>
      <c r="L984" t="n">
        <v>0</v>
      </c>
      <c r="M984" t="n">
        <v>0</v>
      </c>
      <c r="N984" t="n">
        <v>0</v>
      </c>
      <c r="O984" t="n">
        <v>0</v>
      </c>
      <c r="P984" t="n">
        <v>0</v>
      </c>
      <c r="Q984" t="n">
        <v>0</v>
      </c>
      <c r="R984" s="2" t="inlineStr"/>
    </row>
    <row r="985" ht="15" customHeight="1">
      <c r="A985" t="inlineStr">
        <is>
          <t>A 35478-2025</t>
        </is>
      </c>
      <c r="B985" s="1" t="n">
        <v>45855.68413194444</v>
      </c>
      <c r="C985" s="1" t="n">
        <v>45938</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47419-2023</t>
        </is>
      </c>
      <c r="B986" s="1" t="n">
        <v>45202.65660879629</v>
      </c>
      <c r="C986" s="1" t="n">
        <v>45938</v>
      </c>
      <c r="D986" t="inlineStr">
        <is>
          <t>STOCKHOLMS LÄN</t>
        </is>
      </c>
      <c r="E986" t="inlineStr">
        <is>
          <t>NORRTÄLJE</t>
        </is>
      </c>
      <c r="G986" t="n">
        <v>11.4</v>
      </c>
      <c r="H986" t="n">
        <v>0</v>
      </c>
      <c r="I986" t="n">
        <v>0</v>
      </c>
      <c r="J986" t="n">
        <v>0</v>
      </c>
      <c r="K986" t="n">
        <v>0</v>
      </c>
      <c r="L986" t="n">
        <v>0</v>
      </c>
      <c r="M986" t="n">
        <v>0</v>
      </c>
      <c r="N986" t="n">
        <v>0</v>
      </c>
      <c r="O986" t="n">
        <v>0</v>
      </c>
      <c r="P986" t="n">
        <v>0</v>
      </c>
      <c r="Q986" t="n">
        <v>0</v>
      </c>
      <c r="R986" s="2" t="inlineStr"/>
    </row>
    <row r="987" ht="15" customHeight="1">
      <c r="A987" t="inlineStr">
        <is>
          <t>A 23070-2023</t>
        </is>
      </c>
      <c r="B987" s="1" t="n">
        <v>45075</v>
      </c>
      <c r="C987" s="1" t="n">
        <v>45938</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41174-2025</t>
        </is>
      </c>
      <c r="B988" s="1" t="n">
        <v>45898.54921296296</v>
      </c>
      <c r="C988" s="1" t="n">
        <v>45938</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41158-2025</t>
        </is>
      </c>
      <c r="B989" s="1" t="n">
        <v>45898.5315625</v>
      </c>
      <c r="C989" s="1" t="n">
        <v>45938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41053-2025</t>
        </is>
      </c>
      <c r="B990" s="1" t="n">
        <v>45898.40480324074</v>
      </c>
      <c r="C990" s="1" t="n">
        <v>45938</v>
      </c>
      <c r="D990" t="inlineStr">
        <is>
          <t>STOCKHOLMS LÄN</t>
        </is>
      </c>
      <c r="E990" t="inlineStr">
        <is>
          <t>NORRTÄLJE</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27824-2022</t>
        </is>
      </c>
      <c r="B991" s="1" t="n">
        <v>44743.59331018518</v>
      </c>
      <c r="C991" s="1" t="n">
        <v>45938</v>
      </c>
      <c r="D991" t="inlineStr">
        <is>
          <t>STOCKHOLMS LÄN</t>
        </is>
      </c>
      <c r="E991" t="inlineStr">
        <is>
          <t>NORRTÄLJE</t>
        </is>
      </c>
      <c r="F991" t="inlineStr">
        <is>
          <t>Kommuner</t>
        </is>
      </c>
      <c r="G991" t="n">
        <v>3.1</v>
      </c>
      <c r="H991" t="n">
        <v>0</v>
      </c>
      <c r="I991" t="n">
        <v>0</v>
      </c>
      <c r="J991" t="n">
        <v>0</v>
      </c>
      <c r="K991" t="n">
        <v>0</v>
      </c>
      <c r="L991" t="n">
        <v>0</v>
      </c>
      <c r="M991" t="n">
        <v>0</v>
      </c>
      <c r="N991" t="n">
        <v>0</v>
      </c>
      <c r="O991" t="n">
        <v>0</v>
      </c>
      <c r="P991" t="n">
        <v>0</v>
      </c>
      <c r="Q991" t="n">
        <v>0</v>
      </c>
      <c r="R991" s="2" t="inlineStr"/>
    </row>
    <row r="992" ht="15" customHeight="1">
      <c r="A992" t="inlineStr">
        <is>
          <t>A 25619-2022</t>
        </is>
      </c>
      <c r="B992" s="1" t="n">
        <v>44732</v>
      </c>
      <c r="C992" s="1" t="n">
        <v>45938</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41301-2025</t>
        </is>
      </c>
      <c r="B993" s="1" t="n">
        <v>45898.68826388889</v>
      </c>
      <c r="C993" s="1" t="n">
        <v>45938</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36246-2021</t>
        </is>
      </c>
      <c r="B994" s="1" t="n">
        <v>44390</v>
      </c>
      <c r="C994" s="1" t="n">
        <v>45938</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41030-2025</t>
        </is>
      </c>
      <c r="B995" s="1" t="n">
        <v>45898.37636574074</v>
      </c>
      <c r="C995" s="1" t="n">
        <v>45938</v>
      </c>
      <c r="D995" t="inlineStr">
        <is>
          <t>STOCKHOLMS LÄN</t>
        </is>
      </c>
      <c r="E995" t="inlineStr">
        <is>
          <t>NORRTÄLJE</t>
        </is>
      </c>
      <c r="F995" t="inlineStr">
        <is>
          <t>Holmen skog AB</t>
        </is>
      </c>
      <c r="G995" t="n">
        <v>2.6</v>
      </c>
      <c r="H995" t="n">
        <v>0</v>
      </c>
      <c r="I995" t="n">
        <v>0</v>
      </c>
      <c r="J995" t="n">
        <v>0</v>
      </c>
      <c r="K995" t="n">
        <v>0</v>
      </c>
      <c r="L995" t="n">
        <v>0</v>
      </c>
      <c r="M995" t="n">
        <v>0</v>
      </c>
      <c r="N995" t="n">
        <v>0</v>
      </c>
      <c r="O995" t="n">
        <v>0</v>
      </c>
      <c r="P995" t="n">
        <v>0</v>
      </c>
      <c r="Q995" t="n">
        <v>0</v>
      </c>
      <c r="R995" s="2" t="inlineStr"/>
    </row>
    <row r="996" ht="15" customHeight="1">
      <c r="A996" t="inlineStr">
        <is>
          <t>A 41275-2025</t>
        </is>
      </c>
      <c r="B996" s="1" t="n">
        <v>45898.62625</v>
      </c>
      <c r="C996" s="1" t="n">
        <v>45938</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41106-2025</t>
        </is>
      </c>
      <c r="B997" s="1" t="n">
        <v>45898.45636574074</v>
      </c>
      <c r="C997" s="1" t="n">
        <v>45938</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41036-2025</t>
        </is>
      </c>
      <c r="B998" s="1" t="n">
        <v>45898.38552083333</v>
      </c>
      <c r="C998" s="1" t="n">
        <v>45938</v>
      </c>
      <c r="D998" t="inlineStr">
        <is>
          <t>STOCKHOLMS LÄN</t>
        </is>
      </c>
      <c r="E998" t="inlineStr">
        <is>
          <t>NORRTÄLJE</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41110-2025</t>
        </is>
      </c>
      <c r="B999" s="1" t="n">
        <v>45898.45976851852</v>
      </c>
      <c r="C999" s="1" t="n">
        <v>45938</v>
      </c>
      <c r="D999" t="inlineStr">
        <is>
          <t>STOCKHOLMS LÄN</t>
        </is>
      </c>
      <c r="E999" t="inlineStr">
        <is>
          <t>NORRTÄLJE</t>
        </is>
      </c>
      <c r="F999" t="inlineStr">
        <is>
          <t>Holmen skog AB</t>
        </is>
      </c>
      <c r="G999" t="n">
        <v>6.7</v>
      </c>
      <c r="H999" t="n">
        <v>0</v>
      </c>
      <c r="I999" t="n">
        <v>0</v>
      </c>
      <c r="J999" t="n">
        <v>0</v>
      </c>
      <c r="K999" t="n">
        <v>0</v>
      </c>
      <c r="L999" t="n">
        <v>0</v>
      </c>
      <c r="M999" t="n">
        <v>0</v>
      </c>
      <c r="N999" t="n">
        <v>0</v>
      </c>
      <c r="O999" t="n">
        <v>0</v>
      </c>
      <c r="P999" t="n">
        <v>0</v>
      </c>
      <c r="Q999" t="n">
        <v>0</v>
      </c>
      <c r="R999" s="2" t="inlineStr"/>
    </row>
    <row r="1000" ht="15" customHeight="1">
      <c r="A1000" t="inlineStr">
        <is>
          <t>A 19952-2023</t>
        </is>
      </c>
      <c r="B1000" s="1" t="n">
        <v>45054.54091435186</v>
      </c>
      <c r="C1000" s="1" t="n">
        <v>45938</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19994-2023</t>
        </is>
      </c>
      <c r="B1001" s="1" t="n">
        <v>45054</v>
      </c>
      <c r="C1001" s="1" t="n">
        <v>45938</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41259-2025</t>
        </is>
      </c>
      <c r="B1002" s="1" t="n">
        <v>45898.61054398148</v>
      </c>
      <c r="C1002" s="1" t="n">
        <v>45938</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14130-2025</t>
        </is>
      </c>
      <c r="B1003" s="1" t="n">
        <v>45740.47288194444</v>
      </c>
      <c r="C1003" s="1" t="n">
        <v>45938</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41272-2025</t>
        </is>
      </c>
      <c r="B1004" s="1" t="n">
        <v>45898.62373842593</v>
      </c>
      <c r="C1004" s="1" t="n">
        <v>45938</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574-2023</t>
        </is>
      </c>
      <c r="B1005" s="1" t="n">
        <v>44925</v>
      </c>
      <c r="C1005" s="1" t="n">
        <v>45938</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30283-2022</t>
        </is>
      </c>
      <c r="B1006" s="1" t="n">
        <v>44760</v>
      </c>
      <c r="C1006" s="1" t="n">
        <v>45938</v>
      </c>
      <c r="D1006" t="inlineStr">
        <is>
          <t>STOCKHOLMS LÄN</t>
        </is>
      </c>
      <c r="E1006" t="inlineStr">
        <is>
          <t>NORRTÄLJE</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30290-2022</t>
        </is>
      </c>
      <c r="B1007" s="1" t="n">
        <v>44760</v>
      </c>
      <c r="C1007" s="1" t="n">
        <v>45938</v>
      </c>
      <c r="D1007" t="inlineStr">
        <is>
          <t>STOCKHOLMS LÄN</t>
        </is>
      </c>
      <c r="E1007" t="inlineStr">
        <is>
          <t>NORRTÄLJE</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3143-2021</t>
        </is>
      </c>
      <c r="B1008" s="1" t="n">
        <v>44217.40149305556</v>
      </c>
      <c r="C1008" s="1" t="n">
        <v>45938</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29684-2021</t>
        </is>
      </c>
      <c r="B1009" s="1" t="n">
        <v>44362.37172453704</v>
      </c>
      <c r="C1009" s="1" t="n">
        <v>45938</v>
      </c>
      <c r="D1009" t="inlineStr">
        <is>
          <t>STOCKHOLMS LÄN</t>
        </is>
      </c>
      <c r="E1009" t="inlineStr">
        <is>
          <t>NORRTÄLJE</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41966-2025</t>
        </is>
      </c>
      <c r="B1010" s="1" t="n">
        <v>45903.47456018518</v>
      </c>
      <c r="C1010" s="1" t="n">
        <v>45938</v>
      </c>
      <c r="D1010" t="inlineStr">
        <is>
          <t>STOCKHOLMS LÄN</t>
        </is>
      </c>
      <c r="E1010" t="inlineStr">
        <is>
          <t>NORRTÄLJE</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60884-2024</t>
        </is>
      </c>
      <c r="B1011" s="1" t="n">
        <v>45644.90815972222</v>
      </c>
      <c r="C1011" s="1" t="n">
        <v>45938</v>
      </c>
      <c r="D1011" t="inlineStr">
        <is>
          <t>STOCKHOLMS LÄN</t>
        </is>
      </c>
      <c r="E1011" t="inlineStr">
        <is>
          <t>NORRTÄLJE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38610-2022</t>
        </is>
      </c>
      <c r="B1012" s="1" t="n">
        <v>44813.59915509259</v>
      </c>
      <c r="C1012" s="1" t="n">
        <v>45938</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10090-2022</t>
        </is>
      </c>
      <c r="B1013" s="1" t="n">
        <v>44621</v>
      </c>
      <c r="C1013" s="1" t="n">
        <v>45938</v>
      </c>
      <c r="D1013" t="inlineStr">
        <is>
          <t>STOCKHOLMS LÄN</t>
        </is>
      </c>
      <c r="E1013" t="inlineStr">
        <is>
          <t>NORRTÄLJE</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14724-2022</t>
        </is>
      </c>
      <c r="B1014" s="1" t="n">
        <v>44656</v>
      </c>
      <c r="C1014" s="1" t="n">
        <v>45938</v>
      </c>
      <c r="D1014" t="inlineStr">
        <is>
          <t>STOCKHOLMS LÄN</t>
        </is>
      </c>
      <c r="E1014" t="inlineStr">
        <is>
          <t>NORRTÄLJE</t>
        </is>
      </c>
      <c r="F1014" t="inlineStr">
        <is>
          <t>Sveaskog</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18846-2022</t>
        </is>
      </c>
      <c r="B1015" s="1" t="n">
        <v>44690</v>
      </c>
      <c r="C1015" s="1" t="n">
        <v>45938</v>
      </c>
      <c r="D1015" t="inlineStr">
        <is>
          <t>STOCKHOLMS LÄN</t>
        </is>
      </c>
      <c r="E1015" t="inlineStr">
        <is>
          <t>NORRTÄLJE</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43300-2023</t>
        </is>
      </c>
      <c r="B1016" s="1" t="n">
        <v>45183</v>
      </c>
      <c r="C1016" s="1" t="n">
        <v>45938</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25654-2023</t>
        </is>
      </c>
      <c r="B1017" s="1" t="n">
        <v>45089</v>
      </c>
      <c r="C1017" s="1" t="n">
        <v>45938</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41964-2025</t>
        </is>
      </c>
      <c r="B1018" s="1" t="n">
        <v>45903.47270833333</v>
      </c>
      <c r="C1018" s="1" t="n">
        <v>45938</v>
      </c>
      <c r="D1018" t="inlineStr">
        <is>
          <t>STOCKHOLMS LÄN</t>
        </is>
      </c>
      <c r="E1018" t="inlineStr">
        <is>
          <t>NORRTÄLJE</t>
        </is>
      </c>
      <c r="F1018" t="inlineStr">
        <is>
          <t>Sveaskog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42038-2025</t>
        </is>
      </c>
      <c r="B1019" s="1" t="n">
        <v>45903.61431712963</v>
      </c>
      <c r="C1019" s="1" t="n">
        <v>45938</v>
      </c>
      <c r="D1019" t="inlineStr">
        <is>
          <t>STOCKHOLMS LÄN</t>
        </is>
      </c>
      <c r="E1019" t="inlineStr">
        <is>
          <t>NORRTÄLJE</t>
        </is>
      </c>
      <c r="F1019" t="inlineStr">
        <is>
          <t>Sveaskog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23125-2022</t>
        </is>
      </c>
      <c r="B1020" s="1" t="n">
        <v>44719</v>
      </c>
      <c r="C1020" s="1" t="n">
        <v>45938</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20121-2022</t>
        </is>
      </c>
      <c r="B1021" s="1" t="n">
        <v>44698</v>
      </c>
      <c r="C1021" s="1" t="n">
        <v>45938</v>
      </c>
      <c r="D1021" t="inlineStr">
        <is>
          <t>STOCKHOLMS LÄN</t>
        </is>
      </c>
      <c r="E1021" t="inlineStr">
        <is>
          <t>NORRTÄLJE</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33385-2024</t>
        </is>
      </c>
      <c r="B1022" s="1" t="n">
        <v>45519</v>
      </c>
      <c r="C1022" s="1" t="n">
        <v>45938</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41172-2023</t>
        </is>
      </c>
      <c r="B1023" s="1" t="n">
        <v>45170</v>
      </c>
      <c r="C1023" s="1" t="n">
        <v>45938</v>
      </c>
      <c r="D1023" t="inlineStr">
        <is>
          <t>STOCKHOLMS LÄN</t>
        </is>
      </c>
      <c r="E1023" t="inlineStr">
        <is>
          <t>NORRTÄLJE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73307-2021</t>
        </is>
      </c>
      <c r="B1024" s="1" t="n">
        <v>44549</v>
      </c>
      <c r="C1024" s="1" t="n">
        <v>45938</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50534-2024</t>
        </is>
      </c>
      <c r="B1025" s="1" t="n">
        <v>45601.56726851852</v>
      </c>
      <c r="C1025" s="1" t="n">
        <v>45938</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34444-2024</t>
        </is>
      </c>
      <c r="B1026" s="1" t="n">
        <v>45525</v>
      </c>
      <c r="C1026" s="1" t="n">
        <v>45938</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11988-2021</t>
        </is>
      </c>
      <c r="B1027" s="1" t="n">
        <v>44266</v>
      </c>
      <c r="C1027" s="1" t="n">
        <v>45938</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12132-2021</t>
        </is>
      </c>
      <c r="B1028" s="1" t="n">
        <v>44266</v>
      </c>
      <c r="C1028" s="1" t="n">
        <v>45938</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65499-2021</t>
        </is>
      </c>
      <c r="B1029" s="1" t="n">
        <v>44516</v>
      </c>
      <c r="C1029" s="1" t="n">
        <v>45938</v>
      </c>
      <c r="D1029" t="inlineStr">
        <is>
          <t>STOCKHOLMS LÄN</t>
        </is>
      </c>
      <c r="E1029" t="inlineStr">
        <is>
          <t>NORRTÄLJE</t>
        </is>
      </c>
      <c r="F1029" t="inlineStr">
        <is>
          <t>Kommuner</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65511-2021</t>
        </is>
      </c>
      <c r="B1030" s="1" t="n">
        <v>44516.40674768519</v>
      </c>
      <c r="C1030" s="1" t="n">
        <v>45938</v>
      </c>
      <c r="D1030" t="inlineStr">
        <is>
          <t>STOCKHOLMS LÄN</t>
        </is>
      </c>
      <c r="E1030" t="inlineStr">
        <is>
          <t>NORRTÄLJE</t>
        </is>
      </c>
      <c r="F1030" t="inlineStr">
        <is>
          <t>Kommuner</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22833-2024</t>
        </is>
      </c>
      <c r="B1031" s="1" t="n">
        <v>45448.56746527777</v>
      </c>
      <c r="C1031" s="1" t="n">
        <v>45938</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20698-2025</t>
        </is>
      </c>
      <c r="B1032" s="1" t="n">
        <v>45776.47122685185</v>
      </c>
      <c r="C1032" s="1" t="n">
        <v>45938</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32514-2022</t>
        </is>
      </c>
      <c r="B1033" s="1" t="n">
        <v>44782</v>
      </c>
      <c r="C1033" s="1" t="n">
        <v>45938</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29362-2022</t>
        </is>
      </c>
      <c r="B1034" s="1" t="n">
        <v>44753</v>
      </c>
      <c r="C1034" s="1" t="n">
        <v>45938</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42856-2025</t>
        </is>
      </c>
      <c r="B1035" s="1" t="n">
        <v>45908</v>
      </c>
      <c r="C1035" s="1" t="n">
        <v>45938</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58492-2022</t>
        </is>
      </c>
      <c r="B1036" s="1" t="n">
        <v>44902</v>
      </c>
      <c r="C1036" s="1" t="n">
        <v>45938</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51315-2021</t>
        </is>
      </c>
      <c r="B1037" s="1" t="n">
        <v>44461</v>
      </c>
      <c r="C1037" s="1" t="n">
        <v>45938</v>
      </c>
      <c r="D1037" t="inlineStr">
        <is>
          <t>STOCKHOLMS LÄN</t>
        </is>
      </c>
      <c r="E1037" t="inlineStr">
        <is>
          <t>NORRTÄLJE</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14873-2025</t>
        </is>
      </c>
      <c r="B1038" s="1" t="n">
        <v>45743.44953703704</v>
      </c>
      <c r="C1038" s="1" t="n">
        <v>45938</v>
      </c>
      <c r="D1038" t="inlineStr">
        <is>
          <t>STOCKHOLMS LÄN</t>
        </is>
      </c>
      <c r="E1038" t="inlineStr">
        <is>
          <t>NORRTÄLJE</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34773-2022</t>
        </is>
      </c>
      <c r="B1039" s="1" t="n">
        <v>44795</v>
      </c>
      <c r="C1039" s="1" t="n">
        <v>45938</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33173-2024</t>
        </is>
      </c>
      <c r="B1040" s="1" t="n">
        <v>45518</v>
      </c>
      <c r="C1040" s="1" t="n">
        <v>45938</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22232-2024</t>
        </is>
      </c>
      <c r="B1041" s="1" t="n">
        <v>45446.4287962963</v>
      </c>
      <c r="C1041" s="1" t="n">
        <v>45938</v>
      </c>
      <c r="D1041" t="inlineStr">
        <is>
          <t>STOCKHOLMS LÄN</t>
        </is>
      </c>
      <c r="E1041" t="inlineStr">
        <is>
          <t>NORRTÄLJE</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43269-2025</t>
        </is>
      </c>
      <c r="B1042" s="1" t="n">
        <v>45910.5819212963</v>
      </c>
      <c r="C1042" s="1" t="n">
        <v>45938</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43169-2025</t>
        </is>
      </c>
      <c r="B1043" s="1" t="n">
        <v>45910</v>
      </c>
      <c r="C1043" s="1" t="n">
        <v>45938</v>
      </c>
      <c r="D1043" t="inlineStr">
        <is>
          <t>STOCKHOLMS LÄN</t>
        </is>
      </c>
      <c r="E1043" t="inlineStr">
        <is>
          <t>NORRTÄLJE</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36396-2025</t>
        </is>
      </c>
      <c r="B1044" s="1" t="n">
        <v>45868.62267361111</v>
      </c>
      <c r="C1044" s="1" t="n">
        <v>45938</v>
      </c>
      <c r="D1044" t="inlineStr">
        <is>
          <t>STOCKHOLMS LÄN</t>
        </is>
      </c>
      <c r="E1044" t="inlineStr">
        <is>
          <t>NORRTÄLJE</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43916-2025</t>
        </is>
      </c>
      <c r="B1045" s="1" t="n">
        <v>45914.78884259259</v>
      </c>
      <c r="C1045" s="1" t="n">
        <v>45938</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44349-2025</t>
        </is>
      </c>
      <c r="B1046" s="1" t="n">
        <v>45916.43929398148</v>
      </c>
      <c r="C1046" s="1" t="n">
        <v>45938</v>
      </c>
      <c r="D1046" t="inlineStr">
        <is>
          <t>STOCKHOLMS LÄN</t>
        </is>
      </c>
      <c r="E1046" t="inlineStr">
        <is>
          <t>NORRTÄLJE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22359-2025</t>
        </is>
      </c>
      <c r="B1047" s="1" t="n">
        <v>45786</v>
      </c>
      <c r="C1047" s="1" t="n">
        <v>45938</v>
      </c>
      <c r="D1047" t="inlineStr">
        <is>
          <t>STOCKHOLMS LÄN</t>
        </is>
      </c>
      <c r="E1047" t="inlineStr">
        <is>
          <t>NORRTÄLJE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44354-2025</t>
        </is>
      </c>
      <c r="B1048" s="1" t="n">
        <v>45916.44655092592</v>
      </c>
      <c r="C1048" s="1" t="n">
        <v>45938</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44343-2025</t>
        </is>
      </c>
      <c r="B1049" s="1" t="n">
        <v>45916.43378472222</v>
      </c>
      <c r="C1049" s="1" t="n">
        <v>45938</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44333-2025</t>
        </is>
      </c>
      <c r="B1050" s="1" t="n">
        <v>45916.42293981482</v>
      </c>
      <c r="C1050" s="1" t="n">
        <v>45938</v>
      </c>
      <c r="D1050" t="inlineStr">
        <is>
          <t>STOCKHOLMS LÄN</t>
        </is>
      </c>
      <c r="E1050" t="inlineStr">
        <is>
          <t>NORRTÄLJE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44306-2025</t>
        </is>
      </c>
      <c r="B1051" s="1" t="n">
        <v>45916.37736111111</v>
      </c>
      <c r="C1051" s="1" t="n">
        <v>45938</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44311-2025</t>
        </is>
      </c>
      <c r="B1052" s="1" t="n">
        <v>45916.38394675926</v>
      </c>
      <c r="C1052" s="1" t="n">
        <v>45938</v>
      </c>
      <c r="D1052" t="inlineStr">
        <is>
          <t>STOCKHOLMS LÄN</t>
        </is>
      </c>
      <c r="E1052" t="inlineStr">
        <is>
          <t>NORRTÄLJE</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37261-2025</t>
        </is>
      </c>
      <c r="B1053" s="1" t="n">
        <v>45876.45253472222</v>
      </c>
      <c r="C1053" s="1" t="n">
        <v>45938</v>
      </c>
      <c r="D1053" t="inlineStr">
        <is>
          <t>STOCKHOLMS LÄN</t>
        </is>
      </c>
      <c r="E1053" t="inlineStr">
        <is>
          <t>NORRTÄLJE</t>
        </is>
      </c>
      <c r="F1053" t="inlineStr">
        <is>
          <t>Kommuner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44937-2025</t>
        </is>
      </c>
      <c r="B1054" s="1" t="n">
        <v>45918.58224537037</v>
      </c>
      <c r="C1054" s="1" t="n">
        <v>45938</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37628-2025</t>
        </is>
      </c>
      <c r="B1055" s="1" t="n">
        <v>45880.46189814815</v>
      </c>
      <c r="C1055" s="1" t="n">
        <v>45938</v>
      </c>
      <c r="D1055" t="inlineStr">
        <is>
          <t>STOCKHOLMS LÄN</t>
        </is>
      </c>
      <c r="E1055" t="inlineStr">
        <is>
          <t>NORRTÄLJE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29369-2024</t>
        </is>
      </c>
      <c r="B1056" s="1" t="n">
        <v>45483.57244212963</v>
      </c>
      <c r="C1056" s="1" t="n">
        <v>45938</v>
      </c>
      <c r="D1056" t="inlineStr">
        <is>
          <t>STOCKHOLMS LÄN</t>
        </is>
      </c>
      <c r="E1056" t="inlineStr">
        <is>
          <t>NORRTÄLJE</t>
        </is>
      </c>
      <c r="G1056" t="n">
        <v>15.9</v>
      </c>
      <c r="H1056" t="n">
        <v>0</v>
      </c>
      <c r="I1056" t="n">
        <v>0</v>
      </c>
      <c r="J1056" t="n">
        <v>0</v>
      </c>
      <c r="K1056" t="n">
        <v>0</v>
      </c>
      <c r="L1056" t="n">
        <v>0</v>
      </c>
      <c r="M1056" t="n">
        <v>0</v>
      </c>
      <c r="N1056" t="n">
        <v>0</v>
      </c>
      <c r="O1056" t="n">
        <v>0</v>
      </c>
      <c r="P1056" t="n">
        <v>0</v>
      </c>
      <c r="Q1056" t="n">
        <v>0</v>
      </c>
      <c r="R1056" s="2" t="inlineStr"/>
    </row>
    <row r="1057" ht="15" customHeight="1">
      <c r="A1057" t="inlineStr">
        <is>
          <t>A 37632-2025</t>
        </is>
      </c>
      <c r="B1057" s="1" t="n">
        <v>45880.46524305556</v>
      </c>
      <c r="C1057" s="1" t="n">
        <v>45938</v>
      </c>
      <c r="D1057" t="inlineStr">
        <is>
          <t>STOCKHOLMS LÄN</t>
        </is>
      </c>
      <c r="E1057" t="inlineStr">
        <is>
          <t>NORRTÄLJE</t>
        </is>
      </c>
      <c r="F1057" t="inlineStr">
        <is>
          <t>Sveaskog</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29841-2024</t>
        </is>
      </c>
      <c r="B1058" s="1" t="n">
        <v>45485.60261574074</v>
      </c>
      <c r="C1058" s="1" t="n">
        <v>45938</v>
      </c>
      <c r="D1058" t="inlineStr">
        <is>
          <t>STOCKHOLMS LÄN</t>
        </is>
      </c>
      <c r="E1058" t="inlineStr">
        <is>
          <t>NORRTÄLJE</t>
        </is>
      </c>
      <c r="G1058" t="n">
        <v>15.9</v>
      </c>
      <c r="H1058" t="n">
        <v>0</v>
      </c>
      <c r="I1058" t="n">
        <v>0</v>
      </c>
      <c r="J1058" t="n">
        <v>0</v>
      </c>
      <c r="K1058" t="n">
        <v>0</v>
      </c>
      <c r="L1058" t="n">
        <v>0</v>
      </c>
      <c r="M1058" t="n">
        <v>0</v>
      </c>
      <c r="N1058" t="n">
        <v>0</v>
      </c>
      <c r="O1058" t="n">
        <v>0</v>
      </c>
      <c r="P1058" t="n">
        <v>0</v>
      </c>
      <c r="Q1058" t="n">
        <v>0</v>
      </c>
      <c r="R1058" s="2" t="inlineStr"/>
    </row>
    <row r="1059" ht="15" customHeight="1">
      <c r="A1059" t="inlineStr">
        <is>
          <t>A 20692-2025</t>
        </is>
      </c>
      <c r="B1059" s="1" t="n">
        <v>45776.46369212963</v>
      </c>
      <c r="C1059" s="1" t="n">
        <v>45938</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37630-2025</t>
        </is>
      </c>
      <c r="B1060" s="1" t="n">
        <v>45880.46372685185</v>
      </c>
      <c r="C1060" s="1" t="n">
        <v>45938</v>
      </c>
      <c r="D1060" t="inlineStr">
        <is>
          <t>STOCKHOLMS LÄN</t>
        </is>
      </c>
      <c r="E1060" t="inlineStr">
        <is>
          <t>NORRTÄLJE</t>
        </is>
      </c>
      <c r="F1060" t="inlineStr">
        <is>
          <t>Sveaskog</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45697-2025</t>
        </is>
      </c>
      <c r="B1061" s="1" t="n">
        <v>45923.39877314815</v>
      </c>
      <c r="C1061" s="1" t="n">
        <v>45938</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46071-2024</t>
        </is>
      </c>
      <c r="B1062" s="1" t="n">
        <v>45581</v>
      </c>
      <c r="C1062" s="1" t="n">
        <v>45938</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46415-2025</t>
        </is>
      </c>
      <c r="B1063" s="1" t="n">
        <v>45925.58636574074</v>
      </c>
      <c r="C1063" s="1" t="n">
        <v>45938</v>
      </c>
      <c r="D1063" t="inlineStr">
        <is>
          <t>STOCKHOLMS LÄN</t>
        </is>
      </c>
      <c r="E1063" t="inlineStr">
        <is>
          <t>NORRTÄLJE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13137-2024</t>
        </is>
      </c>
      <c r="B1064" s="1" t="n">
        <v>45386.34175925926</v>
      </c>
      <c r="C1064" s="1" t="n">
        <v>45938</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24350-2025</t>
        </is>
      </c>
      <c r="B1065" s="1" t="n">
        <v>45797.58350694444</v>
      </c>
      <c r="C1065" s="1" t="n">
        <v>45938</v>
      </c>
      <c r="D1065" t="inlineStr">
        <is>
          <t>STOCKHOLMS LÄN</t>
        </is>
      </c>
      <c r="E1065" t="inlineStr">
        <is>
          <t>NORRTÄLJE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26703-2025</t>
        </is>
      </c>
      <c r="B1066" s="1" t="n">
        <v>45810.45263888889</v>
      </c>
      <c r="C1066" s="1" t="n">
        <v>45938</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c r="A1067" t="inlineStr">
        <is>
          <t>A 38153-2025</t>
        </is>
      </c>
      <c r="B1067" s="1" t="n">
        <v>45882.59722222222</v>
      </c>
      <c r="C1067" s="1" t="n">
        <v>45938</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2025-10-08T12:33:05Z</dcterms:created>
  <dcterms:modified xmlns:dcterms="http://purl.org/dc/terms/" xmlns:xsi="http://www.w3.org/2001/XMLSchema-instance" xsi:type="dcterms:W3CDTF">2025-10-08T12:33:06Z</dcterms:modified>
</cp:coreProperties>
</file>