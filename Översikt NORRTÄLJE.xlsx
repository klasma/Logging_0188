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46120</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46120</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46120</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46120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46120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46120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46120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46120</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46120</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46120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46120</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46120</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46120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46120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46120</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46120</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46120</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46120</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46120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46120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46120</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46120</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46120</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46120</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46120</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61099-2025</t>
        </is>
      </c>
      <c r="B28" s="1" t="n">
        <v>46000.44185185185</v>
      </c>
      <c r="C28" s="1" t="n">
        <v>46120</v>
      </c>
      <c r="D28" t="inlineStr">
        <is>
          <t>STOCKHOLMS LÄN</t>
        </is>
      </c>
      <c r="E28" t="inlineStr">
        <is>
          <t>NORRTÄLJE</t>
        </is>
      </c>
      <c r="G28" t="n">
        <v>9.5</v>
      </c>
      <c r="H28" t="n">
        <v>5</v>
      </c>
      <c r="I28" t="n">
        <v>1</v>
      </c>
      <c r="J28" t="n">
        <v>3</v>
      </c>
      <c r="K28" t="n">
        <v>1</v>
      </c>
      <c r="L28" t="n">
        <v>0</v>
      </c>
      <c r="M28" t="n">
        <v>0</v>
      </c>
      <c r="N28" t="n">
        <v>0</v>
      </c>
      <c r="O28" t="n">
        <v>4</v>
      </c>
      <c r="P28" t="n">
        <v>1</v>
      </c>
      <c r="Q28" t="n">
        <v>8</v>
      </c>
      <c r="R28" s="2" t="inlineStr">
        <is>
          <t>Knärot
Spillkråka
Tallkötticka
Vedtrappmossa
Stubbspretmossa
Kungsfågel
Nattviol
Blåsippa</t>
        </is>
      </c>
      <c r="S28">
        <f>HYPERLINK("https://klasma.github.io/Logging_0188/artfynd/A 61099-2025 artfynd.xlsx", "A 61099-2025")</f>
        <v/>
      </c>
      <c r="T28">
        <f>HYPERLINK("https://klasma.github.io/Logging_0188/kartor/A 61099-2025 karta.png", "A 61099-2025")</f>
        <v/>
      </c>
      <c r="U28">
        <f>HYPERLINK("https://klasma.github.io/Logging_0188/knärot/A 61099-2025 karta knärot.png", "A 61099-2025")</f>
        <v/>
      </c>
      <c r="V28">
        <f>HYPERLINK("https://klasma.github.io/Logging_0188/klagomål/A 61099-2025 FSC-klagomål.docx", "A 61099-2025")</f>
        <v/>
      </c>
      <c r="W28">
        <f>HYPERLINK("https://klasma.github.io/Logging_0188/klagomålsmail/A 61099-2025 FSC-klagomål mail.docx", "A 61099-2025")</f>
        <v/>
      </c>
      <c r="X28">
        <f>HYPERLINK("https://klasma.github.io/Logging_0188/tillsyn/A 61099-2025 tillsynsbegäran.docx", "A 61099-2025")</f>
        <v/>
      </c>
      <c r="Y28">
        <f>HYPERLINK("https://klasma.github.io/Logging_0188/tillsynsmail/A 61099-2025 tillsynsbegäran mail.docx", "A 61099-2025")</f>
        <v/>
      </c>
      <c r="Z28">
        <f>HYPERLINK("https://klasma.github.io/Logging_0188/fåglar/A 61099-2025 prioriterade fågelarter.docx", "A 61099-2025")</f>
        <v/>
      </c>
    </row>
    <row r="29" ht="15" customHeight="1">
      <c r="A29" t="inlineStr">
        <is>
          <t>A 47951-2025</t>
        </is>
      </c>
      <c r="B29" s="1" t="n">
        <v>45932.58491898148</v>
      </c>
      <c r="C29" s="1" t="n">
        <v>46120</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46120</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46120</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46120</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46120</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46120</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46120</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10430-2026</t>
        </is>
      </c>
      <c r="B36" s="1" t="n">
        <v>46077</v>
      </c>
      <c r="C36" s="1" t="n">
        <v>46120</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46120</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46120</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46120</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30687-2025</t>
        </is>
      </c>
      <c r="B40" s="1" t="n">
        <v>45831.53390046296</v>
      </c>
      <c r="C40" s="1" t="n">
        <v>46120</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21922-2023</t>
        </is>
      </c>
      <c r="B41" s="1" t="n">
        <v>45068</v>
      </c>
      <c r="C41" s="1" t="n">
        <v>46120</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56791-2025</t>
        </is>
      </c>
      <c r="B42" s="1" t="n">
        <v>45978</v>
      </c>
      <c r="C42" s="1" t="n">
        <v>46120</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3444-2023</t>
        </is>
      </c>
      <c r="B43" s="1" t="n">
        <v>44949</v>
      </c>
      <c r="C43" s="1" t="n">
        <v>46120</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46120</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46120</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25687-2025</t>
        </is>
      </c>
      <c r="B46" s="1" t="n">
        <v>45800</v>
      </c>
      <c r="C46" s="1" t="n">
        <v>46120</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41276-2025</t>
        </is>
      </c>
      <c r="B47" s="1" t="n">
        <v>45898.62723379629</v>
      </c>
      <c r="C47" s="1" t="n">
        <v>46120</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46120</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46120</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72305-2021</t>
        </is>
      </c>
      <c r="B50" s="1" t="n">
        <v>44545</v>
      </c>
      <c r="C50" s="1" t="n">
        <v>46120</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34521-2025</t>
        </is>
      </c>
      <c r="B51" s="1" t="n">
        <v>45847.47052083333</v>
      </c>
      <c r="C51" s="1" t="n">
        <v>46120</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24052-2021</t>
        </is>
      </c>
      <c r="B52" s="1" t="n">
        <v>44336</v>
      </c>
      <c r="C52" s="1" t="n">
        <v>46120</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46120</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46120</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46120</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46120</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46120</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46120</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46120</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2851-2023</t>
        </is>
      </c>
      <c r="B60" s="1" t="n">
        <v>44945</v>
      </c>
      <c r="C60" s="1" t="n">
        <v>46120</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46120</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15913-2026</t>
        </is>
      </c>
      <c r="B62" s="1" t="n">
        <v>46107.6456712963</v>
      </c>
      <c r="C62" s="1" t="n">
        <v>46120</v>
      </c>
      <c r="D62" t="inlineStr">
        <is>
          <t>STOCKHOLMS LÄN</t>
        </is>
      </c>
      <c r="E62" t="inlineStr">
        <is>
          <t>NORRTÄLJE</t>
        </is>
      </c>
      <c r="G62" t="n">
        <v>4.2</v>
      </c>
      <c r="H62" t="n">
        <v>2</v>
      </c>
      <c r="I62" t="n">
        <v>2</v>
      </c>
      <c r="J62" t="n">
        <v>0</v>
      </c>
      <c r="K62" t="n">
        <v>0</v>
      </c>
      <c r="L62" t="n">
        <v>0</v>
      </c>
      <c r="M62" t="n">
        <v>0</v>
      </c>
      <c r="N62" t="n">
        <v>0</v>
      </c>
      <c r="O62" t="n">
        <v>0</v>
      </c>
      <c r="P62" t="n">
        <v>0</v>
      </c>
      <c r="Q62" t="n">
        <v>3</v>
      </c>
      <c r="R62" s="2" t="inlineStr">
        <is>
          <t>Fjällig taggsvamp s.str.
Nästrot
Blåsippa</t>
        </is>
      </c>
      <c r="S62">
        <f>HYPERLINK("https://klasma.github.io/Logging_0188/artfynd/A 15913-2026 artfynd.xlsx", "A 15913-2026")</f>
        <v/>
      </c>
      <c r="T62">
        <f>HYPERLINK("https://klasma.github.io/Logging_0188/kartor/A 15913-2026 karta.png", "A 15913-2026")</f>
        <v/>
      </c>
      <c r="V62">
        <f>HYPERLINK("https://klasma.github.io/Logging_0188/klagomål/A 15913-2026 FSC-klagomål.docx", "A 15913-2026")</f>
        <v/>
      </c>
      <c r="W62">
        <f>HYPERLINK("https://klasma.github.io/Logging_0188/klagomålsmail/A 15913-2026 FSC-klagomål mail.docx", "A 15913-2026")</f>
        <v/>
      </c>
      <c r="X62">
        <f>HYPERLINK("https://klasma.github.io/Logging_0188/tillsyn/A 15913-2026 tillsynsbegäran.docx", "A 15913-2026")</f>
        <v/>
      </c>
      <c r="Y62">
        <f>HYPERLINK("https://klasma.github.io/Logging_0188/tillsynsmail/A 15913-2026 tillsynsbegäran mail.docx", "A 15913-2026")</f>
        <v/>
      </c>
    </row>
    <row r="63" ht="15" customHeight="1">
      <c r="A63" t="inlineStr">
        <is>
          <t>A 52726-2025</t>
        </is>
      </c>
      <c r="B63" s="1" t="n">
        <v>45957.34722222222</v>
      </c>
      <c r="C63" s="1" t="n">
        <v>46120</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29185-2025</t>
        </is>
      </c>
      <c r="B64" s="1" t="n">
        <v>45821</v>
      </c>
      <c r="C64" s="1" t="n">
        <v>46120</v>
      </c>
      <c r="D64" t="inlineStr">
        <is>
          <t>STOCKHOLMS LÄN</t>
        </is>
      </c>
      <c r="E64" t="inlineStr">
        <is>
          <t>NORRTÄLJE</t>
        </is>
      </c>
      <c r="F64" t="inlineStr">
        <is>
          <t>Övriga Aktiebolag</t>
        </is>
      </c>
      <c r="G64" t="n">
        <v>8.5</v>
      </c>
      <c r="H64" t="n">
        <v>2</v>
      </c>
      <c r="I64" t="n">
        <v>1</v>
      </c>
      <c r="J64" t="n">
        <v>0</v>
      </c>
      <c r="K64" t="n">
        <v>0</v>
      </c>
      <c r="L64" t="n">
        <v>0</v>
      </c>
      <c r="M64" t="n">
        <v>0</v>
      </c>
      <c r="N64" t="n">
        <v>0</v>
      </c>
      <c r="O64" t="n">
        <v>0</v>
      </c>
      <c r="P64" t="n">
        <v>0</v>
      </c>
      <c r="Q64" t="n">
        <v>3</v>
      </c>
      <c r="R64" s="2" t="inlineStr">
        <is>
          <t>Vårärt
Fläcknycklar
Blåsippa</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row>
    <row r="65" ht="15" customHeight="1">
      <c r="A65" t="inlineStr">
        <is>
          <t>A 34524-2025</t>
        </is>
      </c>
      <c r="B65" s="1" t="n">
        <v>45847.47685185185</v>
      </c>
      <c r="C65" s="1" t="n">
        <v>46120</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53065-2024</t>
        </is>
      </c>
      <c r="B66" s="1" t="n">
        <v>45611.47233796296</v>
      </c>
      <c r="C66" s="1" t="n">
        <v>46120</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46120</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46120</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52133-2022</t>
        </is>
      </c>
      <c r="B69" s="1" t="n">
        <v>44868</v>
      </c>
      <c r="C69" s="1" t="n">
        <v>46120</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46120</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46120</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46120</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46120</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46120</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46120</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16260-2022</t>
        </is>
      </c>
      <c r="B76" s="1" t="n">
        <v>44670</v>
      </c>
      <c r="C76" s="1" t="n">
        <v>46120</v>
      </c>
      <c r="D76" t="inlineStr">
        <is>
          <t>STOCKHOLMS LÄN</t>
        </is>
      </c>
      <c r="E76" t="inlineStr">
        <is>
          <t>NORRTÄLJE</t>
        </is>
      </c>
      <c r="G76" t="n">
        <v>6.6</v>
      </c>
      <c r="H76" t="n">
        <v>1</v>
      </c>
      <c r="I76" t="n">
        <v>2</v>
      </c>
      <c r="J76" t="n">
        <v>0</v>
      </c>
      <c r="K76" t="n">
        <v>0</v>
      </c>
      <c r="L76" t="n">
        <v>0</v>
      </c>
      <c r="M76" t="n">
        <v>0</v>
      </c>
      <c r="N76" t="n">
        <v>0</v>
      </c>
      <c r="O76" t="n">
        <v>0</v>
      </c>
      <c r="P76" t="n">
        <v>0</v>
      </c>
      <c r="Q76" t="n">
        <v>2</v>
      </c>
      <c r="R76" s="2" t="inlineStr">
        <is>
          <t>Nästrot
Vårärt</t>
        </is>
      </c>
      <c r="S76">
        <f>HYPERLINK("https://klasma.github.io/Logging_0188/artfynd/A 16260-2022 artfynd.xlsx", "A 16260-2022")</f>
        <v/>
      </c>
      <c r="T76">
        <f>HYPERLINK("https://klasma.github.io/Logging_0188/kartor/A 16260-2022 karta.png", "A 16260-2022")</f>
        <v/>
      </c>
      <c r="V76">
        <f>HYPERLINK("https://klasma.github.io/Logging_0188/klagomål/A 16260-2022 FSC-klagomål.docx", "A 16260-2022")</f>
        <v/>
      </c>
      <c r="W76">
        <f>HYPERLINK("https://klasma.github.io/Logging_0188/klagomålsmail/A 16260-2022 FSC-klagomål mail.docx", "A 16260-2022")</f>
        <v/>
      </c>
      <c r="X76">
        <f>HYPERLINK("https://klasma.github.io/Logging_0188/tillsyn/A 16260-2022 tillsynsbegäran.docx", "A 16260-2022")</f>
        <v/>
      </c>
      <c r="Y76">
        <f>HYPERLINK("https://klasma.github.io/Logging_0188/tillsynsmail/A 16260-2022 tillsynsbegäran mail.docx", "A 16260-2022")</f>
        <v/>
      </c>
    </row>
    <row r="77" ht="15" customHeight="1">
      <c r="A77" t="inlineStr">
        <is>
          <t>A 22190-2024</t>
        </is>
      </c>
      <c r="B77" s="1" t="n">
        <v>45446.35888888889</v>
      </c>
      <c r="C77" s="1" t="n">
        <v>46120</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17952-2022</t>
        </is>
      </c>
      <c r="B78" s="1" t="n">
        <v>44683</v>
      </c>
      <c r="C78" s="1" t="n">
        <v>46120</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15925-2026</t>
        </is>
      </c>
      <c r="B79" s="1" t="n">
        <v>46107.66046296297</v>
      </c>
      <c r="C79" s="1" t="n">
        <v>46120</v>
      </c>
      <c r="D79" t="inlineStr">
        <is>
          <t>STOCKHOLMS LÄN</t>
        </is>
      </c>
      <c r="E79" t="inlineStr">
        <is>
          <t>NORRTÄLJE</t>
        </is>
      </c>
      <c r="G79" t="n">
        <v>2.9</v>
      </c>
      <c r="H79" t="n">
        <v>1</v>
      </c>
      <c r="I79" t="n">
        <v>1</v>
      </c>
      <c r="J79" t="n">
        <v>0</v>
      </c>
      <c r="K79" t="n">
        <v>0</v>
      </c>
      <c r="L79" t="n">
        <v>0</v>
      </c>
      <c r="M79" t="n">
        <v>0</v>
      </c>
      <c r="N79" t="n">
        <v>0</v>
      </c>
      <c r="O79" t="n">
        <v>0</v>
      </c>
      <c r="P79" t="n">
        <v>0</v>
      </c>
      <c r="Q79" t="n">
        <v>2</v>
      </c>
      <c r="R79" s="2" t="inlineStr">
        <is>
          <t>Fjällig taggsvamp s.str.
Blåsippa</t>
        </is>
      </c>
      <c r="S79">
        <f>HYPERLINK("https://klasma.github.io/Logging_0188/artfynd/A 15925-2026 artfynd.xlsx", "A 15925-2026")</f>
        <v/>
      </c>
      <c r="T79">
        <f>HYPERLINK("https://klasma.github.io/Logging_0188/kartor/A 15925-2026 karta.png", "A 15925-2026")</f>
        <v/>
      </c>
      <c r="V79">
        <f>HYPERLINK("https://klasma.github.io/Logging_0188/klagomål/A 15925-2026 FSC-klagomål.docx", "A 15925-2026")</f>
        <v/>
      </c>
      <c r="W79">
        <f>HYPERLINK("https://klasma.github.io/Logging_0188/klagomålsmail/A 15925-2026 FSC-klagomål mail.docx", "A 15925-2026")</f>
        <v/>
      </c>
      <c r="X79">
        <f>HYPERLINK("https://klasma.github.io/Logging_0188/tillsyn/A 15925-2026 tillsynsbegäran.docx", "A 15925-2026")</f>
        <v/>
      </c>
      <c r="Y79">
        <f>HYPERLINK("https://klasma.github.io/Logging_0188/tillsynsmail/A 15925-2026 tillsynsbegäran mail.docx", "A 15925-2026")</f>
        <v/>
      </c>
    </row>
    <row r="80" ht="15" customHeight="1">
      <c r="A80" t="inlineStr">
        <is>
          <t>A 50697-2025</t>
        </is>
      </c>
      <c r="B80" s="1" t="n">
        <v>45945.90854166666</v>
      </c>
      <c r="C80" s="1" t="n">
        <v>46120</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52360-2024</t>
        </is>
      </c>
      <c r="B81" s="1" t="n">
        <v>45609.37094907407</v>
      </c>
      <c r="C81" s="1" t="n">
        <v>46120</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53608-2025</t>
        </is>
      </c>
      <c r="B82" s="1" t="n">
        <v>45960</v>
      </c>
      <c r="C82" s="1" t="n">
        <v>46120</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33548-2025</t>
        </is>
      </c>
      <c r="B83" s="1" t="n">
        <v>45841.5721875</v>
      </c>
      <c r="C83" s="1" t="n">
        <v>46120</v>
      </c>
      <c r="D83" t="inlineStr">
        <is>
          <t>STOCKHOLMS LÄN</t>
        </is>
      </c>
      <c r="E83" t="inlineStr">
        <is>
          <t>NORRTÄLJE</t>
        </is>
      </c>
      <c r="G83" t="n">
        <v>12.2</v>
      </c>
      <c r="H83" t="n">
        <v>1</v>
      </c>
      <c r="I83" t="n">
        <v>0</v>
      </c>
      <c r="J83" t="n">
        <v>1</v>
      </c>
      <c r="K83" t="n">
        <v>0</v>
      </c>
      <c r="L83" t="n">
        <v>0</v>
      </c>
      <c r="M83" t="n">
        <v>0</v>
      </c>
      <c r="N83" t="n">
        <v>0</v>
      </c>
      <c r="O83" t="n">
        <v>1</v>
      </c>
      <c r="P83" t="n">
        <v>0</v>
      </c>
      <c r="Q83" t="n">
        <v>2</v>
      </c>
      <c r="R83" s="2" t="inlineStr">
        <is>
          <t>Dofttaggsvamp
Sparvuggla</t>
        </is>
      </c>
      <c r="S83">
        <f>HYPERLINK("https://klasma.github.io/Logging_0188/artfynd/A 33548-2025 artfynd.xlsx", "A 33548-2025")</f>
        <v/>
      </c>
      <c r="T83">
        <f>HYPERLINK("https://klasma.github.io/Logging_0188/kartor/A 33548-2025 karta.png", "A 33548-2025")</f>
        <v/>
      </c>
      <c r="V83">
        <f>HYPERLINK("https://klasma.github.io/Logging_0188/klagomål/A 33548-2025 FSC-klagomål.docx", "A 33548-2025")</f>
        <v/>
      </c>
      <c r="W83">
        <f>HYPERLINK("https://klasma.github.io/Logging_0188/klagomålsmail/A 33548-2025 FSC-klagomål mail.docx", "A 33548-2025")</f>
        <v/>
      </c>
      <c r="X83">
        <f>HYPERLINK("https://klasma.github.io/Logging_0188/tillsyn/A 33548-2025 tillsynsbegäran.docx", "A 33548-2025")</f>
        <v/>
      </c>
      <c r="Y83">
        <f>HYPERLINK("https://klasma.github.io/Logging_0188/tillsynsmail/A 33548-2025 tillsynsbegäran mail.docx", "A 33548-2025")</f>
        <v/>
      </c>
      <c r="Z83">
        <f>HYPERLINK("https://klasma.github.io/Logging_0188/fåglar/A 33548-2025 prioriterade fågelarter.docx", "A 33548-2025")</f>
        <v/>
      </c>
    </row>
    <row r="84" ht="15" customHeight="1">
      <c r="A84" t="inlineStr">
        <is>
          <t>A 52825-2023</t>
        </is>
      </c>
      <c r="B84" s="1" t="n">
        <v>45226</v>
      </c>
      <c r="C84" s="1" t="n">
        <v>46120</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46120</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46120</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46120</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46120</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46120</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46120</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46120</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46120</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46120</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46120</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364-2026</t>
        </is>
      </c>
      <c r="B95" s="1" t="n">
        <v>46027.67134259259</v>
      </c>
      <c r="C95" s="1" t="n">
        <v>46120</v>
      </c>
      <c r="D95" t="inlineStr">
        <is>
          <t>STOCKHOLMS LÄN</t>
        </is>
      </c>
      <c r="E95" t="inlineStr">
        <is>
          <t>NORRTÄLJE</t>
        </is>
      </c>
      <c r="F95" t="inlineStr">
        <is>
          <t>Holmen skog AB</t>
        </is>
      </c>
      <c r="G95" t="n">
        <v>4.3</v>
      </c>
      <c r="H95" t="n">
        <v>1</v>
      </c>
      <c r="I95" t="n">
        <v>0</v>
      </c>
      <c r="J95" t="n">
        <v>0</v>
      </c>
      <c r="K95" t="n">
        <v>0</v>
      </c>
      <c r="L95" t="n">
        <v>1</v>
      </c>
      <c r="M95" t="n">
        <v>0</v>
      </c>
      <c r="N95" t="n">
        <v>0</v>
      </c>
      <c r="O95" t="n">
        <v>1</v>
      </c>
      <c r="P95" t="n">
        <v>1</v>
      </c>
      <c r="Q95" t="n">
        <v>1</v>
      </c>
      <c r="R95" s="2" t="inlineStr">
        <is>
          <t>Asknätfjäril</t>
        </is>
      </c>
      <c r="S95">
        <f>HYPERLINK("https://klasma.github.io/Logging_0188/artfynd/A 364-2026 artfynd.xlsx", "A 364-2026")</f>
        <v/>
      </c>
      <c r="T95">
        <f>HYPERLINK("https://klasma.github.io/Logging_0188/kartor/A 364-2026 karta.png", "A 364-2026")</f>
        <v/>
      </c>
      <c r="V95">
        <f>HYPERLINK("https://klasma.github.io/Logging_0188/klagomål/A 364-2026 FSC-klagomål.docx", "A 364-2026")</f>
        <v/>
      </c>
      <c r="W95">
        <f>HYPERLINK("https://klasma.github.io/Logging_0188/klagomålsmail/A 364-2026 FSC-klagomål mail.docx", "A 364-2026")</f>
        <v/>
      </c>
      <c r="X95">
        <f>HYPERLINK("https://klasma.github.io/Logging_0188/tillsyn/A 364-2026 tillsynsbegäran.docx", "A 364-2026")</f>
        <v/>
      </c>
      <c r="Y95">
        <f>HYPERLINK("https://klasma.github.io/Logging_0188/tillsynsmail/A 364-2026 tillsynsbegäran mail.docx", "A 364-2026")</f>
        <v/>
      </c>
    </row>
    <row r="96" ht="15" customHeight="1">
      <c r="A96" t="inlineStr">
        <is>
          <t>A 25709-2025</t>
        </is>
      </c>
      <c r="B96" s="1" t="n">
        <v>45800</v>
      </c>
      <c r="C96" s="1" t="n">
        <v>46120</v>
      </c>
      <c r="D96" t="inlineStr">
        <is>
          <t>STOCKHOLMS LÄN</t>
        </is>
      </c>
      <c r="E96" t="inlineStr">
        <is>
          <t>NORRTÄLJE</t>
        </is>
      </c>
      <c r="G96" t="n">
        <v>4.6</v>
      </c>
      <c r="H96" t="n">
        <v>0</v>
      </c>
      <c r="I96" t="n">
        <v>0</v>
      </c>
      <c r="J96" t="n">
        <v>1</v>
      </c>
      <c r="K96" t="n">
        <v>0</v>
      </c>
      <c r="L96" t="n">
        <v>0</v>
      </c>
      <c r="M96" t="n">
        <v>0</v>
      </c>
      <c r="N96" t="n">
        <v>0</v>
      </c>
      <c r="O96" t="n">
        <v>1</v>
      </c>
      <c r="P96" t="n">
        <v>0</v>
      </c>
      <c r="Q96" t="n">
        <v>1</v>
      </c>
      <c r="R96" s="2" t="inlineStr">
        <is>
          <t>Ullticka</t>
        </is>
      </c>
      <c r="S96">
        <f>HYPERLINK("https://klasma.github.io/Logging_0188/artfynd/A 25709-2025 artfynd.xlsx", "A 25709-2025")</f>
        <v/>
      </c>
      <c r="T96">
        <f>HYPERLINK("https://klasma.github.io/Logging_0188/kartor/A 25709-2025 karta.png", "A 25709-2025")</f>
        <v/>
      </c>
      <c r="V96">
        <f>HYPERLINK("https://klasma.github.io/Logging_0188/klagomål/A 25709-2025 FSC-klagomål.docx", "A 25709-2025")</f>
        <v/>
      </c>
      <c r="W96">
        <f>HYPERLINK("https://klasma.github.io/Logging_0188/klagomålsmail/A 25709-2025 FSC-klagomål mail.docx", "A 25709-2025")</f>
        <v/>
      </c>
      <c r="X96">
        <f>HYPERLINK("https://klasma.github.io/Logging_0188/tillsyn/A 25709-2025 tillsynsbegäran.docx", "A 25709-2025")</f>
        <v/>
      </c>
      <c r="Y96">
        <f>HYPERLINK("https://klasma.github.io/Logging_0188/tillsynsmail/A 25709-2025 tillsynsbegäran mail.docx", "A 25709-2025")</f>
        <v/>
      </c>
    </row>
    <row r="97" ht="15" customHeight="1">
      <c r="A97" t="inlineStr">
        <is>
          <t>A 4860-2022</t>
        </is>
      </c>
      <c r="B97" s="1" t="n">
        <v>44592</v>
      </c>
      <c r="C97" s="1" t="n">
        <v>46120</v>
      </c>
      <c r="D97" t="inlineStr">
        <is>
          <t>STOCKHOLMS LÄN</t>
        </is>
      </c>
      <c r="E97" t="inlineStr">
        <is>
          <t>NORRTÄLJE</t>
        </is>
      </c>
      <c r="G97" t="n">
        <v>22.3</v>
      </c>
      <c r="H97" t="n">
        <v>0</v>
      </c>
      <c r="I97" t="n">
        <v>0</v>
      </c>
      <c r="J97" t="n">
        <v>1</v>
      </c>
      <c r="K97" t="n">
        <v>0</v>
      </c>
      <c r="L97" t="n">
        <v>0</v>
      </c>
      <c r="M97" t="n">
        <v>0</v>
      </c>
      <c r="N97" t="n">
        <v>0</v>
      </c>
      <c r="O97" t="n">
        <v>1</v>
      </c>
      <c r="P97" t="n">
        <v>0</v>
      </c>
      <c r="Q97" t="n">
        <v>1</v>
      </c>
      <c r="R97" s="2" t="inlineStr">
        <is>
          <t>Igelkott</t>
        </is>
      </c>
      <c r="S97">
        <f>HYPERLINK("https://klasma.github.io/Logging_0188/artfynd/A 4860-2022 artfynd.xlsx", "A 4860-2022")</f>
        <v/>
      </c>
      <c r="T97">
        <f>HYPERLINK("https://klasma.github.io/Logging_0188/kartor/A 4860-2022 karta.png", "A 4860-2022")</f>
        <v/>
      </c>
      <c r="V97">
        <f>HYPERLINK("https://klasma.github.io/Logging_0188/klagomål/A 4860-2022 FSC-klagomål.docx", "A 4860-2022")</f>
        <v/>
      </c>
      <c r="W97">
        <f>HYPERLINK("https://klasma.github.io/Logging_0188/klagomålsmail/A 4860-2022 FSC-klagomål mail.docx", "A 4860-2022")</f>
        <v/>
      </c>
      <c r="X97">
        <f>HYPERLINK("https://klasma.github.io/Logging_0188/tillsyn/A 4860-2022 tillsynsbegäran.docx", "A 4860-2022")</f>
        <v/>
      </c>
      <c r="Y97">
        <f>HYPERLINK("https://klasma.github.io/Logging_0188/tillsynsmail/A 4860-2022 tillsynsbegäran mail.docx", "A 4860-2022")</f>
        <v/>
      </c>
    </row>
    <row r="98" ht="15" customHeight="1">
      <c r="A98" t="inlineStr">
        <is>
          <t>A 25725-2025</t>
        </is>
      </c>
      <c r="B98" s="1" t="n">
        <v>45800</v>
      </c>
      <c r="C98" s="1" t="n">
        <v>46120</v>
      </c>
      <c r="D98" t="inlineStr">
        <is>
          <t>STOCKHOLMS LÄN</t>
        </is>
      </c>
      <c r="E98" t="inlineStr">
        <is>
          <t>NORRTÄLJE</t>
        </is>
      </c>
      <c r="G98" t="n">
        <v>5.2</v>
      </c>
      <c r="H98" t="n">
        <v>0</v>
      </c>
      <c r="I98" t="n">
        <v>0</v>
      </c>
      <c r="J98" t="n">
        <v>1</v>
      </c>
      <c r="K98" t="n">
        <v>0</v>
      </c>
      <c r="L98" t="n">
        <v>0</v>
      </c>
      <c r="M98" t="n">
        <v>0</v>
      </c>
      <c r="N98" t="n">
        <v>0</v>
      </c>
      <c r="O98" t="n">
        <v>1</v>
      </c>
      <c r="P98" t="n">
        <v>0</v>
      </c>
      <c r="Q98" t="n">
        <v>1</v>
      </c>
      <c r="R98" s="2" t="inlineStr">
        <is>
          <t>Tallticka</t>
        </is>
      </c>
      <c r="S98">
        <f>HYPERLINK("https://klasma.github.io/Logging_0188/artfynd/A 25725-2025 artfynd.xlsx", "A 25725-2025")</f>
        <v/>
      </c>
      <c r="T98">
        <f>HYPERLINK("https://klasma.github.io/Logging_0188/kartor/A 25725-2025 karta.png", "A 25725-2025")</f>
        <v/>
      </c>
      <c r="V98">
        <f>HYPERLINK("https://klasma.github.io/Logging_0188/klagomål/A 25725-2025 FSC-klagomål.docx", "A 25725-2025")</f>
        <v/>
      </c>
      <c r="W98">
        <f>HYPERLINK("https://klasma.github.io/Logging_0188/klagomålsmail/A 25725-2025 FSC-klagomål mail.docx", "A 25725-2025")</f>
        <v/>
      </c>
      <c r="X98">
        <f>HYPERLINK("https://klasma.github.io/Logging_0188/tillsyn/A 25725-2025 tillsynsbegäran.docx", "A 25725-2025")</f>
        <v/>
      </c>
      <c r="Y98">
        <f>HYPERLINK("https://klasma.github.io/Logging_0188/tillsynsmail/A 25725-2025 tillsynsbegäran mail.docx", "A 25725-2025")</f>
        <v/>
      </c>
    </row>
    <row r="99" ht="15" customHeight="1">
      <c r="A99" t="inlineStr">
        <is>
          <t>A 35649-2023</t>
        </is>
      </c>
      <c r="B99" s="1" t="n">
        <v>45146</v>
      </c>
      <c r="C99" s="1" t="n">
        <v>46120</v>
      </c>
      <c r="D99" t="inlineStr">
        <is>
          <t>STOCKHOLMS LÄN</t>
        </is>
      </c>
      <c r="E99" t="inlineStr">
        <is>
          <t>NORRTÄLJE</t>
        </is>
      </c>
      <c r="G99" t="n">
        <v>25.1</v>
      </c>
      <c r="H99" t="n">
        <v>0</v>
      </c>
      <c r="I99" t="n">
        <v>0</v>
      </c>
      <c r="J99" t="n">
        <v>1</v>
      </c>
      <c r="K99" t="n">
        <v>0</v>
      </c>
      <c r="L99" t="n">
        <v>0</v>
      </c>
      <c r="M99" t="n">
        <v>0</v>
      </c>
      <c r="N99" t="n">
        <v>0</v>
      </c>
      <c r="O99" t="n">
        <v>1</v>
      </c>
      <c r="P99" t="n">
        <v>0</v>
      </c>
      <c r="Q99" t="n">
        <v>1</v>
      </c>
      <c r="R99" s="2" t="inlineStr">
        <is>
          <t>Månlåsbräken</t>
        </is>
      </c>
      <c r="S99">
        <f>HYPERLINK("https://klasma.github.io/Logging_0188/artfynd/A 35649-2023 artfynd.xlsx", "A 35649-2023")</f>
        <v/>
      </c>
      <c r="T99">
        <f>HYPERLINK("https://klasma.github.io/Logging_0188/kartor/A 35649-2023 karta.png", "A 35649-2023")</f>
        <v/>
      </c>
      <c r="V99">
        <f>HYPERLINK("https://klasma.github.io/Logging_0188/klagomål/A 35649-2023 FSC-klagomål.docx", "A 35649-2023")</f>
        <v/>
      </c>
      <c r="W99">
        <f>HYPERLINK("https://klasma.github.io/Logging_0188/klagomålsmail/A 35649-2023 FSC-klagomål mail.docx", "A 35649-2023")</f>
        <v/>
      </c>
      <c r="X99">
        <f>HYPERLINK("https://klasma.github.io/Logging_0188/tillsyn/A 35649-2023 tillsynsbegäran.docx", "A 35649-2023")</f>
        <v/>
      </c>
      <c r="Y99">
        <f>HYPERLINK("https://klasma.github.io/Logging_0188/tillsynsmail/A 35649-2023 tillsynsbegäran mail.docx", "A 35649-2023")</f>
        <v/>
      </c>
    </row>
    <row r="100" ht="15" customHeight="1">
      <c r="A100" t="inlineStr">
        <is>
          <t>A 35764-2024</t>
        </is>
      </c>
      <c r="B100" s="1" t="n">
        <v>45532</v>
      </c>
      <c r="C100" s="1" t="n">
        <v>46120</v>
      </c>
      <c r="D100" t="inlineStr">
        <is>
          <t>STOCKHOLMS LÄN</t>
        </is>
      </c>
      <c r="E100" t="inlineStr">
        <is>
          <t>NORRTÄLJE</t>
        </is>
      </c>
      <c r="G100" t="n">
        <v>14.2</v>
      </c>
      <c r="H100" t="n">
        <v>1</v>
      </c>
      <c r="I100" t="n">
        <v>0</v>
      </c>
      <c r="J100" t="n">
        <v>0</v>
      </c>
      <c r="K100" t="n">
        <v>1</v>
      </c>
      <c r="L100" t="n">
        <v>0</v>
      </c>
      <c r="M100" t="n">
        <v>0</v>
      </c>
      <c r="N100" t="n">
        <v>0</v>
      </c>
      <c r="O100" t="n">
        <v>1</v>
      </c>
      <c r="P100" t="n">
        <v>1</v>
      </c>
      <c r="Q100" t="n">
        <v>1</v>
      </c>
      <c r="R100" s="2" t="inlineStr">
        <is>
          <t>Knärot</t>
        </is>
      </c>
      <c r="S100">
        <f>HYPERLINK("https://klasma.github.io/Logging_0188/artfynd/A 35764-2024 artfynd.xlsx", "A 35764-2024")</f>
        <v/>
      </c>
      <c r="T100">
        <f>HYPERLINK("https://klasma.github.io/Logging_0188/kartor/A 35764-2024 karta.png", "A 35764-2024")</f>
        <v/>
      </c>
      <c r="U100">
        <f>HYPERLINK("https://klasma.github.io/Logging_0188/knärot/A 35764-2024 karta knärot.png", "A 35764-2024")</f>
        <v/>
      </c>
      <c r="V100">
        <f>HYPERLINK("https://klasma.github.io/Logging_0188/klagomål/A 35764-2024 FSC-klagomål.docx", "A 35764-2024")</f>
        <v/>
      </c>
      <c r="W100">
        <f>HYPERLINK("https://klasma.github.io/Logging_0188/klagomålsmail/A 35764-2024 FSC-klagomål mail.docx", "A 35764-2024")</f>
        <v/>
      </c>
      <c r="X100">
        <f>HYPERLINK("https://klasma.github.io/Logging_0188/tillsyn/A 35764-2024 tillsynsbegäran.docx", "A 35764-2024")</f>
        <v/>
      </c>
      <c r="Y100">
        <f>HYPERLINK("https://klasma.github.io/Logging_0188/tillsynsmail/A 35764-2024 tillsynsbegäran mail.docx", "A 35764-2024")</f>
        <v/>
      </c>
    </row>
    <row r="101" ht="15" customHeight="1">
      <c r="A101" t="inlineStr">
        <is>
          <t>A 25669-2025</t>
        </is>
      </c>
      <c r="B101" s="1" t="n">
        <v>45803.62766203703</v>
      </c>
      <c r="C101" s="1" t="n">
        <v>46120</v>
      </c>
      <c r="D101" t="inlineStr">
        <is>
          <t>STOCKHOLMS LÄN</t>
        </is>
      </c>
      <c r="E101" t="inlineStr">
        <is>
          <t>NORRTÄLJE</t>
        </is>
      </c>
      <c r="F101" t="inlineStr">
        <is>
          <t>Holmen skog AB</t>
        </is>
      </c>
      <c r="G101" t="n">
        <v>3.1</v>
      </c>
      <c r="H101" t="n">
        <v>1</v>
      </c>
      <c r="I101" t="n">
        <v>0</v>
      </c>
      <c r="J101" t="n">
        <v>0</v>
      </c>
      <c r="K101" t="n">
        <v>0</v>
      </c>
      <c r="L101" t="n">
        <v>0</v>
      </c>
      <c r="M101" t="n">
        <v>0</v>
      </c>
      <c r="N101" t="n">
        <v>0</v>
      </c>
      <c r="O101" t="n">
        <v>0</v>
      </c>
      <c r="P101" t="n">
        <v>0</v>
      </c>
      <c r="Q101" t="n">
        <v>1</v>
      </c>
      <c r="R101" s="2" t="inlineStr">
        <is>
          <t>Tjäder</t>
        </is>
      </c>
      <c r="S101">
        <f>HYPERLINK("https://klasma.github.io/Logging_0188/artfynd/A 25669-2025 artfynd.xlsx", "A 25669-2025")</f>
        <v/>
      </c>
      <c r="T101">
        <f>HYPERLINK("https://klasma.github.io/Logging_0188/kartor/A 25669-2025 karta.png", "A 25669-2025")</f>
        <v/>
      </c>
      <c r="V101">
        <f>HYPERLINK("https://klasma.github.io/Logging_0188/klagomål/A 25669-2025 FSC-klagomål.docx", "A 25669-2025")</f>
        <v/>
      </c>
      <c r="W101">
        <f>HYPERLINK("https://klasma.github.io/Logging_0188/klagomålsmail/A 25669-2025 FSC-klagomål mail.docx", "A 25669-2025")</f>
        <v/>
      </c>
      <c r="X101">
        <f>HYPERLINK("https://klasma.github.io/Logging_0188/tillsyn/A 25669-2025 tillsynsbegäran.docx", "A 25669-2025")</f>
        <v/>
      </c>
      <c r="Y101">
        <f>HYPERLINK("https://klasma.github.io/Logging_0188/tillsynsmail/A 25669-2025 tillsynsbegäran mail.docx", "A 25669-2025")</f>
        <v/>
      </c>
      <c r="Z101">
        <f>HYPERLINK("https://klasma.github.io/Logging_0188/fåglar/A 25669-2025 prioriterade fågelarter.docx", "A 25669-2025")</f>
        <v/>
      </c>
    </row>
    <row r="102" ht="15" customHeight="1">
      <c r="A102" t="inlineStr">
        <is>
          <t>A 13291-2025</t>
        </is>
      </c>
      <c r="B102" s="1" t="n">
        <v>45735</v>
      </c>
      <c r="C102" s="1" t="n">
        <v>46120</v>
      </c>
      <c r="D102" t="inlineStr">
        <is>
          <t>STOCKHOLMS LÄN</t>
        </is>
      </c>
      <c r="E102" t="inlineStr">
        <is>
          <t>NORRTÄLJE</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HYPERLINK("https://klasma.github.io/Logging_0188/artfynd/A 13291-2025 artfynd.xlsx", "A 13291-2025")</f>
        <v/>
      </c>
      <c r="T102">
        <f>HYPERLINK("https://klasma.github.io/Logging_0188/kartor/A 13291-2025 karta.png", "A 13291-2025")</f>
        <v/>
      </c>
      <c r="V102">
        <f>HYPERLINK("https://klasma.github.io/Logging_0188/klagomål/A 13291-2025 FSC-klagomål.docx", "A 13291-2025")</f>
        <v/>
      </c>
      <c r="W102">
        <f>HYPERLINK("https://klasma.github.io/Logging_0188/klagomålsmail/A 13291-2025 FSC-klagomål mail.docx", "A 13291-2025")</f>
        <v/>
      </c>
      <c r="X102">
        <f>HYPERLINK("https://klasma.github.io/Logging_0188/tillsyn/A 13291-2025 tillsynsbegäran.docx", "A 13291-2025")</f>
        <v/>
      </c>
      <c r="Y102">
        <f>HYPERLINK("https://klasma.github.io/Logging_0188/tillsynsmail/A 13291-2025 tillsynsbegäran mail.docx", "A 13291-2025")</f>
        <v/>
      </c>
    </row>
    <row r="103" ht="15" customHeight="1">
      <c r="A103" t="inlineStr">
        <is>
          <t>A 40861-2025</t>
        </is>
      </c>
      <c r="B103" s="1" t="n">
        <v>45897.56356481482</v>
      </c>
      <c r="C103" s="1" t="n">
        <v>46120</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13271-2025</t>
        </is>
      </c>
      <c r="B104" s="1" t="n">
        <v>45735.54510416667</v>
      </c>
      <c r="C104" s="1" t="n">
        <v>46120</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42313-2025</t>
        </is>
      </c>
      <c r="B105" s="1" t="n">
        <v>45904.6575</v>
      </c>
      <c r="C105" s="1" t="n">
        <v>46120</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58888-2021</t>
        </is>
      </c>
      <c r="B106" s="1" t="n">
        <v>44489</v>
      </c>
      <c r="C106" s="1" t="n">
        <v>46120</v>
      </c>
      <c r="D106" t="inlineStr">
        <is>
          <t>STOCKHOLMS LÄN</t>
        </is>
      </c>
      <c r="E106" t="inlineStr">
        <is>
          <t>NORRTÄLJE</t>
        </is>
      </c>
      <c r="F106" t="inlineStr">
        <is>
          <t>Holmen skog AB</t>
        </is>
      </c>
      <c r="G106" t="n">
        <v>2.5</v>
      </c>
      <c r="H106" t="n">
        <v>1</v>
      </c>
      <c r="I106" t="n">
        <v>0</v>
      </c>
      <c r="J106" t="n">
        <v>0</v>
      </c>
      <c r="K106" t="n">
        <v>0</v>
      </c>
      <c r="L106" t="n">
        <v>1</v>
      </c>
      <c r="M106" t="n">
        <v>0</v>
      </c>
      <c r="N106" t="n">
        <v>0</v>
      </c>
      <c r="O106" t="n">
        <v>1</v>
      </c>
      <c r="P106" t="n">
        <v>1</v>
      </c>
      <c r="Q106" t="n">
        <v>1</v>
      </c>
      <c r="R106" s="2" t="inlineStr">
        <is>
          <t>Asknätfjäril</t>
        </is>
      </c>
      <c r="S106">
        <f>HYPERLINK("https://klasma.github.io/Logging_0188/artfynd/A 58888-2021 artfynd.xlsx", "A 58888-2021")</f>
        <v/>
      </c>
      <c r="T106">
        <f>HYPERLINK("https://klasma.github.io/Logging_0188/kartor/A 58888-2021 karta.png", "A 58888-2021")</f>
        <v/>
      </c>
      <c r="V106">
        <f>HYPERLINK("https://klasma.github.io/Logging_0188/klagomål/A 58888-2021 FSC-klagomål.docx", "A 58888-2021")</f>
        <v/>
      </c>
      <c r="W106">
        <f>HYPERLINK("https://klasma.github.io/Logging_0188/klagomålsmail/A 58888-2021 FSC-klagomål mail.docx", "A 58888-2021")</f>
        <v/>
      </c>
      <c r="X106">
        <f>HYPERLINK("https://klasma.github.io/Logging_0188/tillsyn/A 58888-2021 tillsynsbegäran.docx", "A 58888-2021")</f>
        <v/>
      </c>
      <c r="Y106">
        <f>HYPERLINK("https://klasma.github.io/Logging_0188/tillsynsmail/A 58888-2021 tillsynsbegäran mail.docx", "A 58888-2021")</f>
        <v/>
      </c>
    </row>
    <row r="107" ht="15" customHeight="1">
      <c r="A107" t="inlineStr">
        <is>
          <t>A 39158-2025</t>
        </is>
      </c>
      <c r="B107" s="1" t="n">
        <v>45888</v>
      </c>
      <c r="C107" s="1" t="n">
        <v>46120</v>
      </c>
      <c r="D107" t="inlineStr">
        <is>
          <t>STOCKHOLMS LÄN</t>
        </is>
      </c>
      <c r="E107" t="inlineStr">
        <is>
          <t>NORRTÄLJE</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HYPERLINK("https://klasma.github.io/Logging_0188/artfynd/A 39158-2025 artfynd.xlsx", "A 39158-2025")</f>
        <v/>
      </c>
      <c r="T107">
        <f>HYPERLINK("https://klasma.github.io/Logging_0188/kartor/A 39158-2025 karta.png", "A 39158-2025")</f>
        <v/>
      </c>
      <c r="V107">
        <f>HYPERLINK("https://klasma.github.io/Logging_0188/klagomål/A 39158-2025 FSC-klagomål.docx", "A 39158-2025")</f>
        <v/>
      </c>
      <c r="W107">
        <f>HYPERLINK("https://klasma.github.io/Logging_0188/klagomålsmail/A 39158-2025 FSC-klagomål mail.docx", "A 39158-2025")</f>
        <v/>
      </c>
      <c r="X107">
        <f>HYPERLINK("https://klasma.github.io/Logging_0188/tillsyn/A 39158-2025 tillsynsbegäran.docx", "A 39158-2025")</f>
        <v/>
      </c>
      <c r="Y107">
        <f>HYPERLINK("https://klasma.github.io/Logging_0188/tillsynsmail/A 39158-2025 tillsynsbegäran mail.docx", "A 39158-2025")</f>
        <v/>
      </c>
    </row>
    <row r="108" ht="15" customHeight="1">
      <c r="A108" t="inlineStr">
        <is>
          <t>A 7734-2026</t>
        </is>
      </c>
      <c r="B108" s="1" t="n">
        <v>46062.52902777777</v>
      </c>
      <c r="C108" s="1" t="n">
        <v>46120</v>
      </c>
      <c r="D108" t="inlineStr">
        <is>
          <t>STOCKHOLMS LÄN</t>
        </is>
      </c>
      <c r="E108" t="inlineStr">
        <is>
          <t>NORRTÄLJE</t>
        </is>
      </c>
      <c r="G108" t="n">
        <v>6.6</v>
      </c>
      <c r="H108" t="n">
        <v>0</v>
      </c>
      <c r="I108" t="n">
        <v>1</v>
      </c>
      <c r="J108" t="n">
        <v>0</v>
      </c>
      <c r="K108" t="n">
        <v>0</v>
      </c>
      <c r="L108" t="n">
        <v>0</v>
      </c>
      <c r="M108" t="n">
        <v>0</v>
      </c>
      <c r="N108" t="n">
        <v>0</v>
      </c>
      <c r="O108" t="n">
        <v>0</v>
      </c>
      <c r="P108" t="n">
        <v>0</v>
      </c>
      <c r="Q108" t="n">
        <v>1</v>
      </c>
      <c r="R108" s="2" t="inlineStr">
        <is>
          <t>Kastanjefjällskivling</t>
        </is>
      </c>
      <c r="S108">
        <f>HYPERLINK("https://klasma.github.io/Logging_0188/artfynd/A 7734-2026 artfynd.xlsx", "A 7734-2026")</f>
        <v/>
      </c>
      <c r="T108">
        <f>HYPERLINK("https://klasma.github.io/Logging_0188/kartor/A 7734-2026 karta.png", "A 7734-2026")</f>
        <v/>
      </c>
      <c r="V108">
        <f>HYPERLINK("https://klasma.github.io/Logging_0188/klagomål/A 7734-2026 FSC-klagomål.docx", "A 7734-2026")</f>
        <v/>
      </c>
      <c r="W108">
        <f>HYPERLINK("https://klasma.github.io/Logging_0188/klagomålsmail/A 7734-2026 FSC-klagomål mail.docx", "A 7734-2026")</f>
        <v/>
      </c>
      <c r="X108">
        <f>HYPERLINK("https://klasma.github.io/Logging_0188/tillsyn/A 7734-2026 tillsynsbegäran.docx", "A 7734-2026")</f>
        <v/>
      </c>
      <c r="Y108">
        <f>HYPERLINK("https://klasma.github.io/Logging_0188/tillsynsmail/A 7734-2026 tillsynsbegäran mail.docx", "A 7734-2026")</f>
        <v/>
      </c>
    </row>
    <row r="109" ht="15" customHeight="1">
      <c r="A109" t="inlineStr">
        <is>
          <t>A 21744-2023</t>
        </is>
      </c>
      <c r="B109" s="1" t="n">
        <v>45065</v>
      </c>
      <c r="C109" s="1" t="n">
        <v>46120</v>
      </c>
      <c r="D109" t="inlineStr">
        <is>
          <t>STOCKHOLMS LÄN</t>
        </is>
      </c>
      <c r="E109" t="inlineStr">
        <is>
          <t>NORRTÄLJE</t>
        </is>
      </c>
      <c r="F109" t="inlineStr">
        <is>
          <t>Holmen skog AB</t>
        </is>
      </c>
      <c r="G109" t="n">
        <v>4.2</v>
      </c>
      <c r="H109" t="n">
        <v>0</v>
      </c>
      <c r="I109" t="n">
        <v>1</v>
      </c>
      <c r="J109" t="n">
        <v>0</v>
      </c>
      <c r="K109" t="n">
        <v>0</v>
      </c>
      <c r="L109" t="n">
        <v>0</v>
      </c>
      <c r="M109" t="n">
        <v>0</v>
      </c>
      <c r="N109" t="n">
        <v>0</v>
      </c>
      <c r="O109" t="n">
        <v>0</v>
      </c>
      <c r="P109" t="n">
        <v>0</v>
      </c>
      <c r="Q109" t="n">
        <v>1</v>
      </c>
      <c r="R109" s="2" t="inlineStr">
        <is>
          <t>Korallblylav</t>
        </is>
      </c>
      <c r="S109">
        <f>HYPERLINK("https://klasma.github.io/Logging_0188/artfynd/A 21744-2023 artfynd.xlsx", "A 21744-2023")</f>
        <v/>
      </c>
      <c r="T109">
        <f>HYPERLINK("https://klasma.github.io/Logging_0188/kartor/A 21744-2023 karta.png", "A 21744-2023")</f>
        <v/>
      </c>
      <c r="V109">
        <f>HYPERLINK("https://klasma.github.io/Logging_0188/klagomål/A 21744-2023 FSC-klagomål.docx", "A 21744-2023")</f>
        <v/>
      </c>
      <c r="W109">
        <f>HYPERLINK("https://klasma.github.io/Logging_0188/klagomålsmail/A 21744-2023 FSC-klagomål mail.docx", "A 21744-2023")</f>
        <v/>
      </c>
      <c r="X109">
        <f>HYPERLINK("https://klasma.github.io/Logging_0188/tillsyn/A 21744-2023 tillsynsbegäran.docx", "A 21744-2023")</f>
        <v/>
      </c>
      <c r="Y109">
        <f>HYPERLINK("https://klasma.github.io/Logging_0188/tillsynsmail/A 21744-2023 tillsynsbegäran mail.docx", "A 21744-2023")</f>
        <v/>
      </c>
    </row>
    <row r="110" ht="15" customHeight="1">
      <c r="A110" t="inlineStr">
        <is>
          <t>A 15886-2026</t>
        </is>
      </c>
      <c r="B110" s="1" t="n">
        <v>46107</v>
      </c>
      <c r="C110" s="1" t="n">
        <v>46120</v>
      </c>
      <c r="D110" t="inlineStr">
        <is>
          <t>STOCKHOLMS LÄN</t>
        </is>
      </c>
      <c r="E110" t="inlineStr">
        <is>
          <t>NORRTÄLJE</t>
        </is>
      </c>
      <c r="G110" t="n">
        <v>1.3</v>
      </c>
      <c r="H110" t="n">
        <v>1</v>
      </c>
      <c r="I110" t="n">
        <v>0</v>
      </c>
      <c r="J110" t="n">
        <v>0</v>
      </c>
      <c r="K110" t="n">
        <v>0</v>
      </c>
      <c r="L110" t="n">
        <v>1</v>
      </c>
      <c r="M110" t="n">
        <v>0</v>
      </c>
      <c r="N110" t="n">
        <v>0</v>
      </c>
      <c r="O110" t="n">
        <v>1</v>
      </c>
      <c r="P110" t="n">
        <v>1</v>
      </c>
      <c r="Q110" t="n">
        <v>1</v>
      </c>
      <c r="R110" s="2" t="inlineStr">
        <is>
          <t>Grönfink</t>
        </is>
      </c>
      <c r="S110">
        <f>HYPERLINK("https://klasma.github.io/Logging_0188/artfynd/A 15886-2026 artfynd.xlsx", "A 15886-2026")</f>
        <v/>
      </c>
      <c r="T110">
        <f>HYPERLINK("https://klasma.github.io/Logging_0188/kartor/A 15886-2026 karta.png", "A 15886-2026")</f>
        <v/>
      </c>
      <c r="V110">
        <f>HYPERLINK("https://klasma.github.io/Logging_0188/klagomål/A 15886-2026 FSC-klagomål.docx", "A 15886-2026")</f>
        <v/>
      </c>
      <c r="W110">
        <f>HYPERLINK("https://klasma.github.io/Logging_0188/klagomålsmail/A 15886-2026 FSC-klagomål mail.docx", "A 15886-2026")</f>
        <v/>
      </c>
      <c r="X110">
        <f>HYPERLINK("https://klasma.github.io/Logging_0188/tillsyn/A 15886-2026 tillsynsbegäran.docx", "A 15886-2026")</f>
        <v/>
      </c>
      <c r="Y110">
        <f>HYPERLINK("https://klasma.github.io/Logging_0188/tillsynsmail/A 15886-2026 tillsynsbegäran mail.docx", "A 15886-2026")</f>
        <v/>
      </c>
      <c r="Z110">
        <f>HYPERLINK("https://klasma.github.io/Logging_0188/fåglar/A 15886-2026 prioriterade fågelarter.docx", "A 15886-2026")</f>
        <v/>
      </c>
    </row>
    <row r="111" ht="15" customHeight="1">
      <c r="A111" t="inlineStr">
        <is>
          <t>A 23146-2024</t>
        </is>
      </c>
      <c r="B111" s="1" t="n">
        <v>45450.63958333333</v>
      </c>
      <c r="C111" s="1" t="n">
        <v>46120</v>
      </c>
      <c r="D111" t="inlineStr">
        <is>
          <t>STOCKHOLMS LÄN</t>
        </is>
      </c>
      <c r="E111" t="inlineStr">
        <is>
          <t>NORRTÄLJE</t>
        </is>
      </c>
      <c r="F111" t="inlineStr">
        <is>
          <t>Kommuner</t>
        </is>
      </c>
      <c r="G111" t="n">
        <v>6</v>
      </c>
      <c r="H111" t="n">
        <v>0</v>
      </c>
      <c r="I111" t="n">
        <v>0</v>
      </c>
      <c r="J111" t="n">
        <v>1</v>
      </c>
      <c r="K111" t="n">
        <v>0</v>
      </c>
      <c r="L111" t="n">
        <v>0</v>
      </c>
      <c r="M111" t="n">
        <v>0</v>
      </c>
      <c r="N111" t="n">
        <v>0</v>
      </c>
      <c r="O111" t="n">
        <v>1</v>
      </c>
      <c r="P111" t="n">
        <v>0</v>
      </c>
      <c r="Q111" t="n">
        <v>1</v>
      </c>
      <c r="R111" s="2" t="inlineStr">
        <is>
          <t>Motaggsvamp</t>
        </is>
      </c>
      <c r="S111">
        <f>HYPERLINK("https://klasma.github.io/Logging_0188/artfynd/A 23146-2024 artfynd.xlsx", "A 23146-2024")</f>
        <v/>
      </c>
      <c r="T111">
        <f>HYPERLINK("https://klasma.github.io/Logging_0188/kartor/A 23146-2024 karta.png", "A 23146-2024")</f>
        <v/>
      </c>
      <c r="V111">
        <f>HYPERLINK("https://klasma.github.io/Logging_0188/klagomål/A 23146-2024 FSC-klagomål.docx", "A 23146-2024")</f>
        <v/>
      </c>
      <c r="W111">
        <f>HYPERLINK("https://klasma.github.io/Logging_0188/klagomålsmail/A 23146-2024 FSC-klagomål mail.docx", "A 23146-2024")</f>
        <v/>
      </c>
      <c r="X111">
        <f>HYPERLINK("https://klasma.github.io/Logging_0188/tillsyn/A 23146-2024 tillsynsbegäran.docx", "A 23146-2024")</f>
        <v/>
      </c>
      <c r="Y111">
        <f>HYPERLINK("https://klasma.github.io/Logging_0188/tillsynsmail/A 23146-2024 tillsynsbegäran mail.docx", "A 23146-2024")</f>
        <v/>
      </c>
    </row>
    <row r="112" ht="15" customHeight="1">
      <c r="A112" t="inlineStr">
        <is>
          <t>A 6381-2023</t>
        </is>
      </c>
      <c r="B112" s="1" t="n">
        <v>44965</v>
      </c>
      <c r="C112" s="1" t="n">
        <v>46120</v>
      </c>
      <c r="D112" t="inlineStr">
        <is>
          <t>STOCKHOLMS LÄN</t>
        </is>
      </c>
      <c r="E112" t="inlineStr">
        <is>
          <t>NORRTÄLJE</t>
        </is>
      </c>
      <c r="G112" t="n">
        <v>3.5</v>
      </c>
      <c r="H112" t="n">
        <v>1</v>
      </c>
      <c r="I112" t="n">
        <v>1</v>
      </c>
      <c r="J112" t="n">
        <v>0</v>
      </c>
      <c r="K112" t="n">
        <v>0</v>
      </c>
      <c r="L112" t="n">
        <v>0</v>
      </c>
      <c r="M112" t="n">
        <v>0</v>
      </c>
      <c r="N112" t="n">
        <v>0</v>
      </c>
      <c r="O112" t="n">
        <v>0</v>
      </c>
      <c r="P112" t="n">
        <v>0</v>
      </c>
      <c r="Q112" t="n">
        <v>1</v>
      </c>
      <c r="R112" s="2" t="inlineStr">
        <is>
          <t>Guckusko</t>
        </is>
      </c>
      <c r="S112">
        <f>HYPERLINK("https://klasma.github.io/Logging_0188/artfynd/A 6381-2023 artfynd.xlsx", "A 6381-2023")</f>
        <v/>
      </c>
      <c r="T112">
        <f>HYPERLINK("https://klasma.github.io/Logging_0188/kartor/A 6381-2023 karta.png", "A 6381-2023")</f>
        <v/>
      </c>
      <c r="V112">
        <f>HYPERLINK("https://klasma.github.io/Logging_0188/klagomål/A 6381-2023 FSC-klagomål.docx", "A 6381-2023")</f>
        <v/>
      </c>
      <c r="W112">
        <f>HYPERLINK("https://klasma.github.io/Logging_0188/klagomålsmail/A 6381-2023 FSC-klagomål mail.docx", "A 6381-2023")</f>
        <v/>
      </c>
      <c r="X112">
        <f>HYPERLINK("https://klasma.github.io/Logging_0188/tillsyn/A 6381-2023 tillsynsbegäran.docx", "A 6381-2023")</f>
        <v/>
      </c>
      <c r="Y112">
        <f>HYPERLINK("https://klasma.github.io/Logging_0188/tillsynsmail/A 6381-2023 tillsynsbegäran mail.docx", "A 6381-2023")</f>
        <v/>
      </c>
    </row>
    <row r="113" ht="15" customHeight="1">
      <c r="A113" t="inlineStr">
        <is>
          <t>A 27538-2024</t>
        </is>
      </c>
      <c r="B113" s="1" t="n">
        <v>45474</v>
      </c>
      <c r="C113" s="1" t="n">
        <v>46120</v>
      </c>
      <c r="D113" t="inlineStr">
        <is>
          <t>STOCKHOLMS LÄN</t>
        </is>
      </c>
      <c r="E113" t="inlineStr">
        <is>
          <t>NORRTÄLJE</t>
        </is>
      </c>
      <c r="G113" t="n">
        <v>1.5</v>
      </c>
      <c r="H113" t="n">
        <v>1</v>
      </c>
      <c r="I113" t="n">
        <v>1</v>
      </c>
      <c r="J113" t="n">
        <v>0</v>
      </c>
      <c r="K113" t="n">
        <v>0</v>
      </c>
      <c r="L113" t="n">
        <v>0</v>
      </c>
      <c r="M113" t="n">
        <v>0</v>
      </c>
      <c r="N113" t="n">
        <v>0</v>
      </c>
      <c r="O113" t="n">
        <v>0</v>
      </c>
      <c r="P113" t="n">
        <v>0</v>
      </c>
      <c r="Q113" t="n">
        <v>1</v>
      </c>
      <c r="R113" s="2" t="inlineStr">
        <is>
          <t>Skogsknipprot</t>
        </is>
      </c>
      <c r="S113">
        <f>HYPERLINK("https://klasma.github.io/Logging_0188/artfynd/A 27538-2024 artfynd.xlsx", "A 27538-2024")</f>
        <v/>
      </c>
      <c r="T113">
        <f>HYPERLINK("https://klasma.github.io/Logging_0188/kartor/A 27538-2024 karta.png", "A 27538-2024")</f>
        <v/>
      </c>
      <c r="V113">
        <f>HYPERLINK("https://klasma.github.io/Logging_0188/klagomål/A 27538-2024 FSC-klagomål.docx", "A 27538-2024")</f>
        <v/>
      </c>
      <c r="W113">
        <f>HYPERLINK("https://klasma.github.io/Logging_0188/klagomålsmail/A 27538-2024 FSC-klagomål mail.docx", "A 27538-2024")</f>
        <v/>
      </c>
      <c r="X113">
        <f>HYPERLINK("https://klasma.github.io/Logging_0188/tillsyn/A 27538-2024 tillsynsbegäran.docx", "A 27538-2024")</f>
        <v/>
      </c>
      <c r="Y113">
        <f>HYPERLINK("https://klasma.github.io/Logging_0188/tillsynsmail/A 27538-2024 tillsynsbegäran mail.docx", "A 27538-2024")</f>
        <v/>
      </c>
    </row>
    <row r="114" ht="15" customHeight="1">
      <c r="A114" t="inlineStr">
        <is>
          <t>A 52775-2025</t>
        </is>
      </c>
      <c r="B114" s="1" t="n">
        <v>45957.41608796296</v>
      </c>
      <c r="C114" s="1" t="n">
        <v>46120</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46120</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4385-2023</t>
        </is>
      </c>
      <c r="B116" s="1" t="n">
        <v>44955.71322916666</v>
      </c>
      <c r="C116" s="1" t="n">
        <v>46120</v>
      </c>
      <c r="D116" t="inlineStr">
        <is>
          <t>STOCKHOLMS LÄN</t>
        </is>
      </c>
      <c r="E116" t="inlineStr">
        <is>
          <t>NORRTÄLJE</t>
        </is>
      </c>
      <c r="G116" t="n">
        <v>7.8</v>
      </c>
      <c r="H116" t="n">
        <v>1</v>
      </c>
      <c r="I116" t="n">
        <v>1</v>
      </c>
      <c r="J116" t="n">
        <v>0</v>
      </c>
      <c r="K116" t="n">
        <v>0</v>
      </c>
      <c r="L116" t="n">
        <v>0</v>
      </c>
      <c r="M116" t="n">
        <v>0</v>
      </c>
      <c r="N116" t="n">
        <v>0</v>
      </c>
      <c r="O116" t="n">
        <v>0</v>
      </c>
      <c r="P116" t="n">
        <v>0</v>
      </c>
      <c r="Q116" t="n">
        <v>1</v>
      </c>
      <c r="R116" s="2" t="inlineStr">
        <is>
          <t>Skogsknipprot</t>
        </is>
      </c>
      <c r="S116">
        <f>HYPERLINK("https://klasma.github.io/Logging_0188/artfynd/A 4385-2023 artfynd.xlsx", "A 4385-2023")</f>
        <v/>
      </c>
      <c r="T116">
        <f>HYPERLINK("https://klasma.github.io/Logging_0188/kartor/A 4385-2023 karta.png", "A 4385-2023")</f>
        <v/>
      </c>
      <c r="V116">
        <f>HYPERLINK("https://klasma.github.io/Logging_0188/klagomål/A 4385-2023 FSC-klagomål.docx", "A 4385-2023")</f>
        <v/>
      </c>
      <c r="W116">
        <f>HYPERLINK("https://klasma.github.io/Logging_0188/klagomålsmail/A 4385-2023 FSC-klagomål mail.docx", "A 4385-2023")</f>
        <v/>
      </c>
      <c r="X116">
        <f>HYPERLINK("https://klasma.github.io/Logging_0188/tillsyn/A 4385-2023 tillsynsbegäran.docx", "A 4385-2023")</f>
        <v/>
      </c>
      <c r="Y116">
        <f>HYPERLINK("https://klasma.github.io/Logging_0188/tillsynsmail/A 4385-2023 tillsynsbegäran mail.docx", "A 4385-2023")</f>
        <v/>
      </c>
    </row>
    <row r="117" ht="15" customHeight="1">
      <c r="A117" t="inlineStr">
        <is>
          <t>A 16870-2025</t>
        </is>
      </c>
      <c r="B117" s="1" t="n">
        <v>45754</v>
      </c>
      <c r="C117" s="1" t="n">
        <v>46120</v>
      </c>
      <c r="D117" t="inlineStr">
        <is>
          <t>STOCKHOLMS LÄN</t>
        </is>
      </c>
      <c r="E117" t="inlineStr">
        <is>
          <t>NORRTÄLJE</t>
        </is>
      </c>
      <c r="G117" t="n">
        <v>24.6</v>
      </c>
      <c r="H117" t="n">
        <v>1</v>
      </c>
      <c r="I117" t="n">
        <v>0</v>
      </c>
      <c r="J117" t="n">
        <v>0</v>
      </c>
      <c r="K117" t="n">
        <v>0</v>
      </c>
      <c r="L117" t="n">
        <v>0</v>
      </c>
      <c r="M117" t="n">
        <v>0</v>
      </c>
      <c r="N117" t="n">
        <v>0</v>
      </c>
      <c r="O117" t="n">
        <v>0</v>
      </c>
      <c r="P117" t="n">
        <v>0</v>
      </c>
      <c r="Q117" t="n">
        <v>1</v>
      </c>
      <c r="R117" s="2" t="inlineStr">
        <is>
          <t>Vanlig groda</t>
        </is>
      </c>
      <c r="S117">
        <f>HYPERLINK("https://klasma.github.io/Logging_0188/artfynd/A 16870-2025 artfynd.xlsx", "A 16870-2025")</f>
        <v/>
      </c>
      <c r="T117">
        <f>HYPERLINK("https://klasma.github.io/Logging_0188/kartor/A 16870-2025 karta.png", "A 16870-2025")</f>
        <v/>
      </c>
      <c r="V117">
        <f>HYPERLINK("https://klasma.github.io/Logging_0188/klagomål/A 16870-2025 FSC-klagomål.docx", "A 16870-2025")</f>
        <v/>
      </c>
      <c r="W117">
        <f>HYPERLINK("https://klasma.github.io/Logging_0188/klagomålsmail/A 16870-2025 FSC-klagomål mail.docx", "A 16870-2025")</f>
        <v/>
      </c>
      <c r="X117">
        <f>HYPERLINK("https://klasma.github.io/Logging_0188/tillsyn/A 16870-2025 tillsynsbegäran.docx", "A 16870-2025")</f>
        <v/>
      </c>
      <c r="Y117">
        <f>HYPERLINK("https://klasma.github.io/Logging_0188/tillsynsmail/A 16870-2025 tillsynsbegäran mail.docx", "A 16870-2025")</f>
        <v/>
      </c>
    </row>
    <row r="118" ht="15" customHeight="1">
      <c r="A118" t="inlineStr">
        <is>
          <t>A 24330-2023</t>
        </is>
      </c>
      <c r="B118" s="1" t="n">
        <v>45081</v>
      </c>
      <c r="C118" s="1" t="n">
        <v>46120</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24535-2023</t>
        </is>
      </c>
      <c r="B119" s="1" t="n">
        <v>45082</v>
      </c>
      <c r="C119" s="1" t="n">
        <v>46120</v>
      </c>
      <c r="D119" t="inlineStr">
        <is>
          <t>STOCKHOLMS LÄN</t>
        </is>
      </c>
      <c r="E119" t="inlineStr">
        <is>
          <t>NORRTÄLJE</t>
        </is>
      </c>
      <c r="F119" t="inlineStr">
        <is>
          <t>Kommuner</t>
        </is>
      </c>
      <c r="G119" t="n">
        <v>2</v>
      </c>
      <c r="H119" t="n">
        <v>1</v>
      </c>
      <c r="I119" t="n">
        <v>0</v>
      </c>
      <c r="J119" t="n">
        <v>0</v>
      </c>
      <c r="K119" t="n">
        <v>0</v>
      </c>
      <c r="L119" t="n">
        <v>0</v>
      </c>
      <c r="M119" t="n">
        <v>0</v>
      </c>
      <c r="N119" t="n">
        <v>0</v>
      </c>
      <c r="O119" t="n">
        <v>0</v>
      </c>
      <c r="P119" t="n">
        <v>0</v>
      </c>
      <c r="Q119" t="n">
        <v>1</v>
      </c>
      <c r="R119" s="2" t="inlineStr">
        <is>
          <t>Blåsippa</t>
        </is>
      </c>
      <c r="S119">
        <f>HYPERLINK("https://klasma.github.io/Logging_0188/artfynd/A 24535-2023 artfynd.xlsx", "A 24535-2023")</f>
        <v/>
      </c>
      <c r="T119">
        <f>HYPERLINK("https://klasma.github.io/Logging_0188/kartor/A 24535-2023 karta.png", "A 24535-2023")</f>
        <v/>
      </c>
      <c r="V119">
        <f>HYPERLINK("https://klasma.github.io/Logging_0188/klagomål/A 24535-2023 FSC-klagomål.docx", "A 24535-2023")</f>
        <v/>
      </c>
      <c r="W119">
        <f>HYPERLINK("https://klasma.github.io/Logging_0188/klagomålsmail/A 24535-2023 FSC-klagomål mail.docx", "A 24535-2023")</f>
        <v/>
      </c>
      <c r="X119">
        <f>HYPERLINK("https://klasma.github.io/Logging_0188/tillsyn/A 24535-2023 tillsynsbegäran.docx", "A 24535-2023")</f>
        <v/>
      </c>
      <c r="Y119">
        <f>HYPERLINK("https://klasma.github.io/Logging_0188/tillsynsmail/A 24535-2023 tillsynsbegäran mail.docx", "A 24535-2023")</f>
        <v/>
      </c>
    </row>
    <row r="120" ht="15" customHeight="1">
      <c r="A120" t="inlineStr">
        <is>
          <t>A 29946-2025</t>
        </is>
      </c>
      <c r="B120" s="1" t="n">
        <v>45826.46392361111</v>
      </c>
      <c r="C120" s="1" t="n">
        <v>46120</v>
      </c>
      <c r="D120" t="inlineStr">
        <is>
          <t>STOCKHOLMS LÄN</t>
        </is>
      </c>
      <c r="E120" t="inlineStr">
        <is>
          <t>NORRTÄLJE</t>
        </is>
      </c>
      <c r="F120" t="inlineStr">
        <is>
          <t>Holmen skog AB</t>
        </is>
      </c>
      <c r="G120" t="n">
        <v>3.6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29946-2025 artfynd.xlsx", "A 29946-2025")</f>
        <v/>
      </c>
      <c r="T120">
        <f>HYPERLINK("https://klasma.github.io/Logging_0188/kartor/A 29946-2025 karta.png", "A 29946-2025")</f>
        <v/>
      </c>
      <c r="V120">
        <f>HYPERLINK("https://klasma.github.io/Logging_0188/klagomål/A 29946-2025 FSC-klagomål.docx", "A 29946-2025")</f>
        <v/>
      </c>
      <c r="W120">
        <f>HYPERLINK("https://klasma.github.io/Logging_0188/klagomålsmail/A 29946-2025 FSC-klagomål mail.docx", "A 29946-2025")</f>
        <v/>
      </c>
      <c r="X120">
        <f>HYPERLINK("https://klasma.github.io/Logging_0188/tillsyn/A 29946-2025 tillsynsbegäran.docx", "A 29946-2025")</f>
        <v/>
      </c>
      <c r="Y120">
        <f>HYPERLINK("https://klasma.github.io/Logging_0188/tillsynsmail/A 29946-2025 tillsynsbegäran mail.docx", "A 29946-2025")</f>
        <v/>
      </c>
    </row>
    <row r="121" ht="15" customHeight="1">
      <c r="A121" t="inlineStr">
        <is>
          <t>A 26635-2023</t>
        </is>
      </c>
      <c r="B121" s="1" t="n">
        <v>45092</v>
      </c>
      <c r="C121" s="1" t="n">
        <v>46120</v>
      </c>
      <c r="D121" t="inlineStr">
        <is>
          <t>STOCKHOLMS LÄN</t>
        </is>
      </c>
      <c r="E121" t="inlineStr">
        <is>
          <t>NORRTÄLJE</t>
        </is>
      </c>
      <c r="G121" t="n">
        <v>3.1</v>
      </c>
      <c r="H121" t="n">
        <v>1</v>
      </c>
      <c r="I121" t="n">
        <v>0</v>
      </c>
      <c r="J121" t="n">
        <v>0</v>
      </c>
      <c r="K121" t="n">
        <v>0</v>
      </c>
      <c r="L121" t="n">
        <v>0</v>
      </c>
      <c r="M121" t="n">
        <v>0</v>
      </c>
      <c r="N121" t="n">
        <v>0</v>
      </c>
      <c r="O121" t="n">
        <v>0</v>
      </c>
      <c r="P121" t="n">
        <v>0</v>
      </c>
      <c r="Q121" t="n">
        <v>1</v>
      </c>
      <c r="R121" s="2" t="inlineStr">
        <is>
          <t>Fläcknycklar</t>
        </is>
      </c>
      <c r="S121">
        <f>HYPERLINK("https://klasma.github.io/Logging_0188/artfynd/A 26635-2023 artfynd.xlsx", "A 26635-2023")</f>
        <v/>
      </c>
      <c r="T121">
        <f>HYPERLINK("https://klasma.github.io/Logging_0188/kartor/A 26635-2023 karta.png", "A 26635-2023")</f>
        <v/>
      </c>
      <c r="V121">
        <f>HYPERLINK("https://klasma.github.io/Logging_0188/klagomål/A 26635-2023 FSC-klagomål.docx", "A 26635-2023")</f>
        <v/>
      </c>
      <c r="W121">
        <f>HYPERLINK("https://klasma.github.io/Logging_0188/klagomålsmail/A 26635-2023 FSC-klagomål mail.docx", "A 26635-2023")</f>
        <v/>
      </c>
      <c r="X121">
        <f>HYPERLINK("https://klasma.github.io/Logging_0188/tillsyn/A 26635-2023 tillsynsbegäran.docx", "A 26635-2023")</f>
        <v/>
      </c>
      <c r="Y121">
        <f>HYPERLINK("https://klasma.github.io/Logging_0188/tillsynsmail/A 26635-2023 tillsynsbegäran mail.docx", "A 26635-2023")</f>
        <v/>
      </c>
    </row>
    <row r="122" ht="15" customHeight="1">
      <c r="A122" t="inlineStr">
        <is>
          <t>A 28816-2023</t>
        </is>
      </c>
      <c r="B122" s="1" t="n">
        <v>45104</v>
      </c>
      <c r="C122" s="1" t="n">
        <v>46120</v>
      </c>
      <c r="D122" t="inlineStr">
        <is>
          <t>STOCKHOLMS LÄN</t>
        </is>
      </c>
      <c r="E122" t="inlineStr">
        <is>
          <t>NORRTÄLJE</t>
        </is>
      </c>
      <c r="F122" t="inlineStr">
        <is>
          <t>Kommuner</t>
        </is>
      </c>
      <c r="G122" t="n">
        <v>0.5</v>
      </c>
      <c r="H122" t="n">
        <v>1</v>
      </c>
      <c r="I122" t="n">
        <v>0</v>
      </c>
      <c r="J122" t="n">
        <v>0</v>
      </c>
      <c r="K122" t="n">
        <v>0</v>
      </c>
      <c r="L122" t="n">
        <v>0</v>
      </c>
      <c r="M122" t="n">
        <v>0</v>
      </c>
      <c r="N122" t="n">
        <v>0</v>
      </c>
      <c r="O122" t="n">
        <v>0</v>
      </c>
      <c r="P122" t="n">
        <v>0</v>
      </c>
      <c r="Q122" t="n">
        <v>1</v>
      </c>
      <c r="R122" s="2" t="inlineStr">
        <is>
          <t>Kungsfågel</t>
        </is>
      </c>
      <c r="S122">
        <f>HYPERLINK("https://klasma.github.io/Logging_0188/artfynd/A 28816-2023 artfynd.xlsx", "A 28816-2023")</f>
        <v/>
      </c>
      <c r="T122">
        <f>HYPERLINK("https://klasma.github.io/Logging_0188/kartor/A 28816-2023 karta.png", "A 28816-2023")</f>
        <v/>
      </c>
      <c r="V122">
        <f>HYPERLINK("https://klasma.github.io/Logging_0188/klagomål/A 28816-2023 FSC-klagomål.docx", "A 28816-2023")</f>
        <v/>
      </c>
      <c r="W122">
        <f>HYPERLINK("https://klasma.github.io/Logging_0188/klagomålsmail/A 28816-2023 FSC-klagomål mail.docx", "A 28816-2023")</f>
        <v/>
      </c>
      <c r="X122">
        <f>HYPERLINK("https://klasma.github.io/Logging_0188/tillsyn/A 28816-2023 tillsynsbegäran.docx", "A 28816-2023")</f>
        <v/>
      </c>
      <c r="Y122">
        <f>HYPERLINK("https://klasma.github.io/Logging_0188/tillsynsmail/A 28816-2023 tillsynsbegäran mail.docx", "A 28816-2023")</f>
        <v/>
      </c>
      <c r="Z122">
        <f>HYPERLINK("https://klasma.github.io/Logging_0188/fåglar/A 28816-2023 prioriterade fågelarter.docx", "A 28816-2023")</f>
        <v/>
      </c>
    </row>
    <row r="123" ht="15" customHeight="1">
      <c r="A123" t="inlineStr">
        <is>
          <t>A 19829-2022</t>
        </is>
      </c>
      <c r="B123" s="1" t="n">
        <v>44695.43527777777</v>
      </c>
      <c r="C123" s="1" t="n">
        <v>46120</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59682-2025</t>
        </is>
      </c>
      <c r="B124" s="1" t="n">
        <v>45992.47116898148</v>
      </c>
      <c r="C124" s="1" t="n">
        <v>46120</v>
      </c>
      <c r="D124" t="inlineStr">
        <is>
          <t>STOCKHOLMS LÄN</t>
        </is>
      </c>
      <c r="E124" t="inlineStr">
        <is>
          <t>NORRTÄLJE</t>
        </is>
      </c>
      <c r="G124" t="n">
        <v>1.6</v>
      </c>
      <c r="H124" t="n">
        <v>0</v>
      </c>
      <c r="I124" t="n">
        <v>1</v>
      </c>
      <c r="J124" t="n">
        <v>0</v>
      </c>
      <c r="K124" t="n">
        <v>0</v>
      </c>
      <c r="L124" t="n">
        <v>0</v>
      </c>
      <c r="M124" t="n">
        <v>0</v>
      </c>
      <c r="N124" t="n">
        <v>0</v>
      </c>
      <c r="O124" t="n">
        <v>0</v>
      </c>
      <c r="P124" t="n">
        <v>0</v>
      </c>
      <c r="Q124" t="n">
        <v>1</v>
      </c>
      <c r="R124" s="2" t="inlineStr">
        <is>
          <t>Grönpyrola</t>
        </is>
      </c>
      <c r="S124">
        <f>HYPERLINK("https://klasma.github.io/Logging_0188/artfynd/A 59682-2025 artfynd.xlsx", "A 59682-2025")</f>
        <v/>
      </c>
      <c r="T124">
        <f>HYPERLINK("https://klasma.github.io/Logging_0188/kartor/A 59682-2025 karta.png", "A 59682-2025")</f>
        <v/>
      </c>
      <c r="V124">
        <f>HYPERLINK("https://klasma.github.io/Logging_0188/klagomål/A 59682-2025 FSC-klagomål.docx", "A 59682-2025")</f>
        <v/>
      </c>
      <c r="W124">
        <f>HYPERLINK("https://klasma.github.io/Logging_0188/klagomålsmail/A 59682-2025 FSC-klagomål mail.docx", "A 59682-2025")</f>
        <v/>
      </c>
      <c r="X124">
        <f>HYPERLINK("https://klasma.github.io/Logging_0188/tillsyn/A 59682-2025 tillsynsbegäran.docx", "A 59682-2025")</f>
        <v/>
      </c>
      <c r="Y124">
        <f>HYPERLINK("https://klasma.github.io/Logging_0188/tillsynsmail/A 59682-2025 tillsynsbegäran mail.docx", "A 59682-2025")</f>
        <v/>
      </c>
    </row>
    <row r="125" ht="15" customHeight="1">
      <c r="A125" t="inlineStr">
        <is>
          <t>A 35691-2023</t>
        </is>
      </c>
      <c r="B125" s="1" t="n">
        <v>45147.65222222222</v>
      </c>
      <c r="C125" s="1" t="n">
        <v>46120</v>
      </c>
      <c r="D125" t="inlineStr">
        <is>
          <t>STOCKHOLMS LÄN</t>
        </is>
      </c>
      <c r="E125" t="inlineStr">
        <is>
          <t>NORRTÄLJE</t>
        </is>
      </c>
      <c r="G125" t="n">
        <v>2.3</v>
      </c>
      <c r="H125" t="n">
        <v>1</v>
      </c>
      <c r="I125" t="n">
        <v>0</v>
      </c>
      <c r="J125" t="n">
        <v>0</v>
      </c>
      <c r="K125" t="n">
        <v>0</v>
      </c>
      <c r="L125" t="n">
        <v>0</v>
      </c>
      <c r="M125" t="n">
        <v>0</v>
      </c>
      <c r="N125" t="n">
        <v>0</v>
      </c>
      <c r="O125" t="n">
        <v>0</v>
      </c>
      <c r="P125" t="n">
        <v>0</v>
      </c>
      <c r="Q125" t="n">
        <v>1</v>
      </c>
      <c r="R125" s="2" t="inlineStr">
        <is>
          <t>Kungsfågel</t>
        </is>
      </c>
      <c r="S125">
        <f>HYPERLINK("https://klasma.github.io/Logging_0188/artfynd/A 35691-2023 artfynd.xlsx", "A 35691-2023")</f>
        <v/>
      </c>
      <c r="T125">
        <f>HYPERLINK("https://klasma.github.io/Logging_0188/kartor/A 35691-2023 karta.png", "A 35691-2023")</f>
        <v/>
      </c>
      <c r="V125">
        <f>HYPERLINK("https://klasma.github.io/Logging_0188/klagomål/A 35691-2023 FSC-klagomål.docx", "A 35691-2023")</f>
        <v/>
      </c>
      <c r="W125">
        <f>HYPERLINK("https://klasma.github.io/Logging_0188/klagomålsmail/A 35691-2023 FSC-klagomål mail.docx", "A 35691-2023")</f>
        <v/>
      </c>
      <c r="X125">
        <f>HYPERLINK("https://klasma.github.io/Logging_0188/tillsyn/A 35691-2023 tillsynsbegäran.docx", "A 35691-2023")</f>
        <v/>
      </c>
      <c r="Y125">
        <f>HYPERLINK("https://klasma.github.io/Logging_0188/tillsynsmail/A 35691-2023 tillsynsbegäran mail.docx", "A 35691-2023")</f>
        <v/>
      </c>
      <c r="Z125">
        <f>HYPERLINK("https://klasma.github.io/Logging_0188/fåglar/A 35691-2023 prioriterade fågelarter.docx", "A 35691-2023")</f>
        <v/>
      </c>
    </row>
    <row r="126" ht="15" customHeight="1">
      <c r="A126" t="inlineStr">
        <is>
          <t>A 35693-2023</t>
        </is>
      </c>
      <c r="B126" s="1" t="n">
        <v>45147.65311342593</v>
      </c>
      <c r="C126" s="1" t="n">
        <v>46120</v>
      </c>
      <c r="D126" t="inlineStr">
        <is>
          <t>STOCKHOLMS LÄN</t>
        </is>
      </c>
      <c r="E126" t="inlineStr">
        <is>
          <t>NORRTÄLJE</t>
        </is>
      </c>
      <c r="G126" t="n">
        <v>2.2</v>
      </c>
      <c r="H126" t="n">
        <v>0</v>
      </c>
      <c r="I126" t="n">
        <v>0</v>
      </c>
      <c r="J126" t="n">
        <v>1</v>
      </c>
      <c r="K126" t="n">
        <v>0</v>
      </c>
      <c r="L126" t="n">
        <v>0</v>
      </c>
      <c r="M126" t="n">
        <v>0</v>
      </c>
      <c r="N126" t="n">
        <v>0</v>
      </c>
      <c r="O126" t="n">
        <v>1</v>
      </c>
      <c r="P126" t="n">
        <v>0</v>
      </c>
      <c r="Q126" t="n">
        <v>1</v>
      </c>
      <c r="R126" s="2" t="inlineStr">
        <is>
          <t>Motaggsvamp</t>
        </is>
      </c>
      <c r="S126">
        <f>HYPERLINK("https://klasma.github.io/Logging_0188/artfynd/A 35693-2023 artfynd.xlsx", "A 35693-2023")</f>
        <v/>
      </c>
      <c r="T126">
        <f>HYPERLINK("https://klasma.github.io/Logging_0188/kartor/A 35693-2023 karta.png", "A 35693-2023")</f>
        <v/>
      </c>
      <c r="V126">
        <f>HYPERLINK("https://klasma.github.io/Logging_0188/klagomål/A 35693-2023 FSC-klagomål.docx", "A 35693-2023")</f>
        <v/>
      </c>
      <c r="W126">
        <f>HYPERLINK("https://klasma.github.io/Logging_0188/klagomålsmail/A 35693-2023 FSC-klagomål mail.docx", "A 35693-2023")</f>
        <v/>
      </c>
      <c r="X126">
        <f>HYPERLINK("https://klasma.github.io/Logging_0188/tillsyn/A 35693-2023 tillsynsbegäran.docx", "A 35693-2023")</f>
        <v/>
      </c>
      <c r="Y126">
        <f>HYPERLINK("https://klasma.github.io/Logging_0188/tillsynsmail/A 35693-2023 tillsynsbegäran mail.docx", "A 35693-2023")</f>
        <v/>
      </c>
    </row>
    <row r="127" ht="15" customHeight="1">
      <c r="A127" t="inlineStr">
        <is>
          <t>A 62715-2025</t>
        </is>
      </c>
      <c r="B127" s="1" t="n">
        <v>46008.52034722222</v>
      </c>
      <c r="C127" s="1" t="n">
        <v>46120</v>
      </c>
      <c r="D127" t="inlineStr">
        <is>
          <t>STOCKHOLMS LÄN</t>
        </is>
      </c>
      <c r="E127" t="inlineStr">
        <is>
          <t>NORRTÄLJE</t>
        </is>
      </c>
      <c r="G127" t="n">
        <v>0.8</v>
      </c>
      <c r="H127" t="n">
        <v>0</v>
      </c>
      <c r="I127" t="n">
        <v>1</v>
      </c>
      <c r="J127" t="n">
        <v>0</v>
      </c>
      <c r="K127" t="n">
        <v>0</v>
      </c>
      <c r="L127" t="n">
        <v>0</v>
      </c>
      <c r="M127" t="n">
        <v>0</v>
      </c>
      <c r="N127" t="n">
        <v>0</v>
      </c>
      <c r="O127" t="n">
        <v>0</v>
      </c>
      <c r="P127" t="n">
        <v>0</v>
      </c>
      <c r="Q127" t="n">
        <v>1</v>
      </c>
      <c r="R127" s="2" t="inlineStr">
        <is>
          <t>Granbarkgnagare</t>
        </is>
      </c>
      <c r="S127">
        <f>HYPERLINK("https://klasma.github.io/Logging_0188/artfynd/A 62715-2025 artfynd.xlsx", "A 62715-2025")</f>
        <v/>
      </c>
      <c r="T127">
        <f>HYPERLINK("https://klasma.github.io/Logging_0188/kartor/A 62715-2025 karta.png", "A 62715-2025")</f>
        <v/>
      </c>
      <c r="V127">
        <f>HYPERLINK("https://klasma.github.io/Logging_0188/klagomål/A 62715-2025 FSC-klagomål.docx", "A 62715-2025")</f>
        <v/>
      </c>
      <c r="W127">
        <f>HYPERLINK("https://klasma.github.io/Logging_0188/klagomålsmail/A 62715-2025 FSC-klagomål mail.docx", "A 62715-2025")</f>
        <v/>
      </c>
      <c r="X127">
        <f>HYPERLINK("https://klasma.github.io/Logging_0188/tillsyn/A 62715-2025 tillsynsbegäran.docx", "A 62715-2025")</f>
        <v/>
      </c>
      <c r="Y127">
        <f>HYPERLINK("https://klasma.github.io/Logging_0188/tillsynsmail/A 62715-2025 tillsynsbegäran mail.docx", "A 62715-2025")</f>
        <v/>
      </c>
    </row>
    <row r="128" ht="15" customHeight="1">
      <c r="A128" t="inlineStr">
        <is>
          <t>A 63292-2025</t>
        </is>
      </c>
      <c r="B128" s="1" t="n">
        <v>46010.59232638889</v>
      </c>
      <c r="C128" s="1" t="n">
        <v>46120</v>
      </c>
      <c r="D128" t="inlineStr">
        <is>
          <t>STOCKHOLMS LÄN</t>
        </is>
      </c>
      <c r="E128" t="inlineStr">
        <is>
          <t>NORRTÄLJE</t>
        </is>
      </c>
      <c r="G128" t="n">
        <v>11.1</v>
      </c>
      <c r="H128" t="n">
        <v>1</v>
      </c>
      <c r="I128" t="n">
        <v>1</v>
      </c>
      <c r="J128" t="n">
        <v>0</v>
      </c>
      <c r="K128" t="n">
        <v>0</v>
      </c>
      <c r="L128" t="n">
        <v>0</v>
      </c>
      <c r="M128" t="n">
        <v>0</v>
      </c>
      <c r="N128" t="n">
        <v>0</v>
      </c>
      <c r="O128" t="n">
        <v>0</v>
      </c>
      <c r="P128" t="n">
        <v>0</v>
      </c>
      <c r="Q128" t="n">
        <v>1</v>
      </c>
      <c r="R128" s="2" t="inlineStr">
        <is>
          <t>Nästrot</t>
        </is>
      </c>
      <c r="S128">
        <f>HYPERLINK("https://klasma.github.io/Logging_0188/artfynd/A 63292-2025 artfynd.xlsx", "A 63292-2025")</f>
        <v/>
      </c>
      <c r="T128">
        <f>HYPERLINK("https://klasma.github.io/Logging_0188/kartor/A 63292-2025 karta.png", "A 63292-2025")</f>
        <v/>
      </c>
      <c r="V128">
        <f>HYPERLINK("https://klasma.github.io/Logging_0188/klagomål/A 63292-2025 FSC-klagomål.docx", "A 63292-2025")</f>
        <v/>
      </c>
      <c r="W128">
        <f>HYPERLINK("https://klasma.github.io/Logging_0188/klagomålsmail/A 63292-2025 FSC-klagomål mail.docx", "A 63292-2025")</f>
        <v/>
      </c>
      <c r="X128">
        <f>HYPERLINK("https://klasma.github.io/Logging_0188/tillsyn/A 63292-2025 tillsynsbegäran.docx", "A 63292-2025")</f>
        <v/>
      </c>
      <c r="Y128">
        <f>HYPERLINK("https://klasma.github.io/Logging_0188/tillsynsmail/A 63292-2025 tillsynsbegäran mail.docx", "A 63292-2025")</f>
        <v/>
      </c>
    </row>
    <row r="129" ht="15" customHeight="1">
      <c r="A129" t="inlineStr">
        <is>
          <t>A 33546-2025</t>
        </is>
      </c>
      <c r="B129" s="1" t="n">
        <v>45841.56996527778</v>
      </c>
      <c r="C129" s="1" t="n">
        <v>46120</v>
      </c>
      <c r="D129" t="inlineStr">
        <is>
          <t>STOCKHOLMS LÄN</t>
        </is>
      </c>
      <c r="E129" t="inlineStr">
        <is>
          <t>NORRTÄLJE</t>
        </is>
      </c>
      <c r="G129" t="n">
        <v>7.2</v>
      </c>
      <c r="H129" t="n">
        <v>1</v>
      </c>
      <c r="I129" t="n">
        <v>1</v>
      </c>
      <c r="J129" t="n">
        <v>0</v>
      </c>
      <c r="K129" t="n">
        <v>0</v>
      </c>
      <c r="L129" t="n">
        <v>0</v>
      </c>
      <c r="M129" t="n">
        <v>0</v>
      </c>
      <c r="N129" t="n">
        <v>0</v>
      </c>
      <c r="O129" t="n">
        <v>0</v>
      </c>
      <c r="P129" t="n">
        <v>0</v>
      </c>
      <c r="Q129" t="n">
        <v>1</v>
      </c>
      <c r="R129" s="2" t="inlineStr">
        <is>
          <t>Nästrot</t>
        </is>
      </c>
      <c r="S129">
        <f>HYPERLINK("https://klasma.github.io/Logging_0188/artfynd/A 33546-2025 artfynd.xlsx", "A 33546-2025")</f>
        <v/>
      </c>
      <c r="T129">
        <f>HYPERLINK("https://klasma.github.io/Logging_0188/kartor/A 33546-2025 karta.png", "A 33546-2025")</f>
        <v/>
      </c>
      <c r="V129">
        <f>HYPERLINK("https://klasma.github.io/Logging_0188/klagomål/A 33546-2025 FSC-klagomål.docx", "A 33546-2025")</f>
        <v/>
      </c>
      <c r="W129">
        <f>HYPERLINK("https://klasma.github.io/Logging_0188/klagomålsmail/A 33546-2025 FSC-klagomål mail.docx", "A 33546-2025")</f>
        <v/>
      </c>
      <c r="X129">
        <f>HYPERLINK("https://klasma.github.io/Logging_0188/tillsyn/A 33546-2025 tillsynsbegäran.docx", "A 33546-2025")</f>
        <v/>
      </c>
      <c r="Y129">
        <f>HYPERLINK("https://klasma.github.io/Logging_0188/tillsynsmail/A 33546-2025 tillsynsbegäran mail.docx", "A 33546-2025")</f>
        <v/>
      </c>
    </row>
    <row r="130" ht="15" customHeight="1">
      <c r="A130" t="inlineStr">
        <is>
          <t>A 8371-2025</t>
        </is>
      </c>
      <c r="B130" s="1" t="n">
        <v>45708</v>
      </c>
      <c r="C130" s="1" t="n">
        <v>46120</v>
      </c>
      <c r="D130" t="inlineStr">
        <is>
          <t>STOCKHOLMS LÄN</t>
        </is>
      </c>
      <c r="E130" t="inlineStr">
        <is>
          <t>NORRTÄLJE</t>
        </is>
      </c>
      <c r="F130" t="inlineStr">
        <is>
          <t>Övriga Aktiebolag</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HYPERLINK("https://klasma.github.io/Logging_0188/artfynd/A 8371-2025 artfynd.xlsx", "A 8371-2025")</f>
        <v/>
      </c>
      <c r="T130">
        <f>HYPERLINK("https://klasma.github.io/Logging_0188/kartor/A 8371-2025 karta.png", "A 8371-2025")</f>
        <v/>
      </c>
      <c r="V130">
        <f>HYPERLINK("https://klasma.github.io/Logging_0188/klagomål/A 8371-2025 FSC-klagomål.docx", "A 8371-2025")</f>
        <v/>
      </c>
      <c r="W130">
        <f>HYPERLINK("https://klasma.github.io/Logging_0188/klagomålsmail/A 8371-2025 FSC-klagomål mail.docx", "A 8371-2025")</f>
        <v/>
      </c>
      <c r="X130">
        <f>HYPERLINK("https://klasma.github.io/Logging_0188/tillsyn/A 8371-2025 tillsynsbegäran.docx", "A 8371-2025")</f>
        <v/>
      </c>
      <c r="Y130">
        <f>HYPERLINK("https://klasma.github.io/Logging_0188/tillsynsmail/A 8371-2025 tillsynsbegäran mail.docx", "A 8371-2025")</f>
        <v/>
      </c>
      <c r="Z130">
        <f>HYPERLINK("https://klasma.github.io/Logging_0188/fåglar/A 8371-2025 prioriterade fågelarter.docx", "A 8371-2025")</f>
        <v/>
      </c>
    </row>
    <row r="131" ht="15" customHeight="1">
      <c r="A131" t="inlineStr">
        <is>
          <t>A 4532-2025</t>
        </is>
      </c>
      <c r="B131" s="1" t="n">
        <v>45687.34177083334</v>
      </c>
      <c r="C131" s="1" t="n">
        <v>46120</v>
      </c>
      <c r="D131" t="inlineStr">
        <is>
          <t>STOCKHOLMS LÄN</t>
        </is>
      </c>
      <c r="E131" t="inlineStr">
        <is>
          <t>NORRTÄLJE</t>
        </is>
      </c>
      <c r="F131" t="inlineStr">
        <is>
          <t>Holmen skog AB</t>
        </is>
      </c>
      <c r="G131" t="n">
        <v>6.4</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4532-2025 artfynd.xlsx", "A 4532-2025")</f>
        <v/>
      </c>
      <c r="T131">
        <f>HYPERLINK("https://klasma.github.io/Logging_0188/kartor/A 4532-2025 karta.png", "A 4532-2025")</f>
        <v/>
      </c>
      <c r="V131">
        <f>HYPERLINK("https://klasma.github.io/Logging_0188/klagomål/A 4532-2025 FSC-klagomål.docx", "A 4532-2025")</f>
        <v/>
      </c>
      <c r="W131">
        <f>HYPERLINK("https://klasma.github.io/Logging_0188/klagomålsmail/A 4532-2025 FSC-klagomål mail.docx", "A 4532-2025")</f>
        <v/>
      </c>
      <c r="X131">
        <f>HYPERLINK("https://klasma.github.io/Logging_0188/tillsyn/A 4532-2025 tillsynsbegäran.docx", "A 4532-2025")</f>
        <v/>
      </c>
      <c r="Y131">
        <f>HYPERLINK("https://klasma.github.io/Logging_0188/tillsynsmail/A 4532-2025 tillsynsbegäran mail.docx", "A 4532-2025")</f>
        <v/>
      </c>
    </row>
    <row r="132" ht="15" customHeight="1">
      <c r="A132" t="inlineStr">
        <is>
          <t>A 14365-2025</t>
        </is>
      </c>
      <c r="B132" s="1" t="n">
        <v>45741.38688657407</v>
      </c>
      <c r="C132" s="1" t="n">
        <v>46120</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21150-2022</t>
        </is>
      </c>
      <c r="B133" s="1" t="n">
        <v>44704</v>
      </c>
      <c r="C133" s="1" t="n">
        <v>46120</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26120-2024</t>
        </is>
      </c>
      <c r="B134" s="1" t="n">
        <v>45468.45995370371</v>
      </c>
      <c r="C134" s="1" t="n">
        <v>46120</v>
      </c>
      <c r="D134" t="inlineStr">
        <is>
          <t>STOCKHOLMS LÄN</t>
        </is>
      </c>
      <c r="E134" t="inlineStr">
        <is>
          <t>NORRTÄLJE</t>
        </is>
      </c>
      <c r="G134" t="n">
        <v>1.8</v>
      </c>
      <c r="H134" t="n">
        <v>0</v>
      </c>
      <c r="I134" t="n">
        <v>0</v>
      </c>
      <c r="J134" t="n">
        <v>1</v>
      </c>
      <c r="K134" t="n">
        <v>0</v>
      </c>
      <c r="L134" t="n">
        <v>0</v>
      </c>
      <c r="M134" t="n">
        <v>0</v>
      </c>
      <c r="N134" t="n">
        <v>0</v>
      </c>
      <c r="O134" t="n">
        <v>1</v>
      </c>
      <c r="P134" t="n">
        <v>0</v>
      </c>
      <c r="Q134" t="n">
        <v>1</v>
      </c>
      <c r="R134" s="2" t="inlineStr">
        <is>
          <t>Majviva</t>
        </is>
      </c>
      <c r="S134">
        <f>HYPERLINK("https://klasma.github.io/Logging_0188/artfynd/A 26120-2024 artfynd.xlsx", "A 26120-2024")</f>
        <v/>
      </c>
      <c r="T134">
        <f>HYPERLINK("https://klasma.github.io/Logging_0188/kartor/A 26120-2024 karta.png", "A 26120-2024")</f>
        <v/>
      </c>
      <c r="V134">
        <f>HYPERLINK("https://klasma.github.io/Logging_0188/klagomål/A 26120-2024 FSC-klagomål.docx", "A 26120-2024")</f>
        <v/>
      </c>
      <c r="W134">
        <f>HYPERLINK("https://klasma.github.io/Logging_0188/klagomålsmail/A 26120-2024 FSC-klagomål mail.docx", "A 26120-2024")</f>
        <v/>
      </c>
      <c r="X134">
        <f>HYPERLINK("https://klasma.github.io/Logging_0188/tillsyn/A 26120-2024 tillsynsbegäran.docx", "A 26120-2024")</f>
        <v/>
      </c>
      <c r="Y134">
        <f>HYPERLINK("https://klasma.github.io/Logging_0188/tillsynsmail/A 26120-2024 tillsynsbegäran mail.docx", "A 26120-2024")</f>
        <v/>
      </c>
    </row>
    <row r="135" ht="15" customHeight="1">
      <c r="A135" t="inlineStr">
        <is>
          <t>A 11429-2023</t>
        </is>
      </c>
      <c r="B135" s="1" t="n">
        <v>44993</v>
      </c>
      <c r="C135" s="1" t="n">
        <v>46120</v>
      </c>
      <c r="D135" t="inlineStr">
        <is>
          <t>STOCKHOLMS LÄN</t>
        </is>
      </c>
      <c r="E135" t="inlineStr">
        <is>
          <t>NORRTÄLJE</t>
        </is>
      </c>
      <c r="G135" t="n">
        <v>2</v>
      </c>
      <c r="H135" t="n">
        <v>0</v>
      </c>
      <c r="I135" t="n">
        <v>0</v>
      </c>
      <c r="J135" t="n">
        <v>1</v>
      </c>
      <c r="K135" t="n">
        <v>0</v>
      </c>
      <c r="L135" t="n">
        <v>0</v>
      </c>
      <c r="M135" t="n">
        <v>0</v>
      </c>
      <c r="N135" t="n">
        <v>0</v>
      </c>
      <c r="O135" t="n">
        <v>1</v>
      </c>
      <c r="P135" t="n">
        <v>0</v>
      </c>
      <c r="Q135" t="n">
        <v>1</v>
      </c>
      <c r="R135" s="2" t="inlineStr">
        <is>
          <t>Skogsklocka</t>
        </is>
      </c>
      <c r="S135">
        <f>HYPERLINK("https://klasma.github.io/Logging_0188/artfynd/A 11429-2023 artfynd.xlsx", "A 11429-2023")</f>
        <v/>
      </c>
      <c r="T135">
        <f>HYPERLINK("https://klasma.github.io/Logging_0188/kartor/A 11429-2023 karta.png", "A 11429-2023")</f>
        <v/>
      </c>
      <c r="V135">
        <f>HYPERLINK("https://klasma.github.io/Logging_0188/klagomål/A 11429-2023 FSC-klagomål.docx", "A 11429-2023")</f>
        <v/>
      </c>
      <c r="W135">
        <f>HYPERLINK("https://klasma.github.io/Logging_0188/klagomålsmail/A 11429-2023 FSC-klagomål mail.docx", "A 11429-2023")</f>
        <v/>
      </c>
      <c r="X135">
        <f>HYPERLINK("https://klasma.github.io/Logging_0188/tillsyn/A 11429-2023 tillsynsbegäran.docx", "A 11429-2023")</f>
        <v/>
      </c>
      <c r="Y135">
        <f>HYPERLINK("https://klasma.github.io/Logging_0188/tillsynsmail/A 11429-2023 tillsynsbegäran mail.docx", "A 11429-2023")</f>
        <v/>
      </c>
    </row>
    <row r="136" ht="15" customHeight="1">
      <c r="A136" t="inlineStr">
        <is>
          <t>A 50854-2022</t>
        </is>
      </c>
      <c r="B136" s="1" t="n">
        <v>44863</v>
      </c>
      <c r="C136" s="1" t="n">
        <v>46120</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64456-2023</t>
        </is>
      </c>
      <c r="B137" s="1" t="n">
        <v>45280</v>
      </c>
      <c r="C137" s="1" t="n">
        <v>46120</v>
      </c>
      <c r="D137" t="inlineStr">
        <is>
          <t>STOCKHOLMS LÄN</t>
        </is>
      </c>
      <c r="E137" t="inlineStr">
        <is>
          <t>NORRTÄLJE</t>
        </is>
      </c>
      <c r="G137" t="n">
        <v>2.5</v>
      </c>
      <c r="H137" t="n">
        <v>0</v>
      </c>
      <c r="I137" t="n">
        <v>1</v>
      </c>
      <c r="J137" t="n">
        <v>0</v>
      </c>
      <c r="K137" t="n">
        <v>0</v>
      </c>
      <c r="L137" t="n">
        <v>0</v>
      </c>
      <c r="M137" t="n">
        <v>0</v>
      </c>
      <c r="N137" t="n">
        <v>0</v>
      </c>
      <c r="O137" t="n">
        <v>0</v>
      </c>
      <c r="P137" t="n">
        <v>0</v>
      </c>
      <c r="Q137" t="n">
        <v>1</v>
      </c>
      <c r="R137" s="2" t="inlineStr">
        <is>
          <t>Rödgul trumpetsvamp</t>
        </is>
      </c>
      <c r="S137">
        <f>HYPERLINK("https://klasma.github.io/Logging_0188/artfynd/A 64456-2023 artfynd.xlsx", "A 64456-2023")</f>
        <v/>
      </c>
      <c r="T137">
        <f>HYPERLINK("https://klasma.github.io/Logging_0188/kartor/A 64456-2023 karta.png", "A 64456-2023")</f>
        <v/>
      </c>
      <c r="V137">
        <f>HYPERLINK("https://klasma.github.io/Logging_0188/klagomål/A 64456-2023 FSC-klagomål.docx", "A 64456-2023")</f>
        <v/>
      </c>
      <c r="W137">
        <f>HYPERLINK("https://klasma.github.io/Logging_0188/klagomålsmail/A 64456-2023 FSC-klagomål mail.docx", "A 64456-2023")</f>
        <v/>
      </c>
      <c r="X137">
        <f>HYPERLINK("https://klasma.github.io/Logging_0188/tillsyn/A 64456-2023 tillsynsbegäran.docx", "A 64456-2023")</f>
        <v/>
      </c>
      <c r="Y137">
        <f>HYPERLINK("https://klasma.github.io/Logging_0188/tillsynsmail/A 64456-2023 tillsynsbegäran mail.docx", "A 64456-2023")</f>
        <v/>
      </c>
    </row>
    <row r="138" ht="15" customHeight="1">
      <c r="A138" t="inlineStr">
        <is>
          <t>A 31281-2022</t>
        </is>
      </c>
      <c r="B138" s="1" t="n">
        <v>44771</v>
      </c>
      <c r="C138" s="1" t="n">
        <v>46120</v>
      </c>
      <c r="D138" t="inlineStr">
        <is>
          <t>STOCKHOLMS LÄN</t>
        </is>
      </c>
      <c r="E138" t="inlineStr">
        <is>
          <t>NORRTÄLJE</t>
        </is>
      </c>
      <c r="F138" t="inlineStr">
        <is>
          <t>Holmen skog AB</t>
        </is>
      </c>
      <c r="G138" t="n">
        <v>5.2</v>
      </c>
      <c r="H138" t="n">
        <v>1</v>
      </c>
      <c r="I138" t="n">
        <v>0</v>
      </c>
      <c r="J138" t="n">
        <v>1</v>
      </c>
      <c r="K138" t="n">
        <v>0</v>
      </c>
      <c r="L138" t="n">
        <v>0</v>
      </c>
      <c r="M138" t="n">
        <v>0</v>
      </c>
      <c r="N138" t="n">
        <v>0</v>
      </c>
      <c r="O138" t="n">
        <v>1</v>
      </c>
      <c r="P138" t="n">
        <v>0</v>
      </c>
      <c r="Q138" t="n">
        <v>1</v>
      </c>
      <c r="R138" s="2" t="inlineStr">
        <is>
          <t>Kråka</t>
        </is>
      </c>
      <c r="S138">
        <f>HYPERLINK("https://klasma.github.io/Logging_0188/artfynd/A 31281-2022 artfynd.xlsx", "A 31281-2022")</f>
        <v/>
      </c>
      <c r="T138">
        <f>HYPERLINK("https://klasma.github.io/Logging_0188/kartor/A 31281-2022 karta.png", "A 31281-2022")</f>
        <v/>
      </c>
      <c r="V138">
        <f>HYPERLINK("https://klasma.github.io/Logging_0188/klagomål/A 31281-2022 FSC-klagomål.docx", "A 31281-2022")</f>
        <v/>
      </c>
      <c r="W138">
        <f>HYPERLINK("https://klasma.github.io/Logging_0188/klagomålsmail/A 31281-2022 FSC-klagomål mail.docx", "A 31281-2022")</f>
        <v/>
      </c>
      <c r="X138">
        <f>HYPERLINK("https://klasma.github.io/Logging_0188/tillsyn/A 31281-2022 tillsynsbegäran.docx", "A 31281-2022")</f>
        <v/>
      </c>
      <c r="Y138">
        <f>HYPERLINK("https://klasma.github.io/Logging_0188/tillsynsmail/A 31281-2022 tillsynsbegäran mail.docx", "A 31281-2022")</f>
        <v/>
      </c>
      <c r="Z138">
        <f>HYPERLINK("https://klasma.github.io/Logging_0188/fåglar/A 31281-2022 prioriterade fågelarter.docx", "A 31281-2022")</f>
        <v/>
      </c>
    </row>
    <row r="139" ht="15" customHeight="1">
      <c r="A139" t="inlineStr">
        <is>
          <t>A 52611-2024</t>
        </is>
      </c>
      <c r="B139" s="1" t="n">
        <v>45609.83747685186</v>
      </c>
      <c r="C139" s="1" t="n">
        <v>46120</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46120</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48131-2023</t>
        </is>
      </c>
      <c r="B141" s="1" t="n">
        <v>45205</v>
      </c>
      <c r="C141" s="1" t="n">
        <v>46120</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27827-2022</t>
        </is>
      </c>
      <c r="B142" s="1" t="n">
        <v>44743.59504629629</v>
      </c>
      <c r="C142" s="1" t="n">
        <v>46120</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9955-2022</t>
        </is>
      </c>
      <c r="B143" s="1" t="n">
        <v>44620</v>
      </c>
      <c r="C143" s="1" t="n">
        <v>46120</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23905-2025</t>
        </is>
      </c>
      <c r="B144" s="1" t="n">
        <v>45794.63298611111</v>
      </c>
      <c r="C144" s="1" t="n">
        <v>46120</v>
      </c>
      <c r="D144" t="inlineStr">
        <is>
          <t>STOCKHOLMS LÄN</t>
        </is>
      </c>
      <c r="E144" t="inlineStr">
        <is>
          <t>NORRTÄLJE</t>
        </is>
      </c>
      <c r="G144" t="n">
        <v>8.4</v>
      </c>
      <c r="H144" t="n">
        <v>1</v>
      </c>
      <c r="I144" t="n">
        <v>0</v>
      </c>
      <c r="J144" t="n">
        <v>0</v>
      </c>
      <c r="K144" t="n">
        <v>0</v>
      </c>
      <c r="L144" t="n">
        <v>0</v>
      </c>
      <c r="M144" t="n">
        <v>0</v>
      </c>
      <c r="N144" t="n">
        <v>0</v>
      </c>
      <c r="O144" t="n">
        <v>0</v>
      </c>
      <c r="P144" t="n">
        <v>0</v>
      </c>
      <c r="Q144" t="n">
        <v>1</v>
      </c>
      <c r="R144" s="2" t="inlineStr">
        <is>
          <t>Blåsippa</t>
        </is>
      </c>
      <c r="S144">
        <f>HYPERLINK("https://klasma.github.io/Logging_0188/artfynd/A 23905-2025 artfynd.xlsx", "A 23905-2025")</f>
        <v/>
      </c>
      <c r="T144">
        <f>HYPERLINK("https://klasma.github.io/Logging_0188/kartor/A 23905-2025 karta.png", "A 23905-2025")</f>
        <v/>
      </c>
      <c r="V144">
        <f>HYPERLINK("https://klasma.github.io/Logging_0188/klagomål/A 23905-2025 FSC-klagomål.docx", "A 23905-2025")</f>
        <v/>
      </c>
      <c r="W144">
        <f>HYPERLINK("https://klasma.github.io/Logging_0188/klagomålsmail/A 23905-2025 FSC-klagomål mail.docx", "A 23905-2025")</f>
        <v/>
      </c>
      <c r="X144">
        <f>HYPERLINK("https://klasma.github.io/Logging_0188/tillsyn/A 23905-2025 tillsynsbegäran.docx", "A 23905-2025")</f>
        <v/>
      </c>
      <c r="Y144">
        <f>HYPERLINK("https://klasma.github.io/Logging_0188/tillsynsmail/A 23905-2025 tillsynsbegäran mail.docx", "A 23905-2025")</f>
        <v/>
      </c>
    </row>
    <row r="145" ht="15" customHeight="1">
      <c r="A145" t="inlineStr">
        <is>
          <t>A 18580-2021</t>
        </is>
      </c>
      <c r="B145" s="1" t="n">
        <v>44306</v>
      </c>
      <c r="C145" s="1" t="n">
        <v>46120</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46120</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46120</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46120</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46120</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46120</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46120</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46120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46120</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46120</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46120</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46120</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46120</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46120</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46120</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46120</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46120</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46120</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46120</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46120</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46120</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46120</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46120</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46120</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46120</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46120</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46120</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46120</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46120</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46120</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46120</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46120</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46120</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46120</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46120</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46120</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46120</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46120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46120</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46120</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46120</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46120</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24534-2022</t>
        </is>
      </c>
      <c r="B187" s="1" t="n">
        <v>44727</v>
      </c>
      <c r="C187" s="1" t="n">
        <v>46120</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46120</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46120</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46120</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46120</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46120</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46120</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46120</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29868-2022</t>
        </is>
      </c>
      <c r="B195" s="1" t="n">
        <v>44756.40881944444</v>
      </c>
      <c r="C195" s="1" t="n">
        <v>46120</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46120</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36975-2022</t>
        </is>
      </c>
      <c r="B197" s="1" t="n">
        <v>44806.34577546296</v>
      </c>
      <c r="C197" s="1" t="n">
        <v>46120</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46120</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46120</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23122-2021</t>
        </is>
      </c>
      <c r="B200" s="1" t="n">
        <v>44330</v>
      </c>
      <c r="C200" s="1" t="n">
        <v>46120</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46120</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46120</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46120</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46120</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46120</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46120</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46120</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46120</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46120</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46120</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46120</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46120</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46120</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46120</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46120</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46120</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46120</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46120</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46120</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46120</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72355-2021</t>
        </is>
      </c>
      <c r="B221" s="1" t="n">
        <v>44545</v>
      </c>
      <c r="C221" s="1" t="n">
        <v>46120</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72357-2021</t>
        </is>
      </c>
      <c r="B222" s="1" t="n">
        <v>44545</v>
      </c>
      <c r="C222" s="1" t="n">
        <v>46120</v>
      </c>
      <c r="D222" t="inlineStr">
        <is>
          <t>STOCKHOLMS LÄN</t>
        </is>
      </c>
      <c r="E222" t="inlineStr">
        <is>
          <t>NORRTÄLJE</t>
        </is>
      </c>
      <c r="G222" t="n">
        <v>5.1</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46120</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46120</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46120</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46120</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46120</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46120</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60733-2021</t>
        </is>
      </c>
      <c r="B229" s="1" t="n">
        <v>44496.77542824074</v>
      </c>
      <c r="C229" s="1" t="n">
        <v>46120</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46120</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46120</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46120</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46120</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46120</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46120</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46120</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46120</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46120</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46120</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46120</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46120</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46120</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46120</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46120</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46120</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46120</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46120</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46120</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46120</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46120</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46120</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46120</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46120</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46120</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46120</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46120</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46120</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46120</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46120</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46120</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46120</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46120</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20295-2022</t>
        </is>
      </c>
      <c r="B263" s="1" t="n">
        <v>44698</v>
      </c>
      <c r="C263" s="1" t="n">
        <v>46120</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37415-2021</t>
        </is>
      </c>
      <c r="B264" s="1" t="n">
        <v>44397</v>
      </c>
      <c r="C264" s="1" t="n">
        <v>46120</v>
      </c>
      <c r="D264" t="inlineStr">
        <is>
          <t>STOCKHOLMS LÄN</t>
        </is>
      </c>
      <c r="E264" t="inlineStr">
        <is>
          <t>NORRTÄLJE</t>
        </is>
      </c>
      <c r="F264" t="inlineStr">
        <is>
          <t>Övriga Aktiebolag</t>
        </is>
      </c>
      <c r="G264" t="n">
        <v>3</v>
      </c>
      <c r="H264" t="n">
        <v>0</v>
      </c>
      <c r="I264" t="n">
        <v>0</v>
      </c>
      <c r="J264" t="n">
        <v>0</v>
      </c>
      <c r="K264" t="n">
        <v>0</v>
      </c>
      <c r="L264" t="n">
        <v>0</v>
      </c>
      <c r="M264" t="n">
        <v>0</v>
      </c>
      <c r="N264" t="n">
        <v>0</v>
      </c>
      <c r="O264" t="n">
        <v>0</v>
      </c>
      <c r="P264" t="n">
        <v>0</v>
      </c>
      <c r="Q264" t="n">
        <v>0</v>
      </c>
      <c r="R264" s="2" t="inlineStr"/>
    </row>
    <row r="265" ht="15" customHeight="1">
      <c r="A265" t="inlineStr">
        <is>
          <t>A 7565-2022</t>
        </is>
      </c>
      <c r="B265" s="1" t="n">
        <v>44607</v>
      </c>
      <c r="C265" s="1" t="n">
        <v>46120</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46120</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46120</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46120</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46120</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46120</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46120</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46120</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10521-2022</t>
        </is>
      </c>
      <c r="B273" s="1" t="n">
        <v>44623</v>
      </c>
      <c r="C273" s="1" t="n">
        <v>46120</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46120</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46120</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46120</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46120</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46120</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46120</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46120</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46120</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46120</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17772-2022</t>
        </is>
      </c>
      <c r="B283" s="1" t="n">
        <v>44682.76528935185</v>
      </c>
      <c r="C283" s="1" t="n">
        <v>46120</v>
      </c>
      <c r="D283" t="inlineStr">
        <is>
          <t>STOCKHOLMS LÄN</t>
        </is>
      </c>
      <c r="E283" t="inlineStr">
        <is>
          <t>NORRTÄLJE</t>
        </is>
      </c>
      <c r="G283" t="n">
        <v>4</v>
      </c>
      <c r="H283" t="n">
        <v>0</v>
      </c>
      <c r="I283" t="n">
        <v>0</v>
      </c>
      <c r="J283" t="n">
        <v>0</v>
      </c>
      <c r="K283" t="n">
        <v>0</v>
      </c>
      <c r="L283" t="n">
        <v>0</v>
      </c>
      <c r="M283" t="n">
        <v>0</v>
      </c>
      <c r="N283" t="n">
        <v>0</v>
      </c>
      <c r="O283" t="n">
        <v>0</v>
      </c>
      <c r="P283" t="n">
        <v>0</v>
      </c>
      <c r="Q283" t="n">
        <v>0</v>
      </c>
      <c r="R283" s="2" t="inlineStr"/>
    </row>
    <row r="284" ht="15" customHeight="1">
      <c r="A284" t="inlineStr">
        <is>
          <t>A 38721-2022</t>
        </is>
      </c>
      <c r="B284" s="1" t="n">
        <v>44815</v>
      </c>
      <c r="C284" s="1" t="n">
        <v>46120</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67285-2021</t>
        </is>
      </c>
      <c r="B285" s="1" t="n">
        <v>44523.61635416667</v>
      </c>
      <c r="C285" s="1" t="n">
        <v>46120</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60184-2021</t>
        </is>
      </c>
      <c r="B286" s="1" t="n">
        <v>44495</v>
      </c>
      <c r="C286" s="1" t="n">
        <v>46120</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5611-2022</t>
        </is>
      </c>
      <c r="B287" s="1" t="n">
        <v>44595</v>
      </c>
      <c r="C287" s="1" t="n">
        <v>46120</v>
      </c>
      <c r="D287" t="inlineStr">
        <is>
          <t>STOCKHOLMS LÄN</t>
        </is>
      </c>
      <c r="E287" t="inlineStr">
        <is>
          <t>NORRTÄLJE</t>
        </is>
      </c>
      <c r="G287" t="n">
        <v>0.5</v>
      </c>
      <c r="H287" t="n">
        <v>0</v>
      </c>
      <c r="I287" t="n">
        <v>0</v>
      </c>
      <c r="J287" t="n">
        <v>0</v>
      </c>
      <c r="K287" t="n">
        <v>0</v>
      </c>
      <c r="L287" t="n">
        <v>0</v>
      </c>
      <c r="M287" t="n">
        <v>0</v>
      </c>
      <c r="N287" t="n">
        <v>0</v>
      </c>
      <c r="O287" t="n">
        <v>0</v>
      </c>
      <c r="P287" t="n">
        <v>0</v>
      </c>
      <c r="Q287" t="n">
        <v>0</v>
      </c>
      <c r="R287" s="2" t="inlineStr"/>
    </row>
    <row r="288" ht="15" customHeight="1">
      <c r="A288" t="inlineStr">
        <is>
          <t>A 32055-2021</t>
        </is>
      </c>
      <c r="B288" s="1" t="n">
        <v>44370.72197916666</v>
      </c>
      <c r="C288" s="1" t="n">
        <v>46120</v>
      </c>
      <c r="D288" t="inlineStr">
        <is>
          <t>STOCKHOLMS LÄN</t>
        </is>
      </c>
      <c r="E288" t="inlineStr">
        <is>
          <t>NORRTÄLJE</t>
        </is>
      </c>
      <c r="G288" t="n">
        <v>1.2</v>
      </c>
      <c r="H288" t="n">
        <v>0</v>
      </c>
      <c r="I288" t="n">
        <v>0</v>
      </c>
      <c r="J288" t="n">
        <v>0</v>
      </c>
      <c r="K288" t="n">
        <v>0</v>
      </c>
      <c r="L288" t="n">
        <v>0</v>
      </c>
      <c r="M288" t="n">
        <v>0</v>
      </c>
      <c r="N288" t="n">
        <v>0</v>
      </c>
      <c r="O288" t="n">
        <v>0</v>
      </c>
      <c r="P288" t="n">
        <v>0</v>
      </c>
      <c r="Q288" t="n">
        <v>0</v>
      </c>
      <c r="R288" s="2" t="inlineStr"/>
    </row>
    <row r="289" ht="15" customHeight="1">
      <c r="A289" t="inlineStr">
        <is>
          <t>A 12348-2025</t>
        </is>
      </c>
      <c r="B289" s="1" t="n">
        <v>45730.35026620371</v>
      </c>
      <c r="C289" s="1" t="n">
        <v>46120</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33053-2021</t>
        </is>
      </c>
      <c r="B290" s="1" t="n">
        <v>44376</v>
      </c>
      <c r="C290" s="1" t="n">
        <v>46120</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23271-2023</t>
        </is>
      </c>
      <c r="B291" s="1" t="n">
        <v>45075.91362268518</v>
      </c>
      <c r="C291" s="1" t="n">
        <v>46120</v>
      </c>
      <c r="D291" t="inlineStr">
        <is>
          <t>STOCKHOLMS LÄN</t>
        </is>
      </c>
      <c r="E291" t="inlineStr">
        <is>
          <t>NORRTÄLJE</t>
        </is>
      </c>
      <c r="G291" t="n">
        <v>5.1</v>
      </c>
      <c r="H291" t="n">
        <v>0</v>
      </c>
      <c r="I291" t="n">
        <v>0</v>
      </c>
      <c r="J291" t="n">
        <v>0</v>
      </c>
      <c r="K291" t="n">
        <v>0</v>
      </c>
      <c r="L291" t="n">
        <v>0</v>
      </c>
      <c r="M291" t="n">
        <v>0</v>
      </c>
      <c r="N291" t="n">
        <v>0</v>
      </c>
      <c r="O291" t="n">
        <v>0</v>
      </c>
      <c r="P291" t="n">
        <v>0</v>
      </c>
      <c r="Q291" t="n">
        <v>0</v>
      </c>
      <c r="R291" s="2" t="inlineStr"/>
    </row>
    <row r="292" ht="15" customHeight="1">
      <c r="A292" t="inlineStr">
        <is>
          <t>A 23273-2023</t>
        </is>
      </c>
      <c r="B292" s="1" t="n">
        <v>45075.91971064815</v>
      </c>
      <c r="C292" s="1" t="n">
        <v>46120</v>
      </c>
      <c r="D292" t="inlineStr">
        <is>
          <t>STOCKHOLMS LÄN</t>
        </is>
      </c>
      <c r="E292" t="inlineStr">
        <is>
          <t>NORRTÄLJE</t>
        </is>
      </c>
      <c r="G292" t="n">
        <v>7.5</v>
      </c>
      <c r="H292" t="n">
        <v>0</v>
      </c>
      <c r="I292" t="n">
        <v>0</v>
      </c>
      <c r="J292" t="n">
        <v>0</v>
      </c>
      <c r="K292" t="n">
        <v>0</v>
      </c>
      <c r="L292" t="n">
        <v>0</v>
      </c>
      <c r="M292" t="n">
        <v>0</v>
      </c>
      <c r="N292" t="n">
        <v>0</v>
      </c>
      <c r="O292" t="n">
        <v>0</v>
      </c>
      <c r="P292" t="n">
        <v>0</v>
      </c>
      <c r="Q292" t="n">
        <v>0</v>
      </c>
      <c r="R292" s="2" t="inlineStr"/>
    </row>
    <row r="293" ht="15" customHeight="1">
      <c r="A293" t="inlineStr">
        <is>
          <t>A 30802-2022</t>
        </is>
      </c>
      <c r="B293" s="1" t="n">
        <v>44764</v>
      </c>
      <c r="C293" s="1" t="n">
        <v>46120</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19706-2023</t>
        </is>
      </c>
      <c r="B294" s="1" t="n">
        <v>45051.455</v>
      </c>
      <c r="C294" s="1" t="n">
        <v>46120</v>
      </c>
      <c r="D294" t="inlineStr">
        <is>
          <t>STOCKHOLMS LÄN</t>
        </is>
      </c>
      <c r="E294" t="inlineStr">
        <is>
          <t>NORRTÄLJE</t>
        </is>
      </c>
      <c r="G294" t="n">
        <v>0.2</v>
      </c>
      <c r="H294" t="n">
        <v>0</v>
      </c>
      <c r="I294" t="n">
        <v>0</v>
      </c>
      <c r="J294" t="n">
        <v>0</v>
      </c>
      <c r="K294" t="n">
        <v>0</v>
      </c>
      <c r="L294" t="n">
        <v>0</v>
      </c>
      <c r="M294" t="n">
        <v>0</v>
      </c>
      <c r="N294" t="n">
        <v>0</v>
      </c>
      <c r="O294" t="n">
        <v>0</v>
      </c>
      <c r="P294" t="n">
        <v>0</v>
      </c>
      <c r="Q294" t="n">
        <v>0</v>
      </c>
      <c r="R294" s="2" t="inlineStr"/>
    </row>
    <row r="295" ht="15" customHeight="1">
      <c r="A295" t="inlineStr">
        <is>
          <t>A 20013-2025</t>
        </is>
      </c>
      <c r="B295" s="1" t="n">
        <v>45772.30436342592</v>
      </c>
      <c r="C295" s="1" t="n">
        <v>46120</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16008-2025</t>
        </is>
      </c>
      <c r="B296" s="1" t="n">
        <v>45749</v>
      </c>
      <c r="C296" s="1" t="n">
        <v>46120</v>
      </c>
      <c r="D296" t="inlineStr">
        <is>
          <t>STOCKHOLMS LÄN</t>
        </is>
      </c>
      <c r="E296" t="inlineStr">
        <is>
          <t>NORRTÄLJE</t>
        </is>
      </c>
      <c r="F296" t="inlineStr">
        <is>
          <t>Holmen skog AB</t>
        </is>
      </c>
      <c r="G296" t="n">
        <v>0.9</v>
      </c>
      <c r="H296" t="n">
        <v>0</v>
      </c>
      <c r="I296" t="n">
        <v>0</v>
      </c>
      <c r="J296" t="n">
        <v>0</v>
      </c>
      <c r="K296" t="n">
        <v>0</v>
      </c>
      <c r="L296" t="n">
        <v>0</v>
      </c>
      <c r="M296" t="n">
        <v>0</v>
      </c>
      <c r="N296" t="n">
        <v>0</v>
      </c>
      <c r="O296" t="n">
        <v>0</v>
      </c>
      <c r="P296" t="n">
        <v>0</v>
      </c>
      <c r="Q296" t="n">
        <v>0</v>
      </c>
      <c r="R296" s="2" t="inlineStr"/>
    </row>
    <row r="297" ht="15" customHeight="1">
      <c r="A297" t="inlineStr">
        <is>
          <t>A 9765-2024</t>
        </is>
      </c>
      <c r="B297" s="1" t="n">
        <v>45362.62811342593</v>
      </c>
      <c r="C297" s="1" t="n">
        <v>46120</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27715-2022</t>
        </is>
      </c>
      <c r="B298" s="1" t="n">
        <v>44743.47407407407</v>
      </c>
      <c r="C298" s="1" t="n">
        <v>46120</v>
      </c>
      <c r="D298" t="inlineStr">
        <is>
          <t>STOCKHOLMS LÄN</t>
        </is>
      </c>
      <c r="E298" t="inlineStr">
        <is>
          <t>NORRTÄLJE</t>
        </is>
      </c>
      <c r="G298" t="n">
        <v>2.2</v>
      </c>
      <c r="H298" t="n">
        <v>0</v>
      </c>
      <c r="I298" t="n">
        <v>0</v>
      </c>
      <c r="J298" t="n">
        <v>0</v>
      </c>
      <c r="K298" t="n">
        <v>0</v>
      </c>
      <c r="L298" t="n">
        <v>0</v>
      </c>
      <c r="M298" t="n">
        <v>0</v>
      </c>
      <c r="N298" t="n">
        <v>0</v>
      </c>
      <c r="O298" t="n">
        <v>0</v>
      </c>
      <c r="P298" t="n">
        <v>0</v>
      </c>
      <c r="Q298" t="n">
        <v>0</v>
      </c>
      <c r="R298" s="2" t="inlineStr"/>
    </row>
    <row r="299" ht="15" customHeight="1">
      <c r="A299" t="inlineStr">
        <is>
          <t>A 55012-2024</t>
        </is>
      </c>
      <c r="B299" s="1" t="n">
        <v>45621.34813657407</v>
      </c>
      <c r="C299" s="1" t="n">
        <v>46120</v>
      </c>
      <c r="D299" t="inlineStr">
        <is>
          <t>STOCKHOLMS LÄN</t>
        </is>
      </c>
      <c r="E299" t="inlineStr">
        <is>
          <t>NORRTÄLJE</t>
        </is>
      </c>
      <c r="F299" t="inlineStr">
        <is>
          <t>Sveaskog</t>
        </is>
      </c>
      <c r="G299" t="n">
        <v>5.2</v>
      </c>
      <c r="H299" t="n">
        <v>0</v>
      </c>
      <c r="I299" t="n">
        <v>0</v>
      </c>
      <c r="J299" t="n">
        <v>0</v>
      </c>
      <c r="K299" t="n">
        <v>0</v>
      </c>
      <c r="L299" t="n">
        <v>0</v>
      </c>
      <c r="M299" t="n">
        <v>0</v>
      </c>
      <c r="N299" t="n">
        <v>0</v>
      </c>
      <c r="O299" t="n">
        <v>0</v>
      </c>
      <c r="P299" t="n">
        <v>0</v>
      </c>
      <c r="Q299" t="n">
        <v>0</v>
      </c>
      <c r="R299" s="2" t="inlineStr"/>
    </row>
    <row r="300" ht="15" customHeight="1">
      <c r="A300" t="inlineStr">
        <is>
          <t>A 63161-2023</t>
        </is>
      </c>
      <c r="B300" s="1" t="n">
        <v>45273</v>
      </c>
      <c r="C300" s="1" t="n">
        <v>46120</v>
      </c>
      <c r="D300" t="inlineStr">
        <is>
          <t>STOCKHOLMS LÄN</t>
        </is>
      </c>
      <c r="E300" t="inlineStr">
        <is>
          <t>NORRTÄLJE</t>
        </is>
      </c>
      <c r="G300" t="n">
        <v>1.6</v>
      </c>
      <c r="H300" t="n">
        <v>0</v>
      </c>
      <c r="I300" t="n">
        <v>0</v>
      </c>
      <c r="J300" t="n">
        <v>0</v>
      </c>
      <c r="K300" t="n">
        <v>0</v>
      </c>
      <c r="L300" t="n">
        <v>0</v>
      </c>
      <c r="M300" t="n">
        <v>0</v>
      </c>
      <c r="N300" t="n">
        <v>0</v>
      </c>
      <c r="O300" t="n">
        <v>0</v>
      </c>
      <c r="P300" t="n">
        <v>0</v>
      </c>
      <c r="Q300" t="n">
        <v>0</v>
      </c>
      <c r="R300" s="2" t="inlineStr"/>
    </row>
    <row r="301" ht="15" customHeight="1">
      <c r="A301" t="inlineStr">
        <is>
          <t>A 40425-2021</t>
        </is>
      </c>
      <c r="B301" s="1" t="n">
        <v>44419</v>
      </c>
      <c r="C301" s="1" t="n">
        <v>46120</v>
      </c>
      <c r="D301" t="inlineStr">
        <is>
          <t>STOCKHOLMS LÄN</t>
        </is>
      </c>
      <c r="E301" t="inlineStr">
        <is>
          <t>NORRTÄLJE</t>
        </is>
      </c>
      <c r="G301" t="n">
        <v>5</v>
      </c>
      <c r="H301" t="n">
        <v>0</v>
      </c>
      <c r="I301" t="n">
        <v>0</v>
      </c>
      <c r="J301" t="n">
        <v>0</v>
      </c>
      <c r="K301" t="n">
        <v>0</v>
      </c>
      <c r="L301" t="n">
        <v>0</v>
      </c>
      <c r="M301" t="n">
        <v>0</v>
      </c>
      <c r="N301" t="n">
        <v>0</v>
      </c>
      <c r="O301" t="n">
        <v>0</v>
      </c>
      <c r="P301" t="n">
        <v>0</v>
      </c>
      <c r="Q301" t="n">
        <v>0</v>
      </c>
      <c r="R301" s="2" t="inlineStr"/>
    </row>
    <row r="302" ht="15" customHeight="1">
      <c r="A302" t="inlineStr">
        <is>
          <t>A 20014-2025</t>
        </is>
      </c>
      <c r="B302" s="1" t="n">
        <v>45772.3078125</v>
      </c>
      <c r="C302" s="1" t="n">
        <v>46120</v>
      </c>
      <c r="D302" t="inlineStr">
        <is>
          <t>STOCKHOLMS LÄN</t>
        </is>
      </c>
      <c r="E302" t="inlineStr">
        <is>
          <t>NORRTÄLJE</t>
        </is>
      </c>
      <c r="G302" t="n">
        <v>4.4</v>
      </c>
      <c r="H302" t="n">
        <v>0</v>
      </c>
      <c r="I302" t="n">
        <v>0</v>
      </c>
      <c r="J302" t="n">
        <v>0</v>
      </c>
      <c r="K302" t="n">
        <v>0</v>
      </c>
      <c r="L302" t="n">
        <v>0</v>
      </c>
      <c r="M302" t="n">
        <v>0</v>
      </c>
      <c r="N302" t="n">
        <v>0</v>
      </c>
      <c r="O302" t="n">
        <v>0</v>
      </c>
      <c r="P302" t="n">
        <v>0</v>
      </c>
      <c r="Q302" t="n">
        <v>0</v>
      </c>
      <c r="R302" s="2" t="inlineStr"/>
    </row>
    <row r="303" ht="15" customHeight="1">
      <c r="A303" t="inlineStr">
        <is>
          <t>A 47694-2023</t>
        </is>
      </c>
      <c r="B303" s="1" t="n">
        <v>45203.63303240741</v>
      </c>
      <c r="C303" s="1" t="n">
        <v>46120</v>
      </c>
      <c r="D303" t="inlineStr">
        <is>
          <t>STOCKHOLMS LÄN</t>
        </is>
      </c>
      <c r="E303" t="inlineStr">
        <is>
          <t>NORRTÄLJE</t>
        </is>
      </c>
      <c r="G303" t="n">
        <v>5.2</v>
      </c>
      <c r="H303" t="n">
        <v>0</v>
      </c>
      <c r="I303" t="n">
        <v>0</v>
      </c>
      <c r="J303" t="n">
        <v>0</v>
      </c>
      <c r="K303" t="n">
        <v>0</v>
      </c>
      <c r="L303" t="n">
        <v>0</v>
      </c>
      <c r="M303" t="n">
        <v>0</v>
      </c>
      <c r="N303" t="n">
        <v>0</v>
      </c>
      <c r="O303" t="n">
        <v>0</v>
      </c>
      <c r="P303" t="n">
        <v>0</v>
      </c>
      <c r="Q303" t="n">
        <v>0</v>
      </c>
      <c r="R303" s="2" t="inlineStr"/>
    </row>
    <row r="304" ht="15" customHeight="1">
      <c r="A304" t="inlineStr">
        <is>
          <t>A 56631-2024</t>
        </is>
      </c>
      <c r="B304" s="1" t="n">
        <v>45625</v>
      </c>
      <c r="C304" s="1" t="n">
        <v>46120</v>
      </c>
      <c r="D304" t="inlineStr">
        <is>
          <t>STOCKHOLMS LÄN</t>
        </is>
      </c>
      <c r="E304" t="inlineStr">
        <is>
          <t>NORRTÄLJE</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40656-2022</t>
        </is>
      </c>
      <c r="B305" s="1" t="n">
        <v>44824.36069444445</v>
      </c>
      <c r="C305" s="1" t="n">
        <v>46120</v>
      </c>
      <c r="D305" t="inlineStr">
        <is>
          <t>STOCKHOLMS LÄN</t>
        </is>
      </c>
      <c r="E305" t="inlineStr">
        <is>
          <t>NORRTÄLJE</t>
        </is>
      </c>
      <c r="G305" t="n">
        <v>2.7</v>
      </c>
      <c r="H305" t="n">
        <v>0</v>
      </c>
      <c r="I305" t="n">
        <v>0</v>
      </c>
      <c r="J305" t="n">
        <v>0</v>
      </c>
      <c r="K305" t="n">
        <v>0</v>
      </c>
      <c r="L305" t="n">
        <v>0</v>
      </c>
      <c r="M305" t="n">
        <v>0</v>
      </c>
      <c r="N305" t="n">
        <v>0</v>
      </c>
      <c r="O305" t="n">
        <v>0</v>
      </c>
      <c r="P305" t="n">
        <v>0</v>
      </c>
      <c r="Q305" t="n">
        <v>0</v>
      </c>
      <c r="R305" s="2" t="inlineStr"/>
    </row>
    <row r="306" ht="15" customHeight="1">
      <c r="A306" t="inlineStr">
        <is>
          <t>A 48587-2023</t>
        </is>
      </c>
      <c r="B306" s="1" t="n">
        <v>45208</v>
      </c>
      <c r="C306" s="1" t="n">
        <v>46120</v>
      </c>
      <c r="D306" t="inlineStr">
        <is>
          <t>STOCKHOLMS LÄN</t>
        </is>
      </c>
      <c r="E306" t="inlineStr">
        <is>
          <t>NORRTÄLJE</t>
        </is>
      </c>
      <c r="G306" t="n">
        <v>7</v>
      </c>
      <c r="H306" t="n">
        <v>0</v>
      </c>
      <c r="I306" t="n">
        <v>0</v>
      </c>
      <c r="J306" t="n">
        <v>0</v>
      </c>
      <c r="K306" t="n">
        <v>0</v>
      </c>
      <c r="L306" t="n">
        <v>0</v>
      </c>
      <c r="M306" t="n">
        <v>0</v>
      </c>
      <c r="N306" t="n">
        <v>0</v>
      </c>
      <c r="O306" t="n">
        <v>0</v>
      </c>
      <c r="P306" t="n">
        <v>0</v>
      </c>
      <c r="Q306" t="n">
        <v>0</v>
      </c>
      <c r="R306" s="2" t="inlineStr"/>
    </row>
    <row r="307" ht="15" customHeight="1">
      <c r="A307" t="inlineStr">
        <is>
          <t>A 53600-2022</t>
        </is>
      </c>
      <c r="B307" s="1" t="n">
        <v>44879.70518518519</v>
      </c>
      <c r="C307" s="1" t="n">
        <v>46120</v>
      </c>
      <c r="D307" t="inlineStr">
        <is>
          <t>STOCKHOLMS LÄN</t>
        </is>
      </c>
      <c r="E307" t="inlineStr">
        <is>
          <t>NORRTÄLJE</t>
        </is>
      </c>
      <c r="G307" t="n">
        <v>4.3</v>
      </c>
      <c r="H307" t="n">
        <v>0</v>
      </c>
      <c r="I307" t="n">
        <v>0</v>
      </c>
      <c r="J307" t="n">
        <v>0</v>
      </c>
      <c r="K307" t="n">
        <v>0</v>
      </c>
      <c r="L307" t="n">
        <v>0</v>
      </c>
      <c r="M307" t="n">
        <v>0</v>
      </c>
      <c r="N307" t="n">
        <v>0</v>
      </c>
      <c r="O307" t="n">
        <v>0</v>
      </c>
      <c r="P307" t="n">
        <v>0</v>
      </c>
      <c r="Q307" t="n">
        <v>0</v>
      </c>
      <c r="R307" s="2" t="inlineStr"/>
    </row>
    <row r="308" ht="15" customHeight="1">
      <c r="A308" t="inlineStr">
        <is>
          <t>A 42955-2022</t>
        </is>
      </c>
      <c r="B308" s="1" t="n">
        <v>44833.40876157407</v>
      </c>
      <c r="C308" s="1" t="n">
        <v>46120</v>
      </c>
      <c r="D308" t="inlineStr">
        <is>
          <t>STOCKHOLMS LÄN</t>
        </is>
      </c>
      <c r="E308" t="inlineStr">
        <is>
          <t>NORRTÄLJE</t>
        </is>
      </c>
      <c r="G308" t="n">
        <v>13.1</v>
      </c>
      <c r="H308" t="n">
        <v>0</v>
      </c>
      <c r="I308" t="n">
        <v>0</v>
      </c>
      <c r="J308" t="n">
        <v>0</v>
      </c>
      <c r="K308" t="n">
        <v>0</v>
      </c>
      <c r="L308" t="n">
        <v>0</v>
      </c>
      <c r="M308" t="n">
        <v>0</v>
      </c>
      <c r="N308" t="n">
        <v>0</v>
      </c>
      <c r="O308" t="n">
        <v>0</v>
      </c>
      <c r="P308" t="n">
        <v>0</v>
      </c>
      <c r="Q308" t="n">
        <v>0</v>
      </c>
      <c r="R308" s="2" t="inlineStr"/>
    </row>
    <row r="309" ht="15" customHeight="1">
      <c r="A309" t="inlineStr">
        <is>
          <t>A 20136-2025</t>
        </is>
      </c>
      <c r="B309" s="1" t="n">
        <v>45772.51127314815</v>
      </c>
      <c r="C309" s="1" t="n">
        <v>46120</v>
      </c>
      <c r="D309" t="inlineStr">
        <is>
          <t>STOCKHOLMS LÄN</t>
        </is>
      </c>
      <c r="E309" t="inlineStr">
        <is>
          <t>NORRTÄLJE</t>
        </is>
      </c>
      <c r="G309" t="n">
        <v>1.3</v>
      </c>
      <c r="H309" t="n">
        <v>0</v>
      </c>
      <c r="I309" t="n">
        <v>0</v>
      </c>
      <c r="J309" t="n">
        <v>0</v>
      </c>
      <c r="K309" t="n">
        <v>0</v>
      </c>
      <c r="L309" t="n">
        <v>0</v>
      </c>
      <c r="M309" t="n">
        <v>0</v>
      </c>
      <c r="N309" t="n">
        <v>0</v>
      </c>
      <c r="O309" t="n">
        <v>0</v>
      </c>
      <c r="P309" t="n">
        <v>0</v>
      </c>
      <c r="Q309" t="n">
        <v>0</v>
      </c>
      <c r="R309" s="2" t="inlineStr"/>
    </row>
    <row r="310" ht="15" customHeight="1">
      <c r="A310" t="inlineStr">
        <is>
          <t>A 15978-2024</t>
        </is>
      </c>
      <c r="B310" s="1" t="n">
        <v>45405.57927083333</v>
      </c>
      <c r="C310" s="1" t="n">
        <v>46120</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20473-2021</t>
        </is>
      </c>
      <c r="B311" s="1" t="n">
        <v>44315</v>
      </c>
      <c r="C311" s="1" t="n">
        <v>46120</v>
      </c>
      <c r="D311" t="inlineStr">
        <is>
          <t>STOCKHOLMS LÄN</t>
        </is>
      </c>
      <c r="E311" t="inlineStr">
        <is>
          <t>NORRTÄLJE</t>
        </is>
      </c>
      <c r="F311" t="inlineStr">
        <is>
          <t>Övriga Aktiebolag</t>
        </is>
      </c>
      <c r="G311" t="n">
        <v>3.6</v>
      </c>
      <c r="H311" t="n">
        <v>0</v>
      </c>
      <c r="I311" t="n">
        <v>0</v>
      </c>
      <c r="J311" t="n">
        <v>0</v>
      </c>
      <c r="K311" t="n">
        <v>0</v>
      </c>
      <c r="L311" t="n">
        <v>0</v>
      </c>
      <c r="M311" t="n">
        <v>0</v>
      </c>
      <c r="N311" t="n">
        <v>0</v>
      </c>
      <c r="O311" t="n">
        <v>0</v>
      </c>
      <c r="P311" t="n">
        <v>0</v>
      </c>
      <c r="Q311" t="n">
        <v>0</v>
      </c>
      <c r="R311" s="2" t="inlineStr"/>
    </row>
    <row r="312" ht="15" customHeight="1">
      <c r="A312" t="inlineStr">
        <is>
          <t>A 7603-2025</t>
        </is>
      </c>
      <c r="B312" s="1" t="n">
        <v>45705.66126157407</v>
      </c>
      <c r="C312" s="1" t="n">
        <v>46120</v>
      </c>
      <c r="D312" t="inlineStr">
        <is>
          <t>STOCKHOLMS LÄN</t>
        </is>
      </c>
      <c r="E312" t="inlineStr">
        <is>
          <t>NORRTÄLJE</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5158-2024</t>
        </is>
      </c>
      <c r="B313" s="1" t="n">
        <v>45330.50098379629</v>
      </c>
      <c r="C313" s="1" t="n">
        <v>46120</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51046-2023</t>
        </is>
      </c>
      <c r="B314" s="1" t="n">
        <v>45218</v>
      </c>
      <c r="C314" s="1" t="n">
        <v>46120</v>
      </c>
      <c r="D314" t="inlineStr">
        <is>
          <t>STOCKHOLMS LÄN</t>
        </is>
      </c>
      <c r="E314" t="inlineStr">
        <is>
          <t>NORRTÄLJE</t>
        </is>
      </c>
      <c r="G314" t="n">
        <v>2.5</v>
      </c>
      <c r="H314" t="n">
        <v>0</v>
      </c>
      <c r="I314" t="n">
        <v>0</v>
      </c>
      <c r="J314" t="n">
        <v>0</v>
      </c>
      <c r="K314" t="n">
        <v>0</v>
      </c>
      <c r="L314" t="n">
        <v>0</v>
      </c>
      <c r="M314" t="n">
        <v>0</v>
      </c>
      <c r="N314" t="n">
        <v>0</v>
      </c>
      <c r="O314" t="n">
        <v>0</v>
      </c>
      <c r="P314" t="n">
        <v>0</v>
      </c>
      <c r="Q314" t="n">
        <v>0</v>
      </c>
      <c r="R314" s="2" t="inlineStr"/>
    </row>
    <row r="315" ht="15" customHeight="1">
      <c r="A315" t="inlineStr">
        <is>
          <t>A 8736-2024</t>
        </is>
      </c>
      <c r="B315" s="1" t="n">
        <v>45356.4722800926</v>
      </c>
      <c r="C315" s="1" t="n">
        <v>46120</v>
      </c>
      <c r="D315" t="inlineStr">
        <is>
          <t>STOCKHOLMS LÄN</t>
        </is>
      </c>
      <c r="E315" t="inlineStr">
        <is>
          <t>NORRTÄLJE</t>
        </is>
      </c>
      <c r="G315" t="n">
        <v>8.9</v>
      </c>
      <c r="H315" t="n">
        <v>0</v>
      </c>
      <c r="I315" t="n">
        <v>0</v>
      </c>
      <c r="J315" t="n">
        <v>0</v>
      </c>
      <c r="K315" t="n">
        <v>0</v>
      </c>
      <c r="L315" t="n">
        <v>0</v>
      </c>
      <c r="M315" t="n">
        <v>0</v>
      </c>
      <c r="N315" t="n">
        <v>0</v>
      </c>
      <c r="O315" t="n">
        <v>0</v>
      </c>
      <c r="P315" t="n">
        <v>0</v>
      </c>
      <c r="Q315" t="n">
        <v>0</v>
      </c>
      <c r="R315" s="2" t="inlineStr"/>
    </row>
    <row r="316" ht="15" customHeight="1">
      <c r="A316" t="inlineStr">
        <is>
          <t>A 45255-2022</t>
        </is>
      </c>
      <c r="B316" s="1" t="n">
        <v>44840</v>
      </c>
      <c r="C316" s="1" t="n">
        <v>46120</v>
      </c>
      <c r="D316" t="inlineStr">
        <is>
          <t>STOCKHOLMS LÄN</t>
        </is>
      </c>
      <c r="E316" t="inlineStr">
        <is>
          <t>NORRTÄLJE</t>
        </is>
      </c>
      <c r="G316" t="n">
        <v>4.1</v>
      </c>
      <c r="H316" t="n">
        <v>0</v>
      </c>
      <c r="I316" t="n">
        <v>0</v>
      </c>
      <c r="J316" t="n">
        <v>0</v>
      </c>
      <c r="K316" t="n">
        <v>0</v>
      </c>
      <c r="L316" t="n">
        <v>0</v>
      </c>
      <c r="M316" t="n">
        <v>0</v>
      </c>
      <c r="N316" t="n">
        <v>0</v>
      </c>
      <c r="O316" t="n">
        <v>0</v>
      </c>
      <c r="P316" t="n">
        <v>0</v>
      </c>
      <c r="Q316" t="n">
        <v>0</v>
      </c>
      <c r="R316" s="2" t="inlineStr"/>
    </row>
    <row r="317" ht="15" customHeight="1">
      <c r="A317" t="inlineStr">
        <is>
          <t>A 19915-2024</t>
        </is>
      </c>
      <c r="B317" s="1" t="n">
        <v>45433.58431712963</v>
      </c>
      <c r="C317" s="1" t="n">
        <v>46120</v>
      </c>
      <c r="D317" t="inlineStr">
        <is>
          <t>STOCKHOLMS LÄN</t>
        </is>
      </c>
      <c r="E317" t="inlineStr">
        <is>
          <t>NORRTÄLJE</t>
        </is>
      </c>
      <c r="G317" t="n">
        <v>2</v>
      </c>
      <c r="H317" t="n">
        <v>0</v>
      </c>
      <c r="I317" t="n">
        <v>0</v>
      </c>
      <c r="J317" t="n">
        <v>0</v>
      </c>
      <c r="K317" t="n">
        <v>0</v>
      </c>
      <c r="L317" t="n">
        <v>0</v>
      </c>
      <c r="M317" t="n">
        <v>0</v>
      </c>
      <c r="N317" t="n">
        <v>0</v>
      </c>
      <c r="O317" t="n">
        <v>0</v>
      </c>
      <c r="P317" t="n">
        <v>0</v>
      </c>
      <c r="Q317" t="n">
        <v>0</v>
      </c>
      <c r="R317" s="2" t="inlineStr"/>
    </row>
    <row r="318" ht="15" customHeight="1">
      <c r="A318" t="inlineStr">
        <is>
          <t>A 12629-2024</t>
        </is>
      </c>
      <c r="B318" s="1" t="n">
        <v>45383</v>
      </c>
      <c r="C318" s="1" t="n">
        <v>46120</v>
      </c>
      <c r="D318" t="inlineStr">
        <is>
          <t>STOCKHOLMS LÄN</t>
        </is>
      </c>
      <c r="E318" t="inlineStr">
        <is>
          <t>NORRTÄLJE</t>
        </is>
      </c>
      <c r="G318" t="n">
        <v>2.6</v>
      </c>
      <c r="H318" t="n">
        <v>0</v>
      </c>
      <c r="I318" t="n">
        <v>0</v>
      </c>
      <c r="J318" t="n">
        <v>0</v>
      </c>
      <c r="K318" t="n">
        <v>0</v>
      </c>
      <c r="L318" t="n">
        <v>0</v>
      </c>
      <c r="M318" t="n">
        <v>0</v>
      </c>
      <c r="N318" t="n">
        <v>0</v>
      </c>
      <c r="O318" t="n">
        <v>0</v>
      </c>
      <c r="P318" t="n">
        <v>0</v>
      </c>
      <c r="Q318" t="n">
        <v>0</v>
      </c>
      <c r="R318" s="2" t="inlineStr"/>
    </row>
    <row r="319" ht="15" customHeight="1">
      <c r="A319" t="inlineStr">
        <is>
          <t>A 14762-2024</t>
        </is>
      </c>
      <c r="B319" s="1" t="n">
        <v>45397</v>
      </c>
      <c r="C319" s="1" t="n">
        <v>46120</v>
      </c>
      <c r="D319" t="inlineStr">
        <is>
          <t>STOCKHOLMS LÄN</t>
        </is>
      </c>
      <c r="E319" t="inlineStr">
        <is>
          <t>NORRTÄLJE</t>
        </is>
      </c>
      <c r="G319" t="n">
        <v>11</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46120</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57037-2022</t>
        </is>
      </c>
      <c r="B321" s="1" t="n">
        <v>44895</v>
      </c>
      <c r="C321" s="1" t="n">
        <v>46120</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55755-2023</t>
        </is>
      </c>
      <c r="B322" s="1" t="n">
        <v>45239</v>
      </c>
      <c r="C322" s="1" t="n">
        <v>46120</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45549-2022</t>
        </is>
      </c>
      <c r="B323" s="1" t="n">
        <v>44845.48064814815</v>
      </c>
      <c r="C323" s="1" t="n">
        <v>46120</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23149-2024</t>
        </is>
      </c>
      <c r="B324" s="1" t="n">
        <v>45450.64208333333</v>
      </c>
      <c r="C324" s="1" t="n">
        <v>46120</v>
      </c>
      <c r="D324" t="inlineStr">
        <is>
          <t>STOCKHOLMS LÄN</t>
        </is>
      </c>
      <c r="E324" t="inlineStr">
        <is>
          <t>NORRTÄLJE</t>
        </is>
      </c>
      <c r="F324" t="inlineStr">
        <is>
          <t>Kommuner</t>
        </is>
      </c>
      <c r="G324" t="n">
        <v>1.3</v>
      </c>
      <c r="H324" t="n">
        <v>0</v>
      </c>
      <c r="I324" t="n">
        <v>0</v>
      </c>
      <c r="J324" t="n">
        <v>0</v>
      </c>
      <c r="K324" t="n">
        <v>0</v>
      </c>
      <c r="L324" t="n">
        <v>0</v>
      </c>
      <c r="M324" t="n">
        <v>0</v>
      </c>
      <c r="N324" t="n">
        <v>0</v>
      </c>
      <c r="O324" t="n">
        <v>0</v>
      </c>
      <c r="P324" t="n">
        <v>0</v>
      </c>
      <c r="Q324" t="n">
        <v>0</v>
      </c>
      <c r="R324" s="2" t="inlineStr"/>
    </row>
    <row r="325" ht="15" customHeight="1">
      <c r="A325" t="inlineStr">
        <is>
          <t>A 23151-2024</t>
        </is>
      </c>
      <c r="B325" s="1" t="n">
        <v>45450</v>
      </c>
      <c r="C325" s="1" t="n">
        <v>46120</v>
      </c>
      <c r="D325" t="inlineStr">
        <is>
          <t>STOCKHOLMS LÄN</t>
        </is>
      </c>
      <c r="E325" t="inlineStr">
        <is>
          <t>NORRTÄLJE</t>
        </is>
      </c>
      <c r="F325" t="inlineStr">
        <is>
          <t>Kommuner</t>
        </is>
      </c>
      <c r="G325" t="n">
        <v>1.2</v>
      </c>
      <c r="H325" t="n">
        <v>0</v>
      </c>
      <c r="I325" t="n">
        <v>0</v>
      </c>
      <c r="J325" t="n">
        <v>0</v>
      </c>
      <c r="K325" t="n">
        <v>0</v>
      </c>
      <c r="L325" t="n">
        <v>0</v>
      </c>
      <c r="M325" t="n">
        <v>0</v>
      </c>
      <c r="N325" t="n">
        <v>0</v>
      </c>
      <c r="O325" t="n">
        <v>0</v>
      </c>
      <c r="P325" t="n">
        <v>0</v>
      </c>
      <c r="Q325" t="n">
        <v>0</v>
      </c>
      <c r="R325" s="2" t="inlineStr"/>
    </row>
    <row r="326" ht="15" customHeight="1">
      <c r="A326" t="inlineStr">
        <is>
          <t>A 16913-2025</t>
        </is>
      </c>
      <c r="B326" s="1" t="n">
        <v>45755.36583333334</v>
      </c>
      <c r="C326" s="1" t="n">
        <v>46120</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40761-2024</t>
        </is>
      </c>
      <c r="B327" s="1" t="n">
        <v>45558.46283564815</v>
      </c>
      <c r="C327" s="1" t="n">
        <v>46120</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51978-2023</t>
        </is>
      </c>
      <c r="B328" s="1" t="n">
        <v>45223</v>
      </c>
      <c r="C328" s="1" t="n">
        <v>46120</v>
      </c>
      <c r="D328" t="inlineStr">
        <is>
          <t>STOCKHOLMS LÄN</t>
        </is>
      </c>
      <c r="E328" t="inlineStr">
        <is>
          <t>NORRTÄLJE</t>
        </is>
      </c>
      <c r="G328" t="n">
        <v>1.9</v>
      </c>
      <c r="H328" t="n">
        <v>0</v>
      </c>
      <c r="I328" t="n">
        <v>0</v>
      </c>
      <c r="J328" t="n">
        <v>0</v>
      </c>
      <c r="K328" t="n">
        <v>0</v>
      </c>
      <c r="L328" t="n">
        <v>0</v>
      </c>
      <c r="M328" t="n">
        <v>0</v>
      </c>
      <c r="N328" t="n">
        <v>0</v>
      </c>
      <c r="O328" t="n">
        <v>0</v>
      </c>
      <c r="P328" t="n">
        <v>0</v>
      </c>
      <c r="Q328" t="n">
        <v>0</v>
      </c>
      <c r="R328" s="2" t="inlineStr"/>
    </row>
    <row r="329" ht="15" customHeight="1">
      <c r="A329" t="inlineStr">
        <is>
          <t>A 47431-2023</t>
        </is>
      </c>
      <c r="B329" s="1" t="n">
        <v>45202</v>
      </c>
      <c r="C329" s="1" t="n">
        <v>46120</v>
      </c>
      <c r="D329" t="inlineStr">
        <is>
          <t>STOCKHOLMS LÄN</t>
        </is>
      </c>
      <c r="E329" t="inlineStr">
        <is>
          <t>NORRTÄLJE</t>
        </is>
      </c>
      <c r="F329" t="inlineStr">
        <is>
          <t>Naturvårdsverket</t>
        </is>
      </c>
      <c r="G329" t="n">
        <v>1.2</v>
      </c>
      <c r="H329" t="n">
        <v>0</v>
      </c>
      <c r="I329" t="n">
        <v>0</v>
      </c>
      <c r="J329" t="n">
        <v>0</v>
      </c>
      <c r="K329" t="n">
        <v>0</v>
      </c>
      <c r="L329" t="n">
        <v>0</v>
      </c>
      <c r="M329" t="n">
        <v>0</v>
      </c>
      <c r="N329" t="n">
        <v>0</v>
      </c>
      <c r="O329" t="n">
        <v>0</v>
      </c>
      <c r="P329" t="n">
        <v>0</v>
      </c>
      <c r="Q329" t="n">
        <v>0</v>
      </c>
      <c r="R329" s="2" t="inlineStr"/>
    </row>
    <row r="330" ht="15" customHeight="1">
      <c r="A330" t="inlineStr">
        <is>
          <t>A 23692-2024</t>
        </is>
      </c>
      <c r="B330" s="1" t="n">
        <v>45454.65774305556</v>
      </c>
      <c r="C330" s="1" t="n">
        <v>46120</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37550-2022</t>
        </is>
      </c>
      <c r="B331" s="1" t="n">
        <v>44809</v>
      </c>
      <c r="C331" s="1" t="n">
        <v>46120</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23262-2023</t>
        </is>
      </c>
      <c r="B332" s="1" t="n">
        <v>45075.90270833333</v>
      </c>
      <c r="C332" s="1" t="n">
        <v>46120</v>
      </c>
      <c r="D332" t="inlineStr">
        <is>
          <t>STOCKHOLMS LÄN</t>
        </is>
      </c>
      <c r="E332" t="inlineStr">
        <is>
          <t>NORRTÄLJE</t>
        </is>
      </c>
      <c r="F332" t="inlineStr">
        <is>
          <t>Kommuner</t>
        </is>
      </c>
      <c r="G332" t="n">
        <v>1.9</v>
      </c>
      <c r="H332" t="n">
        <v>0</v>
      </c>
      <c r="I332" t="n">
        <v>0</v>
      </c>
      <c r="J332" t="n">
        <v>0</v>
      </c>
      <c r="K332" t="n">
        <v>0</v>
      </c>
      <c r="L332" t="n">
        <v>0</v>
      </c>
      <c r="M332" t="n">
        <v>0</v>
      </c>
      <c r="N332" t="n">
        <v>0</v>
      </c>
      <c r="O332" t="n">
        <v>0</v>
      </c>
      <c r="P332" t="n">
        <v>0</v>
      </c>
      <c r="Q332" t="n">
        <v>0</v>
      </c>
      <c r="R332" s="2" t="inlineStr"/>
    </row>
    <row r="333" ht="15" customHeight="1">
      <c r="A333" t="inlineStr">
        <is>
          <t>A 23268-2023</t>
        </is>
      </c>
      <c r="B333" s="1" t="n">
        <v>45075.91042824074</v>
      </c>
      <c r="C333" s="1" t="n">
        <v>46120</v>
      </c>
      <c r="D333" t="inlineStr">
        <is>
          <t>STOCKHOLMS LÄN</t>
        </is>
      </c>
      <c r="E333" t="inlineStr">
        <is>
          <t>NORRTÄLJE</t>
        </is>
      </c>
      <c r="G333" t="n">
        <v>3.3</v>
      </c>
      <c r="H333" t="n">
        <v>0</v>
      </c>
      <c r="I333" t="n">
        <v>0</v>
      </c>
      <c r="J333" t="n">
        <v>0</v>
      </c>
      <c r="K333" t="n">
        <v>0</v>
      </c>
      <c r="L333" t="n">
        <v>0</v>
      </c>
      <c r="M333" t="n">
        <v>0</v>
      </c>
      <c r="N333" t="n">
        <v>0</v>
      </c>
      <c r="O333" t="n">
        <v>0</v>
      </c>
      <c r="P333" t="n">
        <v>0</v>
      </c>
      <c r="Q333" t="n">
        <v>0</v>
      </c>
      <c r="R333" s="2" t="inlineStr"/>
    </row>
    <row r="334" ht="15" customHeight="1">
      <c r="A334" t="inlineStr">
        <is>
          <t>A 23270-2023</t>
        </is>
      </c>
      <c r="B334" s="1" t="n">
        <v>45075.91265046296</v>
      </c>
      <c r="C334" s="1" t="n">
        <v>46120</v>
      </c>
      <c r="D334" t="inlineStr">
        <is>
          <t>STOCKHOLMS LÄN</t>
        </is>
      </c>
      <c r="E334" t="inlineStr">
        <is>
          <t>NORRTÄLJE</t>
        </is>
      </c>
      <c r="G334" t="n">
        <v>12.3</v>
      </c>
      <c r="H334" t="n">
        <v>0</v>
      </c>
      <c r="I334" t="n">
        <v>0</v>
      </c>
      <c r="J334" t="n">
        <v>0</v>
      </c>
      <c r="K334" t="n">
        <v>0</v>
      </c>
      <c r="L334" t="n">
        <v>0</v>
      </c>
      <c r="M334" t="n">
        <v>0</v>
      </c>
      <c r="N334" t="n">
        <v>0</v>
      </c>
      <c r="O334" t="n">
        <v>0</v>
      </c>
      <c r="P334" t="n">
        <v>0</v>
      </c>
      <c r="Q334" t="n">
        <v>0</v>
      </c>
      <c r="R334" s="2" t="inlineStr"/>
    </row>
    <row r="335" ht="15" customHeight="1">
      <c r="A335" t="inlineStr">
        <is>
          <t>A 23274-2023</t>
        </is>
      </c>
      <c r="B335" s="1" t="n">
        <v>45075.92153935185</v>
      </c>
      <c r="C335" s="1" t="n">
        <v>46120</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50569-2022</t>
        </is>
      </c>
      <c r="B336" s="1" t="n">
        <v>44866.63775462963</v>
      </c>
      <c r="C336" s="1" t="n">
        <v>46120</v>
      </c>
      <c r="D336" t="inlineStr">
        <is>
          <t>STOCKHOLMS LÄN</t>
        </is>
      </c>
      <c r="E336" t="inlineStr">
        <is>
          <t>NORRTÄLJE</t>
        </is>
      </c>
      <c r="G336" t="n">
        <v>1.2</v>
      </c>
      <c r="H336" t="n">
        <v>0</v>
      </c>
      <c r="I336" t="n">
        <v>0</v>
      </c>
      <c r="J336" t="n">
        <v>0</v>
      </c>
      <c r="K336" t="n">
        <v>0</v>
      </c>
      <c r="L336" t="n">
        <v>0</v>
      </c>
      <c r="M336" t="n">
        <v>0</v>
      </c>
      <c r="N336" t="n">
        <v>0</v>
      </c>
      <c r="O336" t="n">
        <v>0</v>
      </c>
      <c r="P336" t="n">
        <v>0</v>
      </c>
      <c r="Q336" t="n">
        <v>0</v>
      </c>
      <c r="R336" s="2" t="inlineStr"/>
    </row>
    <row r="337" ht="15" customHeight="1">
      <c r="A337" t="inlineStr">
        <is>
          <t>A 5732-2023</t>
        </is>
      </c>
      <c r="B337" s="1" t="n">
        <v>44962</v>
      </c>
      <c r="C337" s="1" t="n">
        <v>46120</v>
      </c>
      <c r="D337" t="inlineStr">
        <is>
          <t>STOCKHOLMS LÄN</t>
        </is>
      </c>
      <c r="E337" t="inlineStr">
        <is>
          <t>NORRTÄLJE</t>
        </is>
      </c>
      <c r="G337" t="n">
        <v>0.5</v>
      </c>
      <c r="H337" t="n">
        <v>0</v>
      </c>
      <c r="I337" t="n">
        <v>0</v>
      </c>
      <c r="J337" t="n">
        <v>0</v>
      </c>
      <c r="K337" t="n">
        <v>0</v>
      </c>
      <c r="L337" t="n">
        <v>0</v>
      </c>
      <c r="M337" t="n">
        <v>0</v>
      </c>
      <c r="N337" t="n">
        <v>0</v>
      </c>
      <c r="O337" t="n">
        <v>0</v>
      </c>
      <c r="P337" t="n">
        <v>0</v>
      </c>
      <c r="Q337" t="n">
        <v>0</v>
      </c>
      <c r="R337" s="2" t="inlineStr"/>
    </row>
    <row r="338" ht="15" customHeight="1">
      <c r="A338" t="inlineStr">
        <is>
          <t>A 60224-2023</t>
        </is>
      </c>
      <c r="B338" s="1" t="n">
        <v>45257</v>
      </c>
      <c r="C338" s="1" t="n">
        <v>46120</v>
      </c>
      <c r="D338" t="inlineStr">
        <is>
          <t>STOCKHOLMS LÄN</t>
        </is>
      </c>
      <c r="E338" t="inlineStr">
        <is>
          <t>NORRTÄLJE</t>
        </is>
      </c>
      <c r="G338" t="n">
        <v>8.1</v>
      </c>
      <c r="H338" t="n">
        <v>0</v>
      </c>
      <c r="I338" t="n">
        <v>0</v>
      </c>
      <c r="J338" t="n">
        <v>0</v>
      </c>
      <c r="K338" t="n">
        <v>0</v>
      </c>
      <c r="L338" t="n">
        <v>0</v>
      </c>
      <c r="M338" t="n">
        <v>0</v>
      </c>
      <c r="N338" t="n">
        <v>0</v>
      </c>
      <c r="O338" t="n">
        <v>0</v>
      </c>
      <c r="P338" t="n">
        <v>0</v>
      </c>
      <c r="Q338" t="n">
        <v>0</v>
      </c>
      <c r="R338" s="2" t="inlineStr"/>
    </row>
    <row r="339" ht="15" customHeight="1">
      <c r="A339" t="inlineStr">
        <is>
          <t>A 25609-2023</t>
        </is>
      </c>
      <c r="B339" s="1" t="n">
        <v>45089</v>
      </c>
      <c r="C339" s="1" t="n">
        <v>46120</v>
      </c>
      <c r="D339" t="inlineStr">
        <is>
          <t>STOCKHOLMS LÄN</t>
        </is>
      </c>
      <c r="E339" t="inlineStr">
        <is>
          <t>NORRTÄLJE</t>
        </is>
      </c>
      <c r="G339" t="n">
        <v>2.5</v>
      </c>
      <c r="H339" t="n">
        <v>0</v>
      </c>
      <c r="I339" t="n">
        <v>0</v>
      </c>
      <c r="J339" t="n">
        <v>0</v>
      </c>
      <c r="K339" t="n">
        <v>0</v>
      </c>
      <c r="L339" t="n">
        <v>0</v>
      </c>
      <c r="M339" t="n">
        <v>0</v>
      </c>
      <c r="N339" t="n">
        <v>0</v>
      </c>
      <c r="O339" t="n">
        <v>0</v>
      </c>
      <c r="P339" t="n">
        <v>0</v>
      </c>
      <c r="Q339" t="n">
        <v>0</v>
      </c>
      <c r="R339" s="2" t="inlineStr"/>
    </row>
    <row r="340" ht="15" customHeight="1">
      <c r="A340" t="inlineStr">
        <is>
          <t>A 33569-2023</t>
        </is>
      </c>
      <c r="B340" s="1" t="n">
        <v>45131.666875</v>
      </c>
      <c r="C340" s="1" t="n">
        <v>46120</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17785-2024</t>
        </is>
      </c>
      <c r="B341" s="1" t="n">
        <v>45418.6968287037</v>
      </c>
      <c r="C341" s="1" t="n">
        <v>46120</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29684-2021</t>
        </is>
      </c>
      <c r="B342" s="1" t="n">
        <v>44362.37172453704</v>
      </c>
      <c r="C342" s="1" t="n">
        <v>46120</v>
      </c>
      <c r="D342" t="inlineStr">
        <is>
          <t>STOCKHOLMS LÄN</t>
        </is>
      </c>
      <c r="E342" t="inlineStr">
        <is>
          <t>NORRTÄLJE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22833-2024</t>
        </is>
      </c>
      <c r="B343" s="1" t="n">
        <v>45448.56746527777</v>
      </c>
      <c r="C343" s="1" t="n">
        <v>46120</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21386-2023</t>
        </is>
      </c>
      <c r="B344" s="1" t="n">
        <v>45063.35880787037</v>
      </c>
      <c r="C344" s="1" t="n">
        <v>46120</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32071-2023</t>
        </is>
      </c>
      <c r="B345" s="1" t="n">
        <v>45119.57728009259</v>
      </c>
      <c r="C345" s="1" t="n">
        <v>46120</v>
      </c>
      <c r="D345" t="inlineStr">
        <is>
          <t>STOCKHOLMS LÄN</t>
        </is>
      </c>
      <c r="E345" t="inlineStr">
        <is>
          <t>NORRTÄLJE</t>
        </is>
      </c>
      <c r="G345" t="n">
        <v>6.5</v>
      </c>
      <c r="H345" t="n">
        <v>0</v>
      </c>
      <c r="I345" t="n">
        <v>0</v>
      </c>
      <c r="J345" t="n">
        <v>0</v>
      </c>
      <c r="K345" t="n">
        <v>0</v>
      </c>
      <c r="L345" t="n">
        <v>0</v>
      </c>
      <c r="M345" t="n">
        <v>0</v>
      </c>
      <c r="N345" t="n">
        <v>0</v>
      </c>
      <c r="O345" t="n">
        <v>0</v>
      </c>
      <c r="P345" t="n">
        <v>0</v>
      </c>
      <c r="Q345" t="n">
        <v>0</v>
      </c>
      <c r="R345" s="2" t="inlineStr"/>
    </row>
    <row r="346" ht="15" customHeight="1">
      <c r="A346" t="inlineStr">
        <is>
          <t>A 4593-2023</t>
        </is>
      </c>
      <c r="B346" s="1" t="n">
        <v>44956</v>
      </c>
      <c r="C346" s="1" t="n">
        <v>46120</v>
      </c>
      <c r="D346" t="inlineStr">
        <is>
          <t>STOCKHOLMS LÄN</t>
        </is>
      </c>
      <c r="E346" t="inlineStr">
        <is>
          <t>NORRTÄLJE</t>
        </is>
      </c>
      <c r="G346" t="n">
        <v>0.4</v>
      </c>
      <c r="H346" t="n">
        <v>0</v>
      </c>
      <c r="I346" t="n">
        <v>0</v>
      </c>
      <c r="J346" t="n">
        <v>0</v>
      </c>
      <c r="K346" t="n">
        <v>0</v>
      </c>
      <c r="L346" t="n">
        <v>0</v>
      </c>
      <c r="M346" t="n">
        <v>0</v>
      </c>
      <c r="N346" t="n">
        <v>0</v>
      </c>
      <c r="O346" t="n">
        <v>0</v>
      </c>
      <c r="P346" t="n">
        <v>0</v>
      </c>
      <c r="Q346" t="n">
        <v>0</v>
      </c>
      <c r="R346" s="2" t="inlineStr"/>
    </row>
    <row r="347" ht="15" customHeight="1">
      <c r="A347" t="inlineStr">
        <is>
          <t>A 26115-2024</t>
        </is>
      </c>
      <c r="B347" s="1" t="n">
        <v>45468.45628472222</v>
      </c>
      <c r="C347" s="1" t="n">
        <v>46120</v>
      </c>
      <c r="D347" t="inlineStr">
        <is>
          <t>STOCKHOLMS LÄN</t>
        </is>
      </c>
      <c r="E347" t="inlineStr">
        <is>
          <t>NORRTÄLJE</t>
        </is>
      </c>
      <c r="G347" t="n">
        <v>0.3</v>
      </c>
      <c r="H347" t="n">
        <v>0</v>
      </c>
      <c r="I347" t="n">
        <v>0</v>
      </c>
      <c r="J347" t="n">
        <v>0</v>
      </c>
      <c r="K347" t="n">
        <v>0</v>
      </c>
      <c r="L347" t="n">
        <v>0</v>
      </c>
      <c r="M347" t="n">
        <v>0</v>
      </c>
      <c r="N347" t="n">
        <v>0</v>
      </c>
      <c r="O347" t="n">
        <v>0</v>
      </c>
      <c r="P347" t="n">
        <v>0</v>
      </c>
      <c r="Q347" t="n">
        <v>0</v>
      </c>
      <c r="R347" s="2" t="inlineStr"/>
    </row>
    <row r="348" ht="15" customHeight="1">
      <c r="A348" t="inlineStr">
        <is>
          <t>A 25681-2024</t>
        </is>
      </c>
      <c r="B348" s="1" t="n">
        <v>45463.80486111111</v>
      </c>
      <c r="C348" s="1" t="n">
        <v>46120</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54396-2021</t>
        </is>
      </c>
      <c r="B349" s="1" t="n">
        <v>44472</v>
      </c>
      <c r="C349" s="1" t="n">
        <v>46120</v>
      </c>
      <c r="D349" t="inlineStr">
        <is>
          <t>STOCKHOLMS LÄN</t>
        </is>
      </c>
      <c r="E349" t="inlineStr">
        <is>
          <t>NORRTÄLJE</t>
        </is>
      </c>
      <c r="G349" t="n">
        <v>2.6</v>
      </c>
      <c r="H349" t="n">
        <v>0</v>
      </c>
      <c r="I349" t="n">
        <v>0</v>
      </c>
      <c r="J349" t="n">
        <v>0</v>
      </c>
      <c r="K349" t="n">
        <v>0</v>
      </c>
      <c r="L349" t="n">
        <v>0</v>
      </c>
      <c r="M349" t="n">
        <v>0</v>
      </c>
      <c r="N349" t="n">
        <v>0</v>
      </c>
      <c r="O349" t="n">
        <v>0</v>
      </c>
      <c r="P349" t="n">
        <v>0</v>
      </c>
      <c r="Q349" t="n">
        <v>0</v>
      </c>
      <c r="R349" s="2" t="inlineStr"/>
    </row>
    <row r="350" ht="15" customHeight="1">
      <c r="A350" t="inlineStr">
        <is>
          <t>A 54273-2021</t>
        </is>
      </c>
      <c r="B350" s="1" t="n">
        <v>44470.72987268519</v>
      </c>
      <c r="C350" s="1" t="n">
        <v>46120</v>
      </c>
      <c r="D350" t="inlineStr">
        <is>
          <t>STOCKHOLMS LÄN</t>
        </is>
      </c>
      <c r="E350" t="inlineStr">
        <is>
          <t>NORRTÄLJE</t>
        </is>
      </c>
      <c r="G350" t="n">
        <v>2.7</v>
      </c>
      <c r="H350" t="n">
        <v>0</v>
      </c>
      <c r="I350" t="n">
        <v>0</v>
      </c>
      <c r="J350" t="n">
        <v>0</v>
      </c>
      <c r="K350" t="n">
        <v>0</v>
      </c>
      <c r="L350" t="n">
        <v>0</v>
      </c>
      <c r="M350" t="n">
        <v>0</v>
      </c>
      <c r="N350" t="n">
        <v>0</v>
      </c>
      <c r="O350" t="n">
        <v>0</v>
      </c>
      <c r="P350" t="n">
        <v>0</v>
      </c>
      <c r="Q350" t="n">
        <v>0</v>
      </c>
      <c r="R350" s="2" t="inlineStr"/>
    </row>
    <row r="351" ht="15" customHeight="1">
      <c r="A351" t="inlineStr">
        <is>
          <t>A 43212-2022</t>
        </is>
      </c>
      <c r="B351" s="1" t="n">
        <v>44834.38636574074</v>
      </c>
      <c r="C351" s="1" t="n">
        <v>46120</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24245-2024</t>
        </is>
      </c>
      <c r="B352" s="1" t="n">
        <v>45457</v>
      </c>
      <c r="C352" s="1" t="n">
        <v>46120</v>
      </c>
      <c r="D352" t="inlineStr">
        <is>
          <t>STOCKHOLMS LÄN</t>
        </is>
      </c>
      <c r="E352" t="inlineStr">
        <is>
          <t>NORRTÄLJE</t>
        </is>
      </c>
      <c r="F352" t="inlineStr">
        <is>
          <t>Holmen skog AB</t>
        </is>
      </c>
      <c r="G352" t="n">
        <v>3.4</v>
      </c>
      <c r="H352" t="n">
        <v>0</v>
      </c>
      <c r="I352" t="n">
        <v>0</v>
      </c>
      <c r="J352" t="n">
        <v>0</v>
      </c>
      <c r="K352" t="n">
        <v>0</v>
      </c>
      <c r="L352" t="n">
        <v>0</v>
      </c>
      <c r="M352" t="n">
        <v>0</v>
      </c>
      <c r="N352" t="n">
        <v>0</v>
      </c>
      <c r="O352" t="n">
        <v>0</v>
      </c>
      <c r="P352" t="n">
        <v>0</v>
      </c>
      <c r="Q352" t="n">
        <v>0</v>
      </c>
      <c r="R352" s="2" t="inlineStr"/>
    </row>
    <row r="353" ht="15" customHeight="1">
      <c r="A353" t="inlineStr">
        <is>
          <t>A 6537-2024</t>
        </is>
      </c>
      <c r="B353" s="1" t="n">
        <v>45341.39853009259</v>
      </c>
      <c r="C353" s="1" t="n">
        <v>46120</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52260-2022</t>
        </is>
      </c>
      <c r="B354" s="1" t="n">
        <v>44869</v>
      </c>
      <c r="C354" s="1" t="n">
        <v>46120</v>
      </c>
      <c r="D354" t="inlineStr">
        <is>
          <t>STOCKHOLMS LÄN</t>
        </is>
      </c>
      <c r="E354" t="inlineStr">
        <is>
          <t>NORRTÄLJE</t>
        </is>
      </c>
      <c r="G354" t="n">
        <v>3.1</v>
      </c>
      <c r="H354" t="n">
        <v>0</v>
      </c>
      <c r="I354" t="n">
        <v>0</v>
      </c>
      <c r="J354" t="n">
        <v>0</v>
      </c>
      <c r="K354" t="n">
        <v>0</v>
      </c>
      <c r="L354" t="n">
        <v>0</v>
      </c>
      <c r="M354" t="n">
        <v>0</v>
      </c>
      <c r="N354" t="n">
        <v>0</v>
      </c>
      <c r="O354" t="n">
        <v>0</v>
      </c>
      <c r="P354" t="n">
        <v>0</v>
      </c>
      <c r="Q354" t="n">
        <v>0</v>
      </c>
      <c r="R354" s="2" t="inlineStr"/>
    </row>
    <row r="355" ht="15" customHeight="1">
      <c r="A355" t="inlineStr">
        <is>
          <t>A 34295-2024</t>
        </is>
      </c>
      <c r="B355" s="1" t="n">
        <v>45524</v>
      </c>
      <c r="C355" s="1" t="n">
        <v>46120</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4035-2023</t>
        </is>
      </c>
      <c r="B356" s="1" t="n">
        <v>44952.57989583333</v>
      </c>
      <c r="C356" s="1" t="n">
        <v>46120</v>
      </c>
      <c r="D356" t="inlineStr">
        <is>
          <t>STOCKHOLMS LÄN</t>
        </is>
      </c>
      <c r="E356" t="inlineStr">
        <is>
          <t>NORRTÄLJE</t>
        </is>
      </c>
      <c r="F356" t="inlineStr">
        <is>
          <t>Holmen skog AB</t>
        </is>
      </c>
      <c r="G356" t="n">
        <v>1.5</v>
      </c>
      <c r="H356" t="n">
        <v>0</v>
      </c>
      <c r="I356" t="n">
        <v>0</v>
      </c>
      <c r="J356" t="n">
        <v>0</v>
      </c>
      <c r="K356" t="n">
        <v>0</v>
      </c>
      <c r="L356" t="n">
        <v>0</v>
      </c>
      <c r="M356" t="n">
        <v>0</v>
      </c>
      <c r="N356" t="n">
        <v>0</v>
      </c>
      <c r="O356" t="n">
        <v>0</v>
      </c>
      <c r="P356" t="n">
        <v>0</v>
      </c>
      <c r="Q356" t="n">
        <v>0</v>
      </c>
      <c r="R356" s="2" t="inlineStr"/>
    </row>
    <row r="357" ht="15" customHeight="1">
      <c r="A357" t="inlineStr">
        <is>
          <t>A 26644-2024</t>
        </is>
      </c>
      <c r="B357" s="1" t="n">
        <v>45469</v>
      </c>
      <c r="C357" s="1" t="n">
        <v>46120</v>
      </c>
      <c r="D357" t="inlineStr">
        <is>
          <t>STOCKHOLMS LÄN</t>
        </is>
      </c>
      <c r="E357" t="inlineStr">
        <is>
          <t>NORRTÄLJE</t>
        </is>
      </c>
      <c r="G357" t="n">
        <v>4.3</v>
      </c>
      <c r="H357" t="n">
        <v>0</v>
      </c>
      <c r="I357" t="n">
        <v>0</v>
      </c>
      <c r="J357" t="n">
        <v>0</v>
      </c>
      <c r="K357" t="n">
        <v>0</v>
      </c>
      <c r="L357" t="n">
        <v>0</v>
      </c>
      <c r="M357" t="n">
        <v>0</v>
      </c>
      <c r="N357" t="n">
        <v>0</v>
      </c>
      <c r="O357" t="n">
        <v>0</v>
      </c>
      <c r="P357" t="n">
        <v>0</v>
      </c>
      <c r="Q357" t="n">
        <v>0</v>
      </c>
      <c r="R357" s="2" t="inlineStr"/>
    </row>
    <row r="358" ht="15" customHeight="1">
      <c r="A358" t="inlineStr">
        <is>
          <t>A 26668-2024</t>
        </is>
      </c>
      <c r="B358" s="1" t="n">
        <v>45469</v>
      </c>
      <c r="C358" s="1" t="n">
        <v>46120</v>
      </c>
      <c r="D358" t="inlineStr">
        <is>
          <t>STOCKHOLMS LÄN</t>
        </is>
      </c>
      <c r="E358" t="inlineStr">
        <is>
          <t>NORRTÄLJE</t>
        </is>
      </c>
      <c r="G358" t="n">
        <v>4.8</v>
      </c>
      <c r="H358" t="n">
        <v>0</v>
      </c>
      <c r="I358" t="n">
        <v>0</v>
      </c>
      <c r="J358" t="n">
        <v>0</v>
      </c>
      <c r="K358" t="n">
        <v>0</v>
      </c>
      <c r="L358" t="n">
        <v>0</v>
      </c>
      <c r="M358" t="n">
        <v>0</v>
      </c>
      <c r="N358" t="n">
        <v>0</v>
      </c>
      <c r="O358" t="n">
        <v>0</v>
      </c>
      <c r="P358" t="n">
        <v>0</v>
      </c>
      <c r="Q358" t="n">
        <v>0</v>
      </c>
      <c r="R358" s="2" t="inlineStr"/>
    </row>
    <row r="359" ht="15" customHeight="1">
      <c r="A359" t="inlineStr">
        <is>
          <t>A 28603-2024</t>
        </is>
      </c>
      <c r="B359" s="1" t="n">
        <v>45478.42887731481</v>
      </c>
      <c r="C359" s="1" t="n">
        <v>46120</v>
      </c>
      <c r="D359" t="inlineStr">
        <is>
          <t>STOCKHOLMS LÄN</t>
        </is>
      </c>
      <c r="E359" t="inlineStr">
        <is>
          <t>NORRTÄLJE</t>
        </is>
      </c>
      <c r="G359" t="n">
        <v>5.6</v>
      </c>
      <c r="H359" t="n">
        <v>0</v>
      </c>
      <c r="I359" t="n">
        <v>0</v>
      </c>
      <c r="J359" t="n">
        <v>0</v>
      </c>
      <c r="K359" t="n">
        <v>0</v>
      </c>
      <c r="L359" t="n">
        <v>0</v>
      </c>
      <c r="M359" t="n">
        <v>0</v>
      </c>
      <c r="N359" t="n">
        <v>0</v>
      </c>
      <c r="O359" t="n">
        <v>0</v>
      </c>
      <c r="P359" t="n">
        <v>0</v>
      </c>
      <c r="Q359" t="n">
        <v>0</v>
      </c>
      <c r="R359" s="2" t="inlineStr"/>
    </row>
    <row r="360" ht="15" customHeight="1">
      <c r="A360" t="inlineStr">
        <is>
          <t>A 55058-2021</t>
        </is>
      </c>
      <c r="B360" s="1" t="n">
        <v>44474.62141203704</v>
      </c>
      <c r="C360" s="1" t="n">
        <v>46120</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40192-2023</t>
        </is>
      </c>
      <c r="B361" s="1" t="n">
        <v>45169</v>
      </c>
      <c r="C361" s="1" t="n">
        <v>46120</v>
      </c>
      <c r="D361" t="inlineStr">
        <is>
          <t>STOCKHOLMS LÄN</t>
        </is>
      </c>
      <c r="E361" t="inlineStr">
        <is>
          <t>NORRTÄLJE</t>
        </is>
      </c>
      <c r="F361" t="inlineStr">
        <is>
          <t>Kyrkan</t>
        </is>
      </c>
      <c r="G361" t="n">
        <v>0.7</v>
      </c>
      <c r="H361" t="n">
        <v>0</v>
      </c>
      <c r="I361" t="n">
        <v>0</v>
      </c>
      <c r="J361" t="n">
        <v>0</v>
      </c>
      <c r="K361" t="n">
        <v>0</v>
      </c>
      <c r="L361" t="n">
        <v>0</v>
      </c>
      <c r="M361" t="n">
        <v>0</v>
      </c>
      <c r="N361" t="n">
        <v>0</v>
      </c>
      <c r="O361" t="n">
        <v>0</v>
      </c>
      <c r="P361" t="n">
        <v>0</v>
      </c>
      <c r="Q361" t="n">
        <v>0</v>
      </c>
      <c r="R361" s="2" t="inlineStr"/>
    </row>
    <row r="362" ht="15" customHeight="1">
      <c r="A362" t="inlineStr">
        <is>
          <t>A 37085-2021</t>
        </is>
      </c>
      <c r="B362" s="1" t="n">
        <v>44395</v>
      </c>
      <c r="C362" s="1" t="n">
        <v>46120</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197-2026</t>
        </is>
      </c>
      <c r="B363" s="1" t="n">
        <v>46026</v>
      </c>
      <c r="C363" s="1" t="n">
        <v>46120</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25702-2025</t>
        </is>
      </c>
      <c r="B364" s="1" t="n">
        <v>45800</v>
      </c>
      <c r="C364" s="1" t="n">
        <v>46120</v>
      </c>
      <c r="D364" t="inlineStr">
        <is>
          <t>STOCKHOLMS LÄN</t>
        </is>
      </c>
      <c r="E364" t="inlineStr">
        <is>
          <t>NORRTÄLJE</t>
        </is>
      </c>
      <c r="G364" t="n">
        <v>5.3</v>
      </c>
      <c r="H364" t="n">
        <v>0</v>
      </c>
      <c r="I364" t="n">
        <v>0</v>
      </c>
      <c r="J364" t="n">
        <v>0</v>
      </c>
      <c r="K364" t="n">
        <v>0</v>
      </c>
      <c r="L364" t="n">
        <v>0</v>
      </c>
      <c r="M364" t="n">
        <v>0</v>
      </c>
      <c r="N364" t="n">
        <v>0</v>
      </c>
      <c r="O364" t="n">
        <v>0</v>
      </c>
      <c r="P364" t="n">
        <v>0</v>
      </c>
      <c r="Q364" t="n">
        <v>0</v>
      </c>
      <c r="R364" s="2" t="inlineStr"/>
    </row>
    <row r="365" ht="15" customHeight="1">
      <c r="A365" t="inlineStr">
        <is>
          <t>A 25721-2025</t>
        </is>
      </c>
      <c r="B365" s="1" t="n">
        <v>45800</v>
      </c>
      <c r="C365" s="1" t="n">
        <v>46120</v>
      </c>
      <c r="D365" t="inlineStr">
        <is>
          <t>STOCKHOLMS LÄN</t>
        </is>
      </c>
      <c r="E365" t="inlineStr">
        <is>
          <t>NORRTÄLJE</t>
        </is>
      </c>
      <c r="G365" t="n">
        <v>6</v>
      </c>
      <c r="H365" t="n">
        <v>0</v>
      </c>
      <c r="I365" t="n">
        <v>0</v>
      </c>
      <c r="J365" t="n">
        <v>0</v>
      </c>
      <c r="K365" t="n">
        <v>0</v>
      </c>
      <c r="L365" t="n">
        <v>0</v>
      </c>
      <c r="M365" t="n">
        <v>0</v>
      </c>
      <c r="N365" t="n">
        <v>0</v>
      </c>
      <c r="O365" t="n">
        <v>0</v>
      </c>
      <c r="P365" t="n">
        <v>0</v>
      </c>
      <c r="Q365" t="n">
        <v>0</v>
      </c>
      <c r="R365" s="2" t="inlineStr"/>
    </row>
    <row r="366" ht="15" customHeight="1">
      <c r="A366" t="inlineStr">
        <is>
          <t>A 22816-2021</t>
        </is>
      </c>
      <c r="B366" s="1" t="n">
        <v>44325</v>
      </c>
      <c r="C366" s="1" t="n">
        <v>46120</v>
      </c>
      <c r="D366" t="inlineStr">
        <is>
          <t>STOCKHOLMS LÄN</t>
        </is>
      </c>
      <c r="E366" t="inlineStr">
        <is>
          <t>NORRTÄLJE</t>
        </is>
      </c>
      <c r="G366" t="n">
        <v>4.5</v>
      </c>
      <c r="H366" t="n">
        <v>0</v>
      </c>
      <c r="I366" t="n">
        <v>0</v>
      </c>
      <c r="J366" t="n">
        <v>0</v>
      </c>
      <c r="K366" t="n">
        <v>0</v>
      </c>
      <c r="L366" t="n">
        <v>0</v>
      </c>
      <c r="M366" t="n">
        <v>0</v>
      </c>
      <c r="N366" t="n">
        <v>0</v>
      </c>
      <c r="O366" t="n">
        <v>0</v>
      </c>
      <c r="P366" t="n">
        <v>0</v>
      </c>
      <c r="Q366" t="n">
        <v>0</v>
      </c>
      <c r="R366" s="2" t="inlineStr"/>
    </row>
    <row r="367" ht="15" customHeight="1">
      <c r="A367" t="inlineStr">
        <is>
          <t>A 46988-2024</t>
        </is>
      </c>
      <c r="B367" s="1" t="n">
        <v>45586</v>
      </c>
      <c r="C367" s="1" t="n">
        <v>46120</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718-2026</t>
        </is>
      </c>
      <c r="B368" s="1" t="n">
        <v>46029.63174768518</v>
      </c>
      <c r="C368" s="1" t="n">
        <v>46120</v>
      </c>
      <c r="D368" t="inlineStr">
        <is>
          <t>STOCKHOLMS LÄN</t>
        </is>
      </c>
      <c r="E368" t="inlineStr">
        <is>
          <t>NORRTÄLJE</t>
        </is>
      </c>
      <c r="G368" t="n">
        <v>2.4</v>
      </c>
      <c r="H368" t="n">
        <v>0</v>
      </c>
      <c r="I368" t="n">
        <v>0</v>
      </c>
      <c r="J368" t="n">
        <v>0</v>
      </c>
      <c r="K368" t="n">
        <v>0</v>
      </c>
      <c r="L368" t="n">
        <v>0</v>
      </c>
      <c r="M368" t="n">
        <v>0</v>
      </c>
      <c r="N368" t="n">
        <v>0</v>
      </c>
      <c r="O368" t="n">
        <v>0</v>
      </c>
      <c r="P368" t="n">
        <v>0</v>
      </c>
      <c r="Q368" t="n">
        <v>0</v>
      </c>
      <c r="R368" s="2" t="inlineStr"/>
    </row>
    <row r="369" ht="15" customHeight="1">
      <c r="A369" t="inlineStr">
        <is>
          <t>A 71552-2021</t>
        </is>
      </c>
      <c r="B369" s="1" t="n">
        <v>44540</v>
      </c>
      <c r="C369" s="1" t="n">
        <v>46120</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694-2026</t>
        </is>
      </c>
      <c r="B370" s="1" t="n">
        <v>46029.61375</v>
      </c>
      <c r="C370" s="1" t="n">
        <v>46120</v>
      </c>
      <c r="D370" t="inlineStr">
        <is>
          <t>STOCKHOLMS LÄN</t>
        </is>
      </c>
      <c r="E370" t="inlineStr">
        <is>
          <t>NORRTÄLJE</t>
        </is>
      </c>
      <c r="G370" t="n">
        <v>9.6</v>
      </c>
      <c r="H370" t="n">
        <v>0</v>
      </c>
      <c r="I370" t="n">
        <v>0</v>
      </c>
      <c r="J370" t="n">
        <v>0</v>
      </c>
      <c r="K370" t="n">
        <v>0</v>
      </c>
      <c r="L370" t="n">
        <v>0</v>
      </c>
      <c r="M370" t="n">
        <v>0</v>
      </c>
      <c r="N370" t="n">
        <v>0</v>
      </c>
      <c r="O370" t="n">
        <v>0</v>
      </c>
      <c r="P370" t="n">
        <v>0</v>
      </c>
      <c r="Q370" t="n">
        <v>0</v>
      </c>
      <c r="R370" s="2" t="inlineStr"/>
    </row>
    <row r="371" ht="15" customHeight="1">
      <c r="A371" t="inlineStr">
        <is>
          <t>A 17382-2024</t>
        </is>
      </c>
      <c r="B371" s="1" t="n">
        <v>45414.65855324074</v>
      </c>
      <c r="C371" s="1" t="n">
        <v>46120</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65499-2021</t>
        </is>
      </c>
      <c r="B372" s="1" t="n">
        <v>44516</v>
      </c>
      <c r="C372" s="1" t="n">
        <v>46120</v>
      </c>
      <c r="D372" t="inlineStr">
        <is>
          <t>STOCKHOLMS LÄN</t>
        </is>
      </c>
      <c r="E372" t="inlineStr">
        <is>
          <t>NORRTÄLJE</t>
        </is>
      </c>
      <c r="F372" t="inlineStr">
        <is>
          <t>Kommuner</t>
        </is>
      </c>
      <c r="G372" t="n">
        <v>5.2</v>
      </c>
      <c r="H372" t="n">
        <v>0</v>
      </c>
      <c r="I372" t="n">
        <v>0</v>
      </c>
      <c r="J372" t="n">
        <v>0</v>
      </c>
      <c r="K372" t="n">
        <v>0</v>
      </c>
      <c r="L372" t="n">
        <v>0</v>
      </c>
      <c r="M372" t="n">
        <v>0</v>
      </c>
      <c r="N372" t="n">
        <v>0</v>
      </c>
      <c r="O372" t="n">
        <v>0</v>
      </c>
      <c r="P372" t="n">
        <v>0</v>
      </c>
      <c r="Q372" t="n">
        <v>0</v>
      </c>
      <c r="R372" s="2" t="inlineStr"/>
    </row>
    <row r="373" ht="15" customHeight="1">
      <c r="A373" t="inlineStr">
        <is>
          <t>A 25557-2023</t>
        </is>
      </c>
      <c r="B373" s="1" t="n">
        <v>45089</v>
      </c>
      <c r="C373" s="1" t="n">
        <v>46120</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9914-2023</t>
        </is>
      </c>
      <c r="B374" s="1" t="n">
        <v>44985</v>
      </c>
      <c r="C374" s="1" t="n">
        <v>46120</v>
      </c>
      <c r="D374" t="inlineStr">
        <is>
          <t>STOCKHOLMS LÄN</t>
        </is>
      </c>
      <c r="E374" t="inlineStr">
        <is>
          <t>NORRTÄLJE</t>
        </is>
      </c>
      <c r="G374" t="n">
        <v>4.2</v>
      </c>
      <c r="H374" t="n">
        <v>0</v>
      </c>
      <c r="I374" t="n">
        <v>0</v>
      </c>
      <c r="J374" t="n">
        <v>0</v>
      </c>
      <c r="K374" t="n">
        <v>0</v>
      </c>
      <c r="L374" t="n">
        <v>0</v>
      </c>
      <c r="M374" t="n">
        <v>0</v>
      </c>
      <c r="N374" t="n">
        <v>0</v>
      </c>
      <c r="O374" t="n">
        <v>0</v>
      </c>
      <c r="P374" t="n">
        <v>0</v>
      </c>
      <c r="Q374" t="n">
        <v>0</v>
      </c>
      <c r="R374" s="2" t="inlineStr"/>
    </row>
    <row r="375" ht="15" customHeight="1">
      <c r="A375" t="inlineStr">
        <is>
          <t>A 693-2026</t>
        </is>
      </c>
      <c r="B375" s="1" t="n">
        <v>46029.6133449074</v>
      </c>
      <c r="C375" s="1" t="n">
        <v>46120</v>
      </c>
      <c r="D375" t="inlineStr">
        <is>
          <t>STOCKHOLMS LÄN</t>
        </is>
      </c>
      <c r="E375" t="inlineStr">
        <is>
          <t>NORRTÄLJE</t>
        </is>
      </c>
      <c r="G375" t="n">
        <v>9.6</v>
      </c>
      <c r="H375" t="n">
        <v>0</v>
      </c>
      <c r="I375" t="n">
        <v>0</v>
      </c>
      <c r="J375" t="n">
        <v>0</v>
      </c>
      <c r="K375" t="n">
        <v>0</v>
      </c>
      <c r="L375" t="n">
        <v>0</v>
      </c>
      <c r="M375" t="n">
        <v>0</v>
      </c>
      <c r="N375" t="n">
        <v>0</v>
      </c>
      <c r="O375" t="n">
        <v>0</v>
      </c>
      <c r="P375" t="n">
        <v>0</v>
      </c>
      <c r="Q375" t="n">
        <v>0</v>
      </c>
      <c r="R375" s="2" t="inlineStr"/>
    </row>
    <row r="376" ht="15" customHeight="1">
      <c r="A376" t="inlineStr">
        <is>
          <t>A 60525-2022</t>
        </is>
      </c>
      <c r="B376" s="1" t="n">
        <v>44904</v>
      </c>
      <c r="C376" s="1" t="n">
        <v>46120</v>
      </c>
      <c r="D376" t="inlineStr">
        <is>
          <t>STOCKHOLMS LÄN</t>
        </is>
      </c>
      <c r="E376" t="inlineStr">
        <is>
          <t>NORRTÄLJE</t>
        </is>
      </c>
      <c r="G376" t="n">
        <v>13.4</v>
      </c>
      <c r="H376" t="n">
        <v>0</v>
      </c>
      <c r="I376" t="n">
        <v>0</v>
      </c>
      <c r="J376" t="n">
        <v>0</v>
      </c>
      <c r="K376" t="n">
        <v>0</v>
      </c>
      <c r="L376" t="n">
        <v>0</v>
      </c>
      <c r="M376" t="n">
        <v>0</v>
      </c>
      <c r="N376" t="n">
        <v>0</v>
      </c>
      <c r="O376" t="n">
        <v>0</v>
      </c>
      <c r="P376" t="n">
        <v>0</v>
      </c>
      <c r="Q376" t="n">
        <v>0</v>
      </c>
      <c r="R376" s="2" t="inlineStr"/>
    </row>
    <row r="377" ht="15" customHeight="1">
      <c r="A377" t="inlineStr">
        <is>
          <t>A 812-2026</t>
        </is>
      </c>
      <c r="B377" s="1" t="n">
        <v>46030.33358796296</v>
      </c>
      <c r="C377" s="1" t="n">
        <v>46120</v>
      </c>
      <c r="D377" t="inlineStr">
        <is>
          <t>STOCKHOLMS LÄN</t>
        </is>
      </c>
      <c r="E377" t="inlineStr">
        <is>
          <t>NORRTÄLJE</t>
        </is>
      </c>
      <c r="G377" t="n">
        <v>2.4</v>
      </c>
      <c r="H377" t="n">
        <v>0</v>
      </c>
      <c r="I377" t="n">
        <v>0</v>
      </c>
      <c r="J377" t="n">
        <v>0</v>
      </c>
      <c r="K377" t="n">
        <v>0</v>
      </c>
      <c r="L377" t="n">
        <v>0</v>
      </c>
      <c r="M377" t="n">
        <v>0</v>
      </c>
      <c r="N377" t="n">
        <v>0</v>
      </c>
      <c r="O377" t="n">
        <v>0</v>
      </c>
      <c r="P377" t="n">
        <v>0</v>
      </c>
      <c r="Q377" t="n">
        <v>0</v>
      </c>
      <c r="R377" s="2" t="inlineStr"/>
    </row>
    <row r="378" ht="15" customHeight="1">
      <c r="A378" t="inlineStr">
        <is>
          <t>A 58302-2022</t>
        </is>
      </c>
      <c r="B378" s="1" t="n">
        <v>44901</v>
      </c>
      <c r="C378" s="1" t="n">
        <v>46120</v>
      </c>
      <c r="D378" t="inlineStr">
        <is>
          <t>STOCKHOLMS LÄN</t>
        </is>
      </c>
      <c r="E378" t="inlineStr">
        <is>
          <t>NORRTÄLJE</t>
        </is>
      </c>
      <c r="G378" t="n">
        <v>3.9</v>
      </c>
      <c r="H378" t="n">
        <v>0</v>
      </c>
      <c r="I378" t="n">
        <v>0</v>
      </c>
      <c r="J378" t="n">
        <v>0</v>
      </c>
      <c r="K378" t="n">
        <v>0</v>
      </c>
      <c r="L378" t="n">
        <v>0</v>
      </c>
      <c r="M378" t="n">
        <v>0</v>
      </c>
      <c r="N378" t="n">
        <v>0</v>
      </c>
      <c r="O378" t="n">
        <v>0</v>
      </c>
      <c r="P378" t="n">
        <v>0</v>
      </c>
      <c r="Q378" t="n">
        <v>0</v>
      </c>
      <c r="R378" s="2" t="inlineStr"/>
    </row>
    <row r="379" ht="15" customHeight="1">
      <c r="A379" t="inlineStr">
        <is>
          <t>A 717-2026</t>
        </is>
      </c>
      <c r="B379" s="1" t="n">
        <v>46029.63028935185</v>
      </c>
      <c r="C379" s="1" t="n">
        <v>46120</v>
      </c>
      <c r="D379" t="inlineStr">
        <is>
          <t>STOCKHOLMS LÄN</t>
        </is>
      </c>
      <c r="E379" t="inlineStr">
        <is>
          <t>NORRTÄLJE</t>
        </is>
      </c>
      <c r="G379" t="n">
        <v>2.4</v>
      </c>
      <c r="H379" t="n">
        <v>0</v>
      </c>
      <c r="I379" t="n">
        <v>0</v>
      </c>
      <c r="J379" t="n">
        <v>0</v>
      </c>
      <c r="K379" t="n">
        <v>0</v>
      </c>
      <c r="L379" t="n">
        <v>0</v>
      </c>
      <c r="M379" t="n">
        <v>0</v>
      </c>
      <c r="N379" t="n">
        <v>0</v>
      </c>
      <c r="O379" t="n">
        <v>0</v>
      </c>
      <c r="P379" t="n">
        <v>0</v>
      </c>
      <c r="Q379" t="n">
        <v>0</v>
      </c>
      <c r="R379" s="2" t="inlineStr"/>
    </row>
    <row r="380" ht="15" customHeight="1">
      <c r="A380" t="inlineStr">
        <is>
          <t>A 475-2026</t>
        </is>
      </c>
      <c r="B380" s="1" t="n">
        <v>46029.39351851852</v>
      </c>
      <c r="C380" s="1" t="n">
        <v>46120</v>
      </c>
      <c r="D380" t="inlineStr">
        <is>
          <t>STOCKHOLMS LÄN</t>
        </is>
      </c>
      <c r="E380" t="inlineStr">
        <is>
          <t>NORRTÄLJE</t>
        </is>
      </c>
      <c r="G380" t="n">
        <v>4.6</v>
      </c>
      <c r="H380" t="n">
        <v>0</v>
      </c>
      <c r="I380" t="n">
        <v>0</v>
      </c>
      <c r="J380" t="n">
        <v>0</v>
      </c>
      <c r="K380" t="n">
        <v>0</v>
      </c>
      <c r="L380" t="n">
        <v>0</v>
      </c>
      <c r="M380" t="n">
        <v>0</v>
      </c>
      <c r="N380" t="n">
        <v>0</v>
      </c>
      <c r="O380" t="n">
        <v>0</v>
      </c>
      <c r="P380" t="n">
        <v>0</v>
      </c>
      <c r="Q380" t="n">
        <v>0</v>
      </c>
      <c r="R380" s="2" t="inlineStr"/>
    </row>
    <row r="381" ht="15" customHeight="1">
      <c r="A381" t="inlineStr">
        <is>
          <t>A 25733-2025</t>
        </is>
      </c>
      <c r="B381" s="1" t="n">
        <v>45800</v>
      </c>
      <c r="C381" s="1" t="n">
        <v>46120</v>
      </c>
      <c r="D381" t="inlineStr">
        <is>
          <t>STOCKHOLMS LÄN</t>
        </is>
      </c>
      <c r="E381" t="inlineStr">
        <is>
          <t>NORRTÄLJE</t>
        </is>
      </c>
      <c r="G381" t="n">
        <v>2.2</v>
      </c>
      <c r="H381" t="n">
        <v>0</v>
      </c>
      <c r="I381" t="n">
        <v>0</v>
      </c>
      <c r="J381" t="n">
        <v>0</v>
      </c>
      <c r="K381" t="n">
        <v>0</v>
      </c>
      <c r="L381" t="n">
        <v>0</v>
      </c>
      <c r="M381" t="n">
        <v>0</v>
      </c>
      <c r="N381" t="n">
        <v>0</v>
      </c>
      <c r="O381" t="n">
        <v>0</v>
      </c>
      <c r="P381" t="n">
        <v>0</v>
      </c>
      <c r="Q381" t="n">
        <v>0</v>
      </c>
      <c r="R381" s="2" t="inlineStr"/>
    </row>
    <row r="382" ht="15" customHeight="1">
      <c r="A382" t="inlineStr">
        <is>
          <t>A 23269-2023</t>
        </is>
      </c>
      <c r="B382" s="1" t="n">
        <v>45075.91148148148</v>
      </c>
      <c r="C382" s="1" t="n">
        <v>46120</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25571-2025</t>
        </is>
      </c>
      <c r="B383" s="1" t="n">
        <v>45803.4675</v>
      </c>
      <c r="C383" s="1" t="n">
        <v>46120</v>
      </c>
      <c r="D383" t="inlineStr">
        <is>
          <t>STOCKHOLMS LÄN</t>
        </is>
      </c>
      <c r="E383" t="inlineStr">
        <is>
          <t>NORRTÄLJE</t>
        </is>
      </c>
      <c r="G383" t="n">
        <v>5.4</v>
      </c>
      <c r="H383" t="n">
        <v>0</v>
      </c>
      <c r="I383" t="n">
        <v>0</v>
      </c>
      <c r="J383" t="n">
        <v>0</v>
      </c>
      <c r="K383" t="n">
        <v>0</v>
      </c>
      <c r="L383" t="n">
        <v>0</v>
      </c>
      <c r="M383" t="n">
        <v>0</v>
      </c>
      <c r="N383" t="n">
        <v>0</v>
      </c>
      <c r="O383" t="n">
        <v>0</v>
      </c>
      <c r="P383" t="n">
        <v>0</v>
      </c>
      <c r="Q383" t="n">
        <v>0</v>
      </c>
      <c r="R383" s="2" t="inlineStr"/>
    </row>
    <row r="384" ht="15" customHeight="1">
      <c r="A384" t="inlineStr">
        <is>
          <t>A 23060-2023</t>
        </is>
      </c>
      <c r="B384" s="1" t="n">
        <v>45075</v>
      </c>
      <c r="C384" s="1" t="n">
        <v>46120</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53561-2023</t>
        </is>
      </c>
      <c r="B385" s="1" t="n">
        <v>45224</v>
      </c>
      <c r="C385" s="1" t="n">
        <v>46120</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1789-2026</t>
        </is>
      </c>
      <c r="B386" s="1" t="n">
        <v>46034</v>
      </c>
      <c r="C386" s="1" t="n">
        <v>46120</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52743-2024</t>
        </is>
      </c>
      <c r="B387" s="1" t="n">
        <v>45610.47414351852</v>
      </c>
      <c r="C387" s="1" t="n">
        <v>46120</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39149-2025</t>
        </is>
      </c>
      <c r="B388" s="1" t="n">
        <v>45888.60714120371</v>
      </c>
      <c r="C388" s="1" t="n">
        <v>46120</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38720-2025</t>
        </is>
      </c>
      <c r="B389" s="1" t="n">
        <v>45886</v>
      </c>
      <c r="C389" s="1" t="n">
        <v>46120</v>
      </c>
      <c r="D389" t="inlineStr">
        <is>
          <t>STOCKHOLMS LÄN</t>
        </is>
      </c>
      <c r="E389" t="inlineStr">
        <is>
          <t>NORRTÄLJE</t>
        </is>
      </c>
      <c r="G389" t="n">
        <v>1.6</v>
      </c>
      <c r="H389" t="n">
        <v>0</v>
      </c>
      <c r="I389" t="n">
        <v>0</v>
      </c>
      <c r="J389" t="n">
        <v>0</v>
      </c>
      <c r="K389" t="n">
        <v>0</v>
      </c>
      <c r="L389" t="n">
        <v>0</v>
      </c>
      <c r="M389" t="n">
        <v>0</v>
      </c>
      <c r="N389" t="n">
        <v>0</v>
      </c>
      <c r="O389" t="n">
        <v>0</v>
      </c>
      <c r="P389" t="n">
        <v>0</v>
      </c>
      <c r="Q389" t="n">
        <v>0</v>
      </c>
      <c r="R389" s="2" t="inlineStr"/>
    </row>
    <row r="390" ht="15" customHeight="1">
      <c r="A390" t="inlineStr">
        <is>
          <t>A 1755-2026</t>
        </is>
      </c>
      <c r="B390" s="1" t="n">
        <v>46034.66230324074</v>
      </c>
      <c r="C390" s="1" t="n">
        <v>46120</v>
      </c>
      <c r="D390" t="inlineStr">
        <is>
          <t>STOCKHOLMS LÄN</t>
        </is>
      </c>
      <c r="E390" t="inlineStr">
        <is>
          <t>NORRTÄLJE</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11499-2023</t>
        </is>
      </c>
      <c r="B391" s="1" t="n">
        <v>44993.66707175926</v>
      </c>
      <c r="C391" s="1" t="n">
        <v>46120</v>
      </c>
      <c r="D391" t="inlineStr">
        <is>
          <t>STOCKHOLMS LÄN</t>
        </is>
      </c>
      <c r="E391" t="inlineStr">
        <is>
          <t>NORRTÄLJE</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64600-2021</t>
        </is>
      </c>
      <c r="B392" s="1" t="n">
        <v>44511.70518518519</v>
      </c>
      <c r="C392" s="1" t="n">
        <v>46120</v>
      </c>
      <c r="D392" t="inlineStr">
        <is>
          <t>STOCKHOLMS LÄN</t>
        </is>
      </c>
      <c r="E392" t="inlineStr">
        <is>
          <t>NORRTÄLJE</t>
        </is>
      </c>
      <c r="G392" t="n">
        <v>6.2</v>
      </c>
      <c r="H392" t="n">
        <v>0</v>
      </c>
      <c r="I392" t="n">
        <v>0</v>
      </c>
      <c r="J392" t="n">
        <v>0</v>
      </c>
      <c r="K392" t="n">
        <v>0</v>
      </c>
      <c r="L392" t="n">
        <v>0</v>
      </c>
      <c r="M392" t="n">
        <v>0</v>
      </c>
      <c r="N392" t="n">
        <v>0</v>
      </c>
      <c r="O392" t="n">
        <v>0</v>
      </c>
      <c r="P392" t="n">
        <v>0</v>
      </c>
      <c r="Q392" t="n">
        <v>0</v>
      </c>
      <c r="R392" s="2" t="inlineStr"/>
    </row>
    <row r="393" ht="15" customHeight="1">
      <c r="A393" t="inlineStr">
        <is>
          <t>A 35640-2024</t>
        </is>
      </c>
      <c r="B393" s="1" t="n">
        <v>45531</v>
      </c>
      <c r="C393" s="1" t="n">
        <v>46120</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8586-2023</t>
        </is>
      </c>
      <c r="B394" s="1" t="n">
        <v>44977</v>
      </c>
      <c r="C394" s="1" t="n">
        <v>46120</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67990-2021</t>
        </is>
      </c>
      <c r="B395" s="1" t="n">
        <v>44525</v>
      </c>
      <c r="C395" s="1" t="n">
        <v>46120</v>
      </c>
      <c r="D395" t="inlineStr">
        <is>
          <t>STOCKHOLMS LÄN</t>
        </is>
      </c>
      <c r="E395" t="inlineStr">
        <is>
          <t>NORRTÄLJE</t>
        </is>
      </c>
      <c r="F395" t="inlineStr">
        <is>
          <t>Sveaskog</t>
        </is>
      </c>
      <c r="G395" t="n">
        <v>7.8</v>
      </c>
      <c r="H395" t="n">
        <v>0</v>
      </c>
      <c r="I395" t="n">
        <v>0</v>
      </c>
      <c r="J395" t="n">
        <v>0</v>
      </c>
      <c r="K395" t="n">
        <v>0</v>
      </c>
      <c r="L395" t="n">
        <v>0</v>
      </c>
      <c r="M395" t="n">
        <v>0</v>
      </c>
      <c r="N395" t="n">
        <v>0</v>
      </c>
      <c r="O395" t="n">
        <v>0</v>
      </c>
      <c r="P395" t="n">
        <v>0</v>
      </c>
      <c r="Q395" t="n">
        <v>0</v>
      </c>
      <c r="R395" s="2" t="inlineStr"/>
    </row>
    <row r="396" ht="15" customHeight="1">
      <c r="A396" t="inlineStr">
        <is>
          <t>A 25712-2025</t>
        </is>
      </c>
      <c r="B396" s="1" t="n">
        <v>45803.69228009259</v>
      </c>
      <c r="C396" s="1" t="n">
        <v>46120</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41218-2024</t>
        </is>
      </c>
      <c r="B397" s="1" t="n">
        <v>45559.54706018518</v>
      </c>
      <c r="C397" s="1" t="n">
        <v>46120</v>
      </c>
      <c r="D397" t="inlineStr">
        <is>
          <t>STOCKHOLMS LÄN</t>
        </is>
      </c>
      <c r="E397" t="inlineStr">
        <is>
          <t>NORRTÄLJE</t>
        </is>
      </c>
      <c r="G397" t="n">
        <v>6</v>
      </c>
      <c r="H397" t="n">
        <v>0</v>
      </c>
      <c r="I397" t="n">
        <v>0</v>
      </c>
      <c r="J397" t="n">
        <v>0</v>
      </c>
      <c r="K397" t="n">
        <v>0</v>
      </c>
      <c r="L397" t="n">
        <v>0</v>
      </c>
      <c r="M397" t="n">
        <v>0</v>
      </c>
      <c r="N397" t="n">
        <v>0</v>
      </c>
      <c r="O397" t="n">
        <v>0</v>
      </c>
      <c r="P397" t="n">
        <v>0</v>
      </c>
      <c r="Q397" t="n">
        <v>0</v>
      </c>
      <c r="R397" s="2" t="inlineStr"/>
    </row>
    <row r="398" ht="15" customHeight="1">
      <c r="A398" t="inlineStr">
        <is>
          <t>A 39152-2025</t>
        </is>
      </c>
      <c r="B398" s="1" t="n">
        <v>45888</v>
      </c>
      <c r="C398" s="1" t="n">
        <v>46120</v>
      </c>
      <c r="D398" t="inlineStr">
        <is>
          <t>STOCKHOLMS LÄN</t>
        </is>
      </c>
      <c r="E398" t="inlineStr">
        <is>
          <t>NORRTÄLJE</t>
        </is>
      </c>
      <c r="G398" t="n">
        <v>4.6</v>
      </c>
      <c r="H398" t="n">
        <v>0</v>
      </c>
      <c r="I398" t="n">
        <v>0</v>
      </c>
      <c r="J398" t="n">
        <v>0</v>
      </c>
      <c r="K398" t="n">
        <v>0</v>
      </c>
      <c r="L398" t="n">
        <v>0</v>
      </c>
      <c r="M398" t="n">
        <v>0</v>
      </c>
      <c r="N398" t="n">
        <v>0</v>
      </c>
      <c r="O398" t="n">
        <v>0</v>
      </c>
      <c r="P398" t="n">
        <v>0</v>
      </c>
      <c r="Q398" t="n">
        <v>0</v>
      </c>
      <c r="R398" s="2" t="inlineStr"/>
    </row>
    <row r="399" ht="15" customHeight="1">
      <c r="A399" t="inlineStr">
        <is>
          <t>A 26051-2025</t>
        </is>
      </c>
      <c r="B399" s="1" t="n">
        <v>45804.74479166666</v>
      </c>
      <c r="C399" s="1" t="n">
        <v>46120</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2088-2026</t>
        </is>
      </c>
      <c r="B400" s="1" t="n">
        <v>46036.35909722222</v>
      </c>
      <c r="C400" s="1" t="n">
        <v>46120</v>
      </c>
      <c r="D400" t="inlineStr">
        <is>
          <t>STOCKHOLMS LÄN</t>
        </is>
      </c>
      <c r="E400" t="inlineStr">
        <is>
          <t>NORRTÄLJE</t>
        </is>
      </c>
      <c r="G400" t="n">
        <v>7</v>
      </c>
      <c r="H400" t="n">
        <v>0</v>
      </c>
      <c r="I400" t="n">
        <v>0</v>
      </c>
      <c r="J400" t="n">
        <v>0</v>
      </c>
      <c r="K400" t="n">
        <v>0</v>
      </c>
      <c r="L400" t="n">
        <v>0</v>
      </c>
      <c r="M400" t="n">
        <v>0</v>
      </c>
      <c r="N400" t="n">
        <v>0</v>
      </c>
      <c r="O400" t="n">
        <v>0</v>
      </c>
      <c r="P400" t="n">
        <v>0</v>
      </c>
      <c r="Q400" t="n">
        <v>0</v>
      </c>
      <c r="R400" s="2" t="inlineStr"/>
    </row>
    <row r="401" ht="15" customHeight="1">
      <c r="A401" t="inlineStr">
        <is>
          <t>A 2116-2026</t>
        </is>
      </c>
      <c r="B401" s="1" t="n">
        <v>46036.38108796296</v>
      </c>
      <c r="C401" s="1" t="n">
        <v>46120</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21696-2024</t>
        </is>
      </c>
      <c r="B402" s="1" t="n">
        <v>45442.45686342593</v>
      </c>
      <c r="C402" s="1" t="n">
        <v>46120</v>
      </c>
      <c r="D402" t="inlineStr">
        <is>
          <t>STOCKHOLMS LÄN</t>
        </is>
      </c>
      <c r="E402" t="inlineStr">
        <is>
          <t>NORRTÄLJE</t>
        </is>
      </c>
      <c r="G402" t="n">
        <v>2.9</v>
      </c>
      <c r="H402" t="n">
        <v>0</v>
      </c>
      <c r="I402" t="n">
        <v>0</v>
      </c>
      <c r="J402" t="n">
        <v>0</v>
      </c>
      <c r="K402" t="n">
        <v>0</v>
      </c>
      <c r="L402" t="n">
        <v>0</v>
      </c>
      <c r="M402" t="n">
        <v>0</v>
      </c>
      <c r="N402" t="n">
        <v>0</v>
      </c>
      <c r="O402" t="n">
        <v>0</v>
      </c>
      <c r="P402" t="n">
        <v>0</v>
      </c>
      <c r="Q402" t="n">
        <v>0</v>
      </c>
      <c r="R402" s="2" t="inlineStr"/>
    </row>
    <row r="403" ht="15" customHeight="1">
      <c r="A403" t="inlineStr">
        <is>
          <t>A 37136-2023</t>
        </is>
      </c>
      <c r="B403" s="1" t="n">
        <v>45155</v>
      </c>
      <c r="C403" s="1" t="n">
        <v>46120</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39238-2024</t>
        </is>
      </c>
      <c r="B404" s="1" t="n">
        <v>45549</v>
      </c>
      <c r="C404" s="1" t="n">
        <v>46120</v>
      </c>
      <c r="D404" t="inlineStr">
        <is>
          <t>STOCKHOLMS LÄN</t>
        </is>
      </c>
      <c r="E404" t="inlineStr">
        <is>
          <t>NORRTÄLJE</t>
        </is>
      </c>
      <c r="G404" t="n">
        <v>3.6</v>
      </c>
      <c r="H404" t="n">
        <v>0</v>
      </c>
      <c r="I404" t="n">
        <v>0</v>
      </c>
      <c r="J404" t="n">
        <v>0</v>
      </c>
      <c r="K404" t="n">
        <v>0</v>
      </c>
      <c r="L404" t="n">
        <v>0</v>
      </c>
      <c r="M404" t="n">
        <v>0</v>
      </c>
      <c r="N404" t="n">
        <v>0</v>
      </c>
      <c r="O404" t="n">
        <v>0</v>
      </c>
      <c r="P404" t="n">
        <v>0</v>
      </c>
      <c r="Q404" t="n">
        <v>0</v>
      </c>
      <c r="R404" s="2" t="inlineStr"/>
    </row>
    <row r="405" ht="15" customHeight="1">
      <c r="A405" t="inlineStr">
        <is>
          <t>A 38449-2022</t>
        </is>
      </c>
      <c r="B405" s="1" t="n">
        <v>44813</v>
      </c>
      <c r="C405" s="1" t="n">
        <v>46120</v>
      </c>
      <c r="D405" t="inlineStr">
        <is>
          <t>STOCKHOLMS LÄN</t>
        </is>
      </c>
      <c r="E405" t="inlineStr">
        <is>
          <t>NORRTÄLJE</t>
        </is>
      </c>
      <c r="G405" t="n">
        <v>4.2</v>
      </c>
      <c r="H405" t="n">
        <v>0</v>
      </c>
      <c r="I405" t="n">
        <v>0</v>
      </c>
      <c r="J405" t="n">
        <v>0</v>
      </c>
      <c r="K405" t="n">
        <v>0</v>
      </c>
      <c r="L405" t="n">
        <v>0</v>
      </c>
      <c r="M405" t="n">
        <v>0</v>
      </c>
      <c r="N405" t="n">
        <v>0</v>
      </c>
      <c r="O405" t="n">
        <v>0</v>
      </c>
      <c r="P405" t="n">
        <v>0</v>
      </c>
      <c r="Q405" t="n">
        <v>0</v>
      </c>
      <c r="R405" s="2" t="inlineStr"/>
    </row>
    <row r="406" ht="15" customHeight="1">
      <c r="A406" t="inlineStr">
        <is>
          <t>A 10646-2026</t>
        </is>
      </c>
      <c r="B406" s="1" t="n">
        <v>46078.34157407407</v>
      </c>
      <c r="C406" s="1" t="n">
        <v>46120</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25697-2025</t>
        </is>
      </c>
      <c r="B407" s="1" t="n">
        <v>45803.66587962963</v>
      </c>
      <c r="C407" s="1" t="n">
        <v>46120</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1740-2023</t>
        </is>
      </c>
      <c r="B408" s="1" t="n">
        <v>44938</v>
      </c>
      <c r="C408" s="1" t="n">
        <v>46120</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39692-2025</t>
        </is>
      </c>
      <c r="B409" s="1" t="n">
        <v>45890.68083333333</v>
      </c>
      <c r="C409" s="1" t="n">
        <v>46120</v>
      </c>
      <c r="D409" t="inlineStr">
        <is>
          <t>STOCKHOLMS LÄN</t>
        </is>
      </c>
      <c r="E409" t="inlineStr">
        <is>
          <t>NORRTÄLJE</t>
        </is>
      </c>
      <c r="G409" t="n">
        <v>10.5</v>
      </c>
      <c r="H409" t="n">
        <v>0</v>
      </c>
      <c r="I409" t="n">
        <v>0</v>
      </c>
      <c r="J409" t="n">
        <v>0</v>
      </c>
      <c r="K409" t="n">
        <v>0</v>
      </c>
      <c r="L409" t="n">
        <v>0</v>
      </c>
      <c r="M409" t="n">
        <v>0</v>
      </c>
      <c r="N409" t="n">
        <v>0</v>
      </c>
      <c r="O409" t="n">
        <v>0</v>
      </c>
      <c r="P409" t="n">
        <v>0</v>
      </c>
      <c r="Q409" t="n">
        <v>0</v>
      </c>
      <c r="R409" s="2" t="inlineStr"/>
    </row>
    <row r="410" ht="15" customHeight="1">
      <c r="A410" t="inlineStr">
        <is>
          <t>A 27677-2025</t>
        </is>
      </c>
      <c r="B410" s="1" t="n">
        <v>45813.63650462963</v>
      </c>
      <c r="C410" s="1" t="n">
        <v>46120</v>
      </c>
      <c r="D410" t="inlineStr">
        <is>
          <t>STOCKHOLMS LÄN</t>
        </is>
      </c>
      <c r="E410" t="inlineStr">
        <is>
          <t>NORRTÄLJE</t>
        </is>
      </c>
      <c r="G410" t="n">
        <v>2</v>
      </c>
      <c r="H410" t="n">
        <v>0</v>
      </c>
      <c r="I410" t="n">
        <v>0</v>
      </c>
      <c r="J410" t="n">
        <v>0</v>
      </c>
      <c r="K410" t="n">
        <v>0</v>
      </c>
      <c r="L410" t="n">
        <v>0</v>
      </c>
      <c r="M410" t="n">
        <v>0</v>
      </c>
      <c r="N410" t="n">
        <v>0</v>
      </c>
      <c r="O410" t="n">
        <v>0</v>
      </c>
      <c r="P410" t="n">
        <v>0</v>
      </c>
      <c r="Q410" t="n">
        <v>0</v>
      </c>
      <c r="R410" s="2" t="inlineStr"/>
    </row>
    <row r="411" ht="15" customHeight="1">
      <c r="A411" t="inlineStr">
        <is>
          <t>A 40230-2025</t>
        </is>
      </c>
      <c r="B411" s="1" t="n">
        <v>45894.71101851852</v>
      </c>
      <c r="C411" s="1" t="n">
        <v>46120</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40228-2025</t>
        </is>
      </c>
      <c r="B412" s="1" t="n">
        <v>45894.70854166667</v>
      </c>
      <c r="C412" s="1" t="n">
        <v>46120</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35636-2025</t>
        </is>
      </c>
      <c r="B413" s="1" t="n">
        <v>45859</v>
      </c>
      <c r="C413" s="1" t="n">
        <v>46120</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47259-2024</t>
        </is>
      </c>
      <c r="B414" s="1" t="n">
        <v>45586</v>
      </c>
      <c r="C414" s="1" t="n">
        <v>46120</v>
      </c>
      <c r="D414" t="inlineStr">
        <is>
          <t>STOCKHOLMS LÄN</t>
        </is>
      </c>
      <c r="E414" t="inlineStr">
        <is>
          <t>NORRTÄLJE</t>
        </is>
      </c>
      <c r="G414" t="n">
        <v>1.8</v>
      </c>
      <c r="H414" t="n">
        <v>0</v>
      </c>
      <c r="I414" t="n">
        <v>0</v>
      </c>
      <c r="J414" t="n">
        <v>0</v>
      </c>
      <c r="K414" t="n">
        <v>0</v>
      </c>
      <c r="L414" t="n">
        <v>0</v>
      </c>
      <c r="M414" t="n">
        <v>0</v>
      </c>
      <c r="N414" t="n">
        <v>0</v>
      </c>
      <c r="O414" t="n">
        <v>0</v>
      </c>
      <c r="P414" t="n">
        <v>0</v>
      </c>
      <c r="Q414" t="n">
        <v>0</v>
      </c>
      <c r="R414" s="2" t="inlineStr"/>
    </row>
    <row r="415" ht="15" customHeight="1">
      <c r="A415" t="inlineStr">
        <is>
          <t>A 40172-2025</t>
        </is>
      </c>
      <c r="B415" s="1" t="n">
        <v>45894.6353125</v>
      </c>
      <c r="C415" s="1" t="n">
        <v>46120</v>
      </c>
      <c r="D415" t="inlineStr">
        <is>
          <t>STOCKHOLMS LÄN</t>
        </is>
      </c>
      <c r="E415" t="inlineStr">
        <is>
          <t>NORRTÄLJE</t>
        </is>
      </c>
      <c r="G415" t="n">
        <v>6</v>
      </c>
      <c r="H415" t="n">
        <v>0</v>
      </c>
      <c r="I415" t="n">
        <v>0</v>
      </c>
      <c r="J415" t="n">
        <v>0</v>
      </c>
      <c r="K415" t="n">
        <v>0</v>
      </c>
      <c r="L415" t="n">
        <v>0</v>
      </c>
      <c r="M415" t="n">
        <v>0</v>
      </c>
      <c r="N415" t="n">
        <v>0</v>
      </c>
      <c r="O415" t="n">
        <v>0</v>
      </c>
      <c r="P415" t="n">
        <v>0</v>
      </c>
      <c r="Q415" t="n">
        <v>0</v>
      </c>
      <c r="R415" s="2" t="inlineStr"/>
    </row>
    <row r="416" ht="15" customHeight="1">
      <c r="A416" t="inlineStr">
        <is>
          <t>A 40033-2025</t>
        </is>
      </c>
      <c r="B416" s="1" t="n">
        <v>45893</v>
      </c>
      <c r="C416" s="1" t="n">
        <v>46120</v>
      </c>
      <c r="D416" t="inlineStr">
        <is>
          <t>STOCKHOLMS LÄN</t>
        </is>
      </c>
      <c r="E416" t="inlineStr">
        <is>
          <t>NORRTÄLJE</t>
        </is>
      </c>
      <c r="G416" t="n">
        <v>1.7</v>
      </c>
      <c r="H416" t="n">
        <v>0</v>
      </c>
      <c r="I416" t="n">
        <v>0</v>
      </c>
      <c r="J416" t="n">
        <v>0</v>
      </c>
      <c r="K416" t="n">
        <v>0</v>
      </c>
      <c r="L416" t="n">
        <v>0</v>
      </c>
      <c r="M416" t="n">
        <v>0</v>
      </c>
      <c r="N416" t="n">
        <v>0</v>
      </c>
      <c r="O416" t="n">
        <v>0</v>
      </c>
      <c r="P416" t="n">
        <v>0</v>
      </c>
      <c r="Q416" t="n">
        <v>0</v>
      </c>
      <c r="R416" s="2" t="inlineStr"/>
    </row>
    <row r="417" ht="15" customHeight="1">
      <c r="A417" t="inlineStr">
        <is>
          <t>A 5423-2023</t>
        </is>
      </c>
      <c r="B417" s="1" t="n">
        <v>44959.74533564815</v>
      </c>
      <c r="C417" s="1" t="n">
        <v>46120</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58492-2022</t>
        </is>
      </c>
      <c r="B418" s="1" t="n">
        <v>44902</v>
      </c>
      <c r="C418" s="1" t="n">
        <v>46120</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40217-2025</t>
        </is>
      </c>
      <c r="B419" s="1" t="n">
        <v>45894.68864583333</v>
      </c>
      <c r="C419" s="1" t="n">
        <v>46120</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35639-2025</t>
        </is>
      </c>
      <c r="B420" s="1" t="n">
        <v>45859</v>
      </c>
      <c r="C420" s="1" t="n">
        <v>46120</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40032-2025</t>
        </is>
      </c>
      <c r="B421" s="1" t="n">
        <v>45893</v>
      </c>
      <c r="C421" s="1" t="n">
        <v>46120</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40097-2025</t>
        </is>
      </c>
      <c r="B422" s="1" t="n">
        <v>45894.48322916667</v>
      </c>
      <c r="C422" s="1" t="n">
        <v>46120</v>
      </c>
      <c r="D422" t="inlineStr">
        <is>
          <t>STOCKHOLMS LÄN</t>
        </is>
      </c>
      <c r="E422" t="inlineStr">
        <is>
          <t>NORRTÄLJE</t>
        </is>
      </c>
      <c r="G422" t="n">
        <v>3</v>
      </c>
      <c r="H422" t="n">
        <v>0</v>
      </c>
      <c r="I422" t="n">
        <v>0</v>
      </c>
      <c r="J422" t="n">
        <v>0</v>
      </c>
      <c r="K422" t="n">
        <v>0</v>
      </c>
      <c r="L422" t="n">
        <v>0</v>
      </c>
      <c r="M422" t="n">
        <v>0</v>
      </c>
      <c r="N422" t="n">
        <v>0</v>
      </c>
      <c r="O422" t="n">
        <v>0</v>
      </c>
      <c r="P422" t="n">
        <v>0</v>
      </c>
      <c r="Q422" t="n">
        <v>0</v>
      </c>
      <c r="R422" s="2" t="inlineStr"/>
    </row>
    <row r="423" ht="15" customHeight="1">
      <c r="A423" t="inlineStr">
        <is>
          <t>A 40529-2025</t>
        </is>
      </c>
      <c r="B423" s="1" t="n">
        <v>45896.38466435186</v>
      </c>
      <c r="C423" s="1" t="n">
        <v>46120</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4581-2025</t>
        </is>
      </c>
      <c r="B424" s="1" t="n">
        <v>45687</v>
      </c>
      <c r="C424" s="1" t="n">
        <v>46120</v>
      </c>
      <c r="D424" t="inlineStr">
        <is>
          <t>STOCKHOLMS LÄN</t>
        </is>
      </c>
      <c r="E424" t="inlineStr">
        <is>
          <t>NORRTÄLJE</t>
        </is>
      </c>
      <c r="F424" t="inlineStr">
        <is>
          <t>Holmen skog AB</t>
        </is>
      </c>
      <c r="G424" t="n">
        <v>2.8</v>
      </c>
      <c r="H424" t="n">
        <v>0</v>
      </c>
      <c r="I424" t="n">
        <v>0</v>
      </c>
      <c r="J424" t="n">
        <v>0</v>
      </c>
      <c r="K424" t="n">
        <v>0</v>
      </c>
      <c r="L424" t="n">
        <v>0</v>
      </c>
      <c r="M424" t="n">
        <v>0</v>
      </c>
      <c r="N424" t="n">
        <v>0</v>
      </c>
      <c r="O424" t="n">
        <v>0</v>
      </c>
      <c r="P424" t="n">
        <v>0</v>
      </c>
      <c r="Q424" t="n">
        <v>0</v>
      </c>
      <c r="R424" s="2" t="inlineStr"/>
    </row>
    <row r="425" ht="15" customHeight="1">
      <c r="A425" t="inlineStr">
        <is>
          <t>A 40292-2025</t>
        </is>
      </c>
      <c r="B425" s="1" t="n">
        <v>45895.3867824074</v>
      </c>
      <c r="C425" s="1" t="n">
        <v>46120</v>
      </c>
      <c r="D425" t="inlineStr">
        <is>
          <t>STOCKHOLMS LÄN</t>
        </is>
      </c>
      <c r="E425" t="inlineStr">
        <is>
          <t>NORRTÄLJE</t>
        </is>
      </c>
      <c r="G425" t="n">
        <v>3.5</v>
      </c>
      <c r="H425" t="n">
        <v>0</v>
      </c>
      <c r="I425" t="n">
        <v>0</v>
      </c>
      <c r="J425" t="n">
        <v>0</v>
      </c>
      <c r="K425" t="n">
        <v>0</v>
      </c>
      <c r="L425" t="n">
        <v>0</v>
      </c>
      <c r="M425" t="n">
        <v>0</v>
      </c>
      <c r="N425" t="n">
        <v>0</v>
      </c>
      <c r="O425" t="n">
        <v>0</v>
      </c>
      <c r="P425" t="n">
        <v>0</v>
      </c>
      <c r="Q425" t="n">
        <v>0</v>
      </c>
      <c r="R425" s="2" t="inlineStr"/>
    </row>
    <row r="426" ht="15" customHeight="1">
      <c r="A426" t="inlineStr">
        <is>
          <t>A 40294-2025</t>
        </is>
      </c>
      <c r="B426" s="1" t="n">
        <v>45895.38778935185</v>
      </c>
      <c r="C426" s="1" t="n">
        <v>46120</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36157-2024</t>
        </is>
      </c>
      <c r="B427" s="1" t="n">
        <v>45534.38240740741</v>
      </c>
      <c r="C427" s="1" t="n">
        <v>46120</v>
      </c>
      <c r="D427" t="inlineStr">
        <is>
          <t>STOCKHOLMS LÄN</t>
        </is>
      </c>
      <c r="E427" t="inlineStr">
        <is>
          <t>NORRTÄLJE</t>
        </is>
      </c>
      <c r="F427" t="inlineStr">
        <is>
          <t>Övriga Aktiebolag</t>
        </is>
      </c>
      <c r="G427" t="n">
        <v>1.1</v>
      </c>
      <c r="H427" t="n">
        <v>0</v>
      </c>
      <c r="I427" t="n">
        <v>0</v>
      </c>
      <c r="J427" t="n">
        <v>0</v>
      </c>
      <c r="K427" t="n">
        <v>0</v>
      </c>
      <c r="L427" t="n">
        <v>0</v>
      </c>
      <c r="M427" t="n">
        <v>0</v>
      </c>
      <c r="N427" t="n">
        <v>0</v>
      </c>
      <c r="O427" t="n">
        <v>0</v>
      </c>
      <c r="P427" t="n">
        <v>0</v>
      </c>
      <c r="Q427" t="n">
        <v>0</v>
      </c>
      <c r="R427" s="2" t="inlineStr"/>
    </row>
    <row r="428" ht="15" customHeight="1">
      <c r="A428" t="inlineStr">
        <is>
          <t>A 62398-2022</t>
        </is>
      </c>
      <c r="B428" s="1" t="n">
        <v>44923.90159722222</v>
      </c>
      <c r="C428" s="1" t="n">
        <v>46120</v>
      </c>
      <c r="D428" t="inlineStr">
        <is>
          <t>STOCKHOLMS LÄN</t>
        </is>
      </c>
      <c r="E428" t="inlineStr">
        <is>
          <t>NORRTÄLJE</t>
        </is>
      </c>
      <c r="G428" t="n">
        <v>4</v>
      </c>
      <c r="H428" t="n">
        <v>0</v>
      </c>
      <c r="I428" t="n">
        <v>0</v>
      </c>
      <c r="J428" t="n">
        <v>0</v>
      </c>
      <c r="K428" t="n">
        <v>0</v>
      </c>
      <c r="L428" t="n">
        <v>0</v>
      </c>
      <c r="M428" t="n">
        <v>0</v>
      </c>
      <c r="N428" t="n">
        <v>0</v>
      </c>
      <c r="O428" t="n">
        <v>0</v>
      </c>
      <c r="P428" t="n">
        <v>0</v>
      </c>
      <c r="Q428" t="n">
        <v>0</v>
      </c>
      <c r="R428" s="2" t="inlineStr"/>
    </row>
    <row r="429" ht="15" customHeight="1">
      <c r="A429" t="inlineStr">
        <is>
          <t>A 17039-2024</t>
        </is>
      </c>
      <c r="B429" s="1" t="n">
        <v>45412.4104050926</v>
      </c>
      <c r="C429" s="1" t="n">
        <v>46120</v>
      </c>
      <c r="D429" t="inlineStr">
        <is>
          <t>STOCKHOLMS LÄN</t>
        </is>
      </c>
      <c r="E429" t="inlineStr">
        <is>
          <t>NORRTÄLJE</t>
        </is>
      </c>
      <c r="G429" t="n">
        <v>5.9</v>
      </c>
      <c r="H429" t="n">
        <v>0</v>
      </c>
      <c r="I429" t="n">
        <v>0</v>
      </c>
      <c r="J429" t="n">
        <v>0</v>
      </c>
      <c r="K429" t="n">
        <v>0</v>
      </c>
      <c r="L429" t="n">
        <v>0</v>
      </c>
      <c r="M429" t="n">
        <v>0</v>
      </c>
      <c r="N429" t="n">
        <v>0</v>
      </c>
      <c r="O429" t="n">
        <v>0</v>
      </c>
      <c r="P429" t="n">
        <v>0</v>
      </c>
      <c r="Q429" t="n">
        <v>0</v>
      </c>
      <c r="R429" s="2" t="inlineStr"/>
    </row>
    <row r="430" ht="15" customHeight="1">
      <c r="A430" t="inlineStr">
        <is>
          <t>A 41275-2025</t>
        </is>
      </c>
      <c r="B430" s="1" t="n">
        <v>45898.62625</v>
      </c>
      <c r="C430" s="1" t="n">
        <v>46120</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11648-2026</t>
        </is>
      </c>
      <c r="B431" s="1" t="n">
        <v>46084.51575231482</v>
      </c>
      <c r="C431" s="1" t="n">
        <v>46120</v>
      </c>
      <c r="D431" t="inlineStr">
        <is>
          <t>STOCKHOLMS LÄN</t>
        </is>
      </c>
      <c r="E431" t="inlineStr">
        <is>
          <t>NORRTÄLJE</t>
        </is>
      </c>
      <c r="G431" t="n">
        <v>4.1</v>
      </c>
      <c r="H431" t="n">
        <v>0</v>
      </c>
      <c r="I431" t="n">
        <v>0</v>
      </c>
      <c r="J431" t="n">
        <v>0</v>
      </c>
      <c r="K431" t="n">
        <v>0</v>
      </c>
      <c r="L431" t="n">
        <v>0</v>
      </c>
      <c r="M431" t="n">
        <v>0</v>
      </c>
      <c r="N431" t="n">
        <v>0</v>
      </c>
      <c r="O431" t="n">
        <v>0</v>
      </c>
      <c r="P431" t="n">
        <v>0</v>
      </c>
      <c r="Q431" t="n">
        <v>0</v>
      </c>
      <c r="R431" s="2" t="inlineStr"/>
    </row>
    <row r="432" ht="15" customHeight="1">
      <c r="A432" t="inlineStr">
        <is>
          <t>A 3509-2022</t>
        </is>
      </c>
      <c r="B432" s="1" t="n">
        <v>44585</v>
      </c>
      <c r="C432" s="1" t="n">
        <v>46120</v>
      </c>
      <c r="D432" t="inlineStr">
        <is>
          <t>STOCKHOLMS LÄN</t>
        </is>
      </c>
      <c r="E432" t="inlineStr">
        <is>
          <t>NORRTÄLJE</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40837-2025</t>
        </is>
      </c>
      <c r="B433" s="1" t="n">
        <v>45897.51328703704</v>
      </c>
      <c r="C433" s="1" t="n">
        <v>46120</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41030-2025</t>
        </is>
      </c>
      <c r="B434" s="1" t="n">
        <v>45898.37636574074</v>
      </c>
      <c r="C434" s="1" t="n">
        <v>46120</v>
      </c>
      <c r="D434" t="inlineStr">
        <is>
          <t>STOCKHOLMS LÄN</t>
        </is>
      </c>
      <c r="E434" t="inlineStr">
        <is>
          <t>NORRTÄLJE</t>
        </is>
      </c>
      <c r="F434" t="inlineStr">
        <is>
          <t>Holmen skog AB</t>
        </is>
      </c>
      <c r="G434" t="n">
        <v>2.6</v>
      </c>
      <c r="H434" t="n">
        <v>0</v>
      </c>
      <c r="I434" t="n">
        <v>0</v>
      </c>
      <c r="J434" t="n">
        <v>0</v>
      </c>
      <c r="K434" t="n">
        <v>0</v>
      </c>
      <c r="L434" t="n">
        <v>0</v>
      </c>
      <c r="M434" t="n">
        <v>0</v>
      </c>
      <c r="N434" t="n">
        <v>0</v>
      </c>
      <c r="O434" t="n">
        <v>0</v>
      </c>
      <c r="P434" t="n">
        <v>0</v>
      </c>
      <c r="Q434" t="n">
        <v>0</v>
      </c>
      <c r="R434" s="2" t="inlineStr"/>
    </row>
    <row r="435" ht="15" customHeight="1">
      <c r="A435" t="inlineStr">
        <is>
          <t>A 3549-2026</t>
        </is>
      </c>
      <c r="B435" s="1" t="n">
        <v>46042</v>
      </c>
      <c r="C435" s="1" t="n">
        <v>46120</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41158-2025</t>
        </is>
      </c>
      <c r="B436" s="1" t="n">
        <v>45898.5315625</v>
      </c>
      <c r="C436" s="1" t="n">
        <v>46120</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41301-2025</t>
        </is>
      </c>
      <c r="B437" s="1" t="n">
        <v>45898.68826388889</v>
      </c>
      <c r="C437" s="1" t="n">
        <v>46120</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41106-2025</t>
        </is>
      </c>
      <c r="B438" s="1" t="n">
        <v>45898.45636574074</v>
      </c>
      <c r="C438" s="1" t="n">
        <v>46120</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7697-2025</t>
        </is>
      </c>
      <c r="B439" s="1" t="n">
        <v>45706.40086805556</v>
      </c>
      <c r="C439" s="1" t="n">
        <v>46120</v>
      </c>
      <c r="D439" t="inlineStr">
        <is>
          <t>STOCKHOLMS LÄN</t>
        </is>
      </c>
      <c r="E439" t="inlineStr">
        <is>
          <t>NORRTÄLJE</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41174-2025</t>
        </is>
      </c>
      <c r="B440" s="1" t="n">
        <v>45898.54921296296</v>
      </c>
      <c r="C440" s="1" t="n">
        <v>46120</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39669-2024</t>
        </is>
      </c>
      <c r="B441" s="1" t="n">
        <v>45552.52827546297</v>
      </c>
      <c r="C441" s="1" t="n">
        <v>46120</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41110-2025</t>
        </is>
      </c>
      <c r="B442" s="1" t="n">
        <v>45898.45976851852</v>
      </c>
      <c r="C442" s="1" t="n">
        <v>46120</v>
      </c>
      <c r="D442" t="inlineStr">
        <is>
          <t>STOCKHOLMS LÄN</t>
        </is>
      </c>
      <c r="E442" t="inlineStr">
        <is>
          <t>NORRTÄLJE</t>
        </is>
      </c>
      <c r="F442" t="inlineStr">
        <is>
          <t>Holmen skog AB</t>
        </is>
      </c>
      <c r="G442" t="n">
        <v>6.7</v>
      </c>
      <c r="H442" t="n">
        <v>0</v>
      </c>
      <c r="I442" t="n">
        <v>0</v>
      </c>
      <c r="J442" t="n">
        <v>0</v>
      </c>
      <c r="K442" t="n">
        <v>0</v>
      </c>
      <c r="L442" t="n">
        <v>0</v>
      </c>
      <c r="M442" t="n">
        <v>0</v>
      </c>
      <c r="N442" t="n">
        <v>0</v>
      </c>
      <c r="O442" t="n">
        <v>0</v>
      </c>
      <c r="P442" t="n">
        <v>0</v>
      </c>
      <c r="Q442" t="n">
        <v>0</v>
      </c>
      <c r="R442" s="2" t="inlineStr"/>
    </row>
    <row r="443" ht="15" customHeight="1">
      <c r="A443" t="inlineStr">
        <is>
          <t>A 41259-2025</t>
        </is>
      </c>
      <c r="B443" s="1" t="n">
        <v>45898.61054398148</v>
      </c>
      <c r="C443" s="1" t="n">
        <v>46120</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41053-2025</t>
        </is>
      </c>
      <c r="B444" s="1" t="n">
        <v>45898.40480324074</v>
      </c>
      <c r="C444" s="1" t="n">
        <v>46120</v>
      </c>
      <c r="D444" t="inlineStr">
        <is>
          <t>STOCKHOLMS LÄN</t>
        </is>
      </c>
      <c r="E444" t="inlineStr">
        <is>
          <t>NORRTÄLJE</t>
        </is>
      </c>
      <c r="F444" t="inlineStr">
        <is>
          <t>Holmen skog AB</t>
        </is>
      </c>
      <c r="G444" t="n">
        <v>2.5</v>
      </c>
      <c r="H444" t="n">
        <v>0</v>
      </c>
      <c r="I444" t="n">
        <v>0</v>
      </c>
      <c r="J444" t="n">
        <v>0</v>
      </c>
      <c r="K444" t="n">
        <v>0</v>
      </c>
      <c r="L444" t="n">
        <v>0</v>
      </c>
      <c r="M444" t="n">
        <v>0</v>
      </c>
      <c r="N444" t="n">
        <v>0</v>
      </c>
      <c r="O444" t="n">
        <v>0</v>
      </c>
      <c r="P444" t="n">
        <v>0</v>
      </c>
      <c r="Q444" t="n">
        <v>0</v>
      </c>
      <c r="R444" s="2" t="inlineStr"/>
    </row>
    <row r="445" ht="15" customHeight="1">
      <c r="A445" t="inlineStr">
        <is>
          <t>A 40829-2025</t>
        </is>
      </c>
      <c r="B445" s="1" t="n">
        <v>45897.50802083333</v>
      </c>
      <c r="C445" s="1" t="n">
        <v>46120</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40831-2025</t>
        </is>
      </c>
      <c r="B446" s="1" t="n">
        <v>45897.51077546296</v>
      </c>
      <c r="C446" s="1" t="n">
        <v>46120</v>
      </c>
      <c r="D446" t="inlineStr">
        <is>
          <t>STOCKHOLMS LÄN</t>
        </is>
      </c>
      <c r="E446" t="inlineStr">
        <is>
          <t>NORRTÄLJE</t>
        </is>
      </c>
      <c r="G446" t="n">
        <v>1.8</v>
      </c>
      <c r="H446" t="n">
        <v>0</v>
      </c>
      <c r="I446" t="n">
        <v>0</v>
      </c>
      <c r="J446" t="n">
        <v>0</v>
      </c>
      <c r="K446" t="n">
        <v>0</v>
      </c>
      <c r="L446" t="n">
        <v>0</v>
      </c>
      <c r="M446" t="n">
        <v>0</v>
      </c>
      <c r="N446" t="n">
        <v>0</v>
      </c>
      <c r="O446" t="n">
        <v>0</v>
      </c>
      <c r="P446" t="n">
        <v>0</v>
      </c>
      <c r="Q446" t="n">
        <v>0</v>
      </c>
      <c r="R446" s="2" t="inlineStr"/>
    </row>
    <row r="447" ht="15" customHeight="1">
      <c r="A447" t="inlineStr">
        <is>
          <t>A 2982-2023</t>
        </is>
      </c>
      <c r="B447" s="1" t="n">
        <v>44945.67409722223</v>
      </c>
      <c r="C447" s="1" t="n">
        <v>46120</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1448-2023</t>
        </is>
      </c>
      <c r="B448" s="1" t="n">
        <v>44937</v>
      </c>
      <c r="C448" s="1" t="n">
        <v>46120</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41272-2025</t>
        </is>
      </c>
      <c r="B449" s="1" t="n">
        <v>45898.62373842593</v>
      </c>
      <c r="C449" s="1" t="n">
        <v>46120</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35127-2023</t>
        </is>
      </c>
      <c r="B450" s="1" t="n">
        <v>45145.51</v>
      </c>
      <c r="C450" s="1" t="n">
        <v>46120</v>
      </c>
      <c r="D450" t="inlineStr">
        <is>
          <t>STOCKHOLMS LÄN</t>
        </is>
      </c>
      <c r="E450" t="inlineStr">
        <is>
          <t>NORRTÄLJE</t>
        </is>
      </c>
      <c r="G450" t="n">
        <v>4.7</v>
      </c>
      <c r="H450" t="n">
        <v>0</v>
      </c>
      <c r="I450" t="n">
        <v>0</v>
      </c>
      <c r="J450" t="n">
        <v>0</v>
      </c>
      <c r="K450" t="n">
        <v>0</v>
      </c>
      <c r="L450" t="n">
        <v>0</v>
      </c>
      <c r="M450" t="n">
        <v>0</v>
      </c>
      <c r="N450" t="n">
        <v>0</v>
      </c>
      <c r="O450" t="n">
        <v>0</v>
      </c>
      <c r="P450" t="n">
        <v>0</v>
      </c>
      <c r="Q450" t="n">
        <v>0</v>
      </c>
      <c r="R450" s="2" t="inlineStr"/>
    </row>
    <row r="451" ht="15" customHeight="1">
      <c r="A451" t="inlineStr">
        <is>
          <t>A 50136-2023</t>
        </is>
      </c>
      <c r="B451" s="1" t="n">
        <v>45215</v>
      </c>
      <c r="C451" s="1" t="n">
        <v>46120</v>
      </c>
      <c r="D451" t="inlineStr">
        <is>
          <t>STOCKHOLMS LÄN</t>
        </is>
      </c>
      <c r="E451" t="inlineStr">
        <is>
          <t>NORRTÄLJE</t>
        </is>
      </c>
      <c r="G451" t="n">
        <v>5.2</v>
      </c>
      <c r="H451" t="n">
        <v>0</v>
      </c>
      <c r="I451" t="n">
        <v>0</v>
      </c>
      <c r="J451" t="n">
        <v>0</v>
      </c>
      <c r="K451" t="n">
        <v>0</v>
      </c>
      <c r="L451" t="n">
        <v>0</v>
      </c>
      <c r="M451" t="n">
        <v>0</v>
      </c>
      <c r="N451" t="n">
        <v>0</v>
      </c>
      <c r="O451" t="n">
        <v>0</v>
      </c>
      <c r="P451" t="n">
        <v>0</v>
      </c>
      <c r="Q451" t="n">
        <v>0</v>
      </c>
      <c r="R451" s="2" t="inlineStr"/>
    </row>
    <row r="452" ht="15" customHeight="1">
      <c r="A452" t="inlineStr">
        <is>
          <t>A 11229-2022</t>
        </is>
      </c>
      <c r="B452" s="1" t="n">
        <v>44629</v>
      </c>
      <c r="C452" s="1" t="n">
        <v>46120</v>
      </c>
      <c r="D452" t="inlineStr">
        <is>
          <t>STOCKHOLMS LÄN</t>
        </is>
      </c>
      <c r="E452" t="inlineStr">
        <is>
          <t>NORRTÄLJE</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41036-2025</t>
        </is>
      </c>
      <c r="B453" s="1" t="n">
        <v>45898.38552083333</v>
      </c>
      <c r="C453" s="1" t="n">
        <v>46120</v>
      </c>
      <c r="D453" t="inlineStr">
        <is>
          <t>STOCKHOLMS LÄN</t>
        </is>
      </c>
      <c r="E453" t="inlineStr">
        <is>
          <t>NORRTÄLJE</t>
        </is>
      </c>
      <c r="F453" t="inlineStr">
        <is>
          <t>Holmen skog AB</t>
        </is>
      </c>
      <c r="G453" t="n">
        <v>2.7</v>
      </c>
      <c r="H453" t="n">
        <v>0</v>
      </c>
      <c r="I453" t="n">
        <v>0</v>
      </c>
      <c r="J453" t="n">
        <v>0</v>
      </c>
      <c r="K453" t="n">
        <v>0</v>
      </c>
      <c r="L453" t="n">
        <v>0</v>
      </c>
      <c r="M453" t="n">
        <v>0</v>
      </c>
      <c r="N453" t="n">
        <v>0</v>
      </c>
      <c r="O453" t="n">
        <v>0</v>
      </c>
      <c r="P453" t="n">
        <v>0</v>
      </c>
      <c r="Q453" t="n">
        <v>0</v>
      </c>
      <c r="R453" s="2" t="inlineStr"/>
    </row>
    <row r="454" ht="15" customHeight="1">
      <c r="A454" t="inlineStr">
        <is>
          <t>A 9654-2022</t>
        </is>
      </c>
      <c r="B454" s="1" t="n">
        <v>44617</v>
      </c>
      <c r="C454" s="1" t="n">
        <v>46120</v>
      </c>
      <c r="D454" t="inlineStr">
        <is>
          <t>STOCKHOLMS LÄN</t>
        </is>
      </c>
      <c r="E454" t="inlineStr">
        <is>
          <t>NORRTÄLJE</t>
        </is>
      </c>
      <c r="G454" t="n">
        <v>6.4</v>
      </c>
      <c r="H454" t="n">
        <v>0</v>
      </c>
      <c r="I454" t="n">
        <v>0</v>
      </c>
      <c r="J454" t="n">
        <v>0</v>
      </c>
      <c r="K454" t="n">
        <v>0</v>
      </c>
      <c r="L454" t="n">
        <v>0</v>
      </c>
      <c r="M454" t="n">
        <v>0</v>
      </c>
      <c r="N454" t="n">
        <v>0</v>
      </c>
      <c r="O454" t="n">
        <v>0</v>
      </c>
      <c r="P454" t="n">
        <v>0</v>
      </c>
      <c r="Q454" t="n">
        <v>0</v>
      </c>
      <c r="R454" s="2" t="inlineStr"/>
    </row>
    <row r="455" ht="15" customHeight="1">
      <c r="A455" t="inlineStr">
        <is>
          <t>A 5389-2025</t>
        </is>
      </c>
      <c r="B455" s="1" t="n">
        <v>45692</v>
      </c>
      <c r="C455" s="1" t="n">
        <v>46120</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19058-2024</t>
        </is>
      </c>
      <c r="B456" s="1" t="n">
        <v>45427.89121527778</v>
      </c>
      <c r="C456" s="1" t="n">
        <v>46120</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37147-2023</t>
        </is>
      </c>
      <c r="B457" s="1" t="n">
        <v>45155</v>
      </c>
      <c r="C457" s="1" t="n">
        <v>46120</v>
      </c>
      <c r="D457" t="inlineStr">
        <is>
          <t>STOCKHOLMS LÄN</t>
        </is>
      </c>
      <c r="E457" t="inlineStr">
        <is>
          <t>NORRTÄLJE</t>
        </is>
      </c>
      <c r="G457" t="n">
        <v>8</v>
      </c>
      <c r="H457" t="n">
        <v>0</v>
      </c>
      <c r="I457" t="n">
        <v>0</v>
      </c>
      <c r="J457" t="n">
        <v>0</v>
      </c>
      <c r="K457" t="n">
        <v>0</v>
      </c>
      <c r="L457" t="n">
        <v>0</v>
      </c>
      <c r="M457" t="n">
        <v>0</v>
      </c>
      <c r="N457" t="n">
        <v>0</v>
      </c>
      <c r="O457" t="n">
        <v>0</v>
      </c>
      <c r="P457" t="n">
        <v>0</v>
      </c>
      <c r="Q457" t="n">
        <v>0</v>
      </c>
      <c r="R457" s="2" t="inlineStr"/>
    </row>
    <row r="458" ht="15" customHeight="1">
      <c r="A458" t="inlineStr">
        <is>
          <t>A 59499-2023</t>
        </is>
      </c>
      <c r="B458" s="1" t="n">
        <v>45254</v>
      </c>
      <c r="C458" s="1" t="n">
        <v>46120</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60654-2023</t>
        </is>
      </c>
      <c r="B459" s="1" t="n">
        <v>45260.43225694444</v>
      </c>
      <c r="C459" s="1" t="n">
        <v>46120</v>
      </c>
      <c r="D459" t="inlineStr">
        <is>
          <t>STOCKHOLMS LÄN</t>
        </is>
      </c>
      <c r="E459" t="inlineStr">
        <is>
          <t>NORRTÄLJE</t>
        </is>
      </c>
      <c r="G459" t="n">
        <v>2.1</v>
      </c>
      <c r="H459" t="n">
        <v>0</v>
      </c>
      <c r="I459" t="n">
        <v>0</v>
      </c>
      <c r="J459" t="n">
        <v>0</v>
      </c>
      <c r="K459" t="n">
        <v>0</v>
      </c>
      <c r="L459" t="n">
        <v>0</v>
      </c>
      <c r="M459" t="n">
        <v>0</v>
      </c>
      <c r="N459" t="n">
        <v>0</v>
      </c>
      <c r="O459" t="n">
        <v>0</v>
      </c>
      <c r="P459" t="n">
        <v>0</v>
      </c>
      <c r="Q459" t="n">
        <v>0</v>
      </c>
      <c r="R459" s="2" t="inlineStr"/>
    </row>
    <row r="460" ht="15" customHeight="1">
      <c r="A460" t="inlineStr">
        <is>
          <t>A 60656-2023</t>
        </is>
      </c>
      <c r="B460" s="1" t="n">
        <v>45260.4333449074</v>
      </c>
      <c r="C460" s="1" t="n">
        <v>46120</v>
      </c>
      <c r="D460" t="inlineStr">
        <is>
          <t>STOCKHOLMS LÄN</t>
        </is>
      </c>
      <c r="E460" t="inlineStr">
        <is>
          <t>NORRTÄLJE</t>
        </is>
      </c>
      <c r="G460" t="n">
        <v>4.8</v>
      </c>
      <c r="H460" t="n">
        <v>0</v>
      </c>
      <c r="I460" t="n">
        <v>0</v>
      </c>
      <c r="J460" t="n">
        <v>0</v>
      </c>
      <c r="K460" t="n">
        <v>0</v>
      </c>
      <c r="L460" t="n">
        <v>0</v>
      </c>
      <c r="M460" t="n">
        <v>0</v>
      </c>
      <c r="N460" t="n">
        <v>0</v>
      </c>
      <c r="O460" t="n">
        <v>0</v>
      </c>
      <c r="P460" t="n">
        <v>0</v>
      </c>
      <c r="Q460" t="n">
        <v>0</v>
      </c>
      <c r="R460" s="2" t="inlineStr"/>
    </row>
    <row r="461" ht="15" customHeight="1">
      <c r="A461" t="inlineStr">
        <is>
          <t>A 22697-2022</t>
        </is>
      </c>
      <c r="B461" s="1" t="n">
        <v>44714.56040509259</v>
      </c>
      <c r="C461" s="1" t="n">
        <v>46120</v>
      </c>
      <c r="D461" t="inlineStr">
        <is>
          <t>STOCKHOLMS LÄN</t>
        </is>
      </c>
      <c r="E461" t="inlineStr">
        <is>
          <t>NORRTÄLJE</t>
        </is>
      </c>
      <c r="G461" t="n">
        <v>5.6</v>
      </c>
      <c r="H461" t="n">
        <v>0</v>
      </c>
      <c r="I461" t="n">
        <v>0</v>
      </c>
      <c r="J461" t="n">
        <v>0</v>
      </c>
      <c r="K461" t="n">
        <v>0</v>
      </c>
      <c r="L461" t="n">
        <v>0</v>
      </c>
      <c r="M461" t="n">
        <v>0</v>
      </c>
      <c r="N461" t="n">
        <v>0</v>
      </c>
      <c r="O461" t="n">
        <v>0</v>
      </c>
      <c r="P461" t="n">
        <v>0</v>
      </c>
      <c r="Q461" t="n">
        <v>0</v>
      </c>
      <c r="R461" s="2" t="inlineStr"/>
    </row>
    <row r="462" ht="15" customHeight="1">
      <c r="A462" t="inlineStr">
        <is>
          <t>A 19057-2024</t>
        </is>
      </c>
      <c r="B462" s="1" t="n">
        <v>45427.88731481481</v>
      </c>
      <c r="C462" s="1" t="n">
        <v>46120</v>
      </c>
      <c r="D462" t="inlineStr">
        <is>
          <t>STOCKHOLMS LÄN</t>
        </is>
      </c>
      <c r="E462" t="inlineStr">
        <is>
          <t>NORRTÄLJE</t>
        </is>
      </c>
      <c r="G462" t="n">
        <v>3</v>
      </c>
      <c r="H462" t="n">
        <v>0</v>
      </c>
      <c r="I462" t="n">
        <v>0</v>
      </c>
      <c r="J462" t="n">
        <v>0</v>
      </c>
      <c r="K462" t="n">
        <v>0</v>
      </c>
      <c r="L462" t="n">
        <v>0</v>
      </c>
      <c r="M462" t="n">
        <v>0</v>
      </c>
      <c r="N462" t="n">
        <v>0</v>
      </c>
      <c r="O462" t="n">
        <v>0</v>
      </c>
      <c r="P462" t="n">
        <v>0</v>
      </c>
      <c r="Q462" t="n">
        <v>0</v>
      </c>
      <c r="R462" s="2" t="inlineStr"/>
    </row>
    <row r="463" ht="15" customHeight="1">
      <c r="A463" t="inlineStr">
        <is>
          <t>A 15733-2025</t>
        </is>
      </c>
      <c r="B463" s="1" t="n">
        <v>45748</v>
      </c>
      <c r="C463" s="1" t="n">
        <v>46120</v>
      </c>
      <c r="D463" t="inlineStr">
        <is>
          <t>STOCKHOLMS LÄN</t>
        </is>
      </c>
      <c r="E463" t="inlineStr">
        <is>
          <t>NORRTÄLJE</t>
        </is>
      </c>
      <c r="G463" t="n">
        <v>13.3</v>
      </c>
      <c r="H463" t="n">
        <v>0</v>
      </c>
      <c r="I463" t="n">
        <v>0</v>
      </c>
      <c r="J463" t="n">
        <v>0</v>
      </c>
      <c r="K463" t="n">
        <v>0</v>
      </c>
      <c r="L463" t="n">
        <v>0</v>
      </c>
      <c r="M463" t="n">
        <v>0</v>
      </c>
      <c r="N463" t="n">
        <v>0</v>
      </c>
      <c r="O463" t="n">
        <v>0</v>
      </c>
      <c r="P463" t="n">
        <v>0</v>
      </c>
      <c r="Q463" t="n">
        <v>0</v>
      </c>
      <c r="R463" s="2" t="inlineStr"/>
    </row>
    <row r="464" ht="15" customHeight="1">
      <c r="A464" t="inlineStr">
        <is>
          <t>A 4231-2026</t>
        </is>
      </c>
      <c r="B464" s="1" t="n">
        <v>46044</v>
      </c>
      <c r="C464" s="1" t="n">
        <v>46120</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4235-2026</t>
        </is>
      </c>
      <c r="B465" s="1" t="n">
        <v>46044</v>
      </c>
      <c r="C465" s="1" t="n">
        <v>46120</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26675-2025</t>
        </is>
      </c>
      <c r="B466" s="1" t="n">
        <v>45810.42393518519</v>
      </c>
      <c r="C466" s="1" t="n">
        <v>46120</v>
      </c>
      <c r="D466" t="inlineStr">
        <is>
          <t>STOCKHOLMS LÄN</t>
        </is>
      </c>
      <c r="E466" t="inlineStr">
        <is>
          <t>NORRTÄLJE</t>
        </is>
      </c>
      <c r="G466" t="n">
        <v>2.7</v>
      </c>
      <c r="H466" t="n">
        <v>0</v>
      </c>
      <c r="I466" t="n">
        <v>0</v>
      </c>
      <c r="J466" t="n">
        <v>0</v>
      </c>
      <c r="K466" t="n">
        <v>0</v>
      </c>
      <c r="L466" t="n">
        <v>0</v>
      </c>
      <c r="M466" t="n">
        <v>0</v>
      </c>
      <c r="N466" t="n">
        <v>0</v>
      </c>
      <c r="O466" t="n">
        <v>0</v>
      </c>
      <c r="P466" t="n">
        <v>0</v>
      </c>
      <c r="Q466" t="n">
        <v>0</v>
      </c>
      <c r="R466" s="2" t="inlineStr"/>
    </row>
    <row r="467" ht="15" customHeight="1">
      <c r="A467" t="inlineStr">
        <is>
          <t>A 10511-2025</t>
        </is>
      </c>
      <c r="B467" s="1" t="n">
        <v>45721.40780092592</v>
      </c>
      <c r="C467" s="1" t="n">
        <v>46120</v>
      </c>
      <c r="D467" t="inlineStr">
        <is>
          <t>STOCKHOLMS LÄN</t>
        </is>
      </c>
      <c r="E467" t="inlineStr">
        <is>
          <t>NORRTÄLJE</t>
        </is>
      </c>
      <c r="G467" t="n">
        <v>2.6</v>
      </c>
      <c r="H467" t="n">
        <v>0</v>
      </c>
      <c r="I467" t="n">
        <v>0</v>
      </c>
      <c r="J467" t="n">
        <v>0</v>
      </c>
      <c r="K467" t="n">
        <v>0</v>
      </c>
      <c r="L467" t="n">
        <v>0</v>
      </c>
      <c r="M467" t="n">
        <v>0</v>
      </c>
      <c r="N467" t="n">
        <v>0</v>
      </c>
      <c r="O467" t="n">
        <v>0</v>
      </c>
      <c r="P467" t="n">
        <v>0</v>
      </c>
      <c r="Q467" t="n">
        <v>0</v>
      </c>
      <c r="R467" s="2" t="inlineStr"/>
    </row>
    <row r="468" ht="15" customHeight="1">
      <c r="A468" t="inlineStr">
        <is>
          <t>A 42038-2025</t>
        </is>
      </c>
      <c r="B468" s="1" t="n">
        <v>45903.61431712963</v>
      </c>
      <c r="C468" s="1" t="n">
        <v>46120</v>
      </c>
      <c r="D468" t="inlineStr">
        <is>
          <t>STOCKHOLMS LÄN</t>
        </is>
      </c>
      <c r="E468" t="inlineStr">
        <is>
          <t>NORRTÄLJE</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48180-2023</t>
        </is>
      </c>
      <c r="B469" s="1" t="n">
        <v>45205</v>
      </c>
      <c r="C469" s="1" t="n">
        <v>46120</v>
      </c>
      <c r="D469" t="inlineStr">
        <is>
          <t>STOCKHOLMS LÄN</t>
        </is>
      </c>
      <c r="E469" t="inlineStr">
        <is>
          <t>NORRTÄLJE</t>
        </is>
      </c>
      <c r="G469" t="n">
        <v>1.5</v>
      </c>
      <c r="H469" t="n">
        <v>0</v>
      </c>
      <c r="I469" t="n">
        <v>0</v>
      </c>
      <c r="J469" t="n">
        <v>0</v>
      </c>
      <c r="K469" t="n">
        <v>0</v>
      </c>
      <c r="L469" t="n">
        <v>0</v>
      </c>
      <c r="M469" t="n">
        <v>0</v>
      </c>
      <c r="N469" t="n">
        <v>0</v>
      </c>
      <c r="O469" t="n">
        <v>0</v>
      </c>
      <c r="P469" t="n">
        <v>0</v>
      </c>
      <c r="Q469" t="n">
        <v>0</v>
      </c>
      <c r="R469" s="2" t="inlineStr"/>
    </row>
    <row r="470" ht="15" customHeight="1">
      <c r="A470" t="inlineStr">
        <is>
          <t>A 4227-2026</t>
        </is>
      </c>
      <c r="B470" s="1" t="n">
        <v>46044</v>
      </c>
      <c r="C470" s="1" t="n">
        <v>46120</v>
      </c>
      <c r="D470" t="inlineStr">
        <is>
          <t>STOCKHOLMS LÄN</t>
        </is>
      </c>
      <c r="E470" t="inlineStr">
        <is>
          <t>NORRTÄLJE</t>
        </is>
      </c>
      <c r="G470" t="n">
        <v>3.6</v>
      </c>
      <c r="H470" t="n">
        <v>0</v>
      </c>
      <c r="I470" t="n">
        <v>0</v>
      </c>
      <c r="J470" t="n">
        <v>0</v>
      </c>
      <c r="K470" t="n">
        <v>0</v>
      </c>
      <c r="L470" t="n">
        <v>0</v>
      </c>
      <c r="M470" t="n">
        <v>0</v>
      </c>
      <c r="N470" t="n">
        <v>0</v>
      </c>
      <c r="O470" t="n">
        <v>0</v>
      </c>
      <c r="P470" t="n">
        <v>0</v>
      </c>
      <c r="Q470" t="n">
        <v>0</v>
      </c>
      <c r="R470" s="2" t="inlineStr"/>
    </row>
    <row r="471" ht="15" customHeight="1">
      <c r="A471" t="inlineStr">
        <is>
          <t>A 57353-2024</t>
        </is>
      </c>
      <c r="B471" s="1" t="n">
        <v>45629.65143518519</v>
      </c>
      <c r="C471" s="1" t="n">
        <v>46120</v>
      </c>
      <c r="D471" t="inlineStr">
        <is>
          <t>STOCKHOLMS LÄN</t>
        </is>
      </c>
      <c r="E471" t="inlineStr">
        <is>
          <t>NORRTÄLJE</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41964-2025</t>
        </is>
      </c>
      <c r="B472" s="1" t="n">
        <v>45903.47270833333</v>
      </c>
      <c r="C472" s="1" t="n">
        <v>46120</v>
      </c>
      <c r="D472" t="inlineStr">
        <is>
          <t>STOCKHOLMS LÄN</t>
        </is>
      </c>
      <c r="E472" t="inlineStr">
        <is>
          <t>NORRTÄLJE</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41966-2025</t>
        </is>
      </c>
      <c r="B473" s="1" t="n">
        <v>45903.47456018518</v>
      </c>
      <c r="C473" s="1" t="n">
        <v>46120</v>
      </c>
      <c r="D473" t="inlineStr">
        <is>
          <t>STOCKHOLMS LÄN</t>
        </is>
      </c>
      <c r="E473" t="inlineStr">
        <is>
          <t>NORRTÄLJE</t>
        </is>
      </c>
      <c r="F473" t="inlineStr">
        <is>
          <t>Sveaskog</t>
        </is>
      </c>
      <c r="G473" t="n">
        <v>3.7</v>
      </c>
      <c r="H473" t="n">
        <v>0</v>
      </c>
      <c r="I473" t="n">
        <v>0</v>
      </c>
      <c r="J473" t="n">
        <v>0</v>
      </c>
      <c r="K473" t="n">
        <v>0</v>
      </c>
      <c r="L473" t="n">
        <v>0</v>
      </c>
      <c r="M473" t="n">
        <v>0</v>
      </c>
      <c r="N473" t="n">
        <v>0</v>
      </c>
      <c r="O473" t="n">
        <v>0</v>
      </c>
      <c r="P473" t="n">
        <v>0</v>
      </c>
      <c r="Q473" t="n">
        <v>0</v>
      </c>
      <c r="R473" s="2" t="inlineStr"/>
    </row>
    <row r="474" ht="15" customHeight="1">
      <c r="A474" t="inlineStr">
        <is>
          <t>A 55696-2022</t>
        </is>
      </c>
      <c r="B474" s="1" t="n">
        <v>44888</v>
      </c>
      <c r="C474" s="1" t="n">
        <v>46120</v>
      </c>
      <c r="D474" t="inlineStr">
        <is>
          <t>STOCKHOLMS LÄN</t>
        </is>
      </c>
      <c r="E474" t="inlineStr">
        <is>
          <t>NORRTÄLJE</t>
        </is>
      </c>
      <c r="G474" t="n">
        <v>2.2</v>
      </c>
      <c r="H474" t="n">
        <v>0</v>
      </c>
      <c r="I474" t="n">
        <v>0</v>
      </c>
      <c r="J474" t="n">
        <v>0</v>
      </c>
      <c r="K474" t="n">
        <v>0</v>
      </c>
      <c r="L474" t="n">
        <v>0</v>
      </c>
      <c r="M474" t="n">
        <v>0</v>
      </c>
      <c r="N474" t="n">
        <v>0</v>
      </c>
      <c r="O474" t="n">
        <v>0</v>
      </c>
      <c r="P474" t="n">
        <v>0</v>
      </c>
      <c r="Q474" t="n">
        <v>0</v>
      </c>
      <c r="R474" s="2" t="inlineStr"/>
    </row>
    <row r="475" ht="15" customHeight="1">
      <c r="A475" t="inlineStr">
        <is>
          <t>A 50907-2022</t>
        </is>
      </c>
      <c r="B475" s="1" t="n">
        <v>44867.62090277778</v>
      </c>
      <c r="C475" s="1" t="n">
        <v>46120</v>
      </c>
      <c r="D475" t="inlineStr">
        <is>
          <t>STOCKHOLMS LÄN</t>
        </is>
      </c>
      <c r="E475" t="inlineStr">
        <is>
          <t>NORRTÄLJE</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6919-2025</t>
        </is>
      </c>
      <c r="B476" s="1" t="n">
        <v>45701.44372685185</v>
      </c>
      <c r="C476" s="1" t="n">
        <v>46120</v>
      </c>
      <c r="D476" t="inlineStr">
        <is>
          <t>STOCKHOLMS LÄN</t>
        </is>
      </c>
      <c r="E476" t="inlineStr">
        <is>
          <t>NORRTÄLJE</t>
        </is>
      </c>
      <c r="G476" t="n">
        <v>3.5</v>
      </c>
      <c r="H476" t="n">
        <v>0</v>
      </c>
      <c r="I476" t="n">
        <v>0</v>
      </c>
      <c r="J476" t="n">
        <v>0</v>
      </c>
      <c r="K476" t="n">
        <v>0</v>
      </c>
      <c r="L476" t="n">
        <v>0</v>
      </c>
      <c r="M476" t="n">
        <v>0</v>
      </c>
      <c r="N476" t="n">
        <v>0</v>
      </c>
      <c r="O476" t="n">
        <v>0</v>
      </c>
      <c r="P476" t="n">
        <v>0</v>
      </c>
      <c r="Q476" t="n">
        <v>0</v>
      </c>
      <c r="R476" s="2" t="inlineStr"/>
    </row>
    <row r="477" ht="15" customHeight="1">
      <c r="A477" t="inlineStr">
        <is>
          <t>A 53362-2023</t>
        </is>
      </c>
      <c r="B477" s="1" t="n">
        <v>45223</v>
      </c>
      <c r="C477" s="1" t="n">
        <v>46120</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3933-2026</t>
        </is>
      </c>
      <c r="B478" s="1" t="n">
        <v>46043.79916666666</v>
      </c>
      <c r="C478" s="1" t="n">
        <v>46120</v>
      </c>
      <c r="D478" t="inlineStr">
        <is>
          <t>STOCKHOLMS LÄN</t>
        </is>
      </c>
      <c r="E478" t="inlineStr">
        <is>
          <t>NORRTÄLJE</t>
        </is>
      </c>
      <c r="G478" t="n">
        <v>1.8</v>
      </c>
      <c r="H478" t="n">
        <v>0</v>
      </c>
      <c r="I478" t="n">
        <v>0</v>
      </c>
      <c r="J478" t="n">
        <v>0</v>
      </c>
      <c r="K478" t="n">
        <v>0</v>
      </c>
      <c r="L478" t="n">
        <v>0</v>
      </c>
      <c r="M478" t="n">
        <v>0</v>
      </c>
      <c r="N478" t="n">
        <v>0</v>
      </c>
      <c r="O478" t="n">
        <v>0</v>
      </c>
      <c r="P478" t="n">
        <v>0</v>
      </c>
      <c r="Q478" t="n">
        <v>0</v>
      </c>
      <c r="R478" s="2" t="inlineStr"/>
    </row>
    <row r="479" ht="15" customHeight="1">
      <c r="A479" t="inlineStr">
        <is>
          <t>A 30699-2025</t>
        </is>
      </c>
      <c r="B479" s="1" t="n">
        <v>45831.54618055555</v>
      </c>
      <c r="C479" s="1" t="n">
        <v>46120</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23061-2025</t>
        </is>
      </c>
      <c r="B480" s="1" t="n">
        <v>45790.81410879629</v>
      </c>
      <c r="C480" s="1" t="n">
        <v>46120</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8433-2022</t>
        </is>
      </c>
      <c r="B481" s="1" t="n">
        <v>44611</v>
      </c>
      <c r="C481" s="1" t="n">
        <v>46120</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10215-2023</t>
        </is>
      </c>
      <c r="B482" s="1" t="n">
        <v>44986.5887962963</v>
      </c>
      <c r="C482" s="1" t="n">
        <v>46120</v>
      </c>
      <c r="D482" t="inlineStr">
        <is>
          <t>STOCKHOLMS LÄN</t>
        </is>
      </c>
      <c r="E482" t="inlineStr">
        <is>
          <t>NORRTÄLJE</t>
        </is>
      </c>
      <c r="G482" t="n">
        <v>6.5</v>
      </c>
      <c r="H482" t="n">
        <v>0</v>
      </c>
      <c r="I482" t="n">
        <v>0</v>
      </c>
      <c r="J482" t="n">
        <v>0</v>
      </c>
      <c r="K482" t="n">
        <v>0</v>
      </c>
      <c r="L482" t="n">
        <v>0</v>
      </c>
      <c r="M482" t="n">
        <v>0</v>
      </c>
      <c r="N482" t="n">
        <v>0</v>
      </c>
      <c r="O482" t="n">
        <v>0</v>
      </c>
      <c r="P482" t="n">
        <v>0</v>
      </c>
      <c r="Q482" t="n">
        <v>0</v>
      </c>
      <c r="R482" s="2" t="inlineStr"/>
    </row>
    <row r="483" ht="15" customHeight="1">
      <c r="A483" t="inlineStr">
        <is>
          <t>A 26747-2025</t>
        </is>
      </c>
      <c r="B483" s="1" t="n">
        <v>45810.5333912037</v>
      </c>
      <c r="C483" s="1" t="n">
        <v>46120</v>
      </c>
      <c r="D483" t="inlineStr">
        <is>
          <t>STOCKHOLMS LÄN</t>
        </is>
      </c>
      <c r="E483" t="inlineStr">
        <is>
          <t>NORRTÄLJE</t>
        </is>
      </c>
      <c r="G483" t="n">
        <v>1.9</v>
      </c>
      <c r="H483" t="n">
        <v>0</v>
      </c>
      <c r="I483" t="n">
        <v>0</v>
      </c>
      <c r="J483" t="n">
        <v>0</v>
      </c>
      <c r="K483" t="n">
        <v>0</v>
      </c>
      <c r="L483" t="n">
        <v>0</v>
      </c>
      <c r="M483" t="n">
        <v>0</v>
      </c>
      <c r="N483" t="n">
        <v>0</v>
      </c>
      <c r="O483" t="n">
        <v>0</v>
      </c>
      <c r="P483" t="n">
        <v>0</v>
      </c>
      <c r="Q483" t="n">
        <v>0</v>
      </c>
      <c r="R483" s="2" t="inlineStr"/>
    </row>
    <row r="484" ht="15" customHeight="1">
      <c r="A484" t="inlineStr">
        <is>
          <t>A 42856-2025</t>
        </is>
      </c>
      <c r="B484" s="1" t="n">
        <v>45908</v>
      </c>
      <c r="C484" s="1" t="n">
        <v>46120</v>
      </c>
      <c r="D484" t="inlineStr">
        <is>
          <t>STOCKHOLMS LÄN</t>
        </is>
      </c>
      <c r="E484" t="inlineStr">
        <is>
          <t>NORRTÄLJE</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4549-2026</t>
        </is>
      </c>
      <c r="B485" s="1" t="n">
        <v>46047</v>
      </c>
      <c r="C485" s="1" t="n">
        <v>46120</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20011-2025</t>
        </is>
      </c>
      <c r="B486" s="1" t="n">
        <v>45772.29622685185</v>
      </c>
      <c r="C486" s="1" t="n">
        <v>46120</v>
      </c>
      <c r="D486" t="inlineStr">
        <is>
          <t>STOCKHOLMS LÄN</t>
        </is>
      </c>
      <c r="E486" t="inlineStr">
        <is>
          <t>NORRTÄLJE</t>
        </is>
      </c>
      <c r="G486" t="n">
        <v>3.5</v>
      </c>
      <c r="H486" t="n">
        <v>0</v>
      </c>
      <c r="I486" t="n">
        <v>0</v>
      </c>
      <c r="J486" t="n">
        <v>0</v>
      </c>
      <c r="K486" t="n">
        <v>0</v>
      </c>
      <c r="L486" t="n">
        <v>0</v>
      </c>
      <c r="M486" t="n">
        <v>0</v>
      </c>
      <c r="N486" t="n">
        <v>0</v>
      </c>
      <c r="O486" t="n">
        <v>0</v>
      </c>
      <c r="P486" t="n">
        <v>0</v>
      </c>
      <c r="Q486" t="n">
        <v>0</v>
      </c>
      <c r="R486" s="2" t="inlineStr"/>
    </row>
    <row r="487" ht="15" customHeight="1">
      <c r="A487" t="inlineStr">
        <is>
          <t>A 26702-2025</t>
        </is>
      </c>
      <c r="B487" s="1" t="n">
        <v>45810.45236111111</v>
      </c>
      <c r="C487" s="1" t="n">
        <v>46120</v>
      </c>
      <c r="D487" t="inlineStr">
        <is>
          <t>STOCKHOLMS LÄN</t>
        </is>
      </c>
      <c r="E487" t="inlineStr">
        <is>
          <t>NORRTÄLJE</t>
        </is>
      </c>
      <c r="G487" t="n">
        <v>7.3</v>
      </c>
      <c r="H487" t="n">
        <v>0</v>
      </c>
      <c r="I487" t="n">
        <v>0</v>
      </c>
      <c r="J487" t="n">
        <v>0</v>
      </c>
      <c r="K487" t="n">
        <v>0</v>
      </c>
      <c r="L487" t="n">
        <v>0</v>
      </c>
      <c r="M487" t="n">
        <v>0</v>
      </c>
      <c r="N487" t="n">
        <v>0</v>
      </c>
      <c r="O487" t="n">
        <v>0</v>
      </c>
      <c r="P487" t="n">
        <v>0</v>
      </c>
      <c r="Q487" t="n">
        <v>0</v>
      </c>
      <c r="R487" s="2" t="inlineStr"/>
    </row>
    <row r="488" ht="15" customHeight="1">
      <c r="A488" t="inlineStr">
        <is>
          <t>A 14127-2025</t>
        </is>
      </c>
      <c r="B488" s="1" t="n">
        <v>45740.47055555556</v>
      </c>
      <c r="C488" s="1" t="n">
        <v>46120</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31559-2022</t>
        </is>
      </c>
      <c r="B489" s="1" t="n">
        <v>44775</v>
      </c>
      <c r="C489" s="1" t="n">
        <v>46120</v>
      </c>
      <c r="D489" t="inlineStr">
        <is>
          <t>STOCKHOLMS LÄN</t>
        </is>
      </c>
      <c r="E489" t="inlineStr">
        <is>
          <t>NORRTÄLJE</t>
        </is>
      </c>
      <c r="G489" t="n">
        <v>5.6</v>
      </c>
      <c r="H489" t="n">
        <v>0</v>
      </c>
      <c r="I489" t="n">
        <v>0</v>
      </c>
      <c r="J489" t="n">
        <v>0</v>
      </c>
      <c r="K489" t="n">
        <v>0</v>
      </c>
      <c r="L489" t="n">
        <v>0</v>
      </c>
      <c r="M489" t="n">
        <v>0</v>
      </c>
      <c r="N489" t="n">
        <v>0</v>
      </c>
      <c r="O489" t="n">
        <v>0</v>
      </c>
      <c r="P489" t="n">
        <v>0</v>
      </c>
      <c r="Q489" t="n">
        <v>0</v>
      </c>
      <c r="R489" s="2" t="inlineStr"/>
    </row>
    <row r="490" ht="15" customHeight="1">
      <c r="A490" t="inlineStr">
        <is>
          <t>A 52001-2023</t>
        </is>
      </c>
      <c r="B490" s="1" t="n">
        <v>45223</v>
      </c>
      <c r="C490" s="1" t="n">
        <v>46120</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4886-2026</t>
        </is>
      </c>
      <c r="B491" s="1" t="n">
        <v>46048.66328703704</v>
      </c>
      <c r="C491" s="1" t="n">
        <v>46120</v>
      </c>
      <c r="D491" t="inlineStr">
        <is>
          <t>STOCKHOLMS LÄN</t>
        </is>
      </c>
      <c r="E491" t="inlineStr">
        <is>
          <t>NORRTÄLJE</t>
        </is>
      </c>
      <c r="G491" t="n">
        <v>2</v>
      </c>
      <c r="H491" t="n">
        <v>0</v>
      </c>
      <c r="I491" t="n">
        <v>0</v>
      </c>
      <c r="J491" t="n">
        <v>0</v>
      </c>
      <c r="K491" t="n">
        <v>0</v>
      </c>
      <c r="L491" t="n">
        <v>0</v>
      </c>
      <c r="M491" t="n">
        <v>0</v>
      </c>
      <c r="N491" t="n">
        <v>0</v>
      </c>
      <c r="O491" t="n">
        <v>0</v>
      </c>
      <c r="P491" t="n">
        <v>0</v>
      </c>
      <c r="Q491" t="n">
        <v>0</v>
      </c>
      <c r="R491" s="2" t="inlineStr"/>
    </row>
    <row r="492" ht="15" customHeight="1">
      <c r="A492" t="inlineStr">
        <is>
          <t>A 4230-2026</t>
        </is>
      </c>
      <c r="B492" s="1" t="n">
        <v>46044.89366898148</v>
      </c>
      <c r="C492" s="1" t="n">
        <v>46120</v>
      </c>
      <c r="D492" t="inlineStr">
        <is>
          <t>STOCKHOLMS LÄN</t>
        </is>
      </c>
      <c r="E492" t="inlineStr">
        <is>
          <t>NORRTÄLJE</t>
        </is>
      </c>
      <c r="G492" t="n">
        <v>10.8</v>
      </c>
      <c r="H492" t="n">
        <v>0</v>
      </c>
      <c r="I492" t="n">
        <v>0</v>
      </c>
      <c r="J492" t="n">
        <v>0</v>
      </c>
      <c r="K492" t="n">
        <v>0</v>
      </c>
      <c r="L492" t="n">
        <v>0</v>
      </c>
      <c r="M492" t="n">
        <v>0</v>
      </c>
      <c r="N492" t="n">
        <v>0</v>
      </c>
      <c r="O492" t="n">
        <v>0</v>
      </c>
      <c r="P492" t="n">
        <v>0</v>
      </c>
      <c r="Q492" t="n">
        <v>0</v>
      </c>
      <c r="R492" s="2" t="inlineStr"/>
    </row>
    <row r="493" ht="15" customHeight="1">
      <c r="A493" t="inlineStr">
        <is>
          <t>A 4232-2026</t>
        </is>
      </c>
      <c r="B493" s="1" t="n">
        <v>46044.89594907407</v>
      </c>
      <c r="C493" s="1" t="n">
        <v>46120</v>
      </c>
      <c r="D493" t="inlineStr">
        <is>
          <t>STOCKHOLMS LÄN</t>
        </is>
      </c>
      <c r="E493" t="inlineStr">
        <is>
          <t>NORRTÄLJE</t>
        </is>
      </c>
      <c r="G493" t="n">
        <v>3.8</v>
      </c>
      <c r="H493" t="n">
        <v>0</v>
      </c>
      <c r="I493" t="n">
        <v>0</v>
      </c>
      <c r="J493" t="n">
        <v>0</v>
      </c>
      <c r="K493" t="n">
        <v>0</v>
      </c>
      <c r="L493" t="n">
        <v>0</v>
      </c>
      <c r="M493" t="n">
        <v>0</v>
      </c>
      <c r="N493" t="n">
        <v>0</v>
      </c>
      <c r="O493" t="n">
        <v>0</v>
      </c>
      <c r="P493" t="n">
        <v>0</v>
      </c>
      <c r="Q493" t="n">
        <v>0</v>
      </c>
      <c r="R493" s="2" t="inlineStr"/>
    </row>
    <row r="494" ht="15" customHeight="1">
      <c r="A494" t="inlineStr">
        <is>
          <t>A 12234-2026</t>
        </is>
      </c>
      <c r="B494" s="1" t="n">
        <v>46087.4091087963</v>
      </c>
      <c r="C494" s="1" t="n">
        <v>46120</v>
      </c>
      <c r="D494" t="inlineStr">
        <is>
          <t>STOCKHOLMS LÄN</t>
        </is>
      </c>
      <c r="E494" t="inlineStr">
        <is>
          <t>NORRTÄLJE</t>
        </is>
      </c>
      <c r="G494" t="n">
        <v>1</v>
      </c>
      <c r="H494" t="n">
        <v>0</v>
      </c>
      <c r="I494" t="n">
        <v>0</v>
      </c>
      <c r="J494" t="n">
        <v>0</v>
      </c>
      <c r="K494" t="n">
        <v>0</v>
      </c>
      <c r="L494" t="n">
        <v>0</v>
      </c>
      <c r="M494" t="n">
        <v>0</v>
      </c>
      <c r="N494" t="n">
        <v>0</v>
      </c>
      <c r="O494" t="n">
        <v>0</v>
      </c>
      <c r="P494" t="n">
        <v>0</v>
      </c>
      <c r="Q494" t="n">
        <v>0</v>
      </c>
      <c r="R494" s="2" t="inlineStr"/>
    </row>
    <row r="495" ht="15" customHeight="1">
      <c r="A495" t="inlineStr">
        <is>
          <t>A 24835-2025</t>
        </is>
      </c>
      <c r="B495" s="1" t="n">
        <v>45799</v>
      </c>
      <c r="C495" s="1" t="n">
        <v>46120</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26708-2025</t>
        </is>
      </c>
      <c r="B496" s="1" t="n">
        <v>45810.45633101852</v>
      </c>
      <c r="C496" s="1" t="n">
        <v>46120</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43169-2025</t>
        </is>
      </c>
      <c r="B497" s="1" t="n">
        <v>45910</v>
      </c>
      <c r="C497" s="1" t="n">
        <v>46120</v>
      </c>
      <c r="D497" t="inlineStr">
        <is>
          <t>STOCKHOLMS LÄN</t>
        </is>
      </c>
      <c r="E497" t="inlineStr">
        <is>
          <t>NORRTÄLJE</t>
        </is>
      </c>
      <c r="G497" t="n">
        <v>6.9</v>
      </c>
      <c r="H497" t="n">
        <v>0</v>
      </c>
      <c r="I497" t="n">
        <v>0</v>
      </c>
      <c r="J497" t="n">
        <v>0</v>
      </c>
      <c r="K497" t="n">
        <v>0</v>
      </c>
      <c r="L497" t="n">
        <v>0</v>
      </c>
      <c r="M497" t="n">
        <v>0</v>
      </c>
      <c r="N497" t="n">
        <v>0</v>
      </c>
      <c r="O497" t="n">
        <v>0</v>
      </c>
      <c r="P497" t="n">
        <v>0</v>
      </c>
      <c r="Q497" t="n">
        <v>0</v>
      </c>
      <c r="R497" s="2" t="inlineStr"/>
    </row>
    <row r="498" ht="15" customHeight="1">
      <c r="A498" t="inlineStr">
        <is>
          <t>A 43269-2025</t>
        </is>
      </c>
      <c r="B498" s="1" t="n">
        <v>45910.5819212963</v>
      </c>
      <c r="C498" s="1" t="n">
        <v>46120</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5241-2026</t>
        </is>
      </c>
      <c r="B499" s="1" t="n">
        <v>46049.86471064815</v>
      </c>
      <c r="C499" s="1" t="n">
        <v>46120</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12703-2026</t>
        </is>
      </c>
      <c r="B500" s="1" t="n">
        <v>46091.58175925926</v>
      </c>
      <c r="C500" s="1" t="n">
        <v>46120</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22456-2023</t>
        </is>
      </c>
      <c r="B501" s="1" t="n">
        <v>45070</v>
      </c>
      <c r="C501" s="1" t="n">
        <v>46120</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5224-2026</t>
        </is>
      </c>
      <c r="B502" s="1" t="n">
        <v>46049.79521990741</v>
      </c>
      <c r="C502" s="1" t="n">
        <v>46120</v>
      </c>
      <c r="D502" t="inlineStr">
        <is>
          <t>STOCKHOLMS LÄN</t>
        </is>
      </c>
      <c r="E502" t="inlineStr">
        <is>
          <t>NORRTÄLJE</t>
        </is>
      </c>
      <c r="G502" t="n">
        <v>1</v>
      </c>
      <c r="H502" t="n">
        <v>0</v>
      </c>
      <c r="I502" t="n">
        <v>0</v>
      </c>
      <c r="J502" t="n">
        <v>0</v>
      </c>
      <c r="K502" t="n">
        <v>0</v>
      </c>
      <c r="L502" t="n">
        <v>0</v>
      </c>
      <c r="M502" t="n">
        <v>0</v>
      </c>
      <c r="N502" t="n">
        <v>0</v>
      </c>
      <c r="O502" t="n">
        <v>0</v>
      </c>
      <c r="P502" t="n">
        <v>0</v>
      </c>
      <c r="Q502" t="n">
        <v>0</v>
      </c>
      <c r="R502" s="2" t="inlineStr"/>
    </row>
    <row r="503" ht="15" customHeight="1">
      <c r="A503" t="inlineStr">
        <is>
          <t>A 5227-2026</t>
        </is>
      </c>
      <c r="B503" s="1" t="n">
        <v>46049.80460648148</v>
      </c>
      <c r="C503" s="1" t="n">
        <v>46120</v>
      </c>
      <c r="D503" t="inlineStr">
        <is>
          <t>STOCKHOLMS LÄN</t>
        </is>
      </c>
      <c r="E503" t="inlineStr">
        <is>
          <t>NORRTÄLJE</t>
        </is>
      </c>
      <c r="G503" t="n">
        <v>1</v>
      </c>
      <c r="H503" t="n">
        <v>0</v>
      </c>
      <c r="I503" t="n">
        <v>0</v>
      </c>
      <c r="J503" t="n">
        <v>0</v>
      </c>
      <c r="K503" t="n">
        <v>0</v>
      </c>
      <c r="L503" t="n">
        <v>0</v>
      </c>
      <c r="M503" t="n">
        <v>0</v>
      </c>
      <c r="N503" t="n">
        <v>0</v>
      </c>
      <c r="O503" t="n">
        <v>0</v>
      </c>
      <c r="P503" t="n">
        <v>0</v>
      </c>
      <c r="Q503" t="n">
        <v>0</v>
      </c>
      <c r="R503" s="2" t="inlineStr"/>
    </row>
    <row r="504" ht="15" customHeight="1">
      <c r="A504" t="inlineStr">
        <is>
          <t>A 5226-2026</t>
        </is>
      </c>
      <c r="B504" s="1" t="n">
        <v>46049.79961805556</v>
      </c>
      <c r="C504" s="1" t="n">
        <v>46120</v>
      </c>
      <c r="D504" t="inlineStr">
        <is>
          <t>STOCKHOLMS LÄN</t>
        </is>
      </c>
      <c r="E504" t="inlineStr">
        <is>
          <t>NORRTÄLJE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19580-2022</t>
        </is>
      </c>
      <c r="B505" s="1" t="n">
        <v>44693</v>
      </c>
      <c r="C505" s="1" t="n">
        <v>46120</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12718-2026</t>
        </is>
      </c>
      <c r="B506" s="1" t="n">
        <v>46091.60412037037</v>
      </c>
      <c r="C506" s="1" t="n">
        <v>46120</v>
      </c>
      <c r="D506" t="inlineStr">
        <is>
          <t>STOCKHOLMS LÄN</t>
        </is>
      </c>
      <c r="E506" t="inlineStr">
        <is>
          <t>NORRTÄLJE</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30719-2025</t>
        </is>
      </c>
      <c r="B507" s="1" t="n">
        <v>45831</v>
      </c>
      <c r="C507" s="1" t="n">
        <v>46120</v>
      </c>
      <c r="D507" t="inlineStr">
        <is>
          <t>STOCKHOLMS LÄN</t>
        </is>
      </c>
      <c r="E507" t="inlineStr">
        <is>
          <t>NORRTÄLJE</t>
        </is>
      </c>
      <c r="G507" t="n">
        <v>0.5</v>
      </c>
      <c r="H507" t="n">
        <v>0</v>
      </c>
      <c r="I507" t="n">
        <v>0</v>
      </c>
      <c r="J507" t="n">
        <v>0</v>
      </c>
      <c r="K507" t="n">
        <v>0</v>
      </c>
      <c r="L507" t="n">
        <v>0</v>
      </c>
      <c r="M507" t="n">
        <v>0</v>
      </c>
      <c r="N507" t="n">
        <v>0</v>
      </c>
      <c r="O507" t="n">
        <v>0</v>
      </c>
      <c r="P507" t="n">
        <v>0</v>
      </c>
      <c r="Q507" t="n">
        <v>0</v>
      </c>
      <c r="R507" s="2" t="inlineStr"/>
    </row>
    <row r="508" ht="15" customHeight="1">
      <c r="A508" t="inlineStr">
        <is>
          <t>A 5823-2023</t>
        </is>
      </c>
      <c r="B508" s="1" t="n">
        <v>44963</v>
      </c>
      <c r="C508" s="1" t="n">
        <v>46120</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30731-2023</t>
        </is>
      </c>
      <c r="B509" s="1" t="n">
        <v>45112</v>
      </c>
      <c r="C509" s="1" t="n">
        <v>46120</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27040-2025</t>
        </is>
      </c>
      <c r="B510" s="1" t="n">
        <v>45811.60451388889</v>
      </c>
      <c r="C510" s="1" t="n">
        <v>46120</v>
      </c>
      <c r="D510" t="inlineStr">
        <is>
          <t>STOCKHOLMS LÄN</t>
        </is>
      </c>
      <c r="E510" t="inlineStr">
        <is>
          <t>NORRTÄLJE</t>
        </is>
      </c>
      <c r="G510" t="n">
        <v>4.3</v>
      </c>
      <c r="H510" t="n">
        <v>0</v>
      </c>
      <c r="I510" t="n">
        <v>0</v>
      </c>
      <c r="J510" t="n">
        <v>0</v>
      </c>
      <c r="K510" t="n">
        <v>0</v>
      </c>
      <c r="L510" t="n">
        <v>0</v>
      </c>
      <c r="M510" t="n">
        <v>0</v>
      </c>
      <c r="N510" t="n">
        <v>0</v>
      </c>
      <c r="O510" t="n">
        <v>0</v>
      </c>
      <c r="P510" t="n">
        <v>0</v>
      </c>
      <c r="Q510" t="n">
        <v>0</v>
      </c>
      <c r="R510" s="2" t="inlineStr"/>
    </row>
    <row r="511" ht="15" customHeight="1">
      <c r="A511" t="inlineStr">
        <is>
          <t>A 44343-2025</t>
        </is>
      </c>
      <c r="B511" s="1" t="n">
        <v>45916.43378472222</v>
      </c>
      <c r="C511" s="1" t="n">
        <v>46120</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43916-2025</t>
        </is>
      </c>
      <c r="B512" s="1" t="n">
        <v>45914.78884259259</v>
      </c>
      <c r="C512" s="1" t="n">
        <v>46120</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51653-2022</t>
        </is>
      </c>
      <c r="B513" s="1" t="n">
        <v>44867</v>
      </c>
      <c r="C513" s="1" t="n">
        <v>46120</v>
      </c>
      <c r="D513" t="inlineStr">
        <is>
          <t>STOCKHOLMS LÄN</t>
        </is>
      </c>
      <c r="E513" t="inlineStr">
        <is>
          <t>NORRTÄLJE</t>
        </is>
      </c>
      <c r="G513" t="n">
        <v>6.6</v>
      </c>
      <c r="H513" t="n">
        <v>0</v>
      </c>
      <c r="I513" t="n">
        <v>0</v>
      </c>
      <c r="J513" t="n">
        <v>0</v>
      </c>
      <c r="K513" t="n">
        <v>0</v>
      </c>
      <c r="L513" t="n">
        <v>0</v>
      </c>
      <c r="M513" t="n">
        <v>0</v>
      </c>
      <c r="N513" t="n">
        <v>0</v>
      </c>
      <c r="O513" t="n">
        <v>0</v>
      </c>
      <c r="P513" t="n">
        <v>0</v>
      </c>
      <c r="Q513" t="n">
        <v>0</v>
      </c>
      <c r="R513" s="2" t="inlineStr"/>
    </row>
    <row r="514" ht="15" customHeight="1">
      <c r="A514" t="inlineStr">
        <is>
          <t>A 44311-2025</t>
        </is>
      </c>
      <c r="B514" s="1" t="n">
        <v>45916.38394675926</v>
      </c>
      <c r="C514" s="1" t="n">
        <v>46120</v>
      </c>
      <c r="D514" t="inlineStr">
        <is>
          <t>STOCKHOLMS LÄN</t>
        </is>
      </c>
      <c r="E514" t="inlineStr">
        <is>
          <t>NORRTÄLJE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44349-2025</t>
        </is>
      </c>
      <c r="B515" s="1" t="n">
        <v>45916.43929398148</v>
      </c>
      <c r="C515" s="1" t="n">
        <v>46120</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32103-2022</t>
        </is>
      </c>
      <c r="B516" s="1" t="n">
        <v>44778</v>
      </c>
      <c r="C516" s="1" t="n">
        <v>46120</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55952-2024</t>
        </is>
      </c>
      <c r="B517" s="1" t="n">
        <v>45623.62563657408</v>
      </c>
      <c r="C517" s="1" t="n">
        <v>46120</v>
      </c>
      <c r="D517" t="inlineStr">
        <is>
          <t>STOCKHOLMS LÄN</t>
        </is>
      </c>
      <c r="E517" t="inlineStr">
        <is>
          <t>NORRTÄLJE</t>
        </is>
      </c>
      <c r="F517" t="inlineStr">
        <is>
          <t>Holmen skog AB</t>
        </is>
      </c>
      <c r="G517" t="n">
        <v>2.8</v>
      </c>
      <c r="H517" t="n">
        <v>0</v>
      </c>
      <c r="I517" t="n">
        <v>0</v>
      </c>
      <c r="J517" t="n">
        <v>0</v>
      </c>
      <c r="K517" t="n">
        <v>0</v>
      </c>
      <c r="L517" t="n">
        <v>0</v>
      </c>
      <c r="M517" t="n">
        <v>0</v>
      </c>
      <c r="N517" t="n">
        <v>0</v>
      </c>
      <c r="O517" t="n">
        <v>0</v>
      </c>
      <c r="P517" t="n">
        <v>0</v>
      </c>
      <c r="Q517" t="n">
        <v>0</v>
      </c>
      <c r="R517" s="2" t="inlineStr"/>
    </row>
    <row r="518" ht="15" customHeight="1">
      <c r="A518" t="inlineStr">
        <is>
          <t>A 44354-2025</t>
        </is>
      </c>
      <c r="B518" s="1" t="n">
        <v>45916.44655092592</v>
      </c>
      <c r="C518" s="1" t="n">
        <v>46120</v>
      </c>
      <c r="D518" t="inlineStr">
        <is>
          <t>STOCKHOLMS LÄN</t>
        </is>
      </c>
      <c r="E518" t="inlineStr">
        <is>
          <t>NORRTÄLJE</t>
        </is>
      </c>
      <c r="G518" t="n">
        <v>2.3</v>
      </c>
      <c r="H518" t="n">
        <v>0</v>
      </c>
      <c r="I518" t="n">
        <v>0</v>
      </c>
      <c r="J518" t="n">
        <v>0</v>
      </c>
      <c r="K518" t="n">
        <v>0</v>
      </c>
      <c r="L518" t="n">
        <v>0</v>
      </c>
      <c r="M518" t="n">
        <v>0</v>
      </c>
      <c r="N518" t="n">
        <v>0</v>
      </c>
      <c r="O518" t="n">
        <v>0</v>
      </c>
      <c r="P518" t="n">
        <v>0</v>
      </c>
      <c r="Q518" t="n">
        <v>0</v>
      </c>
      <c r="R518" s="2" t="inlineStr"/>
    </row>
    <row r="519" ht="15" customHeight="1">
      <c r="A519" t="inlineStr">
        <is>
          <t>A 23070-2023</t>
        </is>
      </c>
      <c r="B519" s="1" t="n">
        <v>45075</v>
      </c>
      <c r="C519" s="1" t="n">
        <v>46120</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13544-2026</t>
        </is>
      </c>
      <c r="B520" s="1" t="n">
        <v>46094.68538194444</v>
      </c>
      <c r="C520" s="1" t="n">
        <v>46120</v>
      </c>
      <c r="D520" t="inlineStr">
        <is>
          <t>STOCKHOLMS LÄN</t>
        </is>
      </c>
      <c r="E520" t="inlineStr">
        <is>
          <t>NORRTÄLJE</t>
        </is>
      </c>
      <c r="F520" t="inlineStr">
        <is>
          <t>Holmen skog AB</t>
        </is>
      </c>
      <c r="G520" t="n">
        <v>3.2</v>
      </c>
      <c r="H520" t="n">
        <v>0</v>
      </c>
      <c r="I520" t="n">
        <v>0</v>
      </c>
      <c r="J520" t="n">
        <v>0</v>
      </c>
      <c r="K520" t="n">
        <v>0</v>
      </c>
      <c r="L520" t="n">
        <v>0</v>
      </c>
      <c r="M520" t="n">
        <v>0</v>
      </c>
      <c r="N520" t="n">
        <v>0</v>
      </c>
      <c r="O520" t="n">
        <v>0</v>
      </c>
      <c r="P520" t="n">
        <v>0</v>
      </c>
      <c r="Q520" t="n">
        <v>0</v>
      </c>
      <c r="R520" s="2" t="inlineStr"/>
    </row>
    <row r="521" ht="15" customHeight="1">
      <c r="A521" t="inlineStr">
        <is>
          <t>A 13109-2026</t>
        </is>
      </c>
      <c r="B521" s="1" t="n">
        <v>46093.42730324074</v>
      </c>
      <c r="C521" s="1" t="n">
        <v>46120</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8792-2025</t>
        </is>
      </c>
      <c r="B522" s="1" t="n">
        <v>45712</v>
      </c>
      <c r="C522" s="1" t="n">
        <v>46120</v>
      </c>
      <c r="D522" t="inlineStr">
        <is>
          <t>STOCKHOLMS LÄN</t>
        </is>
      </c>
      <c r="E522" t="inlineStr">
        <is>
          <t>NORRTÄLJE</t>
        </is>
      </c>
      <c r="F522" t="inlineStr">
        <is>
          <t>Övriga Aktiebolag</t>
        </is>
      </c>
      <c r="G522" t="n">
        <v>6.6</v>
      </c>
      <c r="H522" t="n">
        <v>0</v>
      </c>
      <c r="I522" t="n">
        <v>0</v>
      </c>
      <c r="J522" t="n">
        <v>0</v>
      </c>
      <c r="K522" t="n">
        <v>0</v>
      </c>
      <c r="L522" t="n">
        <v>0</v>
      </c>
      <c r="M522" t="n">
        <v>0</v>
      </c>
      <c r="N522" t="n">
        <v>0</v>
      </c>
      <c r="O522" t="n">
        <v>0</v>
      </c>
      <c r="P522" t="n">
        <v>0</v>
      </c>
      <c r="Q522" t="n">
        <v>0</v>
      </c>
      <c r="R522" s="2" t="inlineStr"/>
    </row>
    <row r="523" ht="15" customHeight="1">
      <c r="A523" t="inlineStr">
        <is>
          <t>A 13546-2026</t>
        </is>
      </c>
      <c r="B523" s="1" t="n">
        <v>46094.69196759259</v>
      </c>
      <c r="C523" s="1" t="n">
        <v>46120</v>
      </c>
      <c r="D523" t="inlineStr">
        <is>
          <t>STOCKHOLMS LÄN</t>
        </is>
      </c>
      <c r="E523" t="inlineStr">
        <is>
          <t>NORRTÄLJE</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7571-2024</t>
        </is>
      </c>
      <c r="B524" s="1" t="n">
        <v>45348.46300925926</v>
      </c>
      <c r="C524" s="1" t="n">
        <v>46120</v>
      </c>
      <c r="D524" t="inlineStr">
        <is>
          <t>STOCKHOLMS LÄN</t>
        </is>
      </c>
      <c r="E524" t="inlineStr">
        <is>
          <t>NORRTÄLJE</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44333-2025</t>
        </is>
      </c>
      <c r="B525" s="1" t="n">
        <v>45916.42293981482</v>
      </c>
      <c r="C525" s="1" t="n">
        <v>46120</v>
      </c>
      <c r="D525" t="inlineStr">
        <is>
          <t>STOCKHOLMS LÄN</t>
        </is>
      </c>
      <c r="E525" t="inlineStr">
        <is>
          <t>NORRTÄLJE</t>
        </is>
      </c>
      <c r="G525" t="n">
        <v>1.5</v>
      </c>
      <c r="H525" t="n">
        <v>0</v>
      </c>
      <c r="I525" t="n">
        <v>0</v>
      </c>
      <c r="J525" t="n">
        <v>0</v>
      </c>
      <c r="K525" t="n">
        <v>0</v>
      </c>
      <c r="L525" t="n">
        <v>0</v>
      </c>
      <c r="M525" t="n">
        <v>0</v>
      </c>
      <c r="N525" t="n">
        <v>0</v>
      </c>
      <c r="O525" t="n">
        <v>0</v>
      </c>
      <c r="P525" t="n">
        <v>0</v>
      </c>
      <c r="Q525" t="n">
        <v>0</v>
      </c>
      <c r="R525" s="2" t="inlineStr"/>
    </row>
    <row r="526" ht="15" customHeight="1">
      <c r="A526" t="inlineStr">
        <is>
          <t>A 44306-2025</t>
        </is>
      </c>
      <c r="B526" s="1" t="n">
        <v>45916.37736111111</v>
      </c>
      <c r="C526" s="1" t="n">
        <v>46120</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36269-2022</t>
        </is>
      </c>
      <c r="B527" s="1" t="n">
        <v>44803</v>
      </c>
      <c r="C527" s="1" t="n">
        <v>46120</v>
      </c>
      <c r="D527" t="inlineStr">
        <is>
          <t>STOCKHOLMS LÄN</t>
        </is>
      </c>
      <c r="E527" t="inlineStr">
        <is>
          <t>NORRTÄLJE</t>
        </is>
      </c>
      <c r="G527" t="n">
        <v>2.3</v>
      </c>
      <c r="H527" t="n">
        <v>0</v>
      </c>
      <c r="I527" t="n">
        <v>0</v>
      </c>
      <c r="J527" t="n">
        <v>0</v>
      </c>
      <c r="K527" t="n">
        <v>0</v>
      </c>
      <c r="L527" t="n">
        <v>0</v>
      </c>
      <c r="M527" t="n">
        <v>0</v>
      </c>
      <c r="N527" t="n">
        <v>0</v>
      </c>
      <c r="O527" t="n">
        <v>0</v>
      </c>
      <c r="P527" t="n">
        <v>0</v>
      </c>
      <c r="Q527" t="n">
        <v>0</v>
      </c>
      <c r="R527" s="2" t="inlineStr"/>
    </row>
    <row r="528" ht="15" customHeight="1">
      <c r="A528" t="inlineStr">
        <is>
          <t>A 5934-2026</t>
        </is>
      </c>
      <c r="B528" s="1" t="n">
        <v>46052.47082175926</v>
      </c>
      <c r="C528" s="1" t="n">
        <v>46120</v>
      </c>
      <c r="D528" t="inlineStr">
        <is>
          <t>STOCKHOLMS LÄN</t>
        </is>
      </c>
      <c r="E528" t="inlineStr">
        <is>
          <t>NORRTÄLJE</t>
        </is>
      </c>
      <c r="F528" t="inlineStr">
        <is>
          <t>Holmen skog AB</t>
        </is>
      </c>
      <c r="G528" t="n">
        <v>5.5</v>
      </c>
      <c r="H528" t="n">
        <v>0</v>
      </c>
      <c r="I528" t="n">
        <v>0</v>
      </c>
      <c r="J528" t="n">
        <v>0</v>
      </c>
      <c r="K528" t="n">
        <v>0</v>
      </c>
      <c r="L528" t="n">
        <v>0</v>
      </c>
      <c r="M528" t="n">
        <v>0</v>
      </c>
      <c r="N528" t="n">
        <v>0</v>
      </c>
      <c r="O528" t="n">
        <v>0</v>
      </c>
      <c r="P528" t="n">
        <v>0</v>
      </c>
      <c r="Q528" t="n">
        <v>0</v>
      </c>
      <c r="R528" s="2" t="inlineStr"/>
    </row>
    <row r="529" ht="15" customHeight="1">
      <c r="A529" t="inlineStr">
        <is>
          <t>A 13122-2026</t>
        </is>
      </c>
      <c r="B529" s="1" t="n">
        <v>46093.45657407407</v>
      </c>
      <c r="C529" s="1" t="n">
        <v>46120</v>
      </c>
      <c r="D529" t="inlineStr">
        <is>
          <t>STOCKHOLMS LÄN</t>
        </is>
      </c>
      <c r="E529" t="inlineStr">
        <is>
          <t>NORRTÄLJE</t>
        </is>
      </c>
      <c r="G529" t="n">
        <v>4</v>
      </c>
      <c r="H529" t="n">
        <v>0</v>
      </c>
      <c r="I529" t="n">
        <v>0</v>
      </c>
      <c r="J529" t="n">
        <v>0</v>
      </c>
      <c r="K529" t="n">
        <v>0</v>
      </c>
      <c r="L529" t="n">
        <v>0</v>
      </c>
      <c r="M529" t="n">
        <v>0</v>
      </c>
      <c r="N529" t="n">
        <v>0</v>
      </c>
      <c r="O529" t="n">
        <v>0</v>
      </c>
      <c r="P529" t="n">
        <v>0</v>
      </c>
      <c r="Q529" t="n">
        <v>0</v>
      </c>
      <c r="R529" s="2" t="inlineStr"/>
    </row>
    <row r="530" ht="15" customHeight="1">
      <c r="A530" t="inlineStr">
        <is>
          <t>A 5665-2025</t>
        </is>
      </c>
      <c r="B530" s="1" t="n">
        <v>45693</v>
      </c>
      <c r="C530" s="1" t="n">
        <v>46120</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13204-2026</t>
        </is>
      </c>
      <c r="B531" s="1" t="n">
        <v>46093.60788194444</v>
      </c>
      <c r="C531" s="1" t="n">
        <v>46120</v>
      </c>
      <c r="D531" t="inlineStr">
        <is>
          <t>STOCKHOLMS LÄN</t>
        </is>
      </c>
      <c r="E531" t="inlineStr">
        <is>
          <t>NORRTÄLJE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12407-2025</t>
        </is>
      </c>
      <c r="B532" s="1" t="n">
        <v>45730.42851851852</v>
      </c>
      <c r="C532" s="1" t="n">
        <v>46120</v>
      </c>
      <c r="D532" t="inlineStr">
        <is>
          <t>STOCKHOLMS LÄN</t>
        </is>
      </c>
      <c r="E532" t="inlineStr">
        <is>
          <t>NORRTÄLJE</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26636-2023</t>
        </is>
      </c>
      <c r="B533" s="1" t="n">
        <v>45092</v>
      </c>
      <c r="C533" s="1" t="n">
        <v>46120</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26637-2023</t>
        </is>
      </c>
      <c r="B534" s="1" t="n">
        <v>45092</v>
      </c>
      <c r="C534" s="1" t="n">
        <v>46120</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44937-2025</t>
        </is>
      </c>
      <c r="B535" s="1" t="n">
        <v>45918</v>
      </c>
      <c r="C535" s="1" t="n">
        <v>46120</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13545-2026</t>
        </is>
      </c>
      <c r="B536" s="1" t="n">
        <v>46094.6911574074</v>
      </c>
      <c r="C536" s="1" t="n">
        <v>46120</v>
      </c>
      <c r="D536" t="inlineStr">
        <is>
          <t>STOCKHOLMS LÄN</t>
        </is>
      </c>
      <c r="E536" t="inlineStr">
        <is>
          <t>NORRTÄLJE</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23266-2023</t>
        </is>
      </c>
      <c r="B537" s="1" t="n">
        <v>45075.90817129629</v>
      </c>
      <c r="C537" s="1" t="n">
        <v>46120</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39610-2025</t>
        </is>
      </c>
      <c r="B538" s="1" t="n">
        <v>45890</v>
      </c>
      <c r="C538" s="1" t="n">
        <v>46120</v>
      </c>
      <c r="D538" t="inlineStr">
        <is>
          <t>STOCKHOLMS LÄN</t>
        </is>
      </c>
      <c r="E538" t="inlineStr">
        <is>
          <t>NORRTÄLJE</t>
        </is>
      </c>
      <c r="G538" t="n">
        <v>28.6</v>
      </c>
      <c r="H538" t="n">
        <v>0</v>
      </c>
      <c r="I538" t="n">
        <v>0</v>
      </c>
      <c r="J538" t="n">
        <v>0</v>
      </c>
      <c r="K538" t="n">
        <v>0</v>
      </c>
      <c r="L538" t="n">
        <v>0</v>
      </c>
      <c r="M538" t="n">
        <v>0</v>
      </c>
      <c r="N538" t="n">
        <v>0</v>
      </c>
      <c r="O538" t="n">
        <v>0</v>
      </c>
      <c r="P538" t="n">
        <v>0</v>
      </c>
      <c r="Q538" t="n">
        <v>0</v>
      </c>
      <c r="R538" s="2" t="inlineStr"/>
    </row>
    <row r="539" ht="15" customHeight="1">
      <c r="A539" t="inlineStr">
        <is>
          <t>A 6701-2026</t>
        </is>
      </c>
      <c r="B539" s="1" t="n">
        <v>46056</v>
      </c>
      <c r="C539" s="1" t="n">
        <v>46120</v>
      </c>
      <c r="D539" t="inlineStr">
        <is>
          <t>STOCKHOLMS LÄN</t>
        </is>
      </c>
      <c r="E539" t="inlineStr">
        <is>
          <t>NORRTÄLJE</t>
        </is>
      </c>
      <c r="G539" t="n">
        <v>0.8</v>
      </c>
      <c r="H539" t="n">
        <v>0</v>
      </c>
      <c r="I539" t="n">
        <v>0</v>
      </c>
      <c r="J539" t="n">
        <v>0</v>
      </c>
      <c r="K539" t="n">
        <v>0</v>
      </c>
      <c r="L539" t="n">
        <v>0</v>
      </c>
      <c r="M539" t="n">
        <v>0</v>
      </c>
      <c r="N539" t="n">
        <v>0</v>
      </c>
      <c r="O539" t="n">
        <v>0</v>
      </c>
      <c r="P539" t="n">
        <v>0</v>
      </c>
      <c r="Q539" t="n">
        <v>0</v>
      </c>
      <c r="R539" s="2" t="inlineStr"/>
    </row>
    <row r="540" ht="15" customHeight="1">
      <c r="A540" t="inlineStr">
        <is>
          <t>A 35161-2022</t>
        </is>
      </c>
      <c r="B540" s="1" t="n">
        <v>44797</v>
      </c>
      <c r="C540" s="1" t="n">
        <v>46120</v>
      </c>
      <c r="D540" t="inlineStr">
        <is>
          <t>STOCKHOLMS LÄN</t>
        </is>
      </c>
      <c r="E540" t="inlineStr">
        <is>
          <t>NORRTÄLJE</t>
        </is>
      </c>
      <c r="G540" t="n">
        <v>6</v>
      </c>
      <c r="H540" t="n">
        <v>0</v>
      </c>
      <c r="I540" t="n">
        <v>0</v>
      </c>
      <c r="J540" t="n">
        <v>0</v>
      </c>
      <c r="K540" t="n">
        <v>0</v>
      </c>
      <c r="L540" t="n">
        <v>0</v>
      </c>
      <c r="M540" t="n">
        <v>0</v>
      </c>
      <c r="N540" t="n">
        <v>0</v>
      </c>
      <c r="O540" t="n">
        <v>0</v>
      </c>
      <c r="P540" t="n">
        <v>0</v>
      </c>
      <c r="Q540" t="n">
        <v>0</v>
      </c>
      <c r="R540" s="2" t="inlineStr"/>
    </row>
    <row r="541" ht="15" customHeight="1">
      <c r="A541" t="inlineStr">
        <is>
          <t>A 22359-2025</t>
        </is>
      </c>
      <c r="B541" s="1" t="n">
        <v>45786</v>
      </c>
      <c r="C541" s="1" t="n">
        <v>46120</v>
      </c>
      <c r="D541" t="inlineStr">
        <is>
          <t>STOCKHOLMS LÄN</t>
        </is>
      </c>
      <c r="E541" t="inlineStr">
        <is>
          <t>NORRTÄLJE</t>
        </is>
      </c>
      <c r="G541" t="n">
        <v>5</v>
      </c>
      <c r="H541" t="n">
        <v>0</v>
      </c>
      <c r="I541" t="n">
        <v>0</v>
      </c>
      <c r="J541" t="n">
        <v>0</v>
      </c>
      <c r="K541" t="n">
        <v>0</v>
      </c>
      <c r="L541" t="n">
        <v>0</v>
      </c>
      <c r="M541" t="n">
        <v>0</v>
      </c>
      <c r="N541" t="n">
        <v>0</v>
      </c>
      <c r="O541" t="n">
        <v>0</v>
      </c>
      <c r="P541" t="n">
        <v>0</v>
      </c>
      <c r="Q541" t="n">
        <v>0</v>
      </c>
      <c r="R541" s="2" t="inlineStr"/>
    </row>
    <row r="542" ht="15" customHeight="1">
      <c r="A542" t="inlineStr">
        <is>
          <t>A 58863-2024</t>
        </is>
      </c>
      <c r="B542" s="1" t="n">
        <v>45636.41572916666</v>
      </c>
      <c r="C542" s="1" t="n">
        <v>46120</v>
      </c>
      <c r="D542" t="inlineStr">
        <is>
          <t>STOCKHOLMS LÄN</t>
        </is>
      </c>
      <c r="E542" t="inlineStr">
        <is>
          <t>NORRTÄLJE</t>
        </is>
      </c>
      <c r="G542" t="n">
        <v>0.7</v>
      </c>
      <c r="H542" t="n">
        <v>0</v>
      </c>
      <c r="I542" t="n">
        <v>0</v>
      </c>
      <c r="J542" t="n">
        <v>0</v>
      </c>
      <c r="K542" t="n">
        <v>0</v>
      </c>
      <c r="L542" t="n">
        <v>0</v>
      </c>
      <c r="M542" t="n">
        <v>0</v>
      </c>
      <c r="N542" t="n">
        <v>0</v>
      </c>
      <c r="O542" t="n">
        <v>0</v>
      </c>
      <c r="P542" t="n">
        <v>0</v>
      </c>
      <c r="Q542" t="n">
        <v>0</v>
      </c>
      <c r="R542" s="2" t="inlineStr"/>
    </row>
    <row r="543" ht="15" customHeight="1">
      <c r="A543" t="inlineStr">
        <is>
          <t>A 6724-2026</t>
        </is>
      </c>
      <c r="B543" s="1" t="n">
        <v>46056.67717592593</v>
      </c>
      <c r="C543" s="1" t="n">
        <v>46120</v>
      </c>
      <c r="D543" t="inlineStr">
        <is>
          <t>STOCKHOLMS LÄN</t>
        </is>
      </c>
      <c r="E543" t="inlineStr">
        <is>
          <t>NORRTÄLJE</t>
        </is>
      </c>
      <c r="F543" t="inlineStr">
        <is>
          <t>Holmen skog AB</t>
        </is>
      </c>
      <c r="G543" t="n">
        <v>16.2</v>
      </c>
      <c r="H543" t="n">
        <v>0</v>
      </c>
      <c r="I543" t="n">
        <v>0</v>
      </c>
      <c r="J543" t="n">
        <v>0</v>
      </c>
      <c r="K543" t="n">
        <v>0</v>
      </c>
      <c r="L543" t="n">
        <v>0</v>
      </c>
      <c r="M543" t="n">
        <v>0</v>
      </c>
      <c r="N543" t="n">
        <v>0</v>
      </c>
      <c r="O543" t="n">
        <v>0</v>
      </c>
      <c r="P543" t="n">
        <v>0</v>
      </c>
      <c r="Q543" t="n">
        <v>0</v>
      </c>
      <c r="R543" s="2" t="inlineStr"/>
    </row>
    <row r="544" ht="15" customHeight="1">
      <c r="A544" t="inlineStr">
        <is>
          <t>A 15447-2023</t>
        </is>
      </c>
      <c r="B544" s="1" t="n">
        <v>45020</v>
      </c>
      <c r="C544" s="1" t="n">
        <v>46120</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34391-2023</t>
        </is>
      </c>
      <c r="B545" s="1" t="n">
        <v>45139.51457175926</v>
      </c>
      <c r="C545" s="1" t="n">
        <v>46120</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53312-2024</t>
        </is>
      </c>
      <c r="B546" s="1" t="n">
        <v>45614.39627314815</v>
      </c>
      <c r="C546" s="1" t="n">
        <v>46120</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6532-2026</t>
        </is>
      </c>
      <c r="B547" s="1" t="n">
        <v>46056.41300925926</v>
      </c>
      <c r="C547" s="1" t="n">
        <v>46120</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21158-2022</t>
        </is>
      </c>
      <c r="B548" s="1" t="n">
        <v>44704</v>
      </c>
      <c r="C548" s="1" t="n">
        <v>46120</v>
      </c>
      <c r="D548" t="inlineStr">
        <is>
          <t>STOCKHOLMS LÄN</t>
        </is>
      </c>
      <c r="E548" t="inlineStr">
        <is>
          <t>NORRTÄLJE</t>
        </is>
      </c>
      <c r="G548" t="n">
        <v>17.8</v>
      </c>
      <c r="H548" t="n">
        <v>0</v>
      </c>
      <c r="I548" t="n">
        <v>0</v>
      </c>
      <c r="J548" t="n">
        <v>0</v>
      </c>
      <c r="K548" t="n">
        <v>0</v>
      </c>
      <c r="L548" t="n">
        <v>0</v>
      </c>
      <c r="M548" t="n">
        <v>0</v>
      </c>
      <c r="N548" t="n">
        <v>0</v>
      </c>
      <c r="O548" t="n">
        <v>0</v>
      </c>
      <c r="P548" t="n">
        <v>0</v>
      </c>
      <c r="Q548" t="n">
        <v>0</v>
      </c>
      <c r="R548" s="2" t="inlineStr"/>
    </row>
    <row r="549" ht="15" customHeight="1">
      <c r="A549" t="inlineStr">
        <is>
          <t>A 15915-2023</t>
        </is>
      </c>
      <c r="B549" s="1" t="n">
        <v>45022</v>
      </c>
      <c r="C549" s="1" t="n">
        <v>46120</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58993-2022</t>
        </is>
      </c>
      <c r="B550" s="1" t="n">
        <v>44903</v>
      </c>
      <c r="C550" s="1" t="n">
        <v>46120</v>
      </c>
      <c r="D550" t="inlineStr">
        <is>
          <t>STOCKHOLMS LÄN</t>
        </is>
      </c>
      <c r="E550" t="inlineStr">
        <is>
          <t>NORRTÄLJE</t>
        </is>
      </c>
      <c r="G550" t="n">
        <v>2.3</v>
      </c>
      <c r="H550" t="n">
        <v>0</v>
      </c>
      <c r="I550" t="n">
        <v>0</v>
      </c>
      <c r="J550" t="n">
        <v>0</v>
      </c>
      <c r="K550" t="n">
        <v>0</v>
      </c>
      <c r="L550" t="n">
        <v>0</v>
      </c>
      <c r="M550" t="n">
        <v>0</v>
      </c>
      <c r="N550" t="n">
        <v>0</v>
      </c>
      <c r="O550" t="n">
        <v>0</v>
      </c>
      <c r="P550" t="n">
        <v>0</v>
      </c>
      <c r="Q550" t="n">
        <v>0</v>
      </c>
      <c r="R550" s="2" t="inlineStr"/>
    </row>
    <row r="551" ht="15" customHeight="1">
      <c r="A551" t="inlineStr">
        <is>
          <t>A 45697-2025</t>
        </is>
      </c>
      <c r="B551" s="1" t="n">
        <v>45923.39877314815</v>
      </c>
      <c r="C551" s="1" t="n">
        <v>46120</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39905-2023</t>
        </is>
      </c>
      <c r="B552" s="1" t="n">
        <v>45168.44489583333</v>
      </c>
      <c r="C552" s="1" t="n">
        <v>46120</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7308-2026</t>
        </is>
      </c>
      <c r="B553" s="1" t="n">
        <v>46058.66025462963</v>
      </c>
      <c r="C553" s="1" t="n">
        <v>46120</v>
      </c>
      <c r="D553" t="inlineStr">
        <is>
          <t>STOCKHOLMS LÄN</t>
        </is>
      </c>
      <c r="E553" t="inlineStr">
        <is>
          <t>NORRTÄLJE</t>
        </is>
      </c>
      <c r="F553" t="inlineStr">
        <is>
          <t>Holmen skog AB</t>
        </is>
      </c>
      <c r="G553" t="n">
        <v>1.7</v>
      </c>
      <c r="H553" t="n">
        <v>0</v>
      </c>
      <c r="I553" t="n">
        <v>0</v>
      </c>
      <c r="J553" t="n">
        <v>0</v>
      </c>
      <c r="K553" t="n">
        <v>0</v>
      </c>
      <c r="L553" t="n">
        <v>0</v>
      </c>
      <c r="M553" t="n">
        <v>0</v>
      </c>
      <c r="N553" t="n">
        <v>0</v>
      </c>
      <c r="O553" t="n">
        <v>0</v>
      </c>
      <c r="P553" t="n">
        <v>0</v>
      </c>
      <c r="Q553" t="n">
        <v>0</v>
      </c>
      <c r="R553" s="2" t="inlineStr"/>
    </row>
    <row r="554" ht="15" customHeight="1">
      <c r="A554" t="inlineStr">
        <is>
          <t>A 35256-2025</t>
        </is>
      </c>
      <c r="B554" s="1" t="n">
        <v>45853</v>
      </c>
      <c r="C554" s="1" t="n">
        <v>46120</v>
      </c>
      <c r="D554" t="inlineStr">
        <is>
          <t>STOCKHOLMS LÄN</t>
        </is>
      </c>
      <c r="E554" t="inlineStr">
        <is>
          <t>NORRTÄLJE</t>
        </is>
      </c>
      <c r="G554" t="n">
        <v>6.4</v>
      </c>
      <c r="H554" t="n">
        <v>0</v>
      </c>
      <c r="I554" t="n">
        <v>0</v>
      </c>
      <c r="J554" t="n">
        <v>0</v>
      </c>
      <c r="K554" t="n">
        <v>0</v>
      </c>
      <c r="L554" t="n">
        <v>0</v>
      </c>
      <c r="M554" t="n">
        <v>0</v>
      </c>
      <c r="N554" t="n">
        <v>0</v>
      </c>
      <c r="O554" t="n">
        <v>0</v>
      </c>
      <c r="P554" t="n">
        <v>0</v>
      </c>
      <c r="Q554" t="n">
        <v>0</v>
      </c>
      <c r="R554" s="2" t="inlineStr"/>
    </row>
    <row r="555" ht="15" customHeight="1">
      <c r="A555" t="inlineStr">
        <is>
          <t>A 33793-2022</t>
        </is>
      </c>
      <c r="B555" s="1" t="n">
        <v>44790</v>
      </c>
      <c r="C555" s="1" t="n">
        <v>46120</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14348-2026</t>
        </is>
      </c>
      <c r="B556" s="1" t="n">
        <v>46100.34112268518</v>
      </c>
      <c r="C556" s="1" t="n">
        <v>46120</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6838-2026</t>
        </is>
      </c>
      <c r="B557" s="1" t="n">
        <v>46057.41151620371</v>
      </c>
      <c r="C557" s="1" t="n">
        <v>46120</v>
      </c>
      <c r="D557" t="inlineStr">
        <is>
          <t>STOCKHOLMS LÄN</t>
        </is>
      </c>
      <c r="E557" t="inlineStr">
        <is>
          <t>NORRTÄLJE</t>
        </is>
      </c>
      <c r="F557" t="inlineStr">
        <is>
          <t>Holmen skog AB</t>
        </is>
      </c>
      <c r="G557" t="n">
        <v>1.7</v>
      </c>
      <c r="H557" t="n">
        <v>0</v>
      </c>
      <c r="I557" t="n">
        <v>0</v>
      </c>
      <c r="J557" t="n">
        <v>0</v>
      </c>
      <c r="K557" t="n">
        <v>0</v>
      </c>
      <c r="L557" t="n">
        <v>0</v>
      </c>
      <c r="M557" t="n">
        <v>0</v>
      </c>
      <c r="N557" t="n">
        <v>0</v>
      </c>
      <c r="O557" t="n">
        <v>0</v>
      </c>
      <c r="P557" t="n">
        <v>0</v>
      </c>
      <c r="Q557" t="n">
        <v>0</v>
      </c>
      <c r="R557" s="2" t="inlineStr"/>
    </row>
    <row r="558" ht="15" customHeight="1">
      <c r="A558" t="inlineStr">
        <is>
          <t>A 14475-2026</t>
        </is>
      </c>
      <c r="B558" s="1" t="n">
        <v>46100.57251157407</v>
      </c>
      <c r="C558" s="1" t="n">
        <v>46120</v>
      </c>
      <c r="D558" t="inlineStr">
        <is>
          <t>STOCKHOLMS LÄN</t>
        </is>
      </c>
      <c r="E558" t="inlineStr">
        <is>
          <t>NORRTÄLJE</t>
        </is>
      </c>
      <c r="G558" t="n">
        <v>12.3</v>
      </c>
      <c r="H558" t="n">
        <v>0</v>
      </c>
      <c r="I558" t="n">
        <v>0</v>
      </c>
      <c r="J558" t="n">
        <v>0</v>
      </c>
      <c r="K558" t="n">
        <v>0</v>
      </c>
      <c r="L558" t="n">
        <v>0</v>
      </c>
      <c r="M558" t="n">
        <v>0</v>
      </c>
      <c r="N558" t="n">
        <v>0</v>
      </c>
      <c r="O558" t="n">
        <v>0</v>
      </c>
      <c r="P558" t="n">
        <v>0</v>
      </c>
      <c r="Q558" t="n">
        <v>0</v>
      </c>
      <c r="R558" s="2" t="inlineStr"/>
    </row>
    <row r="559" ht="15" customHeight="1">
      <c r="A559" t="inlineStr">
        <is>
          <t>A 17304-2024</t>
        </is>
      </c>
      <c r="B559" s="1" t="n">
        <v>45414</v>
      </c>
      <c r="C559" s="1" t="n">
        <v>46120</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16852-2024</t>
        </is>
      </c>
      <c r="B560" s="1" t="n">
        <v>45411.54768518519</v>
      </c>
      <c r="C560" s="1" t="n">
        <v>46120</v>
      </c>
      <c r="D560" t="inlineStr">
        <is>
          <t>STOCKHOLMS LÄN</t>
        </is>
      </c>
      <c r="E560" t="inlineStr">
        <is>
          <t>NORRTÄLJE</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4326-2023</t>
        </is>
      </c>
      <c r="B561" s="1" t="n">
        <v>44953.70481481482</v>
      </c>
      <c r="C561" s="1" t="n">
        <v>46120</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46415-2025</t>
        </is>
      </c>
      <c r="B562" s="1" t="n">
        <v>45925.58636574074</v>
      </c>
      <c r="C562" s="1" t="n">
        <v>46120</v>
      </c>
      <c r="D562" t="inlineStr">
        <is>
          <t>STOCKHOLMS LÄN</t>
        </is>
      </c>
      <c r="E562" t="inlineStr">
        <is>
          <t>NORRTÄLJE</t>
        </is>
      </c>
      <c r="G562" t="n">
        <v>3.8</v>
      </c>
      <c r="H562" t="n">
        <v>0</v>
      </c>
      <c r="I562" t="n">
        <v>0</v>
      </c>
      <c r="J562" t="n">
        <v>0</v>
      </c>
      <c r="K562" t="n">
        <v>0</v>
      </c>
      <c r="L562" t="n">
        <v>0</v>
      </c>
      <c r="M562" t="n">
        <v>0</v>
      </c>
      <c r="N562" t="n">
        <v>0</v>
      </c>
      <c r="O562" t="n">
        <v>0</v>
      </c>
      <c r="P562" t="n">
        <v>0</v>
      </c>
      <c r="Q562" t="n">
        <v>0</v>
      </c>
      <c r="R562" s="2" t="inlineStr"/>
    </row>
    <row r="563" ht="15" customHeight="1">
      <c r="A563" t="inlineStr">
        <is>
          <t>A 6874-2026</t>
        </is>
      </c>
      <c r="B563" s="1" t="n">
        <v>46057.45295138889</v>
      </c>
      <c r="C563" s="1" t="n">
        <v>46120</v>
      </c>
      <c r="D563" t="inlineStr">
        <is>
          <t>STOCKHOLMS LÄN</t>
        </is>
      </c>
      <c r="E563" t="inlineStr">
        <is>
          <t>NORRTÄLJE</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33385-2024</t>
        </is>
      </c>
      <c r="B564" s="1" t="n">
        <v>45519</v>
      </c>
      <c r="C564" s="1" t="n">
        <v>46120</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29714-2023</t>
        </is>
      </c>
      <c r="B565" s="1" t="n">
        <v>45107.42538194444</v>
      </c>
      <c r="C565" s="1" t="n">
        <v>46120</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30508-2023</t>
        </is>
      </c>
      <c r="B566" s="1" t="n">
        <v>45111</v>
      </c>
      <c r="C566" s="1" t="n">
        <v>46120</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6828-2026</t>
        </is>
      </c>
      <c r="B567" s="1" t="n">
        <v>46057</v>
      </c>
      <c r="C567" s="1" t="n">
        <v>46120</v>
      </c>
      <c r="D567" t="inlineStr">
        <is>
          <t>STOCKHOLMS LÄN</t>
        </is>
      </c>
      <c r="E567" t="inlineStr">
        <is>
          <t>NORRTÄLJE</t>
        </is>
      </c>
      <c r="F567" t="inlineStr">
        <is>
          <t>Holmen skog AB</t>
        </is>
      </c>
      <c r="G567" t="n">
        <v>2.8</v>
      </c>
      <c r="H567" t="n">
        <v>0</v>
      </c>
      <c r="I567" t="n">
        <v>0</v>
      </c>
      <c r="J567" t="n">
        <v>0</v>
      </c>
      <c r="K567" t="n">
        <v>0</v>
      </c>
      <c r="L567" t="n">
        <v>0</v>
      </c>
      <c r="M567" t="n">
        <v>0</v>
      </c>
      <c r="N567" t="n">
        <v>0</v>
      </c>
      <c r="O567" t="n">
        <v>0</v>
      </c>
      <c r="P567" t="n">
        <v>0</v>
      </c>
      <c r="Q567" t="n">
        <v>0</v>
      </c>
      <c r="R567" s="2" t="inlineStr"/>
    </row>
    <row r="568" ht="15" customHeight="1">
      <c r="A568" t="inlineStr">
        <is>
          <t>A 47460-2025</t>
        </is>
      </c>
      <c r="B568" s="1" t="n">
        <v>45930.66012731481</v>
      </c>
      <c r="C568" s="1" t="n">
        <v>46120</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8296-2023</t>
        </is>
      </c>
      <c r="B569" s="1" t="n">
        <v>44974</v>
      </c>
      <c r="C569" s="1" t="n">
        <v>46120</v>
      </c>
      <c r="D569" t="inlineStr">
        <is>
          <t>STOCKHOLMS LÄN</t>
        </is>
      </c>
      <c r="E569" t="inlineStr">
        <is>
          <t>NORRTÄLJE</t>
        </is>
      </c>
      <c r="G569" t="n">
        <v>3.8</v>
      </c>
      <c r="H569" t="n">
        <v>0</v>
      </c>
      <c r="I569" t="n">
        <v>0</v>
      </c>
      <c r="J569" t="n">
        <v>0</v>
      </c>
      <c r="K569" t="n">
        <v>0</v>
      </c>
      <c r="L569" t="n">
        <v>0</v>
      </c>
      <c r="M569" t="n">
        <v>0</v>
      </c>
      <c r="N569" t="n">
        <v>0</v>
      </c>
      <c r="O569" t="n">
        <v>0</v>
      </c>
      <c r="P569" t="n">
        <v>0</v>
      </c>
      <c r="Q569" t="n">
        <v>0</v>
      </c>
      <c r="R569" s="2" t="inlineStr"/>
    </row>
    <row r="570" ht="15" customHeight="1">
      <c r="A570" t="inlineStr">
        <is>
          <t>A 7532-2026</t>
        </is>
      </c>
      <c r="B570" s="1" t="n">
        <v>46059</v>
      </c>
      <c r="C570" s="1" t="n">
        <v>46120</v>
      </c>
      <c r="D570" t="inlineStr">
        <is>
          <t>STOCKHOLMS LÄN</t>
        </is>
      </c>
      <c r="E570" t="inlineStr">
        <is>
          <t>NORRTÄLJE</t>
        </is>
      </c>
      <c r="G570" t="n">
        <v>5.2</v>
      </c>
      <c r="H570" t="n">
        <v>0</v>
      </c>
      <c r="I570" t="n">
        <v>0</v>
      </c>
      <c r="J570" t="n">
        <v>0</v>
      </c>
      <c r="K570" t="n">
        <v>0</v>
      </c>
      <c r="L570" t="n">
        <v>0</v>
      </c>
      <c r="M570" t="n">
        <v>0</v>
      </c>
      <c r="N570" t="n">
        <v>0</v>
      </c>
      <c r="O570" t="n">
        <v>0</v>
      </c>
      <c r="P570" t="n">
        <v>0</v>
      </c>
      <c r="Q570" t="n">
        <v>0</v>
      </c>
      <c r="R570" s="2" t="inlineStr"/>
    </row>
    <row r="571" ht="15" customHeight="1">
      <c r="A571" t="inlineStr">
        <is>
          <t>A 31236-2022</t>
        </is>
      </c>
      <c r="B571" s="1" t="n">
        <v>44771</v>
      </c>
      <c r="C571" s="1" t="n">
        <v>46120</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46900-2025</t>
        </is>
      </c>
      <c r="B572" s="1" t="n">
        <v>45929.38712962963</v>
      </c>
      <c r="C572" s="1" t="n">
        <v>46120</v>
      </c>
      <c r="D572" t="inlineStr">
        <is>
          <t>STOCKHOLMS LÄN</t>
        </is>
      </c>
      <c r="E572" t="inlineStr">
        <is>
          <t>NORRTÄLJE</t>
        </is>
      </c>
      <c r="F572" t="inlineStr">
        <is>
          <t>Holmen skog AB</t>
        </is>
      </c>
      <c r="G572" t="n">
        <v>6.2</v>
      </c>
      <c r="H572" t="n">
        <v>0</v>
      </c>
      <c r="I572" t="n">
        <v>0</v>
      </c>
      <c r="J572" t="n">
        <v>0</v>
      </c>
      <c r="K572" t="n">
        <v>0</v>
      </c>
      <c r="L572" t="n">
        <v>0</v>
      </c>
      <c r="M572" t="n">
        <v>0</v>
      </c>
      <c r="N572" t="n">
        <v>0</v>
      </c>
      <c r="O572" t="n">
        <v>0</v>
      </c>
      <c r="P572" t="n">
        <v>0</v>
      </c>
      <c r="Q572" t="n">
        <v>0</v>
      </c>
      <c r="R572" s="2" t="inlineStr"/>
    </row>
    <row r="573" ht="15" customHeight="1">
      <c r="A573" t="inlineStr">
        <is>
          <t>A 7723-2026</t>
        </is>
      </c>
      <c r="B573" s="1" t="n">
        <v>46062.49905092592</v>
      </c>
      <c r="C573" s="1" t="n">
        <v>46120</v>
      </c>
      <c r="D573" t="inlineStr">
        <is>
          <t>STOCKHOLMS LÄN</t>
        </is>
      </c>
      <c r="E573" t="inlineStr">
        <is>
          <t>NORRTÄLJE</t>
        </is>
      </c>
      <c r="G573" t="n">
        <v>0.8</v>
      </c>
      <c r="H573" t="n">
        <v>0</v>
      </c>
      <c r="I573" t="n">
        <v>0</v>
      </c>
      <c r="J573" t="n">
        <v>0</v>
      </c>
      <c r="K573" t="n">
        <v>0</v>
      </c>
      <c r="L573" t="n">
        <v>0</v>
      </c>
      <c r="M573" t="n">
        <v>0</v>
      </c>
      <c r="N573" t="n">
        <v>0</v>
      </c>
      <c r="O573" t="n">
        <v>0</v>
      </c>
      <c r="P573" t="n">
        <v>0</v>
      </c>
      <c r="Q573" t="n">
        <v>0</v>
      </c>
      <c r="R573" s="2" t="inlineStr"/>
    </row>
    <row r="574" ht="15" customHeight="1">
      <c r="A574" t="inlineStr">
        <is>
          <t>A 7729-2026</t>
        </is>
      </c>
      <c r="B574" s="1" t="n">
        <v>46062.51100694444</v>
      </c>
      <c r="C574" s="1" t="n">
        <v>46120</v>
      </c>
      <c r="D574" t="inlineStr">
        <is>
          <t>STOCKHOLMS LÄN</t>
        </is>
      </c>
      <c r="E574" t="inlineStr">
        <is>
          <t>NORRTÄLJE</t>
        </is>
      </c>
      <c r="G574" t="n">
        <v>6.6</v>
      </c>
      <c r="H574" t="n">
        <v>0</v>
      </c>
      <c r="I574" t="n">
        <v>0</v>
      </c>
      <c r="J574" t="n">
        <v>0</v>
      </c>
      <c r="K574" t="n">
        <v>0</v>
      </c>
      <c r="L574" t="n">
        <v>0</v>
      </c>
      <c r="M574" t="n">
        <v>0</v>
      </c>
      <c r="N574" t="n">
        <v>0</v>
      </c>
      <c r="O574" t="n">
        <v>0</v>
      </c>
      <c r="P574" t="n">
        <v>0</v>
      </c>
      <c r="Q574" t="n">
        <v>0</v>
      </c>
      <c r="R574" s="2" t="inlineStr"/>
    </row>
    <row r="575" ht="15" customHeight="1">
      <c r="A575" t="inlineStr">
        <is>
          <t>A 47498-2025</t>
        </is>
      </c>
      <c r="B575" s="1" t="n">
        <v>45930.8134375</v>
      </c>
      <c r="C575" s="1" t="n">
        <v>46120</v>
      </c>
      <c r="D575" t="inlineStr">
        <is>
          <t>STOCKHOLMS LÄN</t>
        </is>
      </c>
      <c r="E575" t="inlineStr">
        <is>
          <t>NORRTÄLJE</t>
        </is>
      </c>
      <c r="F575" t="inlineStr">
        <is>
          <t>Holmen skog AB</t>
        </is>
      </c>
      <c r="G575" t="n">
        <v>1.7</v>
      </c>
      <c r="H575" t="n">
        <v>0</v>
      </c>
      <c r="I575" t="n">
        <v>0</v>
      </c>
      <c r="J575" t="n">
        <v>0</v>
      </c>
      <c r="K575" t="n">
        <v>0</v>
      </c>
      <c r="L575" t="n">
        <v>0</v>
      </c>
      <c r="M575" t="n">
        <v>0</v>
      </c>
      <c r="N575" t="n">
        <v>0</v>
      </c>
      <c r="O575" t="n">
        <v>0</v>
      </c>
      <c r="P575" t="n">
        <v>0</v>
      </c>
      <c r="Q575" t="n">
        <v>0</v>
      </c>
      <c r="R575" s="2" t="inlineStr"/>
    </row>
    <row r="576" ht="15" customHeight="1">
      <c r="A576" t="inlineStr">
        <is>
          <t>A 47496-2025</t>
        </is>
      </c>
      <c r="B576" s="1" t="n">
        <v>45930.79252314815</v>
      </c>
      <c r="C576" s="1" t="n">
        <v>46120</v>
      </c>
      <c r="D576" t="inlineStr">
        <is>
          <t>STOCKHOLMS LÄN</t>
        </is>
      </c>
      <c r="E576" t="inlineStr">
        <is>
          <t>NORRTÄLJE</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47497-2025</t>
        </is>
      </c>
      <c r="B577" s="1" t="n">
        <v>45930.80217592593</v>
      </c>
      <c r="C577" s="1" t="n">
        <v>46120</v>
      </c>
      <c r="D577" t="inlineStr">
        <is>
          <t>STOCKHOLMS LÄN</t>
        </is>
      </c>
      <c r="E577" t="inlineStr">
        <is>
          <t>NORRTÄLJE</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52593-2024</t>
        </is>
      </c>
      <c r="B578" s="1" t="n">
        <v>45609.70778935185</v>
      </c>
      <c r="C578" s="1" t="n">
        <v>46120</v>
      </c>
      <c r="D578" t="inlineStr">
        <is>
          <t>STOCKHOLMS LÄN</t>
        </is>
      </c>
      <c r="E578" t="inlineStr">
        <is>
          <t>NORRTÄLJE</t>
        </is>
      </c>
      <c r="F578" t="inlineStr">
        <is>
          <t>Holmen skog AB</t>
        </is>
      </c>
      <c r="G578" t="n">
        <v>2.4</v>
      </c>
      <c r="H578" t="n">
        <v>0</v>
      </c>
      <c r="I578" t="n">
        <v>0</v>
      </c>
      <c r="J578" t="n">
        <v>0</v>
      </c>
      <c r="K578" t="n">
        <v>0</v>
      </c>
      <c r="L578" t="n">
        <v>0</v>
      </c>
      <c r="M578" t="n">
        <v>0</v>
      </c>
      <c r="N578" t="n">
        <v>0</v>
      </c>
      <c r="O578" t="n">
        <v>0</v>
      </c>
      <c r="P578" t="n">
        <v>0</v>
      </c>
      <c r="Q578" t="n">
        <v>0</v>
      </c>
      <c r="R578" s="2" t="inlineStr"/>
    </row>
    <row r="579" ht="15" customHeight="1">
      <c r="A579" t="inlineStr">
        <is>
          <t>A 52617-2024</t>
        </is>
      </c>
      <c r="B579" s="1" t="n">
        <v>45609.85146990741</v>
      </c>
      <c r="C579" s="1" t="n">
        <v>46120</v>
      </c>
      <c r="D579" t="inlineStr">
        <is>
          <t>STOCKHOLMS LÄN</t>
        </is>
      </c>
      <c r="E579" t="inlineStr">
        <is>
          <t>NORRTÄLJE</t>
        </is>
      </c>
      <c r="G579" t="n">
        <v>0.8</v>
      </c>
      <c r="H579" t="n">
        <v>0</v>
      </c>
      <c r="I579" t="n">
        <v>0</v>
      </c>
      <c r="J579" t="n">
        <v>0</v>
      </c>
      <c r="K579" t="n">
        <v>0</v>
      </c>
      <c r="L579" t="n">
        <v>0</v>
      </c>
      <c r="M579" t="n">
        <v>0</v>
      </c>
      <c r="N579" t="n">
        <v>0</v>
      </c>
      <c r="O579" t="n">
        <v>0</v>
      </c>
      <c r="P579" t="n">
        <v>0</v>
      </c>
      <c r="Q579" t="n">
        <v>0</v>
      </c>
      <c r="R579" s="2" t="inlineStr"/>
    </row>
    <row r="580" ht="15" customHeight="1">
      <c r="A580" t="inlineStr">
        <is>
          <t>A 27824-2022</t>
        </is>
      </c>
      <c r="B580" s="1" t="n">
        <v>44743.59331018518</v>
      </c>
      <c r="C580" s="1" t="n">
        <v>46120</v>
      </c>
      <c r="D580" t="inlineStr">
        <is>
          <t>STOCKHOLMS LÄN</t>
        </is>
      </c>
      <c r="E580" t="inlineStr">
        <is>
          <t>NORRTÄLJE</t>
        </is>
      </c>
      <c r="F580" t="inlineStr">
        <is>
          <t>Kommuner</t>
        </is>
      </c>
      <c r="G580" t="n">
        <v>3.1</v>
      </c>
      <c r="H580" t="n">
        <v>0</v>
      </c>
      <c r="I580" t="n">
        <v>0</v>
      </c>
      <c r="J580" t="n">
        <v>0</v>
      </c>
      <c r="K580" t="n">
        <v>0</v>
      </c>
      <c r="L580" t="n">
        <v>0</v>
      </c>
      <c r="M580" t="n">
        <v>0</v>
      </c>
      <c r="N580" t="n">
        <v>0</v>
      </c>
      <c r="O580" t="n">
        <v>0</v>
      </c>
      <c r="P580" t="n">
        <v>0</v>
      </c>
      <c r="Q580" t="n">
        <v>0</v>
      </c>
      <c r="R580" s="2" t="inlineStr"/>
    </row>
    <row r="581" ht="15" customHeight="1">
      <c r="A581" t="inlineStr">
        <is>
          <t>A 7582-2026</t>
        </is>
      </c>
      <c r="B581" s="1" t="n">
        <v>46061</v>
      </c>
      <c r="C581" s="1" t="n">
        <v>46120</v>
      </c>
      <c r="D581" t="inlineStr">
        <is>
          <t>STOCKHOLMS LÄN</t>
        </is>
      </c>
      <c r="E581" t="inlineStr">
        <is>
          <t>NORRTÄLJE</t>
        </is>
      </c>
      <c r="G581" t="n">
        <v>1.3</v>
      </c>
      <c r="H581" t="n">
        <v>0</v>
      </c>
      <c r="I581" t="n">
        <v>0</v>
      </c>
      <c r="J581" t="n">
        <v>0</v>
      </c>
      <c r="K581" t="n">
        <v>0</v>
      </c>
      <c r="L581" t="n">
        <v>0</v>
      </c>
      <c r="M581" t="n">
        <v>0</v>
      </c>
      <c r="N581" t="n">
        <v>0</v>
      </c>
      <c r="O581" t="n">
        <v>0</v>
      </c>
      <c r="P581" t="n">
        <v>0</v>
      </c>
      <c r="Q581" t="n">
        <v>0</v>
      </c>
      <c r="R581" s="2" t="inlineStr"/>
    </row>
    <row r="582" ht="15" customHeight="1">
      <c r="A582" t="inlineStr">
        <is>
          <t>A 7793-2026</t>
        </is>
      </c>
      <c r="B582" s="1" t="n">
        <v>46062.59496527778</v>
      </c>
      <c r="C582" s="1" t="n">
        <v>46120</v>
      </c>
      <c r="D582" t="inlineStr">
        <is>
          <t>STOCKHOLMS LÄN</t>
        </is>
      </c>
      <c r="E582" t="inlineStr">
        <is>
          <t>NORRTÄLJE</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47521-2024</t>
        </is>
      </c>
      <c r="B583" s="1" t="n">
        <v>45587.62565972222</v>
      </c>
      <c r="C583" s="1" t="n">
        <v>46120</v>
      </c>
      <c r="D583" t="inlineStr">
        <is>
          <t>STOCKHOLMS LÄN</t>
        </is>
      </c>
      <c r="E583" t="inlineStr">
        <is>
          <t>NORRTÄLJE</t>
        </is>
      </c>
      <c r="G583" t="n">
        <v>4.7</v>
      </c>
      <c r="H583" t="n">
        <v>0</v>
      </c>
      <c r="I583" t="n">
        <v>0</v>
      </c>
      <c r="J583" t="n">
        <v>0</v>
      </c>
      <c r="K583" t="n">
        <v>0</v>
      </c>
      <c r="L583" t="n">
        <v>0</v>
      </c>
      <c r="M583" t="n">
        <v>0</v>
      </c>
      <c r="N583" t="n">
        <v>0</v>
      </c>
      <c r="O583" t="n">
        <v>0</v>
      </c>
      <c r="P583" t="n">
        <v>0</v>
      </c>
      <c r="Q583" t="n">
        <v>0</v>
      </c>
      <c r="R583" s="2" t="inlineStr"/>
    </row>
    <row r="584" ht="15" customHeight="1">
      <c r="A584" t="inlineStr">
        <is>
          <t>A 48718-2025</t>
        </is>
      </c>
      <c r="B584" s="1" t="n">
        <v>45936</v>
      </c>
      <c r="C584" s="1" t="n">
        <v>46120</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48360-2025</t>
        </is>
      </c>
      <c r="B585" s="1" t="n">
        <v>45933.66253472222</v>
      </c>
      <c r="C585" s="1" t="n">
        <v>46120</v>
      </c>
      <c r="D585" t="inlineStr">
        <is>
          <t>STOCKHOLMS LÄN</t>
        </is>
      </c>
      <c r="E585" t="inlineStr">
        <is>
          <t>NORRTÄLJE</t>
        </is>
      </c>
      <c r="G585" t="n">
        <v>4.1</v>
      </c>
      <c r="H585" t="n">
        <v>0</v>
      </c>
      <c r="I585" t="n">
        <v>0</v>
      </c>
      <c r="J585" t="n">
        <v>0</v>
      </c>
      <c r="K585" t="n">
        <v>0</v>
      </c>
      <c r="L585" t="n">
        <v>0</v>
      </c>
      <c r="M585" t="n">
        <v>0</v>
      </c>
      <c r="N585" t="n">
        <v>0</v>
      </c>
      <c r="O585" t="n">
        <v>0</v>
      </c>
      <c r="P585" t="n">
        <v>0</v>
      </c>
      <c r="Q585" t="n">
        <v>0</v>
      </c>
      <c r="R585" s="2" t="inlineStr"/>
    </row>
    <row r="586" ht="15" customHeight="1">
      <c r="A586" t="inlineStr">
        <is>
          <t>A 48370-2025</t>
        </is>
      </c>
      <c r="B586" s="1" t="n">
        <v>45933.67854166667</v>
      </c>
      <c r="C586" s="1" t="n">
        <v>46120</v>
      </c>
      <c r="D586" t="inlineStr">
        <is>
          <t>STOCKHOLMS LÄN</t>
        </is>
      </c>
      <c r="E586" t="inlineStr">
        <is>
          <t>NORRTÄLJE</t>
        </is>
      </c>
      <c r="G586" t="n">
        <v>4.5</v>
      </c>
      <c r="H586" t="n">
        <v>0</v>
      </c>
      <c r="I586" t="n">
        <v>0</v>
      </c>
      <c r="J586" t="n">
        <v>0</v>
      </c>
      <c r="K586" t="n">
        <v>0</v>
      </c>
      <c r="L586" t="n">
        <v>0</v>
      </c>
      <c r="M586" t="n">
        <v>0</v>
      </c>
      <c r="N586" t="n">
        <v>0</v>
      </c>
      <c r="O586" t="n">
        <v>0</v>
      </c>
      <c r="P586" t="n">
        <v>0</v>
      </c>
      <c r="Q586" t="n">
        <v>0</v>
      </c>
      <c r="R586" s="2" t="inlineStr"/>
    </row>
    <row r="587" ht="15" customHeight="1">
      <c r="A587" t="inlineStr">
        <is>
          <t>A 48443-2025</t>
        </is>
      </c>
      <c r="B587" s="1" t="n">
        <v>45935.55326388889</v>
      </c>
      <c r="C587" s="1" t="n">
        <v>46120</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50534-2024</t>
        </is>
      </c>
      <c r="B588" s="1" t="n">
        <v>45601.56726851852</v>
      </c>
      <c r="C588" s="1" t="n">
        <v>46120</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48127-2025</t>
        </is>
      </c>
      <c r="B589" s="1" t="n">
        <v>45933.36621527778</v>
      </c>
      <c r="C589" s="1" t="n">
        <v>46120</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48364-2025</t>
        </is>
      </c>
      <c r="B590" s="1" t="n">
        <v>45933.66796296297</v>
      </c>
      <c r="C590" s="1" t="n">
        <v>46120</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42094-2023</t>
        </is>
      </c>
      <c r="B591" s="1" t="n">
        <v>45177.61498842593</v>
      </c>
      <c r="C591" s="1" t="n">
        <v>46120</v>
      </c>
      <c r="D591" t="inlineStr">
        <is>
          <t>STOCKHOLMS LÄN</t>
        </is>
      </c>
      <c r="E591" t="inlineStr">
        <is>
          <t>NORRTÄLJE</t>
        </is>
      </c>
      <c r="G591" t="n">
        <v>0.3</v>
      </c>
      <c r="H591" t="n">
        <v>0</v>
      </c>
      <c r="I591" t="n">
        <v>0</v>
      </c>
      <c r="J591" t="n">
        <v>0</v>
      </c>
      <c r="K591" t="n">
        <v>0</v>
      </c>
      <c r="L591" t="n">
        <v>0</v>
      </c>
      <c r="M591" t="n">
        <v>0</v>
      </c>
      <c r="N591" t="n">
        <v>0</v>
      </c>
      <c r="O591" t="n">
        <v>0</v>
      </c>
      <c r="P591" t="n">
        <v>0</v>
      </c>
      <c r="Q591" t="n">
        <v>0</v>
      </c>
      <c r="R591" s="2" t="inlineStr"/>
    </row>
    <row r="592" ht="15" customHeight="1">
      <c r="A592" t="inlineStr">
        <is>
          <t>A 58530-2024</t>
        </is>
      </c>
      <c r="B592" s="1" t="n">
        <v>45635.44788194444</v>
      </c>
      <c r="C592" s="1" t="n">
        <v>46120</v>
      </c>
      <c r="D592" t="inlineStr">
        <is>
          <t>STOCKHOLMS LÄN</t>
        </is>
      </c>
      <c r="E592" t="inlineStr">
        <is>
          <t>NORRTÄLJE</t>
        </is>
      </c>
      <c r="G592" t="n">
        <v>4.5</v>
      </c>
      <c r="H592" t="n">
        <v>0</v>
      </c>
      <c r="I592" t="n">
        <v>0</v>
      </c>
      <c r="J592" t="n">
        <v>0</v>
      </c>
      <c r="K592" t="n">
        <v>0</v>
      </c>
      <c r="L592" t="n">
        <v>0</v>
      </c>
      <c r="M592" t="n">
        <v>0</v>
      </c>
      <c r="N592" t="n">
        <v>0</v>
      </c>
      <c r="O592" t="n">
        <v>0</v>
      </c>
      <c r="P592" t="n">
        <v>0</v>
      </c>
      <c r="Q592" t="n">
        <v>0</v>
      </c>
      <c r="R592" s="2" t="inlineStr"/>
    </row>
    <row r="593" ht="15" customHeight="1">
      <c r="A593" t="inlineStr">
        <is>
          <t>A 48179-2025</t>
        </is>
      </c>
      <c r="B593" s="1" t="n">
        <v>45933.44907407407</v>
      </c>
      <c r="C593" s="1" t="n">
        <v>46120</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30620-2022</t>
        </is>
      </c>
      <c r="B594" s="1" t="n">
        <v>44763.40914351852</v>
      </c>
      <c r="C594" s="1" t="n">
        <v>46120</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57602-2024</t>
        </is>
      </c>
      <c r="B595" s="1" t="n">
        <v>45630.52866898148</v>
      </c>
      <c r="C595" s="1" t="n">
        <v>46120</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48174-2025</t>
        </is>
      </c>
      <c r="B596" s="1" t="n">
        <v>45933.44230324074</v>
      </c>
      <c r="C596" s="1" t="n">
        <v>46120</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11854-2025</t>
        </is>
      </c>
      <c r="B597" s="1" t="n">
        <v>45728.38924768518</v>
      </c>
      <c r="C597" s="1" t="n">
        <v>46120</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1283-2025</t>
        </is>
      </c>
      <c r="B598" s="1" t="n">
        <v>45667.49878472222</v>
      </c>
      <c r="C598" s="1" t="n">
        <v>46120</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48593-2025</t>
        </is>
      </c>
      <c r="B599" s="1" t="n">
        <v>45936.4627662037</v>
      </c>
      <c r="C599" s="1" t="n">
        <v>46120</v>
      </c>
      <c r="D599" t="inlineStr">
        <is>
          <t>STOCKHOLMS LÄN</t>
        </is>
      </c>
      <c r="E599" t="inlineStr">
        <is>
          <t>NORRTÄLJE</t>
        </is>
      </c>
      <c r="G599" t="n">
        <v>4.2</v>
      </c>
      <c r="H599" t="n">
        <v>0</v>
      </c>
      <c r="I599" t="n">
        <v>0</v>
      </c>
      <c r="J599" t="n">
        <v>0</v>
      </c>
      <c r="K599" t="n">
        <v>0</v>
      </c>
      <c r="L599" t="n">
        <v>0</v>
      </c>
      <c r="M599" t="n">
        <v>0</v>
      </c>
      <c r="N599" t="n">
        <v>0</v>
      </c>
      <c r="O599" t="n">
        <v>0</v>
      </c>
      <c r="P599" t="n">
        <v>0</v>
      </c>
      <c r="Q599" t="n">
        <v>0</v>
      </c>
      <c r="R599" s="2" t="inlineStr"/>
    </row>
    <row r="600" ht="15" customHeight="1">
      <c r="A600" t="inlineStr">
        <is>
          <t>A 8091-2026</t>
        </is>
      </c>
      <c r="B600" s="1" t="n">
        <v>46063.70944444444</v>
      </c>
      <c r="C600" s="1" t="n">
        <v>46120</v>
      </c>
      <c r="D600" t="inlineStr">
        <is>
          <t>STOCKHOLMS LÄN</t>
        </is>
      </c>
      <c r="E600" t="inlineStr">
        <is>
          <t>NORRTÄLJE</t>
        </is>
      </c>
      <c r="G600" t="n">
        <v>4.7</v>
      </c>
      <c r="H600" t="n">
        <v>0</v>
      </c>
      <c r="I600" t="n">
        <v>0</v>
      </c>
      <c r="J600" t="n">
        <v>0</v>
      </c>
      <c r="K600" t="n">
        <v>0</v>
      </c>
      <c r="L600" t="n">
        <v>0</v>
      </c>
      <c r="M600" t="n">
        <v>0</v>
      </c>
      <c r="N600" t="n">
        <v>0</v>
      </c>
      <c r="O600" t="n">
        <v>0</v>
      </c>
      <c r="P600" t="n">
        <v>0</v>
      </c>
      <c r="Q600" t="n">
        <v>0</v>
      </c>
      <c r="R600" s="2" t="inlineStr"/>
    </row>
    <row r="601" ht="15" customHeight="1">
      <c r="A601" t="inlineStr">
        <is>
          <t>A 27697-2025</t>
        </is>
      </c>
      <c r="B601" s="1" t="n">
        <v>45813.66961805556</v>
      </c>
      <c r="C601" s="1" t="n">
        <v>46120</v>
      </c>
      <c r="D601" t="inlineStr">
        <is>
          <t>STOCKHOLMS LÄN</t>
        </is>
      </c>
      <c r="E601" t="inlineStr">
        <is>
          <t>NORRTÄLJE</t>
        </is>
      </c>
      <c r="G601" t="n">
        <v>6.2</v>
      </c>
      <c r="H601" t="n">
        <v>0</v>
      </c>
      <c r="I601" t="n">
        <v>0</v>
      </c>
      <c r="J601" t="n">
        <v>0</v>
      </c>
      <c r="K601" t="n">
        <v>0</v>
      </c>
      <c r="L601" t="n">
        <v>0</v>
      </c>
      <c r="M601" t="n">
        <v>0</v>
      </c>
      <c r="N601" t="n">
        <v>0</v>
      </c>
      <c r="O601" t="n">
        <v>0</v>
      </c>
      <c r="P601" t="n">
        <v>0</v>
      </c>
      <c r="Q601" t="n">
        <v>0</v>
      </c>
      <c r="R601" s="2" t="inlineStr"/>
    </row>
    <row r="602" ht="15" customHeight="1">
      <c r="A602" t="inlineStr">
        <is>
          <t>A 8096-2026</t>
        </is>
      </c>
      <c r="B602" s="1" t="n">
        <v>46063.714375</v>
      </c>
      <c r="C602" s="1" t="n">
        <v>46120</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49129-2025</t>
        </is>
      </c>
      <c r="B603" s="1" t="n">
        <v>45937.89517361111</v>
      </c>
      <c r="C603" s="1" t="n">
        <v>46120</v>
      </c>
      <c r="D603" t="inlineStr">
        <is>
          <t>STOCKHOLMS LÄN</t>
        </is>
      </c>
      <c r="E603" t="inlineStr">
        <is>
          <t>NORRTÄLJE</t>
        </is>
      </c>
      <c r="G603" t="n">
        <v>0.5</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44495.5893287037</v>
      </c>
      <c r="C604" s="1" t="n">
        <v>46120</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27700-2025</t>
        </is>
      </c>
      <c r="B605" s="1" t="n">
        <v>45813.6799537037</v>
      </c>
      <c r="C605" s="1" t="n">
        <v>46120</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48780-2025</t>
        </is>
      </c>
      <c r="B606" s="1" t="n">
        <v>45937.30377314815</v>
      </c>
      <c r="C606" s="1" t="n">
        <v>46120</v>
      </c>
      <c r="D606" t="inlineStr">
        <is>
          <t>STOCKHOLMS LÄN</t>
        </is>
      </c>
      <c r="E606" t="inlineStr">
        <is>
          <t>NORRTÄLJE</t>
        </is>
      </c>
      <c r="G606" t="n">
        <v>7.7</v>
      </c>
      <c r="H606" t="n">
        <v>0</v>
      </c>
      <c r="I606" t="n">
        <v>0</v>
      </c>
      <c r="J606" t="n">
        <v>0</v>
      </c>
      <c r="K606" t="n">
        <v>0</v>
      </c>
      <c r="L606" t="n">
        <v>0</v>
      </c>
      <c r="M606" t="n">
        <v>0</v>
      </c>
      <c r="N606" t="n">
        <v>0</v>
      </c>
      <c r="O606" t="n">
        <v>0</v>
      </c>
      <c r="P606" t="n">
        <v>0</v>
      </c>
      <c r="Q606" t="n">
        <v>0</v>
      </c>
      <c r="R606" s="2" t="inlineStr"/>
    </row>
    <row r="607" ht="15" customHeight="1">
      <c r="A607" t="inlineStr">
        <is>
          <t>A 27554-2025</t>
        </is>
      </c>
      <c r="B607" s="1" t="n">
        <v>45813.4709375</v>
      </c>
      <c r="C607" s="1" t="n">
        <v>46120</v>
      </c>
      <c r="D607" t="inlineStr">
        <is>
          <t>STOCKHOLMS LÄN</t>
        </is>
      </c>
      <c r="E607" t="inlineStr">
        <is>
          <t>NORRTÄLJE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8055-2026</t>
        </is>
      </c>
      <c r="B608" s="1" t="n">
        <v>46063.62002314815</v>
      </c>
      <c r="C608" s="1" t="n">
        <v>46120</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28900-2022</t>
        </is>
      </c>
      <c r="B609" s="1" t="n">
        <v>44749.55258101852</v>
      </c>
      <c r="C609" s="1" t="n">
        <v>46120</v>
      </c>
      <c r="D609" t="inlineStr">
        <is>
          <t>STOCKHOLMS LÄN</t>
        </is>
      </c>
      <c r="E609" t="inlineStr">
        <is>
          <t>NORRTÄLJE</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32514-2022</t>
        </is>
      </c>
      <c r="B610" s="1" t="n">
        <v>44782</v>
      </c>
      <c r="C610" s="1" t="n">
        <v>46120</v>
      </c>
      <c r="D610" t="inlineStr">
        <is>
          <t>STOCKHOLMS LÄN</t>
        </is>
      </c>
      <c r="E610" t="inlineStr">
        <is>
          <t>NORRTÄLJE</t>
        </is>
      </c>
      <c r="G610" t="n">
        <v>5.1</v>
      </c>
      <c r="H610" t="n">
        <v>0</v>
      </c>
      <c r="I610" t="n">
        <v>0</v>
      </c>
      <c r="J610" t="n">
        <v>0</v>
      </c>
      <c r="K610" t="n">
        <v>0</v>
      </c>
      <c r="L610" t="n">
        <v>0</v>
      </c>
      <c r="M610" t="n">
        <v>0</v>
      </c>
      <c r="N610" t="n">
        <v>0</v>
      </c>
      <c r="O610" t="n">
        <v>0</v>
      </c>
      <c r="P610" t="n">
        <v>0</v>
      </c>
      <c r="Q610" t="n">
        <v>0</v>
      </c>
      <c r="R610" s="2" t="inlineStr"/>
    </row>
    <row r="611" ht="15" customHeight="1">
      <c r="A611" t="inlineStr">
        <is>
          <t>A 49836-2025</t>
        </is>
      </c>
      <c r="B611" s="1" t="n">
        <v>45940.46862268518</v>
      </c>
      <c r="C611" s="1" t="n">
        <v>46120</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23125-2022</t>
        </is>
      </c>
      <c r="B612" s="1" t="n">
        <v>44719</v>
      </c>
      <c r="C612" s="1" t="n">
        <v>46120</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15836-2026</t>
        </is>
      </c>
      <c r="B613" s="1" t="n">
        <v>46107.56134259259</v>
      </c>
      <c r="C613" s="1" t="n">
        <v>46120</v>
      </c>
      <c r="D613" t="inlineStr">
        <is>
          <t>STOCKHOLMS LÄN</t>
        </is>
      </c>
      <c r="E613" t="inlineStr">
        <is>
          <t>NORRTÄLJE</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8454-2026</t>
        </is>
      </c>
      <c r="B614" s="1" t="n">
        <v>46065.42506944444</v>
      </c>
      <c r="C614" s="1" t="n">
        <v>46120</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9329-2023</t>
        </is>
      </c>
      <c r="B615" s="1" t="n">
        <v>44980</v>
      </c>
      <c r="C615" s="1" t="n">
        <v>46120</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6855-2025</t>
        </is>
      </c>
      <c r="B616" s="1" t="n">
        <v>45700</v>
      </c>
      <c r="C616" s="1" t="n">
        <v>46120</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8465-2026</t>
        </is>
      </c>
      <c r="B617" s="1" t="n">
        <v>46065.44141203703</v>
      </c>
      <c r="C617" s="1" t="n">
        <v>46120</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14937-2026</t>
        </is>
      </c>
      <c r="B618" s="1" t="n">
        <v>46104</v>
      </c>
      <c r="C618" s="1" t="n">
        <v>46120</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14873-2025</t>
        </is>
      </c>
      <c r="B619" s="1" t="n">
        <v>45743.44953703704</v>
      </c>
      <c r="C619" s="1" t="n">
        <v>46120</v>
      </c>
      <c r="D619" t="inlineStr">
        <is>
          <t>STOCKHOLMS LÄN</t>
        </is>
      </c>
      <c r="E619" t="inlineStr">
        <is>
          <t>NORRTÄLJE</t>
        </is>
      </c>
      <c r="G619" t="n">
        <v>10.2</v>
      </c>
      <c r="H619" t="n">
        <v>0</v>
      </c>
      <c r="I619" t="n">
        <v>0</v>
      </c>
      <c r="J619" t="n">
        <v>0</v>
      </c>
      <c r="K619" t="n">
        <v>0</v>
      </c>
      <c r="L619" t="n">
        <v>0</v>
      </c>
      <c r="M619" t="n">
        <v>0</v>
      </c>
      <c r="N619" t="n">
        <v>0</v>
      </c>
      <c r="O619" t="n">
        <v>0</v>
      </c>
      <c r="P619" t="n">
        <v>0</v>
      </c>
      <c r="Q619" t="n">
        <v>0</v>
      </c>
      <c r="R619" s="2" t="inlineStr"/>
    </row>
    <row r="620" ht="15" customHeight="1">
      <c r="A620" t="inlineStr">
        <is>
          <t>A 50097-2025</t>
        </is>
      </c>
      <c r="B620" s="1" t="n">
        <v>45943.50207175926</v>
      </c>
      <c r="C620" s="1" t="n">
        <v>46120</v>
      </c>
      <c r="D620" t="inlineStr">
        <is>
          <t>STOCKHOLMS LÄN</t>
        </is>
      </c>
      <c r="E620" t="inlineStr">
        <is>
          <t>NORRTÄLJE</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8135-2025</t>
        </is>
      </c>
      <c r="B621" s="1" t="n">
        <v>45707.84997685185</v>
      </c>
      <c r="C621" s="1" t="n">
        <v>46120</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8410-2026</t>
        </is>
      </c>
      <c r="B622" s="1" t="n">
        <v>46065.34261574074</v>
      </c>
      <c r="C622" s="1" t="n">
        <v>46120</v>
      </c>
      <c r="D622" t="inlineStr">
        <is>
          <t>STOCKHOLMS LÄN</t>
        </is>
      </c>
      <c r="E622" t="inlineStr">
        <is>
          <t>NORRTÄLJE</t>
        </is>
      </c>
      <c r="G622" t="n">
        <v>3.9</v>
      </c>
      <c r="H622" t="n">
        <v>0</v>
      </c>
      <c r="I622" t="n">
        <v>0</v>
      </c>
      <c r="J622" t="n">
        <v>0</v>
      </c>
      <c r="K622" t="n">
        <v>0</v>
      </c>
      <c r="L622" t="n">
        <v>0</v>
      </c>
      <c r="M622" t="n">
        <v>0</v>
      </c>
      <c r="N622" t="n">
        <v>0</v>
      </c>
      <c r="O622" t="n">
        <v>0</v>
      </c>
      <c r="P622" t="n">
        <v>0</v>
      </c>
      <c r="Q622" t="n">
        <v>0</v>
      </c>
      <c r="R622" s="2" t="inlineStr"/>
    </row>
    <row r="623" ht="15" customHeight="1">
      <c r="A623" t="inlineStr">
        <is>
          <t>A 31936-2022</t>
        </is>
      </c>
      <c r="B623" s="1" t="n">
        <v>44777</v>
      </c>
      <c r="C623" s="1" t="n">
        <v>46120</v>
      </c>
      <c r="D623" t="inlineStr">
        <is>
          <t>STOCKHOLMS LÄN</t>
        </is>
      </c>
      <c r="E623" t="inlineStr">
        <is>
          <t>NORRTÄLJE</t>
        </is>
      </c>
      <c r="G623" t="n">
        <v>5.2</v>
      </c>
      <c r="H623" t="n">
        <v>0</v>
      </c>
      <c r="I623" t="n">
        <v>0</v>
      </c>
      <c r="J623" t="n">
        <v>0</v>
      </c>
      <c r="K623" t="n">
        <v>0</v>
      </c>
      <c r="L623" t="n">
        <v>0</v>
      </c>
      <c r="M623" t="n">
        <v>0</v>
      </c>
      <c r="N623" t="n">
        <v>0</v>
      </c>
      <c r="O623" t="n">
        <v>0</v>
      </c>
      <c r="P623" t="n">
        <v>0</v>
      </c>
      <c r="Q623" t="n">
        <v>0</v>
      </c>
      <c r="R623" s="2" t="inlineStr"/>
    </row>
    <row r="624" ht="15" customHeight="1">
      <c r="A624" t="inlineStr">
        <is>
          <t>A 8489-2026</t>
        </is>
      </c>
      <c r="B624" s="1" t="n">
        <v>46065.48268518518</v>
      </c>
      <c r="C624" s="1" t="n">
        <v>46120</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24887-2023</t>
        </is>
      </c>
      <c r="B625" s="1" t="n">
        <v>45085</v>
      </c>
      <c r="C625" s="1" t="n">
        <v>46120</v>
      </c>
      <c r="D625" t="inlineStr">
        <is>
          <t>STOCKHOLMS LÄN</t>
        </is>
      </c>
      <c r="E625" t="inlineStr">
        <is>
          <t>NORRTÄLJE</t>
        </is>
      </c>
      <c r="G625" t="n">
        <v>13.9</v>
      </c>
      <c r="H625" t="n">
        <v>0</v>
      </c>
      <c r="I625" t="n">
        <v>0</v>
      </c>
      <c r="J625" t="n">
        <v>0</v>
      </c>
      <c r="K625" t="n">
        <v>0</v>
      </c>
      <c r="L625" t="n">
        <v>0</v>
      </c>
      <c r="M625" t="n">
        <v>0</v>
      </c>
      <c r="N625" t="n">
        <v>0</v>
      </c>
      <c r="O625" t="n">
        <v>0</v>
      </c>
      <c r="P625" t="n">
        <v>0</v>
      </c>
      <c r="Q625" t="n">
        <v>0</v>
      </c>
      <c r="R625" s="2" t="inlineStr"/>
    </row>
    <row r="626" ht="15" customHeight="1">
      <c r="A626" t="inlineStr">
        <is>
          <t>A 8985-2026</t>
        </is>
      </c>
      <c r="B626" s="1" t="n">
        <v>46069.45234953704</v>
      </c>
      <c r="C626" s="1" t="n">
        <v>46120</v>
      </c>
      <c r="D626" t="inlineStr">
        <is>
          <t>STOCKHOLMS LÄN</t>
        </is>
      </c>
      <c r="E626" t="inlineStr">
        <is>
          <t>NORRTÄLJE</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56428-2023</t>
        </is>
      </c>
      <c r="B627" s="1" t="n">
        <v>45243.45289351852</v>
      </c>
      <c r="C627" s="1" t="n">
        <v>46120</v>
      </c>
      <c r="D627" t="inlineStr">
        <is>
          <t>STOCKHOLMS LÄN</t>
        </is>
      </c>
      <c r="E627" t="inlineStr">
        <is>
          <t>NORRTÄLJE</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50333-2025</t>
        </is>
      </c>
      <c r="B628" s="1" t="n">
        <v>45944.47178240741</v>
      </c>
      <c r="C628" s="1" t="n">
        <v>46120</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50563-2025</t>
        </is>
      </c>
      <c r="B629" s="1" t="n">
        <v>45944</v>
      </c>
      <c r="C629" s="1" t="n">
        <v>46120</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50327-2025</t>
        </is>
      </c>
      <c r="B630" s="1" t="n">
        <v>45944.46387731482</v>
      </c>
      <c r="C630" s="1" t="n">
        <v>46120</v>
      </c>
      <c r="D630" t="inlineStr">
        <is>
          <t>STOCKHOLMS LÄN</t>
        </is>
      </c>
      <c r="E630" t="inlineStr">
        <is>
          <t>NORRTÄLJE</t>
        </is>
      </c>
      <c r="G630" t="n">
        <v>0.3</v>
      </c>
      <c r="H630" t="n">
        <v>0</v>
      </c>
      <c r="I630" t="n">
        <v>0</v>
      </c>
      <c r="J630" t="n">
        <v>0</v>
      </c>
      <c r="K630" t="n">
        <v>0</v>
      </c>
      <c r="L630" t="n">
        <v>0</v>
      </c>
      <c r="M630" t="n">
        <v>0</v>
      </c>
      <c r="N630" t="n">
        <v>0</v>
      </c>
      <c r="O630" t="n">
        <v>0</v>
      </c>
      <c r="P630" t="n">
        <v>0</v>
      </c>
      <c r="Q630" t="n">
        <v>0</v>
      </c>
      <c r="R630" s="2" t="inlineStr"/>
    </row>
    <row r="631" ht="15" customHeight="1">
      <c r="A631" t="inlineStr">
        <is>
          <t>A 30338-2022</t>
        </is>
      </c>
      <c r="B631" s="1" t="n">
        <v>44760</v>
      </c>
      <c r="C631" s="1" t="n">
        <v>46120</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18541-2023</t>
        </is>
      </c>
      <c r="B632" s="1" t="n">
        <v>45042.74291666667</v>
      </c>
      <c r="C632" s="1" t="n">
        <v>46120</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32857-2021</t>
        </is>
      </c>
      <c r="B633" s="1" t="n">
        <v>44375</v>
      </c>
      <c r="C633" s="1" t="n">
        <v>46120</v>
      </c>
      <c r="D633" t="inlineStr">
        <is>
          <t>STOCKHOLMS LÄN</t>
        </is>
      </c>
      <c r="E633" t="inlineStr">
        <is>
          <t>NORRTÄLJE</t>
        </is>
      </c>
      <c r="G633" t="n">
        <v>2.9</v>
      </c>
      <c r="H633" t="n">
        <v>0</v>
      </c>
      <c r="I633" t="n">
        <v>0</v>
      </c>
      <c r="J633" t="n">
        <v>0</v>
      </c>
      <c r="K633" t="n">
        <v>0</v>
      </c>
      <c r="L633" t="n">
        <v>0</v>
      </c>
      <c r="M633" t="n">
        <v>0</v>
      </c>
      <c r="N633" t="n">
        <v>0</v>
      </c>
      <c r="O633" t="n">
        <v>0</v>
      </c>
      <c r="P633" t="n">
        <v>0</v>
      </c>
      <c r="Q633" t="n">
        <v>0</v>
      </c>
      <c r="R633" s="2" t="inlineStr"/>
    </row>
    <row r="634" ht="15" customHeight="1">
      <c r="A634" t="inlineStr">
        <is>
          <t>A 51325-2023</t>
        </is>
      </c>
      <c r="B634" s="1" t="n">
        <v>45219</v>
      </c>
      <c r="C634" s="1" t="n">
        <v>46120</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21729-2024</t>
        </is>
      </c>
      <c r="B635" s="1" t="n">
        <v>45442</v>
      </c>
      <c r="C635" s="1" t="n">
        <v>46120</v>
      </c>
      <c r="D635" t="inlineStr">
        <is>
          <t>STOCKHOLMS LÄN</t>
        </is>
      </c>
      <c r="E635" t="inlineStr">
        <is>
          <t>NORRTÄLJE</t>
        </is>
      </c>
      <c r="G635" t="n">
        <v>2.2</v>
      </c>
      <c r="H635" t="n">
        <v>0</v>
      </c>
      <c r="I635" t="n">
        <v>0</v>
      </c>
      <c r="J635" t="n">
        <v>0</v>
      </c>
      <c r="K635" t="n">
        <v>0</v>
      </c>
      <c r="L635" t="n">
        <v>0</v>
      </c>
      <c r="M635" t="n">
        <v>0</v>
      </c>
      <c r="N635" t="n">
        <v>0</v>
      </c>
      <c r="O635" t="n">
        <v>0</v>
      </c>
      <c r="P635" t="n">
        <v>0</v>
      </c>
      <c r="Q635" t="n">
        <v>0</v>
      </c>
      <c r="R635" s="2" t="inlineStr"/>
    </row>
    <row r="636" ht="15" customHeight="1">
      <c r="A636" t="inlineStr">
        <is>
          <t>A 9103-2026</t>
        </is>
      </c>
      <c r="B636" s="1" t="n">
        <v>46069.65039351852</v>
      </c>
      <c r="C636" s="1" t="n">
        <v>46120</v>
      </c>
      <c r="D636" t="inlineStr">
        <is>
          <t>STOCKHOLMS LÄN</t>
        </is>
      </c>
      <c r="E636" t="inlineStr">
        <is>
          <t>NORRTÄLJE</t>
        </is>
      </c>
      <c r="F636" t="inlineStr">
        <is>
          <t>Holmen skog AB</t>
        </is>
      </c>
      <c r="G636" t="n">
        <v>3.6</v>
      </c>
      <c r="H636" t="n">
        <v>0</v>
      </c>
      <c r="I636" t="n">
        <v>0</v>
      </c>
      <c r="J636" t="n">
        <v>0</v>
      </c>
      <c r="K636" t="n">
        <v>0</v>
      </c>
      <c r="L636" t="n">
        <v>0</v>
      </c>
      <c r="M636" t="n">
        <v>0</v>
      </c>
      <c r="N636" t="n">
        <v>0</v>
      </c>
      <c r="O636" t="n">
        <v>0</v>
      </c>
      <c r="P636" t="n">
        <v>0</v>
      </c>
      <c r="Q636" t="n">
        <v>0</v>
      </c>
      <c r="R636" s="2" t="inlineStr"/>
    </row>
    <row r="637" ht="15" customHeight="1">
      <c r="A637" t="inlineStr">
        <is>
          <t>A 8989-2026</t>
        </is>
      </c>
      <c r="B637" s="1" t="n">
        <v>46069.45789351852</v>
      </c>
      <c r="C637" s="1" t="n">
        <v>46120</v>
      </c>
      <c r="D637" t="inlineStr">
        <is>
          <t>STOCKHOLMS LÄN</t>
        </is>
      </c>
      <c r="E637" t="inlineStr">
        <is>
          <t>NORRTÄLJE</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21894-2023</t>
        </is>
      </c>
      <c r="B638" s="1" t="n">
        <v>45068.51783564815</v>
      </c>
      <c r="C638" s="1" t="n">
        <v>46120</v>
      </c>
      <c r="D638" t="inlineStr">
        <is>
          <t>STOCKHOLMS LÄN</t>
        </is>
      </c>
      <c r="E638" t="inlineStr">
        <is>
          <t>NORRTÄLJE</t>
        </is>
      </c>
      <c r="G638" t="n">
        <v>2.5</v>
      </c>
      <c r="H638" t="n">
        <v>0</v>
      </c>
      <c r="I638" t="n">
        <v>0</v>
      </c>
      <c r="J638" t="n">
        <v>0</v>
      </c>
      <c r="K638" t="n">
        <v>0</v>
      </c>
      <c r="L638" t="n">
        <v>0</v>
      </c>
      <c r="M638" t="n">
        <v>0</v>
      </c>
      <c r="N638" t="n">
        <v>0</v>
      </c>
      <c r="O638" t="n">
        <v>0</v>
      </c>
      <c r="P638" t="n">
        <v>0</v>
      </c>
      <c r="Q638" t="n">
        <v>0</v>
      </c>
      <c r="R638" s="2" t="inlineStr"/>
    </row>
    <row r="639" ht="15" customHeight="1">
      <c r="A639" t="inlineStr">
        <is>
          <t>A 11901-2024</t>
        </is>
      </c>
      <c r="B639" s="1" t="n">
        <v>45376.55638888889</v>
      </c>
      <c r="C639" s="1" t="n">
        <v>46120</v>
      </c>
      <c r="D639" t="inlineStr">
        <is>
          <t>STOCKHOLMS LÄN</t>
        </is>
      </c>
      <c r="E639" t="inlineStr">
        <is>
          <t>NORRTÄLJE</t>
        </is>
      </c>
      <c r="F639" t="inlineStr">
        <is>
          <t>Holmen skog AB</t>
        </is>
      </c>
      <c r="G639" t="n">
        <v>3.5</v>
      </c>
      <c r="H639" t="n">
        <v>0</v>
      </c>
      <c r="I639" t="n">
        <v>0</v>
      </c>
      <c r="J639" t="n">
        <v>0</v>
      </c>
      <c r="K639" t="n">
        <v>0</v>
      </c>
      <c r="L639" t="n">
        <v>0</v>
      </c>
      <c r="M639" t="n">
        <v>0</v>
      </c>
      <c r="N639" t="n">
        <v>0</v>
      </c>
      <c r="O639" t="n">
        <v>0</v>
      </c>
      <c r="P639" t="n">
        <v>0</v>
      </c>
      <c r="Q639" t="n">
        <v>0</v>
      </c>
      <c r="R639" s="2" t="inlineStr"/>
    </row>
    <row r="640" ht="15" customHeight="1">
      <c r="A640" t="inlineStr">
        <is>
          <t>A 51240-2025</t>
        </is>
      </c>
      <c r="B640" s="1" t="n">
        <v>45947.70420138889</v>
      </c>
      <c r="C640" s="1" t="n">
        <v>46120</v>
      </c>
      <c r="D640" t="inlineStr">
        <is>
          <t>STOCKHOLMS LÄN</t>
        </is>
      </c>
      <c r="E640" t="inlineStr">
        <is>
          <t>NORRTÄLJE</t>
        </is>
      </c>
      <c r="F640" t="inlineStr">
        <is>
          <t>Naturvårdsverket</t>
        </is>
      </c>
      <c r="G640" t="n">
        <v>3</v>
      </c>
      <c r="H640" t="n">
        <v>0</v>
      </c>
      <c r="I640" t="n">
        <v>0</v>
      </c>
      <c r="J640" t="n">
        <v>0</v>
      </c>
      <c r="K640" t="n">
        <v>0</v>
      </c>
      <c r="L640" t="n">
        <v>0</v>
      </c>
      <c r="M640" t="n">
        <v>0</v>
      </c>
      <c r="N640" t="n">
        <v>0</v>
      </c>
      <c r="O640" t="n">
        <v>0</v>
      </c>
      <c r="P640" t="n">
        <v>0</v>
      </c>
      <c r="Q640" t="n">
        <v>0</v>
      </c>
      <c r="R640" s="2" t="inlineStr"/>
    </row>
    <row r="641" ht="15" customHeight="1">
      <c r="A641" t="inlineStr">
        <is>
          <t>A 59477-2025</t>
        </is>
      </c>
      <c r="B641" s="1" t="n">
        <v>45989.58679398148</v>
      </c>
      <c r="C641" s="1" t="n">
        <v>46120</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16243-2026</t>
        </is>
      </c>
      <c r="B642" s="1" t="n">
        <v>46111.45902777778</v>
      </c>
      <c r="C642" s="1" t="n">
        <v>46120</v>
      </c>
      <c r="D642" t="inlineStr">
        <is>
          <t>STOCKHOLMS LÄN</t>
        </is>
      </c>
      <c r="E642" t="inlineStr">
        <is>
          <t>NORRTÄLJE</t>
        </is>
      </c>
      <c r="G642" t="n">
        <v>2.3</v>
      </c>
      <c r="H642" t="n">
        <v>0</v>
      </c>
      <c r="I642" t="n">
        <v>0</v>
      </c>
      <c r="J642" t="n">
        <v>0</v>
      </c>
      <c r="K642" t="n">
        <v>0</v>
      </c>
      <c r="L642" t="n">
        <v>0</v>
      </c>
      <c r="M642" t="n">
        <v>0</v>
      </c>
      <c r="N642" t="n">
        <v>0</v>
      </c>
      <c r="O642" t="n">
        <v>0</v>
      </c>
      <c r="P642" t="n">
        <v>0</v>
      </c>
      <c r="Q642" t="n">
        <v>0</v>
      </c>
      <c r="R642" s="2" t="inlineStr"/>
    </row>
    <row r="643" ht="15" customHeight="1">
      <c r="A643" t="inlineStr">
        <is>
          <t>A 51121-2025</t>
        </is>
      </c>
      <c r="B643" s="1" t="n">
        <v>45947.53293981482</v>
      </c>
      <c r="C643" s="1" t="n">
        <v>46120</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21732-2023</t>
        </is>
      </c>
      <c r="B644" s="1" t="n">
        <v>45063</v>
      </c>
      <c r="C644" s="1" t="n">
        <v>46120</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51532-2025</t>
        </is>
      </c>
      <c r="B645" s="1" t="n">
        <v>45950.68297453703</v>
      </c>
      <c r="C645" s="1" t="n">
        <v>46120</v>
      </c>
      <c r="D645" t="inlineStr">
        <is>
          <t>STOCKHOLMS LÄN</t>
        </is>
      </c>
      <c r="E645" t="inlineStr">
        <is>
          <t>NORRTÄLJE</t>
        </is>
      </c>
      <c r="F645" t="inlineStr">
        <is>
          <t>Naturvårdsverket</t>
        </is>
      </c>
      <c r="G645" t="n">
        <v>17.3</v>
      </c>
      <c r="H645" t="n">
        <v>0</v>
      </c>
      <c r="I645" t="n">
        <v>0</v>
      </c>
      <c r="J645" t="n">
        <v>0</v>
      </c>
      <c r="K645" t="n">
        <v>0</v>
      </c>
      <c r="L645" t="n">
        <v>0</v>
      </c>
      <c r="M645" t="n">
        <v>0</v>
      </c>
      <c r="N645" t="n">
        <v>0</v>
      </c>
      <c r="O645" t="n">
        <v>0</v>
      </c>
      <c r="P645" t="n">
        <v>0</v>
      </c>
      <c r="Q645" t="n">
        <v>0</v>
      </c>
      <c r="R645" s="2" t="inlineStr"/>
    </row>
    <row r="646" ht="15" customHeight="1">
      <c r="A646" t="inlineStr">
        <is>
          <t>A 27802-2025</t>
        </is>
      </c>
      <c r="B646" s="1" t="n">
        <v>45817.2565625</v>
      </c>
      <c r="C646" s="1" t="n">
        <v>46120</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27806-2025</t>
        </is>
      </c>
      <c r="B647" s="1" t="n">
        <v>45817.30329861111</v>
      </c>
      <c r="C647" s="1" t="n">
        <v>46120</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27808-2025</t>
        </is>
      </c>
      <c r="B648" s="1" t="n">
        <v>45817.31085648148</v>
      </c>
      <c r="C648" s="1" t="n">
        <v>46120</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27810-2025</t>
        </is>
      </c>
      <c r="B649" s="1" t="n">
        <v>45817.31708333334</v>
      </c>
      <c r="C649" s="1" t="n">
        <v>46120</v>
      </c>
      <c r="D649" t="inlineStr">
        <is>
          <t>STOCKHOLMS LÄN</t>
        </is>
      </c>
      <c r="E649" t="inlineStr">
        <is>
          <t>NORRTÄLJE</t>
        </is>
      </c>
      <c r="G649" t="n">
        <v>3.9</v>
      </c>
      <c r="H649" t="n">
        <v>0</v>
      </c>
      <c r="I649" t="n">
        <v>0</v>
      </c>
      <c r="J649" t="n">
        <v>0</v>
      </c>
      <c r="K649" t="n">
        <v>0</v>
      </c>
      <c r="L649" t="n">
        <v>0</v>
      </c>
      <c r="M649" t="n">
        <v>0</v>
      </c>
      <c r="N649" t="n">
        <v>0</v>
      </c>
      <c r="O649" t="n">
        <v>0</v>
      </c>
      <c r="P649" t="n">
        <v>0</v>
      </c>
      <c r="Q649" t="n">
        <v>0</v>
      </c>
      <c r="R649" s="2" t="inlineStr"/>
    </row>
    <row r="650" ht="15" customHeight="1">
      <c r="A650" t="inlineStr">
        <is>
          <t>A 27811-2025</t>
        </is>
      </c>
      <c r="B650" s="1" t="n">
        <v>45817.31986111111</v>
      </c>
      <c r="C650" s="1" t="n">
        <v>46120</v>
      </c>
      <c r="D650" t="inlineStr">
        <is>
          <t>STOCKHOLMS LÄN</t>
        </is>
      </c>
      <c r="E650" t="inlineStr">
        <is>
          <t>NORRTÄLJE</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27818-2025</t>
        </is>
      </c>
      <c r="B651" s="1" t="n">
        <v>45817.33503472222</v>
      </c>
      <c r="C651" s="1" t="n">
        <v>46120</v>
      </c>
      <c r="D651" t="inlineStr">
        <is>
          <t>STOCKHOLMS LÄN</t>
        </is>
      </c>
      <c r="E651" t="inlineStr">
        <is>
          <t>NORRTÄLJE</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51233-2025</t>
        </is>
      </c>
      <c r="B652" s="1" t="n">
        <v>45947.68232638889</v>
      </c>
      <c r="C652" s="1" t="n">
        <v>46120</v>
      </c>
      <c r="D652" t="inlineStr">
        <is>
          <t>STOCKHOLMS LÄN</t>
        </is>
      </c>
      <c r="E652" t="inlineStr">
        <is>
          <t>NORRTÄLJE</t>
        </is>
      </c>
      <c r="F652" t="inlineStr">
        <is>
          <t>Naturvårdsverket</t>
        </is>
      </c>
      <c r="G652" t="n">
        <v>8.1</v>
      </c>
      <c r="H652" t="n">
        <v>0</v>
      </c>
      <c r="I652" t="n">
        <v>0</v>
      </c>
      <c r="J652" t="n">
        <v>0</v>
      </c>
      <c r="K652" t="n">
        <v>0</v>
      </c>
      <c r="L652" t="n">
        <v>0</v>
      </c>
      <c r="M652" t="n">
        <v>0</v>
      </c>
      <c r="N652" t="n">
        <v>0</v>
      </c>
      <c r="O652" t="n">
        <v>0</v>
      </c>
      <c r="P652" t="n">
        <v>0</v>
      </c>
      <c r="Q652" t="n">
        <v>0</v>
      </c>
      <c r="R652" s="2" t="inlineStr"/>
    </row>
    <row r="653" ht="15" customHeight="1">
      <c r="A653" t="inlineStr">
        <is>
          <t>A 51236-2025</t>
        </is>
      </c>
      <c r="B653" s="1" t="n">
        <v>45947.69078703703</v>
      </c>
      <c r="C653" s="1" t="n">
        <v>46120</v>
      </c>
      <c r="D653" t="inlineStr">
        <is>
          <t>STOCKHOLMS LÄN</t>
        </is>
      </c>
      <c r="E653" t="inlineStr">
        <is>
          <t>NORRTÄLJE</t>
        </is>
      </c>
      <c r="F653" t="inlineStr">
        <is>
          <t>Naturvårdsverket</t>
        </is>
      </c>
      <c r="G653" t="n">
        <v>6.3</v>
      </c>
      <c r="H653" t="n">
        <v>0</v>
      </c>
      <c r="I653" t="n">
        <v>0</v>
      </c>
      <c r="J653" t="n">
        <v>0</v>
      </c>
      <c r="K653" t="n">
        <v>0</v>
      </c>
      <c r="L653" t="n">
        <v>0</v>
      </c>
      <c r="M653" t="n">
        <v>0</v>
      </c>
      <c r="N653" t="n">
        <v>0</v>
      </c>
      <c r="O653" t="n">
        <v>0</v>
      </c>
      <c r="P653" t="n">
        <v>0</v>
      </c>
      <c r="Q653" t="n">
        <v>0</v>
      </c>
      <c r="R653" s="2" t="inlineStr"/>
    </row>
    <row r="654" ht="15" customHeight="1">
      <c r="A654" t="inlineStr">
        <is>
          <t>A 51241-2025</t>
        </is>
      </c>
      <c r="B654" s="1" t="n">
        <v>45947.71726851852</v>
      </c>
      <c r="C654" s="1" t="n">
        <v>46120</v>
      </c>
      <c r="D654" t="inlineStr">
        <is>
          <t>STOCKHOLMS LÄN</t>
        </is>
      </c>
      <c r="E654" t="inlineStr">
        <is>
          <t>NORRTÄLJE</t>
        </is>
      </c>
      <c r="F654" t="inlineStr">
        <is>
          <t>Naturvårdsverket</t>
        </is>
      </c>
      <c r="G654" t="n">
        <v>6.4</v>
      </c>
      <c r="H654" t="n">
        <v>0</v>
      </c>
      <c r="I654" t="n">
        <v>0</v>
      </c>
      <c r="J654" t="n">
        <v>0</v>
      </c>
      <c r="K654" t="n">
        <v>0</v>
      </c>
      <c r="L654" t="n">
        <v>0</v>
      </c>
      <c r="M654" t="n">
        <v>0</v>
      </c>
      <c r="N654" t="n">
        <v>0</v>
      </c>
      <c r="O654" t="n">
        <v>0</v>
      </c>
      <c r="P654" t="n">
        <v>0</v>
      </c>
      <c r="Q654" t="n">
        <v>0</v>
      </c>
      <c r="R654" s="2" t="inlineStr"/>
    </row>
    <row r="655" ht="15" customHeight="1">
      <c r="A655" t="inlineStr">
        <is>
          <t>A 51122-2025</t>
        </is>
      </c>
      <c r="B655" s="1" t="n">
        <v>45947.53693287037</v>
      </c>
      <c r="C655" s="1" t="n">
        <v>46120</v>
      </c>
      <c r="D655" t="inlineStr">
        <is>
          <t>STOCKHOLMS LÄN</t>
        </is>
      </c>
      <c r="E655" t="inlineStr">
        <is>
          <t>NORRTÄLJE</t>
        </is>
      </c>
      <c r="G655" t="n">
        <v>3.8</v>
      </c>
      <c r="H655" t="n">
        <v>0</v>
      </c>
      <c r="I655" t="n">
        <v>0</v>
      </c>
      <c r="J655" t="n">
        <v>0</v>
      </c>
      <c r="K655" t="n">
        <v>0</v>
      </c>
      <c r="L655" t="n">
        <v>0</v>
      </c>
      <c r="M655" t="n">
        <v>0</v>
      </c>
      <c r="N655" t="n">
        <v>0</v>
      </c>
      <c r="O655" t="n">
        <v>0</v>
      </c>
      <c r="P655" t="n">
        <v>0</v>
      </c>
      <c r="Q655" t="n">
        <v>0</v>
      </c>
      <c r="R655" s="2" t="inlineStr"/>
    </row>
    <row r="656" ht="15" customHeight="1">
      <c r="A656" t="inlineStr">
        <is>
          <t>A 7806-2025</t>
        </is>
      </c>
      <c r="B656" s="1" t="n">
        <v>45706.61178240741</v>
      </c>
      <c r="C656" s="1" t="n">
        <v>46120</v>
      </c>
      <c r="D656" t="inlineStr">
        <is>
          <t>STOCKHOLMS LÄN</t>
        </is>
      </c>
      <c r="E656" t="inlineStr">
        <is>
          <t>NORRTÄLJE</t>
        </is>
      </c>
      <c r="F656" t="inlineStr">
        <is>
          <t>Holmen skog AB</t>
        </is>
      </c>
      <c r="G656" t="n">
        <v>3.5</v>
      </c>
      <c r="H656" t="n">
        <v>0</v>
      </c>
      <c r="I656" t="n">
        <v>0</v>
      </c>
      <c r="J656" t="n">
        <v>0</v>
      </c>
      <c r="K656" t="n">
        <v>0</v>
      </c>
      <c r="L656" t="n">
        <v>0</v>
      </c>
      <c r="M656" t="n">
        <v>0</v>
      </c>
      <c r="N656" t="n">
        <v>0</v>
      </c>
      <c r="O656" t="n">
        <v>0</v>
      </c>
      <c r="P656" t="n">
        <v>0</v>
      </c>
      <c r="Q656" t="n">
        <v>0</v>
      </c>
      <c r="R656" s="2" t="inlineStr"/>
    </row>
    <row r="657" ht="15" customHeight="1">
      <c r="A657" t="inlineStr">
        <is>
          <t>A 37444-2021</t>
        </is>
      </c>
      <c r="B657" s="1" t="n">
        <v>44398</v>
      </c>
      <c r="C657" s="1" t="n">
        <v>46120</v>
      </c>
      <c r="D657" t="inlineStr">
        <is>
          <t>STOCKHOLMS LÄN</t>
        </is>
      </c>
      <c r="E657" t="inlineStr">
        <is>
          <t>NORRTÄLJE</t>
        </is>
      </c>
      <c r="F657" t="inlineStr">
        <is>
          <t>Holmen skog AB</t>
        </is>
      </c>
      <c r="G657" t="n">
        <v>3.2</v>
      </c>
      <c r="H657" t="n">
        <v>0</v>
      </c>
      <c r="I657" t="n">
        <v>0</v>
      </c>
      <c r="J657" t="n">
        <v>0</v>
      </c>
      <c r="K657" t="n">
        <v>0</v>
      </c>
      <c r="L657" t="n">
        <v>0</v>
      </c>
      <c r="M657" t="n">
        <v>0</v>
      </c>
      <c r="N657" t="n">
        <v>0</v>
      </c>
      <c r="O657" t="n">
        <v>0</v>
      </c>
      <c r="P657" t="n">
        <v>0</v>
      </c>
      <c r="Q657" t="n">
        <v>0</v>
      </c>
      <c r="R657" s="2" t="inlineStr"/>
    </row>
    <row r="658" ht="15" customHeight="1">
      <c r="A658" t="inlineStr">
        <is>
          <t>A 51945-2025</t>
        </is>
      </c>
      <c r="B658" s="1" t="n">
        <v>45952.52679398148</v>
      </c>
      <c r="C658" s="1" t="n">
        <v>46120</v>
      </c>
      <c r="D658" t="inlineStr">
        <is>
          <t>STOCKHOLMS LÄN</t>
        </is>
      </c>
      <c r="E658" t="inlineStr">
        <is>
          <t>NORRTÄLJE</t>
        </is>
      </c>
      <c r="G658" t="n">
        <v>7</v>
      </c>
      <c r="H658" t="n">
        <v>0</v>
      </c>
      <c r="I658" t="n">
        <v>0</v>
      </c>
      <c r="J658" t="n">
        <v>0</v>
      </c>
      <c r="K658" t="n">
        <v>0</v>
      </c>
      <c r="L658" t="n">
        <v>0</v>
      </c>
      <c r="M658" t="n">
        <v>0</v>
      </c>
      <c r="N658" t="n">
        <v>0</v>
      </c>
      <c r="O658" t="n">
        <v>0</v>
      </c>
      <c r="P658" t="n">
        <v>0</v>
      </c>
      <c r="Q658" t="n">
        <v>0</v>
      </c>
      <c r="R658" s="2" t="inlineStr"/>
    </row>
    <row r="659" ht="15" customHeight="1">
      <c r="A659" t="inlineStr">
        <is>
          <t>A 51941-2025</t>
        </is>
      </c>
      <c r="B659" s="1" t="n">
        <v>45952.52261574074</v>
      </c>
      <c r="C659" s="1" t="n">
        <v>46120</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52061-2025</t>
        </is>
      </c>
      <c r="B660" s="1" t="n">
        <v>45952.63679398148</v>
      </c>
      <c r="C660" s="1" t="n">
        <v>46120</v>
      </c>
      <c r="D660" t="inlineStr">
        <is>
          <t>STOCKHOLMS LÄN</t>
        </is>
      </c>
      <c r="E660" t="inlineStr">
        <is>
          <t>NORRTÄLJE</t>
        </is>
      </c>
      <c r="G660" t="n">
        <v>9.5</v>
      </c>
      <c r="H660" t="n">
        <v>0</v>
      </c>
      <c r="I660" t="n">
        <v>0</v>
      </c>
      <c r="J660" t="n">
        <v>0</v>
      </c>
      <c r="K660" t="n">
        <v>0</v>
      </c>
      <c r="L660" t="n">
        <v>0</v>
      </c>
      <c r="M660" t="n">
        <v>0</v>
      </c>
      <c r="N660" t="n">
        <v>0</v>
      </c>
      <c r="O660" t="n">
        <v>0</v>
      </c>
      <c r="P660" t="n">
        <v>0</v>
      </c>
      <c r="Q660" t="n">
        <v>0</v>
      </c>
      <c r="R660" s="2" t="inlineStr"/>
    </row>
    <row r="661" ht="15" customHeight="1">
      <c r="A661" t="inlineStr">
        <is>
          <t>A 8962-2026</t>
        </is>
      </c>
      <c r="B661" s="1" t="n">
        <v>46069.41644675926</v>
      </c>
      <c r="C661" s="1" t="n">
        <v>46120</v>
      </c>
      <c r="D661" t="inlineStr">
        <is>
          <t>STOCKHOLMS LÄN</t>
        </is>
      </c>
      <c r="E661" t="inlineStr">
        <is>
          <t>NORRTÄLJE</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51960-2025</t>
        </is>
      </c>
      <c r="B662" s="1" t="n">
        <v>45952.54755787037</v>
      </c>
      <c r="C662" s="1" t="n">
        <v>46120</v>
      </c>
      <c r="D662" t="inlineStr">
        <is>
          <t>STOCKHOLMS LÄN</t>
        </is>
      </c>
      <c r="E662" t="inlineStr">
        <is>
          <t>NORRTÄLJE</t>
        </is>
      </c>
      <c r="G662" t="n">
        <v>2</v>
      </c>
      <c r="H662" t="n">
        <v>0</v>
      </c>
      <c r="I662" t="n">
        <v>0</v>
      </c>
      <c r="J662" t="n">
        <v>0</v>
      </c>
      <c r="K662" t="n">
        <v>0</v>
      </c>
      <c r="L662" t="n">
        <v>0</v>
      </c>
      <c r="M662" t="n">
        <v>0</v>
      </c>
      <c r="N662" t="n">
        <v>0</v>
      </c>
      <c r="O662" t="n">
        <v>0</v>
      </c>
      <c r="P662" t="n">
        <v>0</v>
      </c>
      <c r="Q662" t="n">
        <v>0</v>
      </c>
      <c r="R662" s="2" t="inlineStr"/>
    </row>
    <row r="663" ht="15" customHeight="1">
      <c r="A663" t="inlineStr">
        <is>
          <t>A 45173-2023</t>
        </is>
      </c>
      <c r="B663" s="1" t="n">
        <v>45191</v>
      </c>
      <c r="C663" s="1" t="n">
        <v>46120</v>
      </c>
      <c r="D663" t="inlineStr">
        <is>
          <t>STOCKHOLMS LÄN</t>
        </is>
      </c>
      <c r="E663" t="inlineStr">
        <is>
          <t>NORRTÄLJE</t>
        </is>
      </c>
      <c r="F663" t="inlineStr">
        <is>
          <t>Sveaskog</t>
        </is>
      </c>
      <c r="G663" t="n">
        <v>3.6</v>
      </c>
      <c r="H663" t="n">
        <v>0</v>
      </c>
      <c r="I663" t="n">
        <v>0</v>
      </c>
      <c r="J663" t="n">
        <v>0</v>
      </c>
      <c r="K663" t="n">
        <v>0</v>
      </c>
      <c r="L663" t="n">
        <v>0</v>
      </c>
      <c r="M663" t="n">
        <v>0</v>
      </c>
      <c r="N663" t="n">
        <v>0</v>
      </c>
      <c r="O663" t="n">
        <v>0</v>
      </c>
      <c r="P663" t="n">
        <v>0</v>
      </c>
      <c r="Q663" t="n">
        <v>0</v>
      </c>
      <c r="R663" s="2" t="inlineStr"/>
    </row>
    <row r="664" ht="15" customHeight="1">
      <c r="A664" t="inlineStr">
        <is>
          <t>A 51789-2025</t>
        </is>
      </c>
      <c r="B664" s="1" t="n">
        <v>45951.68046296296</v>
      </c>
      <c r="C664" s="1" t="n">
        <v>46120</v>
      </c>
      <c r="D664" t="inlineStr">
        <is>
          <t>STOCKHOLMS LÄN</t>
        </is>
      </c>
      <c r="E664" t="inlineStr">
        <is>
          <t>NORRTÄLJE</t>
        </is>
      </c>
      <c r="F664" t="inlineStr">
        <is>
          <t>Naturvårdsverket</t>
        </is>
      </c>
      <c r="G664" t="n">
        <v>8.9</v>
      </c>
      <c r="H664" t="n">
        <v>0</v>
      </c>
      <c r="I664" t="n">
        <v>0</v>
      </c>
      <c r="J664" t="n">
        <v>0</v>
      </c>
      <c r="K664" t="n">
        <v>0</v>
      </c>
      <c r="L664" t="n">
        <v>0</v>
      </c>
      <c r="M664" t="n">
        <v>0</v>
      </c>
      <c r="N664" t="n">
        <v>0</v>
      </c>
      <c r="O664" t="n">
        <v>0</v>
      </c>
      <c r="P664" t="n">
        <v>0</v>
      </c>
      <c r="Q664" t="n">
        <v>0</v>
      </c>
      <c r="R664" s="2" t="inlineStr"/>
    </row>
    <row r="665" ht="15" customHeight="1">
      <c r="A665" t="inlineStr">
        <is>
          <t>A 16229-2026</t>
        </is>
      </c>
      <c r="B665" s="1" t="n">
        <v>46111.45084490741</v>
      </c>
      <c r="C665" s="1" t="n">
        <v>46120</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52529-2025</t>
        </is>
      </c>
      <c r="B666" s="1" t="n">
        <v>45954.53229166667</v>
      </c>
      <c r="C666" s="1" t="n">
        <v>46120</v>
      </c>
      <c r="D666" t="inlineStr">
        <is>
          <t>STOCKHOLMS LÄN</t>
        </is>
      </c>
      <c r="E666" t="inlineStr">
        <is>
          <t>NORRTÄLJE</t>
        </is>
      </c>
      <c r="F666" t="inlineStr">
        <is>
          <t>Sveaskog</t>
        </is>
      </c>
      <c r="G666" t="n">
        <v>7.8</v>
      </c>
      <c r="H666" t="n">
        <v>0</v>
      </c>
      <c r="I666" t="n">
        <v>0</v>
      </c>
      <c r="J666" t="n">
        <v>0</v>
      </c>
      <c r="K666" t="n">
        <v>0</v>
      </c>
      <c r="L666" t="n">
        <v>0</v>
      </c>
      <c r="M666" t="n">
        <v>0</v>
      </c>
      <c r="N666" t="n">
        <v>0</v>
      </c>
      <c r="O666" t="n">
        <v>0</v>
      </c>
      <c r="P666" t="n">
        <v>0</v>
      </c>
      <c r="Q666" t="n">
        <v>0</v>
      </c>
      <c r="R666" s="2" t="inlineStr"/>
    </row>
    <row r="667" ht="15" customHeight="1">
      <c r="A667" t="inlineStr">
        <is>
          <t>A 52251-2025</t>
        </is>
      </c>
      <c r="B667" s="1" t="n">
        <v>45953.49185185185</v>
      </c>
      <c r="C667" s="1" t="n">
        <v>46120</v>
      </c>
      <c r="D667" t="inlineStr">
        <is>
          <t>STOCKHOLMS LÄN</t>
        </is>
      </c>
      <c r="E667" t="inlineStr">
        <is>
          <t>NORRTÄLJE</t>
        </is>
      </c>
      <c r="G667" t="n">
        <v>6.2</v>
      </c>
      <c r="H667" t="n">
        <v>0</v>
      </c>
      <c r="I667" t="n">
        <v>0</v>
      </c>
      <c r="J667" t="n">
        <v>0</v>
      </c>
      <c r="K667" t="n">
        <v>0</v>
      </c>
      <c r="L667" t="n">
        <v>0</v>
      </c>
      <c r="M667" t="n">
        <v>0</v>
      </c>
      <c r="N667" t="n">
        <v>0</v>
      </c>
      <c r="O667" t="n">
        <v>0</v>
      </c>
      <c r="P667" t="n">
        <v>0</v>
      </c>
      <c r="Q667" t="n">
        <v>0</v>
      </c>
      <c r="R667" s="2" t="inlineStr"/>
    </row>
    <row r="668" ht="15" customHeight="1">
      <c r="A668" t="inlineStr">
        <is>
          <t>A 52254-2025</t>
        </is>
      </c>
      <c r="B668" s="1" t="n">
        <v>45953.49519675926</v>
      </c>
      <c r="C668" s="1" t="n">
        <v>46120</v>
      </c>
      <c r="D668" t="inlineStr">
        <is>
          <t>STOCKHOLMS LÄN</t>
        </is>
      </c>
      <c r="E668" t="inlineStr">
        <is>
          <t>NORRTÄLJE</t>
        </is>
      </c>
      <c r="G668" t="n">
        <v>2.2</v>
      </c>
      <c r="H668" t="n">
        <v>0</v>
      </c>
      <c r="I668" t="n">
        <v>0</v>
      </c>
      <c r="J668" t="n">
        <v>0</v>
      </c>
      <c r="K668" t="n">
        <v>0</v>
      </c>
      <c r="L668" t="n">
        <v>0</v>
      </c>
      <c r="M668" t="n">
        <v>0</v>
      </c>
      <c r="N668" t="n">
        <v>0</v>
      </c>
      <c r="O668" t="n">
        <v>0</v>
      </c>
      <c r="P668" t="n">
        <v>0</v>
      </c>
      <c r="Q668" t="n">
        <v>0</v>
      </c>
      <c r="R668" s="2" t="inlineStr"/>
    </row>
    <row r="669" ht="15" customHeight="1">
      <c r="A669" t="inlineStr">
        <is>
          <t>A 52526-2025</t>
        </is>
      </c>
      <c r="B669" s="1" t="n">
        <v>45954.53061342592</v>
      </c>
      <c r="C669" s="1" t="n">
        <v>46120</v>
      </c>
      <c r="D669" t="inlineStr">
        <is>
          <t>STOCKHOLMS LÄN</t>
        </is>
      </c>
      <c r="E669" t="inlineStr">
        <is>
          <t>NORRTÄLJE</t>
        </is>
      </c>
      <c r="F669" t="inlineStr">
        <is>
          <t>Sveaskog</t>
        </is>
      </c>
      <c r="G669" t="n">
        <v>2.9</v>
      </c>
      <c r="H669" t="n">
        <v>0</v>
      </c>
      <c r="I669" t="n">
        <v>0</v>
      </c>
      <c r="J669" t="n">
        <v>0</v>
      </c>
      <c r="K669" t="n">
        <v>0</v>
      </c>
      <c r="L669" t="n">
        <v>0</v>
      </c>
      <c r="M669" t="n">
        <v>0</v>
      </c>
      <c r="N669" t="n">
        <v>0</v>
      </c>
      <c r="O669" t="n">
        <v>0</v>
      </c>
      <c r="P669" t="n">
        <v>0</v>
      </c>
      <c r="Q669" t="n">
        <v>0</v>
      </c>
      <c r="R669" s="2" t="inlineStr"/>
    </row>
    <row r="670" ht="15" customHeight="1">
      <c r="A670" t="inlineStr">
        <is>
          <t>A 15528-2025</t>
        </is>
      </c>
      <c r="B670" s="1" t="n">
        <v>45747.63471064815</v>
      </c>
      <c r="C670" s="1" t="n">
        <v>46120</v>
      </c>
      <c r="D670" t="inlineStr">
        <is>
          <t>STOCKHOLMS LÄN</t>
        </is>
      </c>
      <c r="E670" t="inlineStr">
        <is>
          <t>NORRTÄLJE</t>
        </is>
      </c>
      <c r="G670" t="n">
        <v>10</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44510.51422453704</v>
      </c>
      <c r="C671" s="1" t="n">
        <v>46120</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27803-2025</t>
        </is>
      </c>
      <c r="B672" s="1" t="n">
        <v>45817.291875</v>
      </c>
      <c r="C672" s="1" t="n">
        <v>46120</v>
      </c>
      <c r="D672" t="inlineStr">
        <is>
          <t>STOCKHOLMS LÄN</t>
        </is>
      </c>
      <c r="E672" t="inlineStr">
        <is>
          <t>NORRTÄLJE</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38720-2022</t>
        </is>
      </c>
      <c r="B673" s="1" t="n">
        <v>44815.74539351852</v>
      </c>
      <c r="C673" s="1" t="n">
        <v>46120</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27813-2025</t>
        </is>
      </c>
      <c r="B674" s="1" t="n">
        <v>45817.32538194444</v>
      </c>
      <c r="C674" s="1" t="n">
        <v>46120</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27801-2025</t>
        </is>
      </c>
      <c r="B675" s="1" t="n">
        <v>45817.25471064815</v>
      </c>
      <c r="C675" s="1" t="n">
        <v>46120</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34432-2021</t>
        </is>
      </c>
      <c r="B676" s="1" t="n">
        <v>44380.77346064815</v>
      </c>
      <c r="C676" s="1" t="n">
        <v>46120</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19911-2025</t>
        </is>
      </c>
      <c r="B677" s="1" t="n">
        <v>45771</v>
      </c>
      <c r="C677" s="1" t="n">
        <v>46120</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52729-2025</t>
        </is>
      </c>
      <c r="B678" s="1" t="n">
        <v>45957.3636574074</v>
      </c>
      <c r="C678" s="1" t="n">
        <v>46120</v>
      </c>
      <c r="D678" t="inlineStr">
        <is>
          <t>STOCKHOLMS LÄN</t>
        </is>
      </c>
      <c r="E678" t="inlineStr">
        <is>
          <t>NORRTÄLJE</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17025-2026</t>
        </is>
      </c>
      <c r="B679" s="1" t="n">
        <v>46113</v>
      </c>
      <c r="C679" s="1" t="n">
        <v>46120</v>
      </c>
      <c r="D679" t="inlineStr">
        <is>
          <t>STOCKHOLMS LÄN</t>
        </is>
      </c>
      <c r="E679" t="inlineStr">
        <is>
          <t>NORRTÄLJE</t>
        </is>
      </c>
      <c r="G679" t="n">
        <v>5.4</v>
      </c>
      <c r="H679" t="n">
        <v>0</v>
      </c>
      <c r="I679" t="n">
        <v>0</v>
      </c>
      <c r="J679" t="n">
        <v>0</v>
      </c>
      <c r="K679" t="n">
        <v>0</v>
      </c>
      <c r="L679" t="n">
        <v>0</v>
      </c>
      <c r="M679" t="n">
        <v>0</v>
      </c>
      <c r="N679" t="n">
        <v>0</v>
      </c>
      <c r="O679" t="n">
        <v>0</v>
      </c>
      <c r="P679" t="n">
        <v>0</v>
      </c>
      <c r="Q679" t="n">
        <v>0</v>
      </c>
      <c r="R679" s="2" t="inlineStr"/>
    </row>
    <row r="680" ht="15" customHeight="1">
      <c r="A680" t="inlineStr">
        <is>
          <t>A 52777-2025</t>
        </is>
      </c>
      <c r="B680" s="1" t="n">
        <v>45957.41832175926</v>
      </c>
      <c r="C680" s="1" t="n">
        <v>46120</v>
      </c>
      <c r="D680" t="inlineStr">
        <is>
          <t>STOCKHOLMS LÄN</t>
        </is>
      </c>
      <c r="E680" t="inlineStr">
        <is>
          <t>NORRTÄLJE</t>
        </is>
      </c>
      <c r="F680" t="inlineStr">
        <is>
          <t>Sveaskog</t>
        </is>
      </c>
      <c r="G680" t="n">
        <v>1.9</v>
      </c>
      <c r="H680" t="n">
        <v>0</v>
      </c>
      <c r="I680" t="n">
        <v>0</v>
      </c>
      <c r="J680" t="n">
        <v>0</v>
      </c>
      <c r="K680" t="n">
        <v>0</v>
      </c>
      <c r="L680" t="n">
        <v>0</v>
      </c>
      <c r="M680" t="n">
        <v>0</v>
      </c>
      <c r="N680" t="n">
        <v>0</v>
      </c>
      <c r="O680" t="n">
        <v>0</v>
      </c>
      <c r="P680" t="n">
        <v>0</v>
      </c>
      <c r="Q680" t="n">
        <v>0</v>
      </c>
      <c r="R680" s="2" t="inlineStr"/>
    </row>
    <row r="681" ht="15" customHeight="1">
      <c r="A681" t="inlineStr">
        <is>
          <t>A 52553-2025</t>
        </is>
      </c>
      <c r="B681" s="1" t="n">
        <v>45954.5624537037</v>
      </c>
      <c r="C681" s="1" t="n">
        <v>46120</v>
      </c>
      <c r="D681" t="inlineStr">
        <is>
          <t>STOCKHOLMS LÄN</t>
        </is>
      </c>
      <c r="E681" t="inlineStr">
        <is>
          <t>NORRTÄLJE</t>
        </is>
      </c>
      <c r="G681" t="n">
        <v>4.4</v>
      </c>
      <c r="H681" t="n">
        <v>0</v>
      </c>
      <c r="I681" t="n">
        <v>0</v>
      </c>
      <c r="J681" t="n">
        <v>0</v>
      </c>
      <c r="K681" t="n">
        <v>0</v>
      </c>
      <c r="L681" t="n">
        <v>0</v>
      </c>
      <c r="M681" t="n">
        <v>0</v>
      </c>
      <c r="N681" t="n">
        <v>0</v>
      </c>
      <c r="O681" t="n">
        <v>0</v>
      </c>
      <c r="P681" t="n">
        <v>0</v>
      </c>
      <c r="Q681" t="n">
        <v>0</v>
      </c>
      <c r="R681" s="2" t="inlineStr"/>
    </row>
    <row r="682" ht="15" customHeight="1">
      <c r="A682" t="inlineStr">
        <is>
          <t>A 14130-2025</t>
        </is>
      </c>
      <c r="B682" s="1" t="n">
        <v>45740.47288194444</v>
      </c>
      <c r="C682" s="1" t="n">
        <v>46120</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53087-2025</t>
        </is>
      </c>
      <c r="B683" s="1" t="n">
        <v>45958.41065972222</v>
      </c>
      <c r="C683" s="1" t="n">
        <v>46120</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12532-2025</t>
        </is>
      </c>
      <c r="B684" s="1" t="n">
        <v>45730.69143518519</v>
      </c>
      <c r="C684" s="1" t="n">
        <v>46120</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52704-2025</t>
        </is>
      </c>
      <c r="B685" s="1" t="n">
        <v>45956.89097222222</v>
      </c>
      <c r="C685" s="1" t="n">
        <v>46120</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27821-2025</t>
        </is>
      </c>
      <c r="B686" s="1" t="n">
        <v>45817.34083333334</v>
      </c>
      <c r="C686" s="1" t="n">
        <v>46120</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52734-2025</t>
        </is>
      </c>
      <c r="B687" s="1" t="n">
        <v>45957.3710300926</v>
      </c>
      <c r="C687" s="1" t="n">
        <v>46120</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9720-2026</t>
        </is>
      </c>
      <c r="B688" s="1" t="n">
        <v>46072.45061342593</v>
      </c>
      <c r="C688" s="1" t="n">
        <v>46120</v>
      </c>
      <c r="D688" t="inlineStr">
        <is>
          <t>STOCKHOLMS LÄN</t>
        </is>
      </c>
      <c r="E688" t="inlineStr">
        <is>
          <t>NORRTÄLJE</t>
        </is>
      </c>
      <c r="G688" t="n">
        <v>3.6</v>
      </c>
      <c r="H688" t="n">
        <v>0</v>
      </c>
      <c r="I688" t="n">
        <v>0</v>
      </c>
      <c r="J688" t="n">
        <v>0</v>
      </c>
      <c r="K688" t="n">
        <v>0</v>
      </c>
      <c r="L688" t="n">
        <v>0</v>
      </c>
      <c r="M688" t="n">
        <v>0</v>
      </c>
      <c r="N688" t="n">
        <v>0</v>
      </c>
      <c r="O688" t="n">
        <v>0</v>
      </c>
      <c r="P688" t="n">
        <v>0</v>
      </c>
      <c r="Q688" t="n">
        <v>0</v>
      </c>
      <c r="R688" s="2" t="inlineStr"/>
    </row>
    <row r="689" ht="15" customHeight="1">
      <c r="A689" t="inlineStr">
        <is>
          <t>A 40175-2024</t>
        </is>
      </c>
      <c r="B689" s="1" t="n">
        <v>45554.55707175926</v>
      </c>
      <c r="C689" s="1" t="n">
        <v>46120</v>
      </c>
      <c r="D689" t="inlineStr">
        <is>
          <t>STOCKHOLMS LÄN</t>
        </is>
      </c>
      <c r="E689" t="inlineStr">
        <is>
          <t>NORRTÄLJE</t>
        </is>
      </c>
      <c r="G689" t="n">
        <v>7.7</v>
      </c>
      <c r="H689" t="n">
        <v>0</v>
      </c>
      <c r="I689" t="n">
        <v>0</v>
      </c>
      <c r="J689" t="n">
        <v>0</v>
      </c>
      <c r="K689" t="n">
        <v>0</v>
      </c>
      <c r="L689" t="n">
        <v>0</v>
      </c>
      <c r="M689" t="n">
        <v>0</v>
      </c>
      <c r="N689" t="n">
        <v>0</v>
      </c>
      <c r="O689" t="n">
        <v>0</v>
      </c>
      <c r="P689" t="n">
        <v>0</v>
      </c>
      <c r="Q689" t="n">
        <v>0</v>
      </c>
      <c r="R689" s="2" t="inlineStr"/>
    </row>
    <row r="690" ht="15" customHeight="1">
      <c r="A690" t="inlineStr">
        <is>
          <t>A 16229-2022</t>
        </is>
      </c>
      <c r="B690" s="1" t="n">
        <v>44670.4190162037</v>
      </c>
      <c r="C690" s="1" t="n">
        <v>46120</v>
      </c>
      <c r="D690" t="inlineStr">
        <is>
          <t>STOCKHOLMS LÄN</t>
        </is>
      </c>
      <c r="E690" t="inlineStr">
        <is>
          <t>NORRTÄLJE</t>
        </is>
      </c>
      <c r="G690" t="n">
        <v>7.4</v>
      </c>
      <c r="H690" t="n">
        <v>0</v>
      </c>
      <c r="I690" t="n">
        <v>0</v>
      </c>
      <c r="J690" t="n">
        <v>0</v>
      </c>
      <c r="K690" t="n">
        <v>0</v>
      </c>
      <c r="L690" t="n">
        <v>0</v>
      </c>
      <c r="M690" t="n">
        <v>0</v>
      </c>
      <c r="N690" t="n">
        <v>0</v>
      </c>
      <c r="O690" t="n">
        <v>0</v>
      </c>
      <c r="P690" t="n">
        <v>0</v>
      </c>
      <c r="Q690" t="n">
        <v>0</v>
      </c>
      <c r="R690" s="2" t="inlineStr"/>
    </row>
    <row r="691" ht="15" customHeight="1">
      <c r="A691" t="inlineStr">
        <is>
          <t>A 10399-2026</t>
        </is>
      </c>
      <c r="B691" s="1" t="n">
        <v>46077</v>
      </c>
      <c r="C691" s="1" t="n">
        <v>46120</v>
      </c>
      <c r="D691" t="inlineStr">
        <is>
          <t>STOCKHOLMS LÄN</t>
        </is>
      </c>
      <c r="E691" t="inlineStr">
        <is>
          <t>NORRTÄLJE</t>
        </is>
      </c>
      <c r="F691" t="inlineStr">
        <is>
          <t>Övriga Aktiebolag</t>
        </is>
      </c>
      <c r="G691" t="n">
        <v>0.2</v>
      </c>
      <c r="H691" t="n">
        <v>0</v>
      </c>
      <c r="I691" t="n">
        <v>0</v>
      </c>
      <c r="J691" t="n">
        <v>0</v>
      </c>
      <c r="K691" t="n">
        <v>0</v>
      </c>
      <c r="L691" t="n">
        <v>0</v>
      </c>
      <c r="M691" t="n">
        <v>0</v>
      </c>
      <c r="N691" t="n">
        <v>0</v>
      </c>
      <c r="O691" t="n">
        <v>0</v>
      </c>
      <c r="P691" t="n">
        <v>0</v>
      </c>
      <c r="Q691" t="n">
        <v>0</v>
      </c>
      <c r="R691" s="2" t="inlineStr"/>
    </row>
    <row r="692" ht="15" customHeight="1">
      <c r="A692" t="inlineStr">
        <is>
          <t>A 17215-2026</t>
        </is>
      </c>
      <c r="B692" s="1" t="n">
        <v>46119.36524305555</v>
      </c>
      <c r="C692" s="1" t="n">
        <v>46120</v>
      </c>
      <c r="D692" t="inlineStr">
        <is>
          <t>STOCKHOLMS LÄN</t>
        </is>
      </c>
      <c r="E692" t="inlineStr">
        <is>
          <t>NORRTÄLJE</t>
        </is>
      </c>
      <c r="F692" t="inlineStr">
        <is>
          <t>Holmen skog AB</t>
        </is>
      </c>
      <c r="G692" t="n">
        <v>3.8</v>
      </c>
      <c r="H692" t="n">
        <v>0</v>
      </c>
      <c r="I692" t="n">
        <v>0</v>
      </c>
      <c r="J692" t="n">
        <v>0</v>
      </c>
      <c r="K692" t="n">
        <v>0</v>
      </c>
      <c r="L692" t="n">
        <v>0</v>
      </c>
      <c r="M692" t="n">
        <v>0</v>
      </c>
      <c r="N692" t="n">
        <v>0</v>
      </c>
      <c r="O692" t="n">
        <v>0</v>
      </c>
      <c r="P692" t="n">
        <v>0</v>
      </c>
      <c r="Q692" t="n">
        <v>0</v>
      </c>
      <c r="R692" s="2" t="inlineStr"/>
    </row>
    <row r="693" ht="15" customHeight="1">
      <c r="A693" t="inlineStr">
        <is>
          <t>A 17220-2026</t>
        </is>
      </c>
      <c r="B693" s="1" t="n">
        <v>46119.37436342592</v>
      </c>
      <c r="C693" s="1" t="n">
        <v>46120</v>
      </c>
      <c r="D693" t="inlineStr">
        <is>
          <t>STOCKHOLMS LÄN</t>
        </is>
      </c>
      <c r="E693" t="inlineStr">
        <is>
          <t>NORRTÄLJE</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52773-2025</t>
        </is>
      </c>
      <c r="B694" s="1" t="n">
        <v>45957.41457175926</v>
      </c>
      <c r="C694" s="1" t="n">
        <v>46120</v>
      </c>
      <c r="D694" t="inlineStr">
        <is>
          <t>STOCKHOLMS LÄN</t>
        </is>
      </c>
      <c r="E694" t="inlineStr">
        <is>
          <t>NORRTÄLJE</t>
        </is>
      </c>
      <c r="F694" t="inlineStr">
        <is>
          <t>Sveaskog</t>
        </is>
      </c>
      <c r="G694" t="n">
        <v>10.5</v>
      </c>
      <c r="H694" t="n">
        <v>0</v>
      </c>
      <c r="I694" t="n">
        <v>0</v>
      </c>
      <c r="J694" t="n">
        <v>0</v>
      </c>
      <c r="K694" t="n">
        <v>0</v>
      </c>
      <c r="L694" t="n">
        <v>0</v>
      </c>
      <c r="M694" t="n">
        <v>0</v>
      </c>
      <c r="N694" t="n">
        <v>0</v>
      </c>
      <c r="O694" t="n">
        <v>0</v>
      </c>
      <c r="P694" t="n">
        <v>0</v>
      </c>
      <c r="Q694" t="n">
        <v>0</v>
      </c>
      <c r="R694" s="2" t="inlineStr"/>
    </row>
    <row r="695" ht="15" customHeight="1">
      <c r="A695" t="inlineStr">
        <is>
          <t>A 52776-2025</t>
        </is>
      </c>
      <c r="B695" s="1" t="n">
        <v>45957.41724537037</v>
      </c>
      <c r="C695" s="1" t="n">
        <v>46120</v>
      </c>
      <c r="D695" t="inlineStr">
        <is>
          <t>STOCKHOLMS LÄN</t>
        </is>
      </c>
      <c r="E695" t="inlineStr">
        <is>
          <t>NORRTÄLJE</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52703-2025</t>
        </is>
      </c>
      <c r="B696" s="1" t="n">
        <v>45956.88643518519</v>
      </c>
      <c r="C696" s="1" t="n">
        <v>46120</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10429-2026</t>
        </is>
      </c>
      <c r="B697" s="1" t="n">
        <v>46077.3822337963</v>
      </c>
      <c r="C697" s="1" t="n">
        <v>46120</v>
      </c>
      <c r="D697" t="inlineStr">
        <is>
          <t>STOCKHOLMS LÄN</t>
        </is>
      </c>
      <c r="E697" t="inlineStr">
        <is>
          <t>NORRTÄLJE</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46914-2022</t>
        </is>
      </c>
      <c r="B698" s="1" t="n">
        <v>44851</v>
      </c>
      <c r="C698" s="1" t="n">
        <v>46120</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17207-2026</t>
        </is>
      </c>
      <c r="B699" s="1" t="n">
        <v>46119.31914351852</v>
      </c>
      <c r="C699" s="1" t="n">
        <v>46120</v>
      </c>
      <c r="D699" t="inlineStr">
        <is>
          <t>STOCKHOLMS LÄN</t>
        </is>
      </c>
      <c r="E699" t="inlineStr">
        <is>
          <t>NORRTÄLJE</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53000-2025</t>
        </is>
      </c>
      <c r="B700" s="1" t="n">
        <v>45957.74357638889</v>
      </c>
      <c r="C700" s="1" t="n">
        <v>46120</v>
      </c>
      <c r="D700" t="inlineStr">
        <is>
          <t>STOCKHOLMS LÄN</t>
        </is>
      </c>
      <c r="E700" t="inlineStr">
        <is>
          <t>NORRTÄLJE</t>
        </is>
      </c>
      <c r="G700" t="n">
        <v>2.1</v>
      </c>
      <c r="H700" t="n">
        <v>0</v>
      </c>
      <c r="I700" t="n">
        <v>0</v>
      </c>
      <c r="J700" t="n">
        <v>0</v>
      </c>
      <c r="K700" t="n">
        <v>0</v>
      </c>
      <c r="L700" t="n">
        <v>0</v>
      </c>
      <c r="M700" t="n">
        <v>0</v>
      </c>
      <c r="N700" t="n">
        <v>0</v>
      </c>
      <c r="O700" t="n">
        <v>0</v>
      </c>
      <c r="P700" t="n">
        <v>0</v>
      </c>
      <c r="Q700" t="n">
        <v>0</v>
      </c>
      <c r="R700" s="2" t="inlineStr"/>
    </row>
    <row r="701" ht="15" customHeight="1">
      <c r="A701" t="inlineStr">
        <is>
          <t>A 53115-2025</t>
        </is>
      </c>
      <c r="B701" s="1" t="n">
        <v>45958.44614583333</v>
      </c>
      <c r="C701" s="1" t="n">
        <v>46120</v>
      </c>
      <c r="D701" t="inlineStr">
        <is>
          <t>STOCKHOLMS LÄN</t>
        </is>
      </c>
      <c r="E701" t="inlineStr">
        <is>
          <t>NORRTÄLJE</t>
        </is>
      </c>
      <c r="F701" t="inlineStr">
        <is>
          <t>Kyrkan</t>
        </is>
      </c>
      <c r="G701" t="n">
        <v>2.5</v>
      </c>
      <c r="H701" t="n">
        <v>0</v>
      </c>
      <c r="I701" t="n">
        <v>0</v>
      </c>
      <c r="J701" t="n">
        <v>0</v>
      </c>
      <c r="K701" t="n">
        <v>0</v>
      </c>
      <c r="L701" t="n">
        <v>0</v>
      </c>
      <c r="M701" t="n">
        <v>0</v>
      </c>
      <c r="N701" t="n">
        <v>0</v>
      </c>
      <c r="O701" t="n">
        <v>0</v>
      </c>
      <c r="P701" t="n">
        <v>0</v>
      </c>
      <c r="Q701" t="n">
        <v>0</v>
      </c>
      <c r="R701" s="2" t="inlineStr"/>
    </row>
    <row r="702" ht="15" customHeight="1">
      <c r="A702" t="inlineStr">
        <is>
          <t>A 20244-2025</t>
        </is>
      </c>
      <c r="B702" s="1" t="n">
        <v>45772.71221064815</v>
      </c>
      <c r="C702" s="1" t="n">
        <v>46120</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17347-2026</t>
        </is>
      </c>
      <c r="B703" s="1" t="n">
        <v>46119.65369212963</v>
      </c>
      <c r="C703" s="1" t="n">
        <v>46120</v>
      </c>
      <c r="D703" t="inlineStr">
        <is>
          <t>STOCKHOLMS LÄN</t>
        </is>
      </c>
      <c r="E703" t="inlineStr">
        <is>
          <t>NORRTÄLJE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10586-2026</t>
        </is>
      </c>
      <c r="B704" s="1" t="n">
        <v>46077.68192129629</v>
      </c>
      <c r="C704" s="1" t="n">
        <v>46120</v>
      </c>
      <c r="D704" t="inlineStr">
        <is>
          <t>STOCKHOLMS LÄN</t>
        </is>
      </c>
      <c r="E704" t="inlineStr">
        <is>
          <t>NORRTÄLJE</t>
        </is>
      </c>
      <c r="F704" t="inlineStr">
        <is>
          <t>Holmen skog AB</t>
        </is>
      </c>
      <c r="G704" t="n">
        <v>3.3</v>
      </c>
      <c r="H704" t="n">
        <v>0</v>
      </c>
      <c r="I704" t="n">
        <v>0</v>
      </c>
      <c r="J704" t="n">
        <v>0</v>
      </c>
      <c r="K704" t="n">
        <v>0</v>
      </c>
      <c r="L704" t="n">
        <v>0</v>
      </c>
      <c r="M704" t="n">
        <v>0</v>
      </c>
      <c r="N704" t="n">
        <v>0</v>
      </c>
      <c r="O704" t="n">
        <v>0</v>
      </c>
      <c r="P704" t="n">
        <v>0</v>
      </c>
      <c r="Q704" t="n">
        <v>0</v>
      </c>
      <c r="R704" s="2" t="inlineStr"/>
    </row>
    <row r="705" ht="15" customHeight="1">
      <c r="A705" t="inlineStr">
        <is>
          <t>A 10444-2026</t>
        </is>
      </c>
      <c r="B705" s="1" t="n">
        <v>46077.42230324074</v>
      </c>
      <c r="C705" s="1" t="n">
        <v>46120</v>
      </c>
      <c r="D705" t="inlineStr">
        <is>
          <t>STOCKHOLMS LÄN</t>
        </is>
      </c>
      <c r="E705" t="inlineStr">
        <is>
          <t>NORRTÄLJE</t>
        </is>
      </c>
      <c r="F705" t="inlineStr">
        <is>
          <t>Holmen skog AB</t>
        </is>
      </c>
      <c r="G705" t="n">
        <v>4.9</v>
      </c>
      <c r="H705" t="n">
        <v>0</v>
      </c>
      <c r="I705" t="n">
        <v>0</v>
      </c>
      <c r="J705" t="n">
        <v>0</v>
      </c>
      <c r="K705" t="n">
        <v>0</v>
      </c>
      <c r="L705" t="n">
        <v>0</v>
      </c>
      <c r="M705" t="n">
        <v>0</v>
      </c>
      <c r="N705" t="n">
        <v>0</v>
      </c>
      <c r="O705" t="n">
        <v>0</v>
      </c>
      <c r="P705" t="n">
        <v>0</v>
      </c>
      <c r="Q705" t="n">
        <v>0</v>
      </c>
      <c r="R705" s="2" t="inlineStr"/>
    </row>
    <row r="706" ht="15" customHeight="1">
      <c r="A706" t="inlineStr">
        <is>
          <t>A 50143-2023</t>
        </is>
      </c>
      <c r="B706" s="1" t="n">
        <v>45215</v>
      </c>
      <c r="C706" s="1" t="n">
        <v>46120</v>
      </c>
      <c r="D706" t="inlineStr">
        <is>
          <t>STOCKHOLMS LÄN</t>
        </is>
      </c>
      <c r="E706" t="inlineStr">
        <is>
          <t>NORRTÄLJE</t>
        </is>
      </c>
      <c r="G706" t="n">
        <v>10.3</v>
      </c>
      <c r="H706" t="n">
        <v>0</v>
      </c>
      <c r="I706" t="n">
        <v>0</v>
      </c>
      <c r="J706" t="n">
        <v>0</v>
      </c>
      <c r="K706" t="n">
        <v>0</v>
      </c>
      <c r="L706" t="n">
        <v>0</v>
      </c>
      <c r="M706" t="n">
        <v>0</v>
      </c>
      <c r="N706" t="n">
        <v>0</v>
      </c>
      <c r="O706" t="n">
        <v>0</v>
      </c>
      <c r="P706" t="n">
        <v>0</v>
      </c>
      <c r="Q706" t="n">
        <v>0</v>
      </c>
      <c r="R706" s="2" t="inlineStr"/>
    </row>
    <row r="707" ht="15" customHeight="1">
      <c r="A707" t="inlineStr">
        <is>
          <t>A 10553-2026</t>
        </is>
      </c>
      <c r="B707" s="1" t="n">
        <v>46077.62944444444</v>
      </c>
      <c r="C707" s="1" t="n">
        <v>46120</v>
      </c>
      <c r="D707" t="inlineStr">
        <is>
          <t>STOCKHOLMS LÄN</t>
        </is>
      </c>
      <c r="E707" t="inlineStr">
        <is>
          <t>NORRTÄLJE</t>
        </is>
      </c>
      <c r="G707" t="n">
        <v>4.9</v>
      </c>
      <c r="H707" t="n">
        <v>0</v>
      </c>
      <c r="I707" t="n">
        <v>0</v>
      </c>
      <c r="J707" t="n">
        <v>0</v>
      </c>
      <c r="K707" t="n">
        <v>0</v>
      </c>
      <c r="L707" t="n">
        <v>0</v>
      </c>
      <c r="M707" t="n">
        <v>0</v>
      </c>
      <c r="N707" t="n">
        <v>0</v>
      </c>
      <c r="O707" t="n">
        <v>0</v>
      </c>
      <c r="P707" t="n">
        <v>0</v>
      </c>
      <c r="Q707" t="n">
        <v>0</v>
      </c>
      <c r="R707" s="2" t="inlineStr"/>
    </row>
    <row r="708" ht="15" customHeight="1">
      <c r="A708" t="inlineStr">
        <is>
          <t>A 53629-2025</t>
        </is>
      </c>
      <c r="B708" s="1" t="n">
        <v>45960.49570601852</v>
      </c>
      <c r="C708" s="1" t="n">
        <v>46120</v>
      </c>
      <c r="D708" t="inlineStr">
        <is>
          <t>STOCKHOLMS LÄN</t>
        </is>
      </c>
      <c r="E708" t="inlineStr">
        <is>
          <t>NORRTÄLJE</t>
        </is>
      </c>
      <c r="F708" t="inlineStr">
        <is>
          <t>Naturvårdsverket</t>
        </is>
      </c>
      <c r="G708" t="n">
        <v>7.9</v>
      </c>
      <c r="H708" t="n">
        <v>0</v>
      </c>
      <c r="I708" t="n">
        <v>0</v>
      </c>
      <c r="J708" t="n">
        <v>0</v>
      </c>
      <c r="K708" t="n">
        <v>0</v>
      </c>
      <c r="L708" t="n">
        <v>0</v>
      </c>
      <c r="M708" t="n">
        <v>0</v>
      </c>
      <c r="N708" t="n">
        <v>0</v>
      </c>
      <c r="O708" t="n">
        <v>0</v>
      </c>
      <c r="P708" t="n">
        <v>0</v>
      </c>
      <c r="Q708" t="n">
        <v>0</v>
      </c>
      <c r="R708" s="2" t="inlineStr"/>
    </row>
    <row r="709" ht="15" customHeight="1">
      <c r="A709" t="inlineStr">
        <is>
          <t>A 17345-2026</t>
        </is>
      </c>
      <c r="B709" s="1" t="n">
        <v>46119.64990740741</v>
      </c>
      <c r="C709" s="1" t="n">
        <v>46120</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20015-2023</t>
        </is>
      </c>
      <c r="B710" s="1" t="n">
        <v>45054</v>
      </c>
      <c r="C710" s="1" t="n">
        <v>46120</v>
      </c>
      <c r="D710" t="inlineStr">
        <is>
          <t>STOCKHOLMS LÄN</t>
        </is>
      </c>
      <c r="E710" t="inlineStr">
        <is>
          <t>NORRTÄLJE</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53747-2025</t>
        </is>
      </c>
      <c r="B711" s="1" t="n">
        <v>45960.65415509259</v>
      </c>
      <c r="C711" s="1" t="n">
        <v>46120</v>
      </c>
      <c r="D711" t="inlineStr">
        <is>
          <t>STOCKHOLMS LÄN</t>
        </is>
      </c>
      <c r="E711" t="inlineStr">
        <is>
          <t>NORRTÄLJE</t>
        </is>
      </c>
      <c r="G711" t="n">
        <v>1.8</v>
      </c>
      <c r="H711" t="n">
        <v>0</v>
      </c>
      <c r="I711" t="n">
        <v>0</v>
      </c>
      <c r="J711" t="n">
        <v>0</v>
      </c>
      <c r="K711" t="n">
        <v>0</v>
      </c>
      <c r="L711" t="n">
        <v>0</v>
      </c>
      <c r="M711" t="n">
        <v>0</v>
      </c>
      <c r="N711" t="n">
        <v>0</v>
      </c>
      <c r="O711" t="n">
        <v>0</v>
      </c>
      <c r="P711" t="n">
        <v>0</v>
      </c>
      <c r="Q711" t="n">
        <v>0</v>
      </c>
      <c r="R711" s="2" t="inlineStr"/>
    </row>
    <row r="712" ht="15" customHeight="1">
      <c r="A712" t="inlineStr">
        <is>
          <t>A 53299-2025</t>
        </is>
      </c>
      <c r="B712" s="1" t="n">
        <v>45959.31901620371</v>
      </c>
      <c r="C712" s="1" t="n">
        <v>46120</v>
      </c>
      <c r="D712" t="inlineStr">
        <is>
          <t>STOCKHOLMS LÄN</t>
        </is>
      </c>
      <c r="E712" t="inlineStr">
        <is>
          <t>NORRTÄLJE</t>
        </is>
      </c>
      <c r="G712" t="n">
        <v>4.8</v>
      </c>
      <c r="H712" t="n">
        <v>0</v>
      </c>
      <c r="I712" t="n">
        <v>0</v>
      </c>
      <c r="J712" t="n">
        <v>0</v>
      </c>
      <c r="K712" t="n">
        <v>0</v>
      </c>
      <c r="L712" t="n">
        <v>0</v>
      </c>
      <c r="M712" t="n">
        <v>0</v>
      </c>
      <c r="N712" t="n">
        <v>0</v>
      </c>
      <c r="O712" t="n">
        <v>0</v>
      </c>
      <c r="P712" t="n">
        <v>0</v>
      </c>
      <c r="Q712" t="n">
        <v>0</v>
      </c>
      <c r="R712" s="2" t="inlineStr"/>
    </row>
    <row r="713" ht="15" customHeight="1">
      <c r="A713" t="inlineStr">
        <is>
          <t>A 5027-2025</t>
        </is>
      </c>
      <c r="B713" s="1" t="n">
        <v>45691.41101851852</v>
      </c>
      <c r="C713" s="1" t="n">
        <v>46120</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8315-2025</t>
        </is>
      </c>
      <c r="B714" s="1" t="n">
        <v>45708.61761574074</v>
      </c>
      <c r="C714" s="1" t="n">
        <v>46120</v>
      </c>
      <c r="D714" t="inlineStr">
        <is>
          <t>STOCKHOLMS LÄN</t>
        </is>
      </c>
      <c r="E714" t="inlineStr">
        <is>
          <t>NORRTÄLJE</t>
        </is>
      </c>
      <c r="G714" t="n">
        <v>3.9</v>
      </c>
      <c r="H714" t="n">
        <v>0</v>
      </c>
      <c r="I714" t="n">
        <v>0</v>
      </c>
      <c r="J714" t="n">
        <v>0</v>
      </c>
      <c r="K714" t="n">
        <v>0</v>
      </c>
      <c r="L714" t="n">
        <v>0</v>
      </c>
      <c r="M714" t="n">
        <v>0</v>
      </c>
      <c r="N714" t="n">
        <v>0</v>
      </c>
      <c r="O714" t="n">
        <v>0</v>
      </c>
      <c r="P714" t="n">
        <v>0</v>
      </c>
      <c r="Q714" t="n">
        <v>0</v>
      </c>
      <c r="R714" s="2" t="inlineStr"/>
    </row>
    <row r="715" ht="15" customHeight="1">
      <c r="A715" t="inlineStr">
        <is>
          <t>A 17209-2026</t>
        </is>
      </c>
      <c r="B715" s="1" t="n">
        <v>46119.33341435185</v>
      </c>
      <c r="C715" s="1" t="n">
        <v>46120</v>
      </c>
      <c r="D715" t="inlineStr">
        <is>
          <t>STOCKHOLMS LÄN</t>
        </is>
      </c>
      <c r="E715" t="inlineStr">
        <is>
          <t>NORRTÄLJE</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12251-2025</t>
        </is>
      </c>
      <c r="B716" s="1" t="n">
        <v>45729.60859953704</v>
      </c>
      <c r="C716" s="1" t="n">
        <v>46120</v>
      </c>
      <c r="D716" t="inlineStr">
        <is>
          <t>STOCKHOLMS LÄN</t>
        </is>
      </c>
      <c r="E716" t="inlineStr">
        <is>
          <t>NORRTÄLJE</t>
        </is>
      </c>
      <c r="F716" t="inlineStr">
        <is>
          <t>Holmen skog AB</t>
        </is>
      </c>
      <c r="G716" t="n">
        <v>5.9</v>
      </c>
      <c r="H716" t="n">
        <v>0</v>
      </c>
      <c r="I716" t="n">
        <v>0</v>
      </c>
      <c r="J716" t="n">
        <v>0</v>
      </c>
      <c r="K716" t="n">
        <v>0</v>
      </c>
      <c r="L716" t="n">
        <v>0</v>
      </c>
      <c r="M716" t="n">
        <v>0</v>
      </c>
      <c r="N716" t="n">
        <v>0</v>
      </c>
      <c r="O716" t="n">
        <v>0</v>
      </c>
      <c r="P716" t="n">
        <v>0</v>
      </c>
      <c r="Q716" t="n">
        <v>0</v>
      </c>
      <c r="R716" s="2" t="inlineStr"/>
    </row>
    <row r="717" ht="15" customHeight="1">
      <c r="A717" t="inlineStr">
        <is>
          <t>A 54776-2023</t>
        </is>
      </c>
      <c r="B717" s="1" t="n">
        <v>45236.46369212963</v>
      </c>
      <c r="C717" s="1" t="n">
        <v>46120</v>
      </c>
      <c r="D717" t="inlineStr">
        <is>
          <t>STOCKHOLMS LÄN</t>
        </is>
      </c>
      <c r="E717" t="inlineStr">
        <is>
          <t>NORRTÄLJE</t>
        </is>
      </c>
      <c r="G717" t="n">
        <v>0.3</v>
      </c>
      <c r="H717" t="n">
        <v>0</v>
      </c>
      <c r="I717" t="n">
        <v>0</v>
      </c>
      <c r="J717" t="n">
        <v>0</v>
      </c>
      <c r="K717" t="n">
        <v>0</v>
      </c>
      <c r="L717" t="n">
        <v>0</v>
      </c>
      <c r="M717" t="n">
        <v>0</v>
      </c>
      <c r="N717" t="n">
        <v>0</v>
      </c>
      <c r="O717" t="n">
        <v>0</v>
      </c>
      <c r="P717" t="n">
        <v>0</v>
      </c>
      <c r="Q717" t="n">
        <v>0</v>
      </c>
      <c r="R717" s="2" t="inlineStr"/>
    </row>
    <row r="718" ht="15" customHeight="1">
      <c r="A718" t="inlineStr">
        <is>
          <t>A 20144-2023</t>
        </is>
      </c>
      <c r="B718" s="1" t="n">
        <v>45055.43509259259</v>
      </c>
      <c r="C718" s="1" t="n">
        <v>46120</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13314-2025</t>
        </is>
      </c>
      <c r="B719" s="1" t="n">
        <v>45735.59287037037</v>
      </c>
      <c r="C719" s="1" t="n">
        <v>46120</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44075-2023</t>
        </is>
      </c>
      <c r="B720" s="1" t="n">
        <v>45188.41637731482</v>
      </c>
      <c r="C720" s="1" t="n">
        <v>46120</v>
      </c>
      <c r="D720" t="inlineStr">
        <is>
          <t>STOCKHOLMS LÄN</t>
        </is>
      </c>
      <c r="E720" t="inlineStr">
        <is>
          <t>NORRTÄLJE</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23056-2023</t>
        </is>
      </c>
      <c r="B721" s="1" t="n">
        <v>45075</v>
      </c>
      <c r="C721" s="1" t="n">
        <v>46120</v>
      </c>
      <c r="D721" t="inlineStr">
        <is>
          <t>STOCKHOLMS LÄN</t>
        </is>
      </c>
      <c r="E721" t="inlineStr">
        <is>
          <t>NORRTÄLJE</t>
        </is>
      </c>
      <c r="G721" t="n">
        <v>1.7</v>
      </c>
      <c r="H721" t="n">
        <v>0</v>
      </c>
      <c r="I721" t="n">
        <v>0</v>
      </c>
      <c r="J721" t="n">
        <v>0</v>
      </c>
      <c r="K721" t="n">
        <v>0</v>
      </c>
      <c r="L721" t="n">
        <v>0</v>
      </c>
      <c r="M721" t="n">
        <v>0</v>
      </c>
      <c r="N721" t="n">
        <v>0</v>
      </c>
      <c r="O721" t="n">
        <v>0</v>
      </c>
      <c r="P721" t="n">
        <v>0</v>
      </c>
      <c r="Q721" t="n">
        <v>0</v>
      </c>
      <c r="R721" s="2" t="inlineStr"/>
    </row>
    <row r="722" ht="15" customHeight="1">
      <c r="A722" t="inlineStr">
        <is>
          <t>A 13172-2025</t>
        </is>
      </c>
      <c r="B722" s="1" t="n">
        <v>45735.36873842592</v>
      </c>
      <c r="C722" s="1" t="n">
        <v>46120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19025-2025</t>
        </is>
      </c>
      <c r="B723" s="1" t="n">
        <v>45764.6359837963</v>
      </c>
      <c r="C723" s="1" t="n">
        <v>46120</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54907-2025</t>
        </is>
      </c>
      <c r="B724" s="1" t="n">
        <v>45967.37137731481</v>
      </c>
      <c r="C724" s="1" t="n">
        <v>46120</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5867-2022</t>
        </is>
      </c>
      <c r="B725" s="1" t="n">
        <v>44596.66335648148</v>
      </c>
      <c r="C725" s="1" t="n">
        <v>46120</v>
      </c>
      <c r="D725" t="inlineStr">
        <is>
          <t>STOCKHOLMS LÄN</t>
        </is>
      </c>
      <c r="E725" t="inlineStr">
        <is>
          <t>NORRTÄLJE</t>
        </is>
      </c>
      <c r="F725" t="inlineStr">
        <is>
          <t>Naturvårdsverket</t>
        </is>
      </c>
      <c r="G725" t="n">
        <v>1.6</v>
      </c>
      <c r="H725" t="n">
        <v>0</v>
      </c>
      <c r="I725" t="n">
        <v>0</v>
      </c>
      <c r="J725" t="n">
        <v>0</v>
      </c>
      <c r="K725" t="n">
        <v>0</v>
      </c>
      <c r="L725" t="n">
        <v>0</v>
      </c>
      <c r="M725" t="n">
        <v>0</v>
      </c>
      <c r="N725" t="n">
        <v>0</v>
      </c>
      <c r="O725" t="n">
        <v>0</v>
      </c>
      <c r="P725" t="n">
        <v>0</v>
      </c>
      <c r="Q725" t="n">
        <v>0</v>
      </c>
      <c r="R725" s="2" t="inlineStr"/>
    </row>
    <row r="726" ht="15" customHeight="1">
      <c r="A726" t="inlineStr">
        <is>
          <t>A 55503-2025</t>
        </is>
      </c>
      <c r="B726" s="1" t="n">
        <v>45971</v>
      </c>
      <c r="C726" s="1" t="n">
        <v>46120</v>
      </c>
      <c r="D726" t="inlineStr">
        <is>
          <t>STOCKHOLMS LÄN</t>
        </is>
      </c>
      <c r="E726" t="inlineStr">
        <is>
          <t>NORRTÄLJE</t>
        </is>
      </c>
      <c r="G726" t="n">
        <v>3</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46120</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29250-2025</t>
        </is>
      </c>
      <c r="B728" s="1" t="n">
        <v>45824.37275462963</v>
      </c>
      <c r="C728" s="1" t="n">
        <v>46120</v>
      </c>
      <c r="D728" t="inlineStr">
        <is>
          <t>STOCKHOLMS LÄN</t>
        </is>
      </c>
      <c r="E728" t="inlineStr">
        <is>
          <t>NORRTÄLJE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21731-2023</t>
        </is>
      </c>
      <c r="B729" s="1" t="n">
        <v>45063</v>
      </c>
      <c r="C729" s="1" t="n">
        <v>46120</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21745-2023</t>
        </is>
      </c>
      <c r="B730" s="1" t="n">
        <v>45065.55917824074</v>
      </c>
      <c r="C730" s="1" t="n">
        <v>46120</v>
      </c>
      <c r="D730" t="inlineStr">
        <is>
          <t>STOCKHOLMS LÄN</t>
        </is>
      </c>
      <c r="E730" t="inlineStr">
        <is>
          <t>NORRTÄLJE</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55599-2025</t>
        </is>
      </c>
      <c r="B731" s="1" t="n">
        <v>45971.76810185185</v>
      </c>
      <c r="C731" s="1" t="n">
        <v>46120</v>
      </c>
      <c r="D731" t="inlineStr">
        <is>
          <t>STOCKHOLMS LÄN</t>
        </is>
      </c>
      <c r="E731" t="inlineStr">
        <is>
          <t>NORRTÄLJE</t>
        </is>
      </c>
      <c r="F731" t="inlineStr">
        <is>
          <t>Holmen skog AB</t>
        </is>
      </c>
      <c r="G731" t="n">
        <v>6.4</v>
      </c>
      <c r="H731" t="n">
        <v>0</v>
      </c>
      <c r="I731" t="n">
        <v>0</v>
      </c>
      <c r="J731" t="n">
        <v>0</v>
      </c>
      <c r="K731" t="n">
        <v>0</v>
      </c>
      <c r="L731" t="n">
        <v>0</v>
      </c>
      <c r="M731" t="n">
        <v>0</v>
      </c>
      <c r="N731" t="n">
        <v>0</v>
      </c>
      <c r="O731" t="n">
        <v>0</v>
      </c>
      <c r="P731" t="n">
        <v>0</v>
      </c>
      <c r="Q731" t="n">
        <v>0</v>
      </c>
      <c r="R731" s="2" t="inlineStr"/>
    </row>
    <row r="732" ht="15" customHeight="1">
      <c r="A732" t="inlineStr">
        <is>
          <t>A 30221-2024</t>
        </is>
      </c>
      <c r="B732" s="1" t="n">
        <v>45490.45342592592</v>
      </c>
      <c r="C732" s="1" t="n">
        <v>46120</v>
      </c>
      <c r="D732" t="inlineStr">
        <is>
          <t>STOCKHOLMS LÄN</t>
        </is>
      </c>
      <c r="E732" t="inlineStr">
        <is>
          <t>NORRTÄLJE</t>
        </is>
      </c>
      <c r="F732" t="inlineStr">
        <is>
          <t>Holmen skog AB</t>
        </is>
      </c>
      <c r="G732" t="n">
        <v>1.7</v>
      </c>
      <c r="H732" t="n">
        <v>0</v>
      </c>
      <c r="I732" t="n">
        <v>0</v>
      </c>
      <c r="J732" t="n">
        <v>0</v>
      </c>
      <c r="K732" t="n">
        <v>0</v>
      </c>
      <c r="L732" t="n">
        <v>0</v>
      </c>
      <c r="M732" t="n">
        <v>0</v>
      </c>
      <c r="N732" t="n">
        <v>0</v>
      </c>
      <c r="O732" t="n">
        <v>0</v>
      </c>
      <c r="P732" t="n">
        <v>0</v>
      </c>
      <c r="Q732" t="n">
        <v>0</v>
      </c>
      <c r="R732" s="2" t="inlineStr"/>
    </row>
    <row r="733" ht="15" customHeight="1">
      <c r="A733" t="inlineStr">
        <is>
          <t>A 26365-2024</t>
        </is>
      </c>
      <c r="B733" s="1" t="n">
        <v>45469</v>
      </c>
      <c r="C733" s="1" t="n">
        <v>46120</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50602-2021</t>
        </is>
      </c>
      <c r="B734" s="1" t="n">
        <v>44459</v>
      </c>
      <c r="C734" s="1" t="n">
        <v>46120</v>
      </c>
      <c r="D734" t="inlineStr">
        <is>
          <t>STOCKHOLMS LÄN</t>
        </is>
      </c>
      <c r="E734" t="inlineStr">
        <is>
          <t>NORRTÄLJE</t>
        </is>
      </c>
      <c r="F734" t="inlineStr">
        <is>
          <t>Holmen skog AB</t>
        </is>
      </c>
      <c r="G734" t="n">
        <v>2</v>
      </c>
      <c r="H734" t="n">
        <v>0</v>
      </c>
      <c r="I734" t="n">
        <v>0</v>
      </c>
      <c r="J734" t="n">
        <v>0</v>
      </c>
      <c r="K734" t="n">
        <v>0</v>
      </c>
      <c r="L734" t="n">
        <v>0</v>
      </c>
      <c r="M734" t="n">
        <v>0</v>
      </c>
      <c r="N734" t="n">
        <v>0</v>
      </c>
      <c r="O734" t="n">
        <v>0</v>
      </c>
      <c r="P734" t="n">
        <v>0</v>
      </c>
      <c r="Q734" t="n">
        <v>0</v>
      </c>
      <c r="R734" s="2" t="inlineStr"/>
    </row>
    <row r="735" ht="15" customHeight="1">
      <c r="A735" t="inlineStr">
        <is>
          <t>A 56207-2025</t>
        </is>
      </c>
      <c r="B735" s="1" t="n">
        <v>45974.47329861111</v>
      </c>
      <c r="C735" s="1" t="n">
        <v>46120</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48798-2021</t>
        </is>
      </c>
      <c r="B736" s="1" t="n">
        <v>44452</v>
      </c>
      <c r="C736" s="1" t="n">
        <v>46120</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56114-2025</t>
        </is>
      </c>
      <c r="B737" s="1" t="n">
        <v>45973.74474537037</v>
      </c>
      <c r="C737" s="1" t="n">
        <v>46120</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30283-2022</t>
        </is>
      </c>
      <c r="B738" s="1" t="n">
        <v>44760</v>
      </c>
      <c r="C738" s="1" t="n">
        <v>46120</v>
      </c>
      <c r="D738" t="inlineStr">
        <is>
          <t>STOCKHOLMS LÄN</t>
        </is>
      </c>
      <c r="E738" t="inlineStr">
        <is>
          <t>NORRTÄLJE</t>
        </is>
      </c>
      <c r="G738" t="n">
        <v>6.2</v>
      </c>
      <c r="H738" t="n">
        <v>0</v>
      </c>
      <c r="I738" t="n">
        <v>0</v>
      </c>
      <c r="J738" t="n">
        <v>0</v>
      </c>
      <c r="K738" t="n">
        <v>0</v>
      </c>
      <c r="L738" t="n">
        <v>0</v>
      </c>
      <c r="M738" t="n">
        <v>0</v>
      </c>
      <c r="N738" t="n">
        <v>0</v>
      </c>
      <c r="O738" t="n">
        <v>0</v>
      </c>
      <c r="P738" t="n">
        <v>0</v>
      </c>
      <c r="Q738" t="n">
        <v>0</v>
      </c>
      <c r="R738" s="2" t="inlineStr"/>
    </row>
    <row r="739" ht="15" customHeight="1">
      <c r="A739" t="inlineStr">
        <is>
          <t>A 30290-2022</t>
        </is>
      </c>
      <c r="B739" s="1" t="n">
        <v>44760</v>
      </c>
      <c r="C739" s="1" t="n">
        <v>46120</v>
      </c>
      <c r="D739" t="inlineStr">
        <is>
          <t>STOCKHOLMS LÄN</t>
        </is>
      </c>
      <c r="E739" t="inlineStr">
        <is>
          <t>NORRTÄLJE</t>
        </is>
      </c>
      <c r="G739" t="n">
        <v>4.8</v>
      </c>
      <c r="H739" t="n">
        <v>0</v>
      </c>
      <c r="I739" t="n">
        <v>0</v>
      </c>
      <c r="J739" t="n">
        <v>0</v>
      </c>
      <c r="K739" t="n">
        <v>0</v>
      </c>
      <c r="L739" t="n">
        <v>0</v>
      </c>
      <c r="M739" t="n">
        <v>0</v>
      </c>
      <c r="N739" t="n">
        <v>0</v>
      </c>
      <c r="O739" t="n">
        <v>0</v>
      </c>
      <c r="P739" t="n">
        <v>0</v>
      </c>
      <c r="Q739" t="n">
        <v>0</v>
      </c>
      <c r="R739" s="2" t="inlineStr"/>
    </row>
    <row r="740" ht="15" customHeight="1">
      <c r="A740" t="inlineStr">
        <is>
          <t>A 38985-2022</t>
        </is>
      </c>
      <c r="B740" s="1" t="n">
        <v>44816</v>
      </c>
      <c r="C740" s="1" t="n">
        <v>46120</v>
      </c>
      <c r="D740" t="inlineStr">
        <is>
          <t>STOCKHOLMS LÄN</t>
        </is>
      </c>
      <c r="E740" t="inlineStr">
        <is>
          <t>NORRTÄLJE</t>
        </is>
      </c>
      <c r="G740" t="n">
        <v>10.1</v>
      </c>
      <c r="H740" t="n">
        <v>0</v>
      </c>
      <c r="I740" t="n">
        <v>0</v>
      </c>
      <c r="J740" t="n">
        <v>0</v>
      </c>
      <c r="K740" t="n">
        <v>0</v>
      </c>
      <c r="L740" t="n">
        <v>0</v>
      </c>
      <c r="M740" t="n">
        <v>0</v>
      </c>
      <c r="N740" t="n">
        <v>0</v>
      </c>
      <c r="O740" t="n">
        <v>0</v>
      </c>
      <c r="P740" t="n">
        <v>0</v>
      </c>
      <c r="Q740" t="n">
        <v>0</v>
      </c>
      <c r="R740" s="2" t="inlineStr"/>
    </row>
    <row r="741" ht="15" customHeight="1">
      <c r="A741" t="inlineStr">
        <is>
          <t>A 25625-2023</t>
        </is>
      </c>
      <c r="B741" s="1" t="n">
        <v>45089</v>
      </c>
      <c r="C741" s="1" t="n">
        <v>46120</v>
      </c>
      <c r="D741" t="inlineStr">
        <is>
          <t>STOCKHOLMS LÄN</t>
        </is>
      </c>
      <c r="E741" t="inlineStr">
        <is>
          <t>NORRTÄLJE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14132-2025</t>
        </is>
      </c>
      <c r="B742" s="1" t="n">
        <v>45740.47550925926</v>
      </c>
      <c r="C742" s="1" t="n">
        <v>46120</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14133-2025</t>
        </is>
      </c>
      <c r="B743" s="1" t="n">
        <v>45740.47724537037</v>
      </c>
      <c r="C743" s="1" t="n">
        <v>46120</v>
      </c>
      <c r="D743" t="inlineStr">
        <is>
          <t>STOCKHOLMS LÄN</t>
        </is>
      </c>
      <c r="E743" t="inlineStr">
        <is>
          <t>NORRTÄLJE</t>
        </is>
      </c>
      <c r="G743" t="n">
        <v>0.4</v>
      </c>
      <c r="H743" t="n">
        <v>0</v>
      </c>
      <c r="I743" t="n">
        <v>0</v>
      </c>
      <c r="J743" t="n">
        <v>0</v>
      </c>
      <c r="K743" t="n">
        <v>0</v>
      </c>
      <c r="L743" t="n">
        <v>0</v>
      </c>
      <c r="M743" t="n">
        <v>0</v>
      </c>
      <c r="N743" t="n">
        <v>0</v>
      </c>
      <c r="O743" t="n">
        <v>0</v>
      </c>
      <c r="P743" t="n">
        <v>0</v>
      </c>
      <c r="Q743" t="n">
        <v>0</v>
      </c>
      <c r="R743" s="2" t="inlineStr"/>
    </row>
    <row r="744" ht="15" customHeight="1">
      <c r="A744" t="inlineStr">
        <is>
          <t>A 7186-2024</t>
        </is>
      </c>
      <c r="B744" s="1" t="n">
        <v>45344</v>
      </c>
      <c r="C744" s="1" t="n">
        <v>46120</v>
      </c>
      <c r="D744" t="inlineStr">
        <is>
          <t>STOCKHOLMS LÄN</t>
        </is>
      </c>
      <c r="E744" t="inlineStr">
        <is>
          <t>NORRTÄLJE</t>
        </is>
      </c>
      <c r="G744" t="n">
        <v>4.9</v>
      </c>
      <c r="H744" t="n">
        <v>0</v>
      </c>
      <c r="I744" t="n">
        <v>0</v>
      </c>
      <c r="J744" t="n">
        <v>0</v>
      </c>
      <c r="K744" t="n">
        <v>0</v>
      </c>
      <c r="L744" t="n">
        <v>0</v>
      </c>
      <c r="M744" t="n">
        <v>0</v>
      </c>
      <c r="N744" t="n">
        <v>0</v>
      </c>
      <c r="O744" t="n">
        <v>0</v>
      </c>
      <c r="P744" t="n">
        <v>0</v>
      </c>
      <c r="Q744" t="n">
        <v>0</v>
      </c>
      <c r="R744" s="2" t="inlineStr"/>
    </row>
    <row r="745" ht="15" customHeight="1">
      <c r="A745" t="inlineStr">
        <is>
          <t>A 39202-2024</t>
        </is>
      </c>
      <c r="B745" s="1" t="n">
        <v>45548.72306712963</v>
      </c>
      <c r="C745" s="1" t="n">
        <v>46120</v>
      </c>
      <c r="D745" t="inlineStr">
        <is>
          <t>STOCKHOLMS LÄN</t>
        </is>
      </c>
      <c r="E745" t="inlineStr">
        <is>
          <t>NORRTÄLJE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53792-2023</t>
        </is>
      </c>
      <c r="B746" s="1" t="n">
        <v>45231.34144675926</v>
      </c>
      <c r="C746" s="1" t="n">
        <v>46120</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58142-2025</t>
        </is>
      </c>
      <c r="B747" s="1" t="n">
        <v>45982.63791666667</v>
      </c>
      <c r="C747" s="1" t="n">
        <v>46120</v>
      </c>
      <c r="D747" t="inlineStr">
        <is>
          <t>STOCKHOLMS LÄN</t>
        </is>
      </c>
      <c r="E747" t="inlineStr">
        <is>
          <t>NORRTÄLJE</t>
        </is>
      </c>
      <c r="G747" t="n">
        <v>3.3</v>
      </c>
      <c r="H747" t="n">
        <v>0</v>
      </c>
      <c r="I747" t="n">
        <v>0</v>
      </c>
      <c r="J747" t="n">
        <v>0</v>
      </c>
      <c r="K747" t="n">
        <v>0</v>
      </c>
      <c r="L747" t="n">
        <v>0</v>
      </c>
      <c r="M747" t="n">
        <v>0</v>
      </c>
      <c r="N747" t="n">
        <v>0</v>
      </c>
      <c r="O747" t="n">
        <v>0</v>
      </c>
      <c r="P747" t="n">
        <v>0</v>
      </c>
      <c r="Q747" t="n">
        <v>0</v>
      </c>
      <c r="R747" s="2" t="inlineStr"/>
    </row>
    <row r="748" ht="15" customHeight="1">
      <c r="A748" t="inlineStr">
        <is>
          <t>A 11280-2023</t>
        </is>
      </c>
      <c r="B748" s="1" t="n">
        <v>44992</v>
      </c>
      <c r="C748" s="1" t="n">
        <v>46120</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57953-2025</t>
        </is>
      </c>
      <c r="B749" s="1" t="n">
        <v>45982.35016203704</v>
      </c>
      <c r="C749" s="1" t="n">
        <v>46120</v>
      </c>
      <c r="D749" t="inlineStr">
        <is>
          <t>STOCKHOLMS LÄN</t>
        </is>
      </c>
      <c r="E749" t="inlineStr">
        <is>
          <t>NORRTÄLJE</t>
        </is>
      </c>
      <c r="F749" t="inlineStr">
        <is>
          <t>Sveaskog</t>
        </is>
      </c>
      <c r="G749" t="n">
        <v>3</v>
      </c>
      <c r="H749" t="n">
        <v>0</v>
      </c>
      <c r="I749" t="n">
        <v>0</v>
      </c>
      <c r="J749" t="n">
        <v>0</v>
      </c>
      <c r="K749" t="n">
        <v>0</v>
      </c>
      <c r="L749" t="n">
        <v>0</v>
      </c>
      <c r="M749" t="n">
        <v>0</v>
      </c>
      <c r="N749" t="n">
        <v>0</v>
      </c>
      <c r="O749" t="n">
        <v>0</v>
      </c>
      <c r="P749" t="n">
        <v>0</v>
      </c>
      <c r="Q749" t="n">
        <v>0</v>
      </c>
      <c r="R749" s="2" t="inlineStr"/>
    </row>
    <row r="750" ht="15" customHeight="1">
      <c r="A750" t="inlineStr">
        <is>
          <t>A 57442-2021</t>
        </is>
      </c>
      <c r="B750" s="1" t="n">
        <v>44483</v>
      </c>
      <c r="C750" s="1" t="n">
        <v>46120</v>
      </c>
      <c r="D750" t="inlineStr">
        <is>
          <t>STOCKHOLMS LÄN</t>
        </is>
      </c>
      <c r="E750" t="inlineStr">
        <is>
          <t>NORRTÄLJE</t>
        </is>
      </c>
      <c r="G750" t="n">
        <v>3.3</v>
      </c>
      <c r="H750" t="n">
        <v>0</v>
      </c>
      <c r="I750" t="n">
        <v>0</v>
      </c>
      <c r="J750" t="n">
        <v>0</v>
      </c>
      <c r="K750" t="n">
        <v>0</v>
      </c>
      <c r="L750" t="n">
        <v>0</v>
      </c>
      <c r="M750" t="n">
        <v>0</v>
      </c>
      <c r="N750" t="n">
        <v>0</v>
      </c>
      <c r="O750" t="n">
        <v>0</v>
      </c>
      <c r="P750" t="n">
        <v>0</v>
      </c>
      <c r="Q750" t="n">
        <v>0</v>
      </c>
      <c r="R750" s="2" t="inlineStr"/>
    </row>
    <row r="751" ht="15" customHeight="1">
      <c r="A751" t="inlineStr">
        <is>
          <t>A 19952-2023</t>
        </is>
      </c>
      <c r="B751" s="1" t="n">
        <v>45054.54091435186</v>
      </c>
      <c r="C751" s="1" t="n">
        <v>46120</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19994-2023</t>
        </is>
      </c>
      <c r="B752" s="1" t="n">
        <v>45054</v>
      </c>
      <c r="C752" s="1" t="n">
        <v>46120</v>
      </c>
      <c r="D752" t="inlineStr">
        <is>
          <t>STOCKHOLMS LÄN</t>
        </is>
      </c>
      <c r="E752" t="inlineStr">
        <is>
          <t>NORRTÄLJE</t>
        </is>
      </c>
      <c r="G752" t="n">
        <v>4.3</v>
      </c>
      <c r="H752" t="n">
        <v>0</v>
      </c>
      <c r="I752" t="n">
        <v>0</v>
      </c>
      <c r="J752" t="n">
        <v>0</v>
      </c>
      <c r="K752" t="n">
        <v>0</v>
      </c>
      <c r="L752" t="n">
        <v>0</v>
      </c>
      <c r="M752" t="n">
        <v>0</v>
      </c>
      <c r="N752" t="n">
        <v>0</v>
      </c>
      <c r="O752" t="n">
        <v>0</v>
      </c>
      <c r="P752" t="n">
        <v>0</v>
      </c>
      <c r="Q752" t="n">
        <v>0</v>
      </c>
      <c r="R752" s="2" t="inlineStr"/>
    </row>
    <row r="753" ht="15" customHeight="1">
      <c r="A753" t="inlineStr">
        <is>
          <t>A 29003-2023</t>
        </is>
      </c>
      <c r="B753" s="1" t="n">
        <v>45104</v>
      </c>
      <c r="C753" s="1" t="n">
        <v>46120</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30668-2025</t>
        </is>
      </c>
      <c r="B754" s="1" t="n">
        <v>45831.51659722222</v>
      </c>
      <c r="C754" s="1" t="n">
        <v>46120</v>
      </c>
      <c r="D754" t="inlineStr">
        <is>
          <t>STOCKHOLMS LÄN</t>
        </is>
      </c>
      <c r="E754" t="inlineStr">
        <is>
          <t>NORRTÄLJE</t>
        </is>
      </c>
      <c r="G754" t="n">
        <v>4.9</v>
      </c>
      <c r="H754" t="n">
        <v>0</v>
      </c>
      <c r="I754" t="n">
        <v>0</v>
      </c>
      <c r="J754" t="n">
        <v>0</v>
      </c>
      <c r="K754" t="n">
        <v>0</v>
      </c>
      <c r="L754" t="n">
        <v>0</v>
      </c>
      <c r="M754" t="n">
        <v>0</v>
      </c>
      <c r="N754" t="n">
        <v>0</v>
      </c>
      <c r="O754" t="n">
        <v>0</v>
      </c>
      <c r="P754" t="n">
        <v>0</v>
      </c>
      <c r="Q754" t="n">
        <v>0</v>
      </c>
      <c r="R754" s="2" t="inlineStr"/>
    </row>
    <row r="755" ht="15" customHeight="1">
      <c r="A755" t="inlineStr">
        <is>
          <t>A 15956-2023</t>
        </is>
      </c>
      <c r="B755" s="1" t="n">
        <v>45022.61003472222</v>
      </c>
      <c r="C755" s="1" t="n">
        <v>46120</v>
      </c>
      <c r="D755" t="inlineStr">
        <is>
          <t>STOCKHOLMS LÄN</t>
        </is>
      </c>
      <c r="E755" t="inlineStr">
        <is>
          <t>NORRTÄLJE</t>
        </is>
      </c>
      <c r="G755" t="n">
        <v>2.3</v>
      </c>
      <c r="H755" t="n">
        <v>0</v>
      </c>
      <c r="I755" t="n">
        <v>0</v>
      </c>
      <c r="J755" t="n">
        <v>0</v>
      </c>
      <c r="K755" t="n">
        <v>0</v>
      </c>
      <c r="L755" t="n">
        <v>0</v>
      </c>
      <c r="M755" t="n">
        <v>0</v>
      </c>
      <c r="N755" t="n">
        <v>0</v>
      </c>
      <c r="O755" t="n">
        <v>0</v>
      </c>
      <c r="P755" t="n">
        <v>0</v>
      </c>
      <c r="Q755" t="n">
        <v>0</v>
      </c>
      <c r="R755" s="2" t="inlineStr"/>
    </row>
    <row r="756" ht="15" customHeight="1">
      <c r="A756" t="inlineStr">
        <is>
          <t>A 58403-2025</t>
        </is>
      </c>
      <c r="B756" s="1" t="n">
        <v>45985.56777777777</v>
      </c>
      <c r="C756" s="1" t="n">
        <v>46120</v>
      </c>
      <c r="D756" t="inlineStr">
        <is>
          <t>STOCKHOLMS LÄN</t>
        </is>
      </c>
      <c r="E756" t="inlineStr">
        <is>
          <t>NORRTÄLJE</t>
        </is>
      </c>
      <c r="F756" t="inlineStr">
        <is>
          <t>Naturvårdsverket</t>
        </is>
      </c>
      <c r="G756" t="n">
        <v>13.5</v>
      </c>
      <c r="H756" t="n">
        <v>0</v>
      </c>
      <c r="I756" t="n">
        <v>0</v>
      </c>
      <c r="J756" t="n">
        <v>0</v>
      </c>
      <c r="K756" t="n">
        <v>0</v>
      </c>
      <c r="L756" t="n">
        <v>0</v>
      </c>
      <c r="M756" t="n">
        <v>0</v>
      </c>
      <c r="N756" t="n">
        <v>0</v>
      </c>
      <c r="O756" t="n">
        <v>0</v>
      </c>
      <c r="P756" t="n">
        <v>0</v>
      </c>
      <c r="Q756" t="n">
        <v>0</v>
      </c>
      <c r="R756" s="2" t="inlineStr"/>
    </row>
    <row r="757" ht="15" customHeight="1">
      <c r="A757" t="inlineStr">
        <is>
          <t>A 13053-2022</t>
        </is>
      </c>
      <c r="B757" s="1" t="n">
        <v>44643</v>
      </c>
      <c r="C757" s="1" t="n">
        <v>46120</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30639-2025</t>
        </is>
      </c>
      <c r="B758" s="1" t="n">
        <v>45831.4844212963</v>
      </c>
      <c r="C758" s="1" t="n">
        <v>46120</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3383-2023</t>
        </is>
      </c>
      <c r="B759" s="1" t="n">
        <v>44949</v>
      </c>
      <c r="C759" s="1" t="n">
        <v>46120</v>
      </c>
      <c r="D759" t="inlineStr">
        <is>
          <t>STOCKHOLMS LÄN</t>
        </is>
      </c>
      <c r="E759" t="inlineStr">
        <is>
          <t>NORRTÄLJE</t>
        </is>
      </c>
      <c r="G759" t="n">
        <v>14.6</v>
      </c>
      <c r="H759" t="n">
        <v>0</v>
      </c>
      <c r="I759" t="n">
        <v>0</v>
      </c>
      <c r="J759" t="n">
        <v>0</v>
      </c>
      <c r="K759" t="n">
        <v>0</v>
      </c>
      <c r="L759" t="n">
        <v>0</v>
      </c>
      <c r="M759" t="n">
        <v>0</v>
      </c>
      <c r="N759" t="n">
        <v>0</v>
      </c>
      <c r="O759" t="n">
        <v>0</v>
      </c>
      <c r="P759" t="n">
        <v>0</v>
      </c>
      <c r="Q759" t="n">
        <v>0</v>
      </c>
      <c r="R759" s="2" t="inlineStr"/>
    </row>
    <row r="760" ht="15" customHeight="1">
      <c r="A760" t="inlineStr">
        <is>
          <t>A 31170-2025</t>
        </is>
      </c>
      <c r="B760" s="1" t="n">
        <v>45832.66385416667</v>
      </c>
      <c r="C760" s="1" t="n">
        <v>46120</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4316-2023</t>
        </is>
      </c>
      <c r="B761" s="1" t="n">
        <v>44953.67443287037</v>
      </c>
      <c r="C761" s="1" t="n">
        <v>46120</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58939-2025</t>
        </is>
      </c>
      <c r="B762" s="1" t="n">
        <v>45987.5681712963</v>
      </c>
      <c r="C762" s="1" t="n">
        <v>46120</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5839-2023</t>
        </is>
      </c>
      <c r="B763" s="1" t="n">
        <v>44963</v>
      </c>
      <c r="C763" s="1" t="n">
        <v>46120</v>
      </c>
      <c r="D763" t="inlineStr">
        <is>
          <t>STOCKHOLMS LÄN</t>
        </is>
      </c>
      <c r="E763" t="inlineStr">
        <is>
          <t>NORRTÄLJE</t>
        </is>
      </c>
      <c r="G763" t="n">
        <v>3.6</v>
      </c>
      <c r="H763" t="n">
        <v>0</v>
      </c>
      <c r="I763" t="n">
        <v>0</v>
      </c>
      <c r="J763" t="n">
        <v>0</v>
      </c>
      <c r="K763" t="n">
        <v>0</v>
      </c>
      <c r="L763" t="n">
        <v>0</v>
      </c>
      <c r="M763" t="n">
        <v>0</v>
      </c>
      <c r="N763" t="n">
        <v>0</v>
      </c>
      <c r="O763" t="n">
        <v>0</v>
      </c>
      <c r="P763" t="n">
        <v>0</v>
      </c>
      <c r="Q763" t="n">
        <v>0</v>
      </c>
      <c r="R763" s="2" t="inlineStr"/>
    </row>
    <row r="764" ht="15" customHeight="1">
      <c r="A764" t="inlineStr">
        <is>
          <t>A 5804-2025</t>
        </is>
      </c>
      <c r="B764" s="1" t="n">
        <v>45694.68207175926</v>
      </c>
      <c r="C764" s="1" t="n">
        <v>46120</v>
      </c>
      <c r="D764" t="inlineStr">
        <is>
          <t>STOCKHOLMS LÄN</t>
        </is>
      </c>
      <c r="E764" t="inlineStr">
        <is>
          <t>NORRTÄLJE</t>
        </is>
      </c>
      <c r="F764" t="inlineStr">
        <is>
          <t>Holmen skog AB</t>
        </is>
      </c>
      <c r="G764" t="n">
        <v>2.6</v>
      </c>
      <c r="H764" t="n">
        <v>0</v>
      </c>
      <c r="I764" t="n">
        <v>0</v>
      </c>
      <c r="J764" t="n">
        <v>0</v>
      </c>
      <c r="K764" t="n">
        <v>0</v>
      </c>
      <c r="L764" t="n">
        <v>0</v>
      </c>
      <c r="M764" t="n">
        <v>0</v>
      </c>
      <c r="N764" t="n">
        <v>0</v>
      </c>
      <c r="O764" t="n">
        <v>0</v>
      </c>
      <c r="P764" t="n">
        <v>0</v>
      </c>
      <c r="Q764" t="n">
        <v>0</v>
      </c>
      <c r="R764" s="2" t="inlineStr"/>
    </row>
    <row r="765" ht="15" customHeight="1">
      <c r="A765" t="inlineStr">
        <is>
          <t>A 24705-2023</t>
        </is>
      </c>
      <c r="B765" s="1" t="n">
        <v>45084.54459490741</v>
      </c>
      <c r="C765" s="1" t="n">
        <v>46120</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57788-2025</t>
        </is>
      </c>
      <c r="B766" s="1" t="n">
        <v>45981.5778125</v>
      </c>
      <c r="C766" s="1" t="n">
        <v>46120</v>
      </c>
      <c r="D766" t="inlineStr">
        <is>
          <t>STOCKHOLMS LÄN</t>
        </is>
      </c>
      <c r="E766" t="inlineStr">
        <is>
          <t>NORRTÄLJE</t>
        </is>
      </c>
      <c r="G766" t="n">
        <v>1.6</v>
      </c>
      <c r="H766" t="n">
        <v>0</v>
      </c>
      <c r="I766" t="n">
        <v>0</v>
      </c>
      <c r="J766" t="n">
        <v>0</v>
      </c>
      <c r="K766" t="n">
        <v>0</v>
      </c>
      <c r="L766" t="n">
        <v>0</v>
      </c>
      <c r="M766" t="n">
        <v>0</v>
      </c>
      <c r="N766" t="n">
        <v>0</v>
      </c>
      <c r="O766" t="n">
        <v>0</v>
      </c>
      <c r="P766" t="n">
        <v>0</v>
      </c>
      <c r="Q766" t="n">
        <v>0</v>
      </c>
      <c r="R766" s="2" t="inlineStr"/>
    </row>
    <row r="767" ht="15" customHeight="1">
      <c r="A767" t="inlineStr">
        <is>
          <t>A 54358-2022</t>
        </is>
      </c>
      <c r="B767" s="1" t="n">
        <v>44882</v>
      </c>
      <c r="C767" s="1" t="n">
        <v>46120</v>
      </c>
      <c r="D767" t="inlineStr">
        <is>
          <t>STOCKHOLMS LÄN</t>
        </is>
      </c>
      <c r="E767" t="inlineStr">
        <is>
          <t>NORRTÄLJE</t>
        </is>
      </c>
      <c r="G767" t="n">
        <v>3.3</v>
      </c>
      <c r="H767" t="n">
        <v>0</v>
      </c>
      <c r="I767" t="n">
        <v>0</v>
      </c>
      <c r="J767" t="n">
        <v>0</v>
      </c>
      <c r="K767" t="n">
        <v>0</v>
      </c>
      <c r="L767" t="n">
        <v>0</v>
      </c>
      <c r="M767" t="n">
        <v>0</v>
      </c>
      <c r="N767" t="n">
        <v>0</v>
      </c>
      <c r="O767" t="n">
        <v>0</v>
      </c>
      <c r="P767" t="n">
        <v>0</v>
      </c>
      <c r="Q767" t="n">
        <v>0</v>
      </c>
      <c r="R767" s="2" t="inlineStr"/>
    </row>
    <row r="768" ht="15" customHeight="1">
      <c r="A768" t="inlineStr">
        <is>
          <t>A 23749-2024</t>
        </is>
      </c>
      <c r="B768" s="1" t="n">
        <v>45455.33037037037</v>
      </c>
      <c r="C768" s="1" t="n">
        <v>46120</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59672-2025</t>
        </is>
      </c>
      <c r="B769" s="1" t="n">
        <v>45992.45884259259</v>
      </c>
      <c r="C769" s="1" t="n">
        <v>46120</v>
      </c>
      <c r="D769" t="inlineStr">
        <is>
          <t>STOCKHOLMS LÄN</t>
        </is>
      </c>
      <c r="E769" t="inlineStr">
        <is>
          <t>NORRTÄLJE</t>
        </is>
      </c>
      <c r="G769" t="n">
        <v>4</v>
      </c>
      <c r="H769" t="n">
        <v>0</v>
      </c>
      <c r="I769" t="n">
        <v>0</v>
      </c>
      <c r="J769" t="n">
        <v>0</v>
      </c>
      <c r="K769" t="n">
        <v>0</v>
      </c>
      <c r="L769" t="n">
        <v>0</v>
      </c>
      <c r="M769" t="n">
        <v>0</v>
      </c>
      <c r="N769" t="n">
        <v>0</v>
      </c>
      <c r="O769" t="n">
        <v>0</v>
      </c>
      <c r="P769" t="n">
        <v>0</v>
      </c>
      <c r="Q769" t="n">
        <v>0</v>
      </c>
      <c r="R769" s="2" t="inlineStr"/>
    </row>
    <row r="770" ht="15" customHeight="1">
      <c r="A770" t="inlineStr">
        <is>
          <t>A 35698-2023</t>
        </is>
      </c>
      <c r="B770" s="1" t="n">
        <v>45147</v>
      </c>
      <c r="C770" s="1" t="n">
        <v>46120</v>
      </c>
      <c r="D770" t="inlineStr">
        <is>
          <t>STOCKHOLMS LÄN</t>
        </is>
      </c>
      <c r="E770" t="inlineStr">
        <is>
          <t>NORRTÄLJE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60223-2025</t>
        </is>
      </c>
      <c r="B771" s="1" t="n">
        <v>45994.54497685185</v>
      </c>
      <c r="C771" s="1" t="n">
        <v>46120</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59914-2025</t>
        </is>
      </c>
      <c r="B772" s="1" t="n">
        <v>45993.37056712963</v>
      </c>
      <c r="C772" s="1" t="n">
        <v>46120</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31874-2025</t>
        </is>
      </c>
      <c r="B773" s="1" t="n">
        <v>45834</v>
      </c>
      <c r="C773" s="1" t="n">
        <v>46120</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73992-2021</t>
        </is>
      </c>
      <c r="B774" s="1" t="n">
        <v>44556</v>
      </c>
      <c r="C774" s="1" t="n">
        <v>46120</v>
      </c>
      <c r="D774" t="inlineStr">
        <is>
          <t>STOCKHOLMS LÄN</t>
        </is>
      </c>
      <c r="E774" t="inlineStr">
        <is>
          <t>NORRTÄLJE</t>
        </is>
      </c>
      <c r="G774" t="n">
        <v>12.5</v>
      </c>
      <c r="H774" t="n">
        <v>0</v>
      </c>
      <c r="I774" t="n">
        <v>0</v>
      </c>
      <c r="J774" t="n">
        <v>0</v>
      </c>
      <c r="K774" t="n">
        <v>0</v>
      </c>
      <c r="L774" t="n">
        <v>0</v>
      </c>
      <c r="M774" t="n">
        <v>0</v>
      </c>
      <c r="N774" t="n">
        <v>0</v>
      </c>
      <c r="O774" t="n">
        <v>0</v>
      </c>
      <c r="P774" t="n">
        <v>0</v>
      </c>
      <c r="Q774" t="n">
        <v>0</v>
      </c>
      <c r="R774" s="2" t="inlineStr"/>
    </row>
    <row r="775" ht="15" customHeight="1">
      <c r="A775" t="inlineStr">
        <is>
          <t>A 31868-2025</t>
        </is>
      </c>
      <c r="B775" s="1" t="n">
        <v>45834.6447337963</v>
      </c>
      <c r="C775" s="1" t="n">
        <v>46120</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59041-2025</t>
        </is>
      </c>
      <c r="B776" s="1" t="n">
        <v>45988</v>
      </c>
      <c r="C776" s="1" t="n">
        <v>46120</v>
      </c>
      <c r="D776" t="inlineStr">
        <is>
          <t>STOCKHOLMS LÄN</t>
        </is>
      </c>
      <c r="E776" t="inlineStr">
        <is>
          <t>NORRTÄLJE</t>
        </is>
      </c>
      <c r="G776" t="n">
        <v>6.6</v>
      </c>
      <c r="H776" t="n">
        <v>0</v>
      </c>
      <c r="I776" t="n">
        <v>0</v>
      </c>
      <c r="J776" t="n">
        <v>0</v>
      </c>
      <c r="K776" t="n">
        <v>0</v>
      </c>
      <c r="L776" t="n">
        <v>0</v>
      </c>
      <c r="M776" t="n">
        <v>0</v>
      </c>
      <c r="N776" t="n">
        <v>0</v>
      </c>
      <c r="O776" t="n">
        <v>0</v>
      </c>
      <c r="P776" t="n">
        <v>0</v>
      </c>
      <c r="Q776" t="n">
        <v>0</v>
      </c>
      <c r="R776" s="2" t="inlineStr"/>
    </row>
    <row r="777" ht="15" customHeight="1">
      <c r="A777" t="inlineStr">
        <is>
          <t>A 21329-2022</t>
        </is>
      </c>
      <c r="B777" s="1" t="n">
        <v>44705.60626157407</v>
      </c>
      <c r="C777" s="1" t="n">
        <v>46120</v>
      </c>
      <c r="D777" t="inlineStr">
        <is>
          <t>STOCKHOLMS LÄN</t>
        </is>
      </c>
      <c r="E777" t="inlineStr">
        <is>
          <t>NORRTÄLJE</t>
        </is>
      </c>
      <c r="G777" t="n">
        <v>4.1</v>
      </c>
      <c r="H777" t="n">
        <v>0</v>
      </c>
      <c r="I777" t="n">
        <v>0</v>
      </c>
      <c r="J777" t="n">
        <v>0</v>
      </c>
      <c r="K777" t="n">
        <v>0</v>
      </c>
      <c r="L777" t="n">
        <v>0</v>
      </c>
      <c r="M777" t="n">
        <v>0</v>
      </c>
      <c r="N777" t="n">
        <v>0</v>
      </c>
      <c r="O777" t="n">
        <v>0</v>
      </c>
      <c r="P777" t="n">
        <v>0</v>
      </c>
      <c r="Q777" t="n">
        <v>0</v>
      </c>
      <c r="R777" s="2" t="inlineStr"/>
    </row>
    <row r="778" ht="15" customHeight="1">
      <c r="A778" t="inlineStr">
        <is>
          <t>A 6413-2025</t>
        </is>
      </c>
      <c r="B778" s="1" t="n">
        <v>45699.46283564815</v>
      </c>
      <c r="C778" s="1" t="n">
        <v>46120</v>
      </c>
      <c r="D778" t="inlineStr">
        <is>
          <t>STOCKHOLMS LÄN</t>
        </is>
      </c>
      <c r="E778" t="inlineStr">
        <is>
          <t>NORRTÄLJE</t>
        </is>
      </c>
      <c r="G778" t="n">
        <v>3.6</v>
      </c>
      <c r="H778" t="n">
        <v>0</v>
      </c>
      <c r="I778" t="n">
        <v>0</v>
      </c>
      <c r="J778" t="n">
        <v>0</v>
      </c>
      <c r="K778" t="n">
        <v>0</v>
      </c>
      <c r="L778" t="n">
        <v>0</v>
      </c>
      <c r="M778" t="n">
        <v>0</v>
      </c>
      <c r="N778" t="n">
        <v>0</v>
      </c>
      <c r="O778" t="n">
        <v>0</v>
      </c>
      <c r="P778" t="n">
        <v>0</v>
      </c>
      <c r="Q778" t="n">
        <v>0</v>
      </c>
      <c r="R778" s="2" t="inlineStr"/>
    </row>
    <row r="779" ht="15" customHeight="1">
      <c r="A779" t="inlineStr">
        <is>
          <t>A 54276-2021</t>
        </is>
      </c>
      <c r="B779" s="1" t="n">
        <v>44470</v>
      </c>
      <c r="C779" s="1" t="n">
        <v>46120</v>
      </c>
      <c r="D779" t="inlineStr">
        <is>
          <t>STOCKHOLMS LÄN</t>
        </is>
      </c>
      <c r="E779" t="inlineStr">
        <is>
          <t>NORRTÄLJE</t>
        </is>
      </c>
      <c r="G779" t="n">
        <v>7.3</v>
      </c>
      <c r="H779" t="n">
        <v>0</v>
      </c>
      <c r="I779" t="n">
        <v>0</v>
      </c>
      <c r="J779" t="n">
        <v>0</v>
      </c>
      <c r="K779" t="n">
        <v>0</v>
      </c>
      <c r="L779" t="n">
        <v>0</v>
      </c>
      <c r="M779" t="n">
        <v>0</v>
      </c>
      <c r="N779" t="n">
        <v>0</v>
      </c>
      <c r="O779" t="n">
        <v>0</v>
      </c>
      <c r="P779" t="n">
        <v>0</v>
      </c>
      <c r="Q779" t="n">
        <v>0</v>
      </c>
      <c r="R779" s="2" t="inlineStr"/>
    </row>
    <row r="780" ht="15" customHeight="1">
      <c r="A780" t="inlineStr">
        <is>
          <t>A 60214-2025</t>
        </is>
      </c>
      <c r="B780" s="1" t="n">
        <v>45994.53761574074</v>
      </c>
      <c r="C780" s="1" t="n">
        <v>46120</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60253-2025</t>
        </is>
      </c>
      <c r="B781" s="1" t="n">
        <v>45994.59827546297</v>
      </c>
      <c r="C781" s="1" t="n">
        <v>46120</v>
      </c>
      <c r="D781" t="inlineStr">
        <is>
          <t>STOCKHOLMS LÄN</t>
        </is>
      </c>
      <c r="E781" t="inlineStr">
        <is>
          <t>NORRTÄLJE</t>
        </is>
      </c>
      <c r="F781" t="inlineStr">
        <is>
          <t>Holmen skog AB</t>
        </is>
      </c>
      <c r="G781" t="n">
        <v>3.6</v>
      </c>
      <c r="H781" t="n">
        <v>0</v>
      </c>
      <c r="I781" t="n">
        <v>0</v>
      </c>
      <c r="J781" t="n">
        <v>0</v>
      </c>
      <c r="K781" t="n">
        <v>0</v>
      </c>
      <c r="L781" t="n">
        <v>0</v>
      </c>
      <c r="M781" t="n">
        <v>0</v>
      </c>
      <c r="N781" t="n">
        <v>0</v>
      </c>
      <c r="O781" t="n">
        <v>0</v>
      </c>
      <c r="P781" t="n">
        <v>0</v>
      </c>
      <c r="Q781" t="n">
        <v>0</v>
      </c>
      <c r="R781" s="2" t="inlineStr"/>
    </row>
    <row r="782" ht="15" customHeight="1">
      <c r="A782" t="inlineStr">
        <is>
          <t>A 59907-2025</t>
        </is>
      </c>
      <c r="B782" s="1" t="n">
        <v>45993.35350694445</v>
      </c>
      <c r="C782" s="1" t="n">
        <v>46120</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59924-2025</t>
        </is>
      </c>
      <c r="B783" s="1" t="n">
        <v>45993.38928240741</v>
      </c>
      <c r="C783" s="1" t="n">
        <v>46120</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10090-2022</t>
        </is>
      </c>
      <c r="B784" s="1" t="n">
        <v>44621</v>
      </c>
      <c r="C784" s="1" t="n">
        <v>46120</v>
      </c>
      <c r="D784" t="inlineStr">
        <is>
          <t>STOCKHOLMS LÄN</t>
        </is>
      </c>
      <c r="E784" t="inlineStr">
        <is>
          <t>NORRTÄLJE</t>
        </is>
      </c>
      <c r="G784" t="n">
        <v>5.2</v>
      </c>
      <c r="H784" t="n">
        <v>0</v>
      </c>
      <c r="I784" t="n">
        <v>0</v>
      </c>
      <c r="J784" t="n">
        <v>0</v>
      </c>
      <c r="K784" t="n">
        <v>0</v>
      </c>
      <c r="L784" t="n">
        <v>0</v>
      </c>
      <c r="M784" t="n">
        <v>0</v>
      </c>
      <c r="N784" t="n">
        <v>0</v>
      </c>
      <c r="O784" t="n">
        <v>0</v>
      </c>
      <c r="P784" t="n">
        <v>0</v>
      </c>
      <c r="Q784" t="n">
        <v>0</v>
      </c>
      <c r="R784" s="2" t="inlineStr"/>
    </row>
    <row r="785" ht="15" customHeight="1">
      <c r="A785" t="inlineStr">
        <is>
          <t>A 13785-2024</t>
        </is>
      </c>
      <c r="B785" s="1" t="n">
        <v>45391.3395949074</v>
      </c>
      <c r="C785" s="1" t="n">
        <v>46120</v>
      </c>
      <c r="D785" t="inlineStr">
        <is>
          <t>STOCKHOLMS LÄN</t>
        </is>
      </c>
      <c r="E785" t="inlineStr">
        <is>
          <t>NORRTÄLJE</t>
        </is>
      </c>
      <c r="G785" t="n">
        <v>5</v>
      </c>
      <c r="H785" t="n">
        <v>0</v>
      </c>
      <c r="I785" t="n">
        <v>0</v>
      </c>
      <c r="J785" t="n">
        <v>0</v>
      </c>
      <c r="K785" t="n">
        <v>0</v>
      </c>
      <c r="L785" t="n">
        <v>0</v>
      </c>
      <c r="M785" t="n">
        <v>0</v>
      </c>
      <c r="N785" t="n">
        <v>0</v>
      </c>
      <c r="O785" t="n">
        <v>0</v>
      </c>
      <c r="P785" t="n">
        <v>0</v>
      </c>
      <c r="Q785" t="n">
        <v>0</v>
      </c>
      <c r="R785" s="2" t="inlineStr"/>
    </row>
    <row r="786" ht="15" customHeight="1">
      <c r="A786" t="inlineStr">
        <is>
          <t>A 31880-2025</t>
        </is>
      </c>
      <c r="B786" s="1" t="n">
        <v>45834.65538194445</v>
      </c>
      <c r="C786" s="1" t="n">
        <v>46120</v>
      </c>
      <c r="D786" t="inlineStr">
        <is>
          <t>STOCKHOLMS LÄN</t>
        </is>
      </c>
      <c r="E786" t="inlineStr">
        <is>
          <t>NORRTÄLJE</t>
        </is>
      </c>
      <c r="G786" t="n">
        <v>1.4</v>
      </c>
      <c r="H786" t="n">
        <v>0</v>
      </c>
      <c r="I786" t="n">
        <v>0</v>
      </c>
      <c r="J786" t="n">
        <v>0</v>
      </c>
      <c r="K786" t="n">
        <v>0</v>
      </c>
      <c r="L786" t="n">
        <v>0</v>
      </c>
      <c r="M786" t="n">
        <v>0</v>
      </c>
      <c r="N786" t="n">
        <v>0</v>
      </c>
      <c r="O786" t="n">
        <v>0</v>
      </c>
      <c r="P786" t="n">
        <v>0</v>
      </c>
      <c r="Q786" t="n">
        <v>0</v>
      </c>
      <c r="R786" s="2" t="inlineStr"/>
    </row>
    <row r="787" ht="15" customHeight="1">
      <c r="A787" t="inlineStr">
        <is>
          <t>A 51116-2022</t>
        </is>
      </c>
      <c r="B787" s="1" t="n">
        <v>44868.45741898148</v>
      </c>
      <c r="C787" s="1" t="n">
        <v>46120</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32283-2025</t>
        </is>
      </c>
      <c r="B788" s="1" t="n">
        <v>45835.68076388889</v>
      </c>
      <c r="C788" s="1" t="n">
        <v>46120</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29972-2024</t>
        </is>
      </c>
      <c r="B789" s="1" t="n">
        <v>45485</v>
      </c>
      <c r="C789" s="1" t="n">
        <v>46120</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60649-2025</t>
        </is>
      </c>
      <c r="B790" s="1" t="n">
        <v>45996.4560300926</v>
      </c>
      <c r="C790" s="1" t="n">
        <v>46120</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32122-2025</t>
        </is>
      </c>
      <c r="B791" s="1" t="n">
        <v>45835.4928125</v>
      </c>
      <c r="C791" s="1" t="n">
        <v>46120</v>
      </c>
      <c r="D791" t="inlineStr">
        <is>
          <t>STOCKHOLMS LÄN</t>
        </is>
      </c>
      <c r="E791" t="inlineStr">
        <is>
          <t>NORRTÄLJE</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28809-2023</t>
        </is>
      </c>
      <c r="B792" s="1" t="n">
        <v>45104</v>
      </c>
      <c r="C792" s="1" t="n">
        <v>46120</v>
      </c>
      <c r="D792" t="inlineStr">
        <is>
          <t>STOCKHOLMS LÄN</t>
        </is>
      </c>
      <c r="E792" t="inlineStr">
        <is>
          <t>NORRTÄLJE</t>
        </is>
      </c>
      <c r="G792" t="n">
        <v>1.8</v>
      </c>
      <c r="H792" t="n">
        <v>0</v>
      </c>
      <c r="I792" t="n">
        <v>0</v>
      </c>
      <c r="J792" t="n">
        <v>0</v>
      </c>
      <c r="K792" t="n">
        <v>0</v>
      </c>
      <c r="L792" t="n">
        <v>0</v>
      </c>
      <c r="M792" t="n">
        <v>0</v>
      </c>
      <c r="N792" t="n">
        <v>0</v>
      </c>
      <c r="O792" t="n">
        <v>0</v>
      </c>
      <c r="P792" t="n">
        <v>0</v>
      </c>
      <c r="Q792" t="n">
        <v>0</v>
      </c>
      <c r="R792" s="2" t="inlineStr"/>
    </row>
    <row r="793" ht="15" customHeight="1">
      <c r="A793" t="inlineStr">
        <is>
          <t>A 28813-2023</t>
        </is>
      </c>
      <c r="B793" s="1" t="n">
        <v>45104</v>
      </c>
      <c r="C793" s="1" t="n">
        <v>46120</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60745-2025</t>
        </is>
      </c>
      <c r="B794" s="1" t="n">
        <v>45999.37753472223</v>
      </c>
      <c r="C794" s="1" t="n">
        <v>46120</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19131-2025</t>
        </is>
      </c>
      <c r="B795" s="1" t="n">
        <v>45769</v>
      </c>
      <c r="C795" s="1" t="n">
        <v>46120</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11929-2024</t>
        </is>
      </c>
      <c r="B796" s="1" t="n">
        <v>45376.64532407407</v>
      </c>
      <c r="C796" s="1" t="n">
        <v>46120</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60928-2025</t>
        </is>
      </c>
      <c r="B797" s="1" t="n">
        <v>45999.633125</v>
      </c>
      <c r="C797" s="1" t="n">
        <v>46120</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60948-2025</t>
        </is>
      </c>
      <c r="B798" s="1" t="n">
        <v>45999.650625</v>
      </c>
      <c r="C798" s="1" t="n">
        <v>46120</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64145-2021</t>
        </is>
      </c>
      <c r="B799" s="1" t="n">
        <v>44510</v>
      </c>
      <c r="C799" s="1" t="n">
        <v>46120</v>
      </c>
      <c r="D799" t="inlineStr">
        <is>
          <t>STOCKHOLMS LÄN</t>
        </is>
      </c>
      <c r="E799" t="inlineStr">
        <is>
          <t>NORRTÄLJE</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45451-2024</t>
        </is>
      </c>
      <c r="B800" s="1" t="n">
        <v>45576</v>
      </c>
      <c r="C800" s="1" t="n">
        <v>46120</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61160-2025</t>
        </is>
      </c>
      <c r="B801" s="1" t="n">
        <v>46000.55262731481</v>
      </c>
      <c r="C801" s="1" t="n">
        <v>46120</v>
      </c>
      <c r="D801" t="inlineStr">
        <is>
          <t>STOCKHOLMS LÄN</t>
        </is>
      </c>
      <c r="E801" t="inlineStr">
        <is>
          <t>NORRTÄLJE</t>
        </is>
      </c>
      <c r="G801" t="n">
        <v>5.3</v>
      </c>
      <c r="H801" t="n">
        <v>0</v>
      </c>
      <c r="I801" t="n">
        <v>0</v>
      </c>
      <c r="J801" t="n">
        <v>0</v>
      </c>
      <c r="K801" t="n">
        <v>0</v>
      </c>
      <c r="L801" t="n">
        <v>0</v>
      </c>
      <c r="M801" t="n">
        <v>0</v>
      </c>
      <c r="N801" t="n">
        <v>0</v>
      </c>
      <c r="O801" t="n">
        <v>0</v>
      </c>
      <c r="P801" t="n">
        <v>0</v>
      </c>
      <c r="Q801" t="n">
        <v>0</v>
      </c>
      <c r="R801" s="2" t="inlineStr"/>
    </row>
    <row r="802" ht="15" customHeight="1">
      <c r="A802" t="inlineStr">
        <is>
          <t>A 32094-2025</t>
        </is>
      </c>
      <c r="B802" s="1" t="n">
        <v>45835.46034722222</v>
      </c>
      <c r="C802" s="1" t="n">
        <v>46120</v>
      </c>
      <c r="D802" t="inlineStr">
        <is>
          <t>STOCKHOLMS LÄN</t>
        </is>
      </c>
      <c r="E802" t="inlineStr">
        <is>
          <t>NORRTÄLJE</t>
        </is>
      </c>
      <c r="F802" t="inlineStr">
        <is>
          <t>Holmen skog AB</t>
        </is>
      </c>
      <c r="G802" t="n">
        <v>2.9</v>
      </c>
      <c r="H802" t="n">
        <v>0</v>
      </c>
      <c r="I802" t="n">
        <v>0</v>
      </c>
      <c r="J802" t="n">
        <v>0</v>
      </c>
      <c r="K802" t="n">
        <v>0</v>
      </c>
      <c r="L802" t="n">
        <v>0</v>
      </c>
      <c r="M802" t="n">
        <v>0</v>
      </c>
      <c r="N802" t="n">
        <v>0</v>
      </c>
      <c r="O802" t="n">
        <v>0</v>
      </c>
      <c r="P802" t="n">
        <v>0</v>
      </c>
      <c r="Q802" t="n">
        <v>0</v>
      </c>
      <c r="R802" s="2" t="inlineStr"/>
    </row>
    <row r="803" ht="15" customHeight="1">
      <c r="A803" t="inlineStr">
        <is>
          <t>A 32016-2025</t>
        </is>
      </c>
      <c r="B803" s="1" t="n">
        <v>45835</v>
      </c>
      <c r="C803" s="1" t="n">
        <v>46120</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32396-2025</t>
        </is>
      </c>
      <c r="B804" s="1" t="n">
        <v>45837</v>
      </c>
      <c r="C804" s="1" t="n">
        <v>46120</v>
      </c>
      <c r="D804" t="inlineStr">
        <is>
          <t>STOCKHOLMS LÄN</t>
        </is>
      </c>
      <c r="E804" t="inlineStr">
        <is>
          <t>NORRTÄLJE</t>
        </is>
      </c>
      <c r="G804" t="n">
        <v>2</v>
      </c>
      <c r="H804" t="n">
        <v>0</v>
      </c>
      <c r="I804" t="n">
        <v>0</v>
      </c>
      <c r="J804" t="n">
        <v>0</v>
      </c>
      <c r="K804" t="n">
        <v>0</v>
      </c>
      <c r="L804" t="n">
        <v>0</v>
      </c>
      <c r="M804" t="n">
        <v>0</v>
      </c>
      <c r="N804" t="n">
        <v>0</v>
      </c>
      <c r="O804" t="n">
        <v>0</v>
      </c>
      <c r="P804" t="n">
        <v>0</v>
      </c>
      <c r="Q804" t="n">
        <v>0</v>
      </c>
      <c r="R804" s="2" t="inlineStr"/>
    </row>
    <row r="805" ht="15" customHeight="1">
      <c r="A805" t="inlineStr">
        <is>
          <t>A 32397-2025</t>
        </is>
      </c>
      <c r="B805" s="1" t="n">
        <v>45837.94081018519</v>
      </c>
      <c r="C805" s="1" t="n">
        <v>46120</v>
      </c>
      <c r="D805" t="inlineStr">
        <is>
          <t>STOCKHOLMS LÄN</t>
        </is>
      </c>
      <c r="E805" t="inlineStr">
        <is>
          <t>NORRTÄLJE</t>
        </is>
      </c>
      <c r="G805" t="n">
        <v>5.9</v>
      </c>
      <c r="H805" t="n">
        <v>0</v>
      </c>
      <c r="I805" t="n">
        <v>0</v>
      </c>
      <c r="J805" t="n">
        <v>0</v>
      </c>
      <c r="K805" t="n">
        <v>0</v>
      </c>
      <c r="L805" t="n">
        <v>0</v>
      </c>
      <c r="M805" t="n">
        <v>0</v>
      </c>
      <c r="N805" t="n">
        <v>0</v>
      </c>
      <c r="O805" t="n">
        <v>0</v>
      </c>
      <c r="P805" t="n">
        <v>0</v>
      </c>
      <c r="Q805" t="n">
        <v>0</v>
      </c>
      <c r="R805" s="2" t="inlineStr"/>
    </row>
    <row r="806" ht="15" customHeight="1">
      <c r="A806" t="inlineStr">
        <is>
          <t>A 32480-2025</t>
        </is>
      </c>
      <c r="B806" s="1" t="n">
        <v>45838.43261574074</v>
      </c>
      <c r="C806" s="1" t="n">
        <v>46120</v>
      </c>
      <c r="D806" t="inlineStr">
        <is>
          <t>STOCKHOLMS LÄN</t>
        </is>
      </c>
      <c r="E806" t="inlineStr">
        <is>
          <t>NORRTÄLJE</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61769-2025</t>
        </is>
      </c>
      <c r="B807" s="1" t="n">
        <v>46002.64556712963</v>
      </c>
      <c r="C807" s="1" t="n">
        <v>46120</v>
      </c>
      <c r="D807" t="inlineStr">
        <is>
          <t>STOCKHOLMS LÄN</t>
        </is>
      </c>
      <c r="E807" t="inlineStr">
        <is>
          <t>NORRTÄLJE</t>
        </is>
      </c>
      <c r="G807" t="n">
        <v>2.9</v>
      </c>
      <c r="H807" t="n">
        <v>0</v>
      </c>
      <c r="I807" t="n">
        <v>0</v>
      </c>
      <c r="J807" t="n">
        <v>0</v>
      </c>
      <c r="K807" t="n">
        <v>0</v>
      </c>
      <c r="L807" t="n">
        <v>0</v>
      </c>
      <c r="M807" t="n">
        <v>0</v>
      </c>
      <c r="N807" t="n">
        <v>0</v>
      </c>
      <c r="O807" t="n">
        <v>0</v>
      </c>
      <c r="P807" t="n">
        <v>0</v>
      </c>
      <c r="Q807" t="n">
        <v>0</v>
      </c>
      <c r="R807" s="2" t="inlineStr"/>
    </row>
    <row r="808" ht="15" customHeight="1">
      <c r="A808" t="inlineStr">
        <is>
          <t>A 61764-2025</t>
        </is>
      </c>
      <c r="B808" s="1" t="n">
        <v>46002.62763888889</v>
      </c>
      <c r="C808" s="1" t="n">
        <v>46120</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17843-2024</t>
        </is>
      </c>
      <c r="B809" s="1" t="n">
        <v>45418</v>
      </c>
      <c r="C809" s="1" t="n">
        <v>46120</v>
      </c>
      <c r="D809" t="inlineStr">
        <is>
          <t>STOCKHOLMS LÄN</t>
        </is>
      </c>
      <c r="E809" t="inlineStr">
        <is>
          <t>NORRTÄLJE</t>
        </is>
      </c>
      <c r="G809" t="n">
        <v>5.4</v>
      </c>
      <c r="H809" t="n">
        <v>0</v>
      </c>
      <c r="I809" t="n">
        <v>0</v>
      </c>
      <c r="J809" t="n">
        <v>0</v>
      </c>
      <c r="K809" t="n">
        <v>0</v>
      </c>
      <c r="L809" t="n">
        <v>0</v>
      </c>
      <c r="M809" t="n">
        <v>0</v>
      </c>
      <c r="N809" t="n">
        <v>0</v>
      </c>
      <c r="O809" t="n">
        <v>0</v>
      </c>
      <c r="P809" t="n">
        <v>0</v>
      </c>
      <c r="Q809" t="n">
        <v>0</v>
      </c>
      <c r="R809" s="2" t="inlineStr"/>
    </row>
    <row r="810" ht="15" customHeight="1">
      <c r="A810" t="inlineStr">
        <is>
          <t>A 61289-2025</t>
        </is>
      </c>
      <c r="B810" s="1" t="n">
        <v>46000.73659722223</v>
      </c>
      <c r="C810" s="1" t="n">
        <v>46120</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61419-2025</t>
        </is>
      </c>
      <c r="B811" s="1" t="n">
        <v>46001.54137731482</v>
      </c>
      <c r="C811" s="1" t="n">
        <v>46120</v>
      </c>
      <c r="D811" t="inlineStr">
        <is>
          <t>STOCKHOLMS LÄN</t>
        </is>
      </c>
      <c r="E811" t="inlineStr">
        <is>
          <t>NORRTÄLJE</t>
        </is>
      </c>
      <c r="G811" t="n">
        <v>5.2</v>
      </c>
      <c r="H811" t="n">
        <v>0</v>
      </c>
      <c r="I811" t="n">
        <v>0</v>
      </c>
      <c r="J811" t="n">
        <v>0</v>
      </c>
      <c r="K811" t="n">
        <v>0</v>
      </c>
      <c r="L811" t="n">
        <v>0</v>
      </c>
      <c r="M811" t="n">
        <v>0</v>
      </c>
      <c r="N811" t="n">
        <v>0</v>
      </c>
      <c r="O811" t="n">
        <v>0</v>
      </c>
      <c r="P811" t="n">
        <v>0</v>
      </c>
      <c r="Q811" t="n">
        <v>0</v>
      </c>
      <c r="R811" s="2" t="inlineStr"/>
    </row>
    <row r="812" ht="15" customHeight="1">
      <c r="A812" t="inlineStr">
        <is>
          <t>A 61430-2025</t>
        </is>
      </c>
      <c r="B812" s="1" t="n">
        <v>46001.55583333333</v>
      </c>
      <c r="C812" s="1" t="n">
        <v>46120</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61452-2025</t>
        </is>
      </c>
      <c r="B813" s="1" t="n">
        <v>46001.58043981482</v>
      </c>
      <c r="C813" s="1" t="n">
        <v>46120</v>
      </c>
      <c r="D813" t="inlineStr">
        <is>
          <t>STOCKHOLMS LÄN</t>
        </is>
      </c>
      <c r="E813" t="inlineStr">
        <is>
          <t>NORRTÄLJE</t>
        </is>
      </c>
      <c r="F813" t="inlineStr">
        <is>
          <t>Holmen skog AB</t>
        </is>
      </c>
      <c r="G813" t="n">
        <v>3.7</v>
      </c>
      <c r="H813" t="n">
        <v>0</v>
      </c>
      <c r="I813" t="n">
        <v>0</v>
      </c>
      <c r="J813" t="n">
        <v>0</v>
      </c>
      <c r="K813" t="n">
        <v>0</v>
      </c>
      <c r="L813" t="n">
        <v>0</v>
      </c>
      <c r="M813" t="n">
        <v>0</v>
      </c>
      <c r="N813" t="n">
        <v>0</v>
      </c>
      <c r="O813" t="n">
        <v>0</v>
      </c>
      <c r="P813" t="n">
        <v>0</v>
      </c>
      <c r="Q813" t="n">
        <v>0</v>
      </c>
      <c r="R813" s="2" t="inlineStr"/>
    </row>
    <row r="814" ht="15" customHeight="1">
      <c r="A814" t="inlineStr">
        <is>
          <t>A 12890-2024</t>
        </is>
      </c>
      <c r="B814" s="1" t="n">
        <v>45385.36243055556</v>
      </c>
      <c r="C814" s="1" t="n">
        <v>46120</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32395-2025</t>
        </is>
      </c>
      <c r="B815" s="1" t="n">
        <v>45837.93730324074</v>
      </c>
      <c r="C815" s="1" t="n">
        <v>46120</v>
      </c>
      <c r="D815" t="inlineStr">
        <is>
          <t>STOCKHOLMS LÄN</t>
        </is>
      </c>
      <c r="E815" t="inlineStr">
        <is>
          <t>NORRTÄLJE</t>
        </is>
      </c>
      <c r="G815" t="n">
        <v>2.2</v>
      </c>
      <c r="H815" t="n">
        <v>0</v>
      </c>
      <c r="I815" t="n">
        <v>0</v>
      </c>
      <c r="J815" t="n">
        <v>0</v>
      </c>
      <c r="K815" t="n">
        <v>0</v>
      </c>
      <c r="L815" t="n">
        <v>0</v>
      </c>
      <c r="M815" t="n">
        <v>0</v>
      </c>
      <c r="N815" t="n">
        <v>0</v>
      </c>
      <c r="O815" t="n">
        <v>0</v>
      </c>
      <c r="P815" t="n">
        <v>0</v>
      </c>
      <c r="Q815" t="n">
        <v>0</v>
      </c>
      <c r="R815" s="2" t="inlineStr"/>
    </row>
    <row r="816" ht="15" customHeight="1">
      <c r="A816" t="inlineStr">
        <is>
          <t>A 36430-2024</t>
        </is>
      </c>
      <c r="B816" s="1" t="n">
        <v>45536</v>
      </c>
      <c r="C816" s="1" t="n">
        <v>46120</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33211-2025</t>
        </is>
      </c>
      <c r="B817" s="1" t="n">
        <v>45840.62755787037</v>
      </c>
      <c r="C817" s="1" t="n">
        <v>46120</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41172-2023</t>
        </is>
      </c>
      <c r="B818" s="1" t="n">
        <v>45170</v>
      </c>
      <c r="C818" s="1" t="n">
        <v>46120</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67921-2021</t>
        </is>
      </c>
      <c r="B819" s="1" t="n">
        <v>44525</v>
      </c>
      <c r="C819" s="1" t="n">
        <v>46120</v>
      </c>
      <c r="D819" t="inlineStr">
        <is>
          <t>STOCKHOLMS LÄN</t>
        </is>
      </c>
      <c r="E819" t="inlineStr">
        <is>
          <t>NORRTÄLJE</t>
        </is>
      </c>
      <c r="G819" t="n">
        <v>6.3</v>
      </c>
      <c r="H819" t="n">
        <v>0</v>
      </c>
      <c r="I819" t="n">
        <v>0</v>
      </c>
      <c r="J819" t="n">
        <v>0</v>
      </c>
      <c r="K819" t="n">
        <v>0</v>
      </c>
      <c r="L819" t="n">
        <v>0</v>
      </c>
      <c r="M819" t="n">
        <v>0</v>
      </c>
      <c r="N819" t="n">
        <v>0</v>
      </c>
      <c r="O819" t="n">
        <v>0</v>
      </c>
      <c r="P819" t="n">
        <v>0</v>
      </c>
      <c r="Q819" t="n">
        <v>0</v>
      </c>
      <c r="R819" s="2" t="inlineStr"/>
    </row>
    <row r="820" ht="15" customHeight="1">
      <c r="A820" t="inlineStr">
        <is>
          <t>A 72704-2021</t>
        </is>
      </c>
      <c r="B820" s="1" t="n">
        <v>44546</v>
      </c>
      <c r="C820" s="1" t="n">
        <v>46120</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53499-2025</t>
        </is>
      </c>
      <c r="B821" s="1" t="n">
        <v>45960</v>
      </c>
      <c r="C821" s="1" t="n">
        <v>46120</v>
      </c>
      <c r="D821" t="inlineStr">
        <is>
          <t>STOCKHOLMS LÄN</t>
        </is>
      </c>
      <c r="E821" t="inlineStr">
        <is>
          <t>NORRTÄLJE</t>
        </is>
      </c>
      <c r="G821" t="n">
        <v>23.8</v>
      </c>
      <c r="H821" t="n">
        <v>0</v>
      </c>
      <c r="I821" t="n">
        <v>0</v>
      </c>
      <c r="J821" t="n">
        <v>0</v>
      </c>
      <c r="K821" t="n">
        <v>0</v>
      </c>
      <c r="L821" t="n">
        <v>0</v>
      </c>
      <c r="M821" t="n">
        <v>0</v>
      </c>
      <c r="N821" t="n">
        <v>0</v>
      </c>
      <c r="O821" t="n">
        <v>0</v>
      </c>
      <c r="P821" t="n">
        <v>0</v>
      </c>
      <c r="Q821" t="n">
        <v>0</v>
      </c>
      <c r="R821" s="2" t="inlineStr"/>
    </row>
    <row r="822" ht="15" customHeight="1">
      <c r="A822" t="inlineStr">
        <is>
          <t>A 65499-2021</t>
        </is>
      </c>
      <c r="B822" s="1" t="n">
        <v>44516</v>
      </c>
      <c r="C822" s="1" t="n">
        <v>46120</v>
      </c>
      <c r="D822" t="inlineStr">
        <is>
          <t>STOCKHOLMS LÄN</t>
        </is>
      </c>
      <c r="E822" t="inlineStr">
        <is>
          <t>NORRTÄLJE</t>
        </is>
      </c>
      <c r="F822" t="inlineStr">
        <is>
          <t>Kommuner</t>
        </is>
      </c>
      <c r="G822" t="n">
        <v>5.2</v>
      </c>
      <c r="H822" t="n">
        <v>0</v>
      </c>
      <c r="I822" t="n">
        <v>0</v>
      </c>
      <c r="J822" t="n">
        <v>0</v>
      </c>
      <c r="K822" t="n">
        <v>0</v>
      </c>
      <c r="L822" t="n">
        <v>0</v>
      </c>
      <c r="M822" t="n">
        <v>0</v>
      </c>
      <c r="N822" t="n">
        <v>0</v>
      </c>
      <c r="O822" t="n">
        <v>0</v>
      </c>
      <c r="P822" t="n">
        <v>0</v>
      </c>
      <c r="Q822" t="n">
        <v>0</v>
      </c>
      <c r="R822" s="2" t="inlineStr"/>
    </row>
    <row r="823" ht="15" customHeight="1">
      <c r="A823" t="inlineStr">
        <is>
          <t>A 65511-2021</t>
        </is>
      </c>
      <c r="B823" s="1" t="n">
        <v>44516.40674768519</v>
      </c>
      <c r="C823" s="1" t="n">
        <v>46120</v>
      </c>
      <c r="D823" t="inlineStr">
        <is>
          <t>STOCKHOLMS LÄN</t>
        </is>
      </c>
      <c r="E823" t="inlineStr">
        <is>
          <t>NORRTÄLJE</t>
        </is>
      </c>
      <c r="F823" t="inlineStr">
        <is>
          <t>Kommuner</t>
        </is>
      </c>
      <c r="G823" t="n">
        <v>2.8</v>
      </c>
      <c r="H823" t="n">
        <v>0</v>
      </c>
      <c r="I823" t="n">
        <v>0</v>
      </c>
      <c r="J823" t="n">
        <v>0</v>
      </c>
      <c r="K823" t="n">
        <v>0</v>
      </c>
      <c r="L823" t="n">
        <v>0</v>
      </c>
      <c r="M823" t="n">
        <v>0</v>
      </c>
      <c r="N823" t="n">
        <v>0</v>
      </c>
      <c r="O823" t="n">
        <v>0</v>
      </c>
      <c r="P823" t="n">
        <v>0</v>
      </c>
      <c r="Q823" t="n">
        <v>0</v>
      </c>
      <c r="R823" s="2" t="inlineStr"/>
    </row>
    <row r="824" ht="15" customHeight="1">
      <c r="A824" t="inlineStr">
        <is>
          <t>A 32903-2025</t>
        </is>
      </c>
      <c r="B824" s="1" t="n">
        <v>45839.62398148148</v>
      </c>
      <c r="C824" s="1" t="n">
        <v>46120</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26113-2024</t>
        </is>
      </c>
      <c r="B825" s="1" t="n">
        <v>45468.45541666666</v>
      </c>
      <c r="C825" s="1" t="n">
        <v>46120</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26116-2024</t>
        </is>
      </c>
      <c r="B826" s="1" t="n">
        <v>45468.45747685185</v>
      </c>
      <c r="C826" s="1" t="n">
        <v>46120</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52686-2024</t>
        </is>
      </c>
      <c r="B827" s="1" t="n">
        <v>45610.39271990741</v>
      </c>
      <c r="C827" s="1" t="n">
        <v>46120</v>
      </c>
      <c r="D827" t="inlineStr">
        <is>
          <t>STOCKHOLMS LÄN</t>
        </is>
      </c>
      <c r="E827" t="inlineStr">
        <is>
          <t>NORRTÄLJE</t>
        </is>
      </c>
      <c r="G827" t="n">
        <v>5.7</v>
      </c>
      <c r="H827" t="n">
        <v>0</v>
      </c>
      <c r="I827" t="n">
        <v>0</v>
      </c>
      <c r="J827" t="n">
        <v>0</v>
      </c>
      <c r="K827" t="n">
        <v>0</v>
      </c>
      <c r="L827" t="n">
        <v>0</v>
      </c>
      <c r="M827" t="n">
        <v>0</v>
      </c>
      <c r="N827" t="n">
        <v>0</v>
      </c>
      <c r="O827" t="n">
        <v>0</v>
      </c>
      <c r="P827" t="n">
        <v>0</v>
      </c>
      <c r="Q827" t="n">
        <v>0</v>
      </c>
      <c r="R827" s="2" t="inlineStr"/>
    </row>
    <row r="828" ht="15" customHeight="1">
      <c r="A828" t="inlineStr">
        <is>
          <t>A 62708-2025</t>
        </is>
      </c>
      <c r="B828" s="1" t="n">
        <v>46008.50986111111</v>
      </c>
      <c r="C828" s="1" t="n">
        <v>46120</v>
      </c>
      <c r="D828" t="inlineStr">
        <is>
          <t>STOCKHOLMS LÄN</t>
        </is>
      </c>
      <c r="E828" t="inlineStr">
        <is>
          <t>NORRTÄLJE</t>
        </is>
      </c>
      <c r="G828" t="n">
        <v>1.2</v>
      </c>
      <c r="H828" t="n">
        <v>0</v>
      </c>
      <c r="I828" t="n">
        <v>0</v>
      </c>
      <c r="J828" t="n">
        <v>0</v>
      </c>
      <c r="K828" t="n">
        <v>0</v>
      </c>
      <c r="L828" t="n">
        <v>0</v>
      </c>
      <c r="M828" t="n">
        <v>0</v>
      </c>
      <c r="N828" t="n">
        <v>0</v>
      </c>
      <c r="O828" t="n">
        <v>0</v>
      </c>
      <c r="P828" t="n">
        <v>0</v>
      </c>
      <c r="Q828" t="n">
        <v>0</v>
      </c>
      <c r="R828" s="2" t="inlineStr"/>
    </row>
    <row r="829" ht="15" customHeight="1">
      <c r="A829" t="inlineStr">
        <is>
          <t>A 33265-2025</t>
        </is>
      </c>
      <c r="B829" s="1" t="n">
        <v>45840.67829861111</v>
      </c>
      <c r="C829" s="1" t="n">
        <v>46120</v>
      </c>
      <c r="D829" t="inlineStr">
        <is>
          <t>STOCKHOLMS LÄN</t>
        </is>
      </c>
      <c r="E829" t="inlineStr">
        <is>
          <t>NORRTÄLJE</t>
        </is>
      </c>
      <c r="G829" t="n">
        <v>5.5</v>
      </c>
      <c r="H829" t="n">
        <v>0</v>
      </c>
      <c r="I829" t="n">
        <v>0</v>
      </c>
      <c r="J829" t="n">
        <v>0</v>
      </c>
      <c r="K829" t="n">
        <v>0</v>
      </c>
      <c r="L829" t="n">
        <v>0</v>
      </c>
      <c r="M829" t="n">
        <v>0</v>
      </c>
      <c r="N829" t="n">
        <v>0</v>
      </c>
      <c r="O829" t="n">
        <v>0</v>
      </c>
      <c r="P829" t="n">
        <v>0</v>
      </c>
      <c r="Q829" t="n">
        <v>0</v>
      </c>
      <c r="R829" s="2" t="inlineStr"/>
    </row>
    <row r="830" ht="15" customHeight="1">
      <c r="A830" t="inlineStr">
        <is>
          <t>A 32872-2025</t>
        </is>
      </c>
      <c r="B830" s="1" t="n">
        <v>45839</v>
      </c>
      <c r="C830" s="1" t="n">
        <v>46120</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62689-2025</t>
        </is>
      </c>
      <c r="B831" s="1" t="n">
        <v>46008.47171296296</v>
      </c>
      <c r="C831" s="1" t="n">
        <v>46120</v>
      </c>
      <c r="D831" t="inlineStr">
        <is>
          <t>STOCKHOLMS LÄN</t>
        </is>
      </c>
      <c r="E831" t="inlineStr">
        <is>
          <t>NORRTÄLJE</t>
        </is>
      </c>
      <c r="F831" t="inlineStr">
        <is>
          <t>Kyrkan</t>
        </is>
      </c>
      <c r="G831" t="n">
        <v>0.7</v>
      </c>
      <c r="H831" t="n">
        <v>0</v>
      </c>
      <c r="I831" t="n">
        <v>0</v>
      </c>
      <c r="J831" t="n">
        <v>0</v>
      </c>
      <c r="K831" t="n">
        <v>0</v>
      </c>
      <c r="L831" t="n">
        <v>0</v>
      </c>
      <c r="M831" t="n">
        <v>0</v>
      </c>
      <c r="N831" t="n">
        <v>0</v>
      </c>
      <c r="O831" t="n">
        <v>0</v>
      </c>
      <c r="P831" t="n">
        <v>0</v>
      </c>
      <c r="Q831" t="n">
        <v>0</v>
      </c>
      <c r="R831" s="2" t="inlineStr"/>
    </row>
    <row r="832" ht="15" customHeight="1">
      <c r="A832" t="inlineStr">
        <is>
          <t>A 33279-2025</t>
        </is>
      </c>
      <c r="B832" s="1" t="n">
        <v>45840</v>
      </c>
      <c r="C832" s="1" t="n">
        <v>46120</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31105-2022</t>
        </is>
      </c>
      <c r="B833" s="1" t="n">
        <v>44769.66039351852</v>
      </c>
      <c r="C833" s="1" t="n">
        <v>46120</v>
      </c>
      <c r="D833" t="inlineStr">
        <is>
          <t>STOCKHOLMS LÄN</t>
        </is>
      </c>
      <c r="E833" t="inlineStr">
        <is>
          <t>NORRTÄLJE</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62681-2025</t>
        </is>
      </c>
      <c r="B834" s="1" t="n">
        <v>46008.45534722223</v>
      </c>
      <c r="C834" s="1" t="n">
        <v>46120</v>
      </c>
      <c r="D834" t="inlineStr">
        <is>
          <t>STOCKHOLMS LÄN</t>
        </is>
      </c>
      <c r="E834" t="inlineStr">
        <is>
          <t>NORRTÄLJE</t>
        </is>
      </c>
      <c r="G834" t="n">
        <v>2.4</v>
      </c>
      <c r="H834" t="n">
        <v>0</v>
      </c>
      <c r="I834" t="n">
        <v>0</v>
      </c>
      <c r="J834" t="n">
        <v>0</v>
      </c>
      <c r="K834" t="n">
        <v>0</v>
      </c>
      <c r="L834" t="n">
        <v>0</v>
      </c>
      <c r="M834" t="n">
        <v>0</v>
      </c>
      <c r="N834" t="n">
        <v>0</v>
      </c>
      <c r="O834" t="n">
        <v>0</v>
      </c>
      <c r="P834" t="n">
        <v>0</v>
      </c>
      <c r="Q834" t="n">
        <v>0</v>
      </c>
      <c r="R834" s="2" t="inlineStr"/>
    </row>
    <row r="835" ht="15" customHeight="1">
      <c r="A835" t="inlineStr">
        <is>
          <t>A 62644-2023</t>
        </is>
      </c>
      <c r="B835" s="1" t="n">
        <v>45271</v>
      </c>
      <c r="C835" s="1" t="n">
        <v>46120</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60185-2024</t>
        </is>
      </c>
      <c r="B836" s="1" t="n">
        <v>45642.64634259259</v>
      </c>
      <c r="C836" s="1" t="n">
        <v>46120</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34478-2025</t>
        </is>
      </c>
      <c r="B837" s="1" t="n">
        <v>45847</v>
      </c>
      <c r="C837" s="1" t="n">
        <v>46120</v>
      </c>
      <c r="D837" t="inlineStr">
        <is>
          <t>STOCKHOLMS LÄN</t>
        </is>
      </c>
      <c r="E837" t="inlineStr">
        <is>
          <t>NORRTÄLJE</t>
        </is>
      </c>
      <c r="F837" t="inlineStr">
        <is>
          <t>Övriga Aktiebolag</t>
        </is>
      </c>
      <c r="G837" t="n">
        <v>10.8</v>
      </c>
      <c r="H837" t="n">
        <v>0</v>
      </c>
      <c r="I837" t="n">
        <v>0</v>
      </c>
      <c r="J837" t="n">
        <v>0</v>
      </c>
      <c r="K837" t="n">
        <v>0</v>
      </c>
      <c r="L837" t="n">
        <v>0</v>
      </c>
      <c r="M837" t="n">
        <v>0</v>
      </c>
      <c r="N837" t="n">
        <v>0</v>
      </c>
      <c r="O837" t="n">
        <v>0</v>
      </c>
      <c r="P837" t="n">
        <v>0</v>
      </c>
      <c r="Q837" t="n">
        <v>0</v>
      </c>
      <c r="R837" s="2" t="inlineStr"/>
    </row>
    <row r="838" ht="15" customHeight="1">
      <c r="A838" t="inlineStr">
        <is>
          <t>A 60765-2023</t>
        </is>
      </c>
      <c r="B838" s="1" t="n">
        <v>45260</v>
      </c>
      <c r="C838" s="1" t="n">
        <v>46120</v>
      </c>
      <c r="D838" t="inlineStr">
        <is>
          <t>STOCKHOLMS LÄN</t>
        </is>
      </c>
      <c r="E838" t="inlineStr">
        <is>
          <t>NORRTÄLJE</t>
        </is>
      </c>
      <c r="G838" t="n">
        <v>3.7</v>
      </c>
      <c r="H838" t="n">
        <v>0</v>
      </c>
      <c r="I838" t="n">
        <v>0</v>
      </c>
      <c r="J838" t="n">
        <v>0</v>
      </c>
      <c r="K838" t="n">
        <v>0</v>
      </c>
      <c r="L838" t="n">
        <v>0</v>
      </c>
      <c r="M838" t="n">
        <v>0</v>
      </c>
      <c r="N838" t="n">
        <v>0</v>
      </c>
      <c r="O838" t="n">
        <v>0</v>
      </c>
      <c r="P838" t="n">
        <v>0</v>
      </c>
      <c r="Q838" t="n">
        <v>0</v>
      </c>
      <c r="R838" s="2" t="inlineStr"/>
    </row>
    <row r="839" ht="15" customHeight="1">
      <c r="A839" t="inlineStr">
        <is>
          <t>A 12268-2022</t>
        </is>
      </c>
      <c r="B839" s="1" t="n">
        <v>44637</v>
      </c>
      <c r="C839" s="1" t="n">
        <v>46120</v>
      </c>
      <c r="D839" t="inlineStr">
        <is>
          <t>STOCKHOLMS LÄN</t>
        </is>
      </c>
      <c r="E839" t="inlineStr">
        <is>
          <t>NORRTÄLJE</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33702-2025</t>
        </is>
      </c>
      <c r="B840" s="1" t="n">
        <v>45841.74596064815</v>
      </c>
      <c r="C840" s="1" t="n">
        <v>46120</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33336-2025</t>
        </is>
      </c>
      <c r="B841" s="1" t="n">
        <v>45841.35611111111</v>
      </c>
      <c r="C841" s="1" t="n">
        <v>46120</v>
      </c>
      <c r="D841" t="inlineStr">
        <is>
          <t>STOCKHOLMS LÄN</t>
        </is>
      </c>
      <c r="E841" t="inlineStr">
        <is>
          <t>NORRTÄLJE</t>
        </is>
      </c>
      <c r="G841" t="n">
        <v>2.4</v>
      </c>
      <c r="H841" t="n">
        <v>0</v>
      </c>
      <c r="I841" t="n">
        <v>0</v>
      </c>
      <c r="J841" t="n">
        <v>0</v>
      </c>
      <c r="K841" t="n">
        <v>0</v>
      </c>
      <c r="L841" t="n">
        <v>0</v>
      </c>
      <c r="M841" t="n">
        <v>0</v>
      </c>
      <c r="N841" t="n">
        <v>0</v>
      </c>
      <c r="O841" t="n">
        <v>0</v>
      </c>
      <c r="P841" t="n">
        <v>0</v>
      </c>
      <c r="Q841" t="n">
        <v>0</v>
      </c>
      <c r="R841" s="2" t="inlineStr"/>
    </row>
    <row r="842" ht="15" customHeight="1">
      <c r="A842" t="inlineStr">
        <is>
          <t>A 22832-2021</t>
        </is>
      </c>
      <c r="B842" s="1" t="n">
        <v>44325</v>
      </c>
      <c r="C842" s="1" t="n">
        <v>46120</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62922-2025</t>
        </is>
      </c>
      <c r="B843" s="1" t="n">
        <v>46009.38064814815</v>
      </c>
      <c r="C843" s="1" t="n">
        <v>46120</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51315-2021</t>
        </is>
      </c>
      <c r="B844" s="1" t="n">
        <v>44461</v>
      </c>
      <c r="C844" s="1" t="n">
        <v>46120</v>
      </c>
      <c r="D844" t="inlineStr">
        <is>
          <t>STOCKHOLMS LÄN</t>
        </is>
      </c>
      <c r="E844" t="inlineStr">
        <is>
          <t>NORRTÄLJE</t>
        </is>
      </c>
      <c r="F844" t="inlineStr">
        <is>
          <t>Holmen skog AB</t>
        </is>
      </c>
      <c r="G844" t="n">
        <v>2.2</v>
      </c>
      <c r="H844" t="n">
        <v>0</v>
      </c>
      <c r="I844" t="n">
        <v>0</v>
      </c>
      <c r="J844" t="n">
        <v>0</v>
      </c>
      <c r="K844" t="n">
        <v>0</v>
      </c>
      <c r="L844" t="n">
        <v>0</v>
      </c>
      <c r="M844" t="n">
        <v>0</v>
      </c>
      <c r="N844" t="n">
        <v>0</v>
      </c>
      <c r="O844" t="n">
        <v>0</v>
      </c>
      <c r="P844" t="n">
        <v>0</v>
      </c>
      <c r="Q844" t="n">
        <v>0</v>
      </c>
      <c r="R844" s="2" t="inlineStr"/>
    </row>
    <row r="845" ht="15" customHeight="1">
      <c r="A845" t="inlineStr">
        <is>
          <t>A 22008-2024</t>
        </is>
      </c>
      <c r="B845" s="1" t="n">
        <v>45443</v>
      </c>
      <c r="C845" s="1" t="n">
        <v>46120</v>
      </c>
      <c r="D845" t="inlineStr">
        <is>
          <t>STOCKHOLMS LÄN</t>
        </is>
      </c>
      <c r="E845" t="inlineStr">
        <is>
          <t>NORRTÄLJE</t>
        </is>
      </c>
      <c r="G845" t="n">
        <v>2</v>
      </c>
      <c r="H845" t="n">
        <v>0</v>
      </c>
      <c r="I845" t="n">
        <v>0</v>
      </c>
      <c r="J845" t="n">
        <v>0</v>
      </c>
      <c r="K845" t="n">
        <v>0</v>
      </c>
      <c r="L845" t="n">
        <v>0</v>
      </c>
      <c r="M845" t="n">
        <v>0</v>
      </c>
      <c r="N845" t="n">
        <v>0</v>
      </c>
      <c r="O845" t="n">
        <v>0</v>
      </c>
      <c r="P845" t="n">
        <v>0</v>
      </c>
      <c r="Q845" t="n">
        <v>0</v>
      </c>
      <c r="R845" s="2" t="inlineStr"/>
    </row>
    <row r="846" ht="15" customHeight="1">
      <c r="A846" t="inlineStr">
        <is>
          <t>A 58277-2023</t>
        </is>
      </c>
      <c r="B846" s="1" t="n">
        <v>45245</v>
      </c>
      <c r="C846" s="1" t="n">
        <v>46120</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9480-2025</t>
        </is>
      </c>
      <c r="B847" s="1" t="n">
        <v>45715</v>
      </c>
      <c r="C847" s="1" t="n">
        <v>46120</v>
      </c>
      <c r="D847" t="inlineStr">
        <is>
          <t>STOCKHOLMS LÄN</t>
        </is>
      </c>
      <c r="E847" t="inlineStr">
        <is>
          <t>NORRTÄLJE</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33552-2025</t>
        </is>
      </c>
      <c r="B848" s="1" t="n">
        <v>45841.5737962963</v>
      </c>
      <c r="C848" s="1" t="n">
        <v>46120</v>
      </c>
      <c r="D848" t="inlineStr">
        <is>
          <t>STOCKHOLMS LÄN</t>
        </is>
      </c>
      <c r="E848" t="inlineStr">
        <is>
          <t>NORRTÄLJE</t>
        </is>
      </c>
      <c r="G848" t="n">
        <v>8.9</v>
      </c>
      <c r="H848" t="n">
        <v>0</v>
      </c>
      <c r="I848" t="n">
        <v>0</v>
      </c>
      <c r="J848" t="n">
        <v>0</v>
      </c>
      <c r="K848" t="n">
        <v>0</v>
      </c>
      <c r="L848" t="n">
        <v>0</v>
      </c>
      <c r="M848" t="n">
        <v>0</v>
      </c>
      <c r="N848" t="n">
        <v>0</v>
      </c>
      <c r="O848" t="n">
        <v>0</v>
      </c>
      <c r="P848" t="n">
        <v>0</v>
      </c>
      <c r="Q848" t="n">
        <v>0</v>
      </c>
      <c r="R848" s="2" t="inlineStr"/>
    </row>
    <row r="849" ht="15" customHeight="1">
      <c r="A849" t="inlineStr">
        <is>
          <t>A 33824-2025</t>
        </is>
      </c>
      <c r="B849" s="1" t="n">
        <v>45842.46885416667</v>
      </c>
      <c r="C849" s="1" t="n">
        <v>46120</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4322-2023</t>
        </is>
      </c>
      <c r="B850" s="1" t="n">
        <v>44953.69298611111</v>
      </c>
      <c r="C850" s="1" t="n">
        <v>46120</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35916-2024</t>
        </is>
      </c>
      <c r="B851" s="1" t="n">
        <v>45533</v>
      </c>
      <c r="C851" s="1" t="n">
        <v>46120</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38889-2024</t>
        </is>
      </c>
      <c r="B852" s="1" t="n">
        <v>45547</v>
      </c>
      <c r="C852" s="1" t="n">
        <v>46120</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46073-2024</t>
        </is>
      </c>
      <c r="B853" s="1" t="n">
        <v>45581</v>
      </c>
      <c r="C853" s="1" t="n">
        <v>46120</v>
      </c>
      <c r="D853" t="inlineStr">
        <is>
          <t>STOCKHOLMS LÄN</t>
        </is>
      </c>
      <c r="E853" t="inlineStr">
        <is>
          <t>NORRTÄLJE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124-2026</t>
        </is>
      </c>
      <c r="B854" s="1" t="n">
        <v>46024.58378472222</v>
      </c>
      <c r="C854" s="1" t="n">
        <v>46120</v>
      </c>
      <c r="D854" t="inlineStr">
        <is>
          <t>STOCKHOLMS LÄN</t>
        </is>
      </c>
      <c r="E854" t="inlineStr">
        <is>
          <t>NORRTÄLJE</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36689-2023</t>
        </is>
      </c>
      <c r="B855" s="1" t="n">
        <v>45152</v>
      </c>
      <c r="C855" s="1" t="n">
        <v>46120</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3299-2022</t>
        </is>
      </c>
      <c r="B856" s="1" t="n">
        <v>44584.91001157407</v>
      </c>
      <c r="C856" s="1" t="n">
        <v>46120</v>
      </c>
      <c r="D856" t="inlineStr">
        <is>
          <t>STOCKHOLMS LÄN</t>
        </is>
      </c>
      <c r="E856" t="inlineStr">
        <is>
          <t>NORRTÄLJE</t>
        </is>
      </c>
      <c r="G856" t="n">
        <v>2.7</v>
      </c>
      <c r="H856" t="n">
        <v>0</v>
      </c>
      <c r="I856" t="n">
        <v>0</v>
      </c>
      <c r="J856" t="n">
        <v>0</v>
      </c>
      <c r="K856" t="n">
        <v>0</v>
      </c>
      <c r="L856" t="n">
        <v>0</v>
      </c>
      <c r="M856" t="n">
        <v>0</v>
      </c>
      <c r="N856" t="n">
        <v>0</v>
      </c>
      <c r="O856" t="n">
        <v>0</v>
      </c>
      <c r="P856" t="n">
        <v>0</v>
      </c>
      <c r="Q856" t="n">
        <v>0</v>
      </c>
      <c r="R856" s="2" t="inlineStr"/>
    </row>
    <row r="857" ht="15" customHeight="1">
      <c r="A857" t="inlineStr">
        <is>
          <t>A 34139-2025</t>
        </is>
      </c>
      <c r="B857" s="1" t="n">
        <v>45845</v>
      </c>
      <c r="C857" s="1" t="n">
        <v>46120</v>
      </c>
      <c r="D857" t="inlineStr">
        <is>
          <t>STOCKHOLMS LÄN</t>
        </is>
      </c>
      <c r="E857" t="inlineStr">
        <is>
          <t>NORRTÄLJE</t>
        </is>
      </c>
      <c r="G857" t="n">
        <v>5.5</v>
      </c>
      <c r="H857" t="n">
        <v>0</v>
      </c>
      <c r="I857" t="n">
        <v>0</v>
      </c>
      <c r="J857" t="n">
        <v>0</v>
      </c>
      <c r="K857" t="n">
        <v>0</v>
      </c>
      <c r="L857" t="n">
        <v>0</v>
      </c>
      <c r="M857" t="n">
        <v>0</v>
      </c>
      <c r="N857" t="n">
        <v>0</v>
      </c>
      <c r="O857" t="n">
        <v>0</v>
      </c>
      <c r="P857" t="n">
        <v>0</v>
      </c>
      <c r="Q857" t="n">
        <v>0</v>
      </c>
      <c r="R857" s="2" t="inlineStr"/>
    </row>
    <row r="858" ht="15" customHeight="1">
      <c r="A858" t="inlineStr">
        <is>
          <t>A 34006-2025</t>
        </is>
      </c>
      <c r="B858" s="1" t="n">
        <v>45844.62609953704</v>
      </c>
      <c r="C858" s="1" t="n">
        <v>46120</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42075-2023</t>
        </is>
      </c>
      <c r="B859" s="1" t="n">
        <v>45177</v>
      </c>
      <c r="C859" s="1" t="n">
        <v>46120</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10676-2025</t>
        </is>
      </c>
      <c r="B860" s="1" t="n">
        <v>45721.88684027778</v>
      </c>
      <c r="C860" s="1" t="n">
        <v>46120</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50154-2024</t>
        </is>
      </c>
      <c r="B861" s="1" t="n">
        <v>45600.4558912037</v>
      </c>
      <c r="C861" s="1" t="n">
        <v>46120</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34010-2025</t>
        </is>
      </c>
      <c r="B862" s="1" t="n">
        <v>45844.91234953704</v>
      </c>
      <c r="C862" s="1" t="n">
        <v>46120</v>
      </c>
      <c r="D862" t="inlineStr">
        <is>
          <t>STOCKHOLMS LÄN</t>
        </is>
      </c>
      <c r="E862" t="inlineStr">
        <is>
          <t>NORRTÄLJE</t>
        </is>
      </c>
      <c r="F862" t="inlineStr">
        <is>
          <t>Övriga Aktiebolag</t>
        </is>
      </c>
      <c r="G862" t="n">
        <v>1.1</v>
      </c>
      <c r="H862" t="n">
        <v>0</v>
      </c>
      <c r="I862" t="n">
        <v>0</v>
      </c>
      <c r="J862" t="n">
        <v>0</v>
      </c>
      <c r="K862" t="n">
        <v>0</v>
      </c>
      <c r="L862" t="n">
        <v>0</v>
      </c>
      <c r="M862" t="n">
        <v>0</v>
      </c>
      <c r="N862" t="n">
        <v>0</v>
      </c>
      <c r="O862" t="n">
        <v>0</v>
      </c>
      <c r="P862" t="n">
        <v>0</v>
      </c>
      <c r="Q862" t="n">
        <v>0</v>
      </c>
      <c r="R862" s="2" t="inlineStr"/>
    </row>
    <row r="863" ht="15" customHeight="1">
      <c r="A863" t="inlineStr">
        <is>
          <t>A 37273-2024</t>
        </is>
      </c>
      <c r="B863" s="1" t="n">
        <v>45540</v>
      </c>
      <c r="C863" s="1" t="n">
        <v>46120</v>
      </c>
      <c r="D863" t="inlineStr">
        <is>
          <t>STOCKHOLMS LÄN</t>
        </is>
      </c>
      <c r="E863" t="inlineStr">
        <is>
          <t>NORRTÄLJE</t>
        </is>
      </c>
      <c r="F863" t="inlineStr">
        <is>
          <t>Sveaskog</t>
        </is>
      </c>
      <c r="G863" t="n">
        <v>12.5</v>
      </c>
      <c r="H863" t="n">
        <v>0</v>
      </c>
      <c r="I863" t="n">
        <v>0</v>
      </c>
      <c r="J863" t="n">
        <v>0</v>
      </c>
      <c r="K863" t="n">
        <v>0</v>
      </c>
      <c r="L863" t="n">
        <v>0</v>
      </c>
      <c r="M863" t="n">
        <v>0</v>
      </c>
      <c r="N863" t="n">
        <v>0</v>
      </c>
      <c r="O863" t="n">
        <v>0</v>
      </c>
      <c r="P863" t="n">
        <v>0</v>
      </c>
      <c r="Q863" t="n">
        <v>0</v>
      </c>
      <c r="R863" s="2" t="inlineStr"/>
    </row>
    <row r="864" ht="15" customHeight="1">
      <c r="A864" t="inlineStr">
        <is>
          <t>A 34773-2022</t>
        </is>
      </c>
      <c r="B864" s="1" t="n">
        <v>44795</v>
      </c>
      <c r="C864" s="1" t="n">
        <v>46120</v>
      </c>
      <c r="D864" t="inlineStr">
        <is>
          <t>STOCKHOLMS LÄN</t>
        </is>
      </c>
      <c r="E864" t="inlineStr">
        <is>
          <t>NORRTÄLJE</t>
        </is>
      </c>
      <c r="G864" t="n">
        <v>3.9</v>
      </c>
      <c r="H864" t="n">
        <v>0</v>
      </c>
      <c r="I864" t="n">
        <v>0</v>
      </c>
      <c r="J864" t="n">
        <v>0</v>
      </c>
      <c r="K864" t="n">
        <v>0</v>
      </c>
      <c r="L864" t="n">
        <v>0</v>
      </c>
      <c r="M864" t="n">
        <v>0</v>
      </c>
      <c r="N864" t="n">
        <v>0</v>
      </c>
      <c r="O864" t="n">
        <v>0</v>
      </c>
      <c r="P864" t="n">
        <v>0</v>
      </c>
      <c r="Q864" t="n">
        <v>0</v>
      </c>
      <c r="R864" s="2" t="inlineStr"/>
    </row>
    <row r="865" ht="15" customHeight="1">
      <c r="A865" t="inlineStr">
        <is>
          <t>A 23263-2023</t>
        </is>
      </c>
      <c r="B865" s="1" t="n">
        <v>45075</v>
      </c>
      <c r="C865" s="1" t="n">
        <v>46120</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23264-2023</t>
        </is>
      </c>
      <c r="B866" s="1" t="n">
        <v>45075</v>
      </c>
      <c r="C866" s="1" t="n">
        <v>46120</v>
      </c>
      <c r="D866" t="inlineStr">
        <is>
          <t>STOCKHOLMS LÄN</t>
        </is>
      </c>
      <c r="E866" t="inlineStr">
        <is>
          <t>NORRTÄLJE</t>
        </is>
      </c>
      <c r="G866" t="n">
        <v>2.9</v>
      </c>
      <c r="H866" t="n">
        <v>0</v>
      </c>
      <c r="I866" t="n">
        <v>0</v>
      </c>
      <c r="J866" t="n">
        <v>0</v>
      </c>
      <c r="K866" t="n">
        <v>0</v>
      </c>
      <c r="L866" t="n">
        <v>0</v>
      </c>
      <c r="M866" t="n">
        <v>0</v>
      </c>
      <c r="N866" t="n">
        <v>0</v>
      </c>
      <c r="O866" t="n">
        <v>0</v>
      </c>
      <c r="P866" t="n">
        <v>0</v>
      </c>
      <c r="Q866" t="n">
        <v>0</v>
      </c>
      <c r="R866" s="2" t="inlineStr"/>
    </row>
    <row r="867" ht="15" customHeight="1">
      <c r="A867" t="inlineStr">
        <is>
          <t>A 23267-2023</t>
        </is>
      </c>
      <c r="B867" s="1" t="n">
        <v>45075.90934027778</v>
      </c>
      <c r="C867" s="1" t="n">
        <v>46120</v>
      </c>
      <c r="D867" t="inlineStr">
        <is>
          <t>STOCKHOLMS LÄN</t>
        </is>
      </c>
      <c r="E867" t="inlineStr">
        <is>
          <t>NORRTÄLJE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25654-2023</t>
        </is>
      </c>
      <c r="B868" s="1" t="n">
        <v>45089</v>
      </c>
      <c r="C868" s="1" t="n">
        <v>46120</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47758-2023</t>
        </is>
      </c>
      <c r="B869" s="1" t="n">
        <v>45203.83891203703</v>
      </c>
      <c r="C869" s="1" t="n">
        <v>46120</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48151-2024</t>
        </is>
      </c>
      <c r="B870" s="1" t="n">
        <v>45589.68289351852</v>
      </c>
      <c r="C870" s="1" t="n">
        <v>46120</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35110-2025</t>
        </is>
      </c>
      <c r="B871" s="1" t="n">
        <v>45852.58030092593</v>
      </c>
      <c r="C871" s="1" t="n">
        <v>46120</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5831-2022</t>
        </is>
      </c>
      <c r="B872" s="1" t="n">
        <v>44596</v>
      </c>
      <c r="C872" s="1" t="n">
        <v>46120</v>
      </c>
      <c r="D872" t="inlineStr">
        <is>
          <t>STOCKHOLMS LÄN</t>
        </is>
      </c>
      <c r="E872" t="inlineStr">
        <is>
          <t>NORRTÄLJE</t>
        </is>
      </c>
      <c r="G872" t="n">
        <v>4.8</v>
      </c>
      <c r="H872" t="n">
        <v>0</v>
      </c>
      <c r="I872" t="n">
        <v>0</v>
      </c>
      <c r="J872" t="n">
        <v>0</v>
      </c>
      <c r="K872" t="n">
        <v>0</v>
      </c>
      <c r="L872" t="n">
        <v>0</v>
      </c>
      <c r="M872" t="n">
        <v>0</v>
      </c>
      <c r="N872" t="n">
        <v>0</v>
      </c>
      <c r="O872" t="n">
        <v>0</v>
      </c>
      <c r="P872" t="n">
        <v>0</v>
      </c>
      <c r="Q872" t="n">
        <v>0</v>
      </c>
      <c r="R872" s="2" t="inlineStr"/>
    </row>
    <row r="873" ht="15" customHeight="1">
      <c r="A873" t="inlineStr">
        <is>
          <t>A 58853-2024</t>
        </is>
      </c>
      <c r="B873" s="1" t="n">
        <v>45636.38974537037</v>
      </c>
      <c r="C873" s="1" t="n">
        <v>46120</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35254-2025</t>
        </is>
      </c>
      <c r="B874" s="1" t="n">
        <v>45853</v>
      </c>
      <c r="C874" s="1" t="n">
        <v>46120</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35479-2025</t>
        </is>
      </c>
      <c r="B875" s="1" t="n">
        <v>45855.69387731481</v>
      </c>
      <c r="C875" s="1" t="n">
        <v>46120</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35451-2025</t>
        </is>
      </c>
      <c r="B876" s="1" t="n">
        <v>45855.57033564815</v>
      </c>
      <c r="C876" s="1" t="n">
        <v>46120</v>
      </c>
      <c r="D876" t="inlineStr">
        <is>
          <t>STOCKHOLMS LÄN</t>
        </is>
      </c>
      <c r="E876" t="inlineStr">
        <is>
          <t>NORRTÄLJE</t>
        </is>
      </c>
      <c r="F876" t="inlineStr">
        <is>
          <t>Holmen skog AB</t>
        </is>
      </c>
      <c r="G876" t="n">
        <v>7.4</v>
      </c>
      <c r="H876" t="n">
        <v>0</v>
      </c>
      <c r="I876" t="n">
        <v>0</v>
      </c>
      <c r="J876" t="n">
        <v>0</v>
      </c>
      <c r="K876" t="n">
        <v>0</v>
      </c>
      <c r="L876" t="n">
        <v>0</v>
      </c>
      <c r="M876" t="n">
        <v>0</v>
      </c>
      <c r="N876" t="n">
        <v>0</v>
      </c>
      <c r="O876" t="n">
        <v>0</v>
      </c>
      <c r="P876" t="n">
        <v>0</v>
      </c>
      <c r="Q876" t="n">
        <v>0</v>
      </c>
      <c r="R876" s="2" t="inlineStr"/>
    </row>
    <row r="877" ht="15" customHeight="1">
      <c r="A877" t="inlineStr">
        <is>
          <t>A 35478-2025</t>
        </is>
      </c>
      <c r="B877" s="1" t="n">
        <v>45855.68413194444</v>
      </c>
      <c r="C877" s="1" t="n">
        <v>46120</v>
      </c>
      <c r="D877" t="inlineStr">
        <is>
          <t>STOCKHOLMS LÄN</t>
        </is>
      </c>
      <c r="E877" t="inlineStr">
        <is>
          <t>NORRTÄLJE</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59712-2024</t>
        </is>
      </c>
      <c r="B878" s="1" t="n">
        <v>45639.45166666667</v>
      </c>
      <c r="C878" s="1" t="n">
        <v>46120</v>
      </c>
      <c r="D878" t="inlineStr">
        <is>
          <t>STOCKHOLMS LÄN</t>
        </is>
      </c>
      <c r="E878" t="inlineStr">
        <is>
          <t>NORRTÄLJE</t>
        </is>
      </c>
      <c r="G878" t="n">
        <v>4.4</v>
      </c>
      <c r="H878" t="n">
        <v>0</v>
      </c>
      <c r="I878" t="n">
        <v>0</v>
      </c>
      <c r="J878" t="n">
        <v>0</v>
      </c>
      <c r="K878" t="n">
        <v>0</v>
      </c>
      <c r="L878" t="n">
        <v>0</v>
      </c>
      <c r="M878" t="n">
        <v>0</v>
      </c>
      <c r="N878" t="n">
        <v>0</v>
      </c>
      <c r="O878" t="n">
        <v>0</v>
      </c>
      <c r="P878" t="n">
        <v>0</v>
      </c>
      <c r="Q878" t="n">
        <v>0</v>
      </c>
      <c r="R878" s="2" t="inlineStr"/>
    </row>
    <row r="879" ht="15" customHeight="1">
      <c r="A879" t="inlineStr">
        <is>
          <t>A 59721-2024</t>
        </is>
      </c>
      <c r="B879" s="1" t="n">
        <v>45639.47385416667</v>
      </c>
      <c r="C879" s="1" t="n">
        <v>46120</v>
      </c>
      <c r="D879" t="inlineStr">
        <is>
          <t>STOCKHOLMS LÄN</t>
        </is>
      </c>
      <c r="E879" t="inlineStr">
        <is>
          <t>NORRTÄLJE</t>
        </is>
      </c>
      <c r="G879" t="n">
        <v>4.6</v>
      </c>
      <c r="H879" t="n">
        <v>0</v>
      </c>
      <c r="I879" t="n">
        <v>0</v>
      </c>
      <c r="J879" t="n">
        <v>0</v>
      </c>
      <c r="K879" t="n">
        <v>0</v>
      </c>
      <c r="L879" t="n">
        <v>0</v>
      </c>
      <c r="M879" t="n">
        <v>0</v>
      </c>
      <c r="N879" t="n">
        <v>0</v>
      </c>
      <c r="O879" t="n">
        <v>0</v>
      </c>
      <c r="P879" t="n">
        <v>0</v>
      </c>
      <c r="Q879" t="n">
        <v>0</v>
      </c>
      <c r="R879" s="2" t="inlineStr"/>
    </row>
    <row r="880" ht="15" customHeight="1">
      <c r="A880" t="inlineStr">
        <is>
          <t>A 60884-2024</t>
        </is>
      </c>
      <c r="B880" s="1" t="n">
        <v>45644.90815972222</v>
      </c>
      <c r="C880" s="1" t="n">
        <v>46120</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23150-2024</t>
        </is>
      </c>
      <c r="B881" s="1" t="n">
        <v>45450.64643518518</v>
      </c>
      <c r="C881" s="1" t="n">
        <v>46120</v>
      </c>
      <c r="D881" t="inlineStr">
        <is>
          <t>STOCKHOLMS LÄN</t>
        </is>
      </c>
      <c r="E881" t="inlineStr">
        <is>
          <t>NORRTÄLJE</t>
        </is>
      </c>
      <c r="F881" t="inlineStr">
        <is>
          <t>Kommuner</t>
        </is>
      </c>
      <c r="G881" t="n">
        <v>2.7</v>
      </c>
      <c r="H881" t="n">
        <v>0</v>
      </c>
      <c r="I881" t="n">
        <v>0</v>
      </c>
      <c r="J881" t="n">
        <v>0</v>
      </c>
      <c r="K881" t="n">
        <v>0</v>
      </c>
      <c r="L881" t="n">
        <v>0</v>
      </c>
      <c r="M881" t="n">
        <v>0</v>
      </c>
      <c r="N881" t="n">
        <v>0</v>
      </c>
      <c r="O881" t="n">
        <v>0</v>
      </c>
      <c r="P881" t="n">
        <v>0</v>
      </c>
      <c r="Q881" t="n">
        <v>0</v>
      </c>
      <c r="R881" s="2" t="inlineStr"/>
    </row>
    <row r="882" ht="15" customHeight="1">
      <c r="A882" t="inlineStr">
        <is>
          <t>A 59878-2024</t>
        </is>
      </c>
      <c r="B882" s="1" t="n">
        <v>45640.60240740741</v>
      </c>
      <c r="C882" s="1" t="n">
        <v>46120</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50182-2024</t>
        </is>
      </c>
      <c r="B883" s="1" t="n">
        <v>45600.47275462963</v>
      </c>
      <c r="C883" s="1" t="n">
        <v>46120</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2549-2022</t>
        </is>
      </c>
      <c r="B884" s="1" t="n">
        <v>44580</v>
      </c>
      <c r="C884" s="1" t="n">
        <v>46120</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31140-2023</t>
        </is>
      </c>
      <c r="B885" s="1" t="n">
        <v>45113</v>
      </c>
      <c r="C885" s="1" t="n">
        <v>46120</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31149-2023</t>
        </is>
      </c>
      <c r="B886" s="1" t="n">
        <v>45113</v>
      </c>
      <c r="C886" s="1" t="n">
        <v>46120</v>
      </c>
      <c r="D886" t="inlineStr">
        <is>
          <t>STOCKHOLMS LÄN</t>
        </is>
      </c>
      <c r="E886" t="inlineStr">
        <is>
          <t>NORRTÄLJE</t>
        </is>
      </c>
      <c r="G886" t="n">
        <v>7.1</v>
      </c>
      <c r="H886" t="n">
        <v>0</v>
      </c>
      <c r="I886" t="n">
        <v>0</v>
      </c>
      <c r="J886" t="n">
        <v>0</v>
      </c>
      <c r="K886" t="n">
        <v>0</v>
      </c>
      <c r="L886" t="n">
        <v>0</v>
      </c>
      <c r="M886" t="n">
        <v>0</v>
      </c>
      <c r="N886" t="n">
        <v>0</v>
      </c>
      <c r="O886" t="n">
        <v>0</v>
      </c>
      <c r="P886" t="n">
        <v>0</v>
      </c>
      <c r="Q886" t="n">
        <v>0</v>
      </c>
      <c r="R886" s="2" t="inlineStr"/>
    </row>
    <row r="887" ht="15" customHeight="1">
      <c r="A887" t="inlineStr">
        <is>
          <t>A 16835-2022</t>
        </is>
      </c>
      <c r="B887" s="1" t="n">
        <v>44673</v>
      </c>
      <c r="C887" s="1" t="n">
        <v>46120</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13701-2022</t>
        </is>
      </c>
      <c r="B888" s="1" t="n">
        <v>44648</v>
      </c>
      <c r="C888" s="1" t="n">
        <v>46120</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13089-2022</t>
        </is>
      </c>
      <c r="B889" s="1" t="n">
        <v>44643</v>
      </c>
      <c r="C889" s="1" t="n">
        <v>46120</v>
      </c>
      <c r="D889" t="inlineStr">
        <is>
          <t>STOCKHOLMS LÄN</t>
        </is>
      </c>
      <c r="E889" t="inlineStr">
        <is>
          <t>NORRTÄLJE</t>
        </is>
      </c>
      <c r="G889" t="n">
        <v>4.5</v>
      </c>
      <c r="H889" t="n">
        <v>0</v>
      </c>
      <c r="I889" t="n">
        <v>0</v>
      </c>
      <c r="J889" t="n">
        <v>0</v>
      </c>
      <c r="K889" t="n">
        <v>0</v>
      </c>
      <c r="L889" t="n">
        <v>0</v>
      </c>
      <c r="M889" t="n">
        <v>0</v>
      </c>
      <c r="N889" t="n">
        <v>0</v>
      </c>
      <c r="O889" t="n">
        <v>0</v>
      </c>
      <c r="P889" t="n">
        <v>0</v>
      </c>
      <c r="Q889" t="n">
        <v>0</v>
      </c>
      <c r="R889" s="2" t="inlineStr"/>
    </row>
    <row r="890" ht="15" customHeight="1">
      <c r="A890" t="inlineStr">
        <is>
          <t>A 20698-2025</t>
        </is>
      </c>
      <c r="B890" s="1" t="n">
        <v>45776.47122685185</v>
      </c>
      <c r="C890" s="1" t="n">
        <v>46120</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36396-2025</t>
        </is>
      </c>
      <c r="B891" s="1" t="n">
        <v>45868.62267361111</v>
      </c>
      <c r="C891" s="1" t="n">
        <v>46120</v>
      </c>
      <c r="D891" t="inlineStr">
        <is>
          <t>STOCKHOLMS LÄN</t>
        </is>
      </c>
      <c r="E891" t="inlineStr">
        <is>
          <t>NORRTÄLJE</t>
        </is>
      </c>
      <c r="G891" t="n">
        <v>4.1</v>
      </c>
      <c r="H891" t="n">
        <v>0</v>
      </c>
      <c r="I891" t="n">
        <v>0</v>
      </c>
      <c r="J891" t="n">
        <v>0</v>
      </c>
      <c r="K891" t="n">
        <v>0</v>
      </c>
      <c r="L891" t="n">
        <v>0</v>
      </c>
      <c r="M891" t="n">
        <v>0</v>
      </c>
      <c r="N891" t="n">
        <v>0</v>
      </c>
      <c r="O891" t="n">
        <v>0</v>
      </c>
      <c r="P891" t="n">
        <v>0</v>
      </c>
      <c r="Q891" t="n">
        <v>0</v>
      </c>
      <c r="R891" s="2" t="inlineStr"/>
    </row>
    <row r="892" ht="15" customHeight="1">
      <c r="A892" t="inlineStr">
        <is>
          <t>A 22232-2024</t>
        </is>
      </c>
      <c r="B892" s="1" t="n">
        <v>45446.4287962963</v>
      </c>
      <c r="C892" s="1" t="n">
        <v>46120</v>
      </c>
      <c r="D892" t="inlineStr">
        <is>
          <t>STOCKHOLMS LÄN</t>
        </is>
      </c>
      <c r="E892" t="inlineStr">
        <is>
          <t>NORRTÄLJE</t>
        </is>
      </c>
      <c r="G892" t="n">
        <v>12.8</v>
      </c>
      <c r="H892" t="n">
        <v>0</v>
      </c>
      <c r="I892" t="n">
        <v>0</v>
      </c>
      <c r="J892" t="n">
        <v>0</v>
      </c>
      <c r="K892" t="n">
        <v>0</v>
      </c>
      <c r="L892" t="n">
        <v>0</v>
      </c>
      <c r="M892" t="n">
        <v>0</v>
      </c>
      <c r="N892" t="n">
        <v>0</v>
      </c>
      <c r="O892" t="n">
        <v>0</v>
      </c>
      <c r="P892" t="n">
        <v>0</v>
      </c>
      <c r="Q892" t="n">
        <v>0</v>
      </c>
      <c r="R892" s="2" t="inlineStr"/>
    </row>
    <row r="893" ht="15" customHeight="1">
      <c r="A893" t="inlineStr">
        <is>
          <t>A 34444-2024</t>
        </is>
      </c>
      <c r="B893" s="1" t="n">
        <v>45525</v>
      </c>
      <c r="C893" s="1" t="n">
        <v>46120</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38759-2022</t>
        </is>
      </c>
      <c r="B894" s="1" t="n">
        <v>44816</v>
      </c>
      <c r="C894" s="1" t="n">
        <v>46120</v>
      </c>
      <c r="D894" t="inlineStr">
        <is>
          <t>STOCKHOLMS LÄN</t>
        </is>
      </c>
      <c r="E894" t="inlineStr">
        <is>
          <t>NORRTÄLJE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23998-2024</t>
        </is>
      </c>
      <c r="B895" s="1" t="n">
        <v>45456</v>
      </c>
      <c r="C895" s="1" t="n">
        <v>46120</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54504-2024</t>
        </is>
      </c>
      <c r="B896" s="1" t="n">
        <v>45617.58453703704</v>
      </c>
      <c r="C896" s="1" t="n">
        <v>46120</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32595-2023</t>
        </is>
      </c>
      <c r="B897" s="1" t="n">
        <v>45121</v>
      </c>
      <c r="C897" s="1" t="n">
        <v>46120</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11332-2025</t>
        </is>
      </c>
      <c r="B898" s="1" t="n">
        <v>45726.48152777777</v>
      </c>
      <c r="C898" s="1" t="n">
        <v>46120</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13718-2022</t>
        </is>
      </c>
      <c r="B899" s="1" t="n">
        <v>44649</v>
      </c>
      <c r="C899" s="1" t="n">
        <v>46120</v>
      </c>
      <c r="D899" t="inlineStr">
        <is>
          <t>STOCKHOLMS LÄN</t>
        </is>
      </c>
      <c r="E899" t="inlineStr">
        <is>
          <t>NORRTÄLJE</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54259-2023</t>
        </is>
      </c>
      <c r="B900" s="1" t="n">
        <v>45232</v>
      </c>
      <c r="C900" s="1" t="n">
        <v>46120</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13171-2025</t>
        </is>
      </c>
      <c r="B901" s="1" t="n">
        <v>45735.36594907408</v>
      </c>
      <c r="C901" s="1" t="n">
        <v>46120</v>
      </c>
      <c r="D901" t="inlineStr">
        <is>
          <t>STOCKHOLMS LÄN</t>
        </is>
      </c>
      <c r="E901" t="inlineStr">
        <is>
          <t>NORRTÄLJE</t>
        </is>
      </c>
      <c r="G901" t="n">
        <v>5.1</v>
      </c>
      <c r="H901" t="n">
        <v>0</v>
      </c>
      <c r="I901" t="n">
        <v>0</v>
      </c>
      <c r="J901" t="n">
        <v>0</v>
      </c>
      <c r="K901" t="n">
        <v>0</v>
      </c>
      <c r="L901" t="n">
        <v>0</v>
      </c>
      <c r="M901" t="n">
        <v>0</v>
      </c>
      <c r="N901" t="n">
        <v>0</v>
      </c>
      <c r="O901" t="n">
        <v>0</v>
      </c>
      <c r="P901" t="n">
        <v>0</v>
      </c>
      <c r="Q901" t="n">
        <v>0</v>
      </c>
      <c r="R901" s="2" t="inlineStr"/>
    </row>
    <row r="902" ht="15" customHeight="1">
      <c r="A902" t="inlineStr">
        <is>
          <t>A 12299-2025</t>
        </is>
      </c>
      <c r="B902" s="1" t="n">
        <v>45729.71065972222</v>
      </c>
      <c r="C902" s="1" t="n">
        <v>46120</v>
      </c>
      <c r="D902" t="inlineStr">
        <is>
          <t>STOCKHOLMS LÄN</t>
        </is>
      </c>
      <c r="E902" t="inlineStr">
        <is>
          <t>NORRTÄLJE</t>
        </is>
      </c>
      <c r="F902" t="inlineStr">
        <is>
          <t>Holmen skog AB</t>
        </is>
      </c>
      <c r="G902" t="n">
        <v>6.9</v>
      </c>
      <c r="H902" t="n">
        <v>0</v>
      </c>
      <c r="I902" t="n">
        <v>0</v>
      </c>
      <c r="J902" t="n">
        <v>0</v>
      </c>
      <c r="K902" t="n">
        <v>0</v>
      </c>
      <c r="L902" t="n">
        <v>0</v>
      </c>
      <c r="M902" t="n">
        <v>0</v>
      </c>
      <c r="N902" t="n">
        <v>0</v>
      </c>
      <c r="O902" t="n">
        <v>0</v>
      </c>
      <c r="P902" t="n">
        <v>0</v>
      </c>
      <c r="Q902" t="n">
        <v>0</v>
      </c>
      <c r="R902" s="2" t="inlineStr"/>
    </row>
    <row r="903" ht="15" customHeight="1">
      <c r="A903" t="inlineStr">
        <is>
          <t>A 11900-2024</t>
        </is>
      </c>
      <c r="B903" s="1" t="n">
        <v>45376.55484953704</v>
      </c>
      <c r="C903" s="1" t="n">
        <v>46120</v>
      </c>
      <c r="D903" t="inlineStr">
        <is>
          <t>STOCKHOLMS LÄN</t>
        </is>
      </c>
      <c r="E903" t="inlineStr">
        <is>
          <t>NORRTÄLJE</t>
        </is>
      </c>
      <c r="G903" t="n">
        <v>4.2</v>
      </c>
      <c r="H903" t="n">
        <v>0</v>
      </c>
      <c r="I903" t="n">
        <v>0</v>
      </c>
      <c r="J903" t="n">
        <v>0</v>
      </c>
      <c r="K903" t="n">
        <v>0</v>
      </c>
      <c r="L903" t="n">
        <v>0</v>
      </c>
      <c r="M903" t="n">
        <v>0</v>
      </c>
      <c r="N903" t="n">
        <v>0</v>
      </c>
      <c r="O903" t="n">
        <v>0</v>
      </c>
      <c r="P903" t="n">
        <v>0</v>
      </c>
      <c r="Q903" t="n">
        <v>0</v>
      </c>
      <c r="R903" s="2" t="inlineStr"/>
    </row>
    <row r="904" ht="15" customHeight="1">
      <c r="A904" t="inlineStr">
        <is>
          <t>A 43300-2023</t>
        </is>
      </c>
      <c r="B904" s="1" t="n">
        <v>45183</v>
      </c>
      <c r="C904" s="1" t="n">
        <v>46120</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13276-2022</t>
        </is>
      </c>
      <c r="B905" s="1" t="n">
        <v>44644</v>
      </c>
      <c r="C905" s="1" t="n">
        <v>46120</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11900-2022</t>
        </is>
      </c>
      <c r="B906" s="1" t="n">
        <v>44635</v>
      </c>
      <c r="C906" s="1" t="n">
        <v>46120</v>
      </c>
      <c r="D906" t="inlineStr">
        <is>
          <t>STOCKHOLMS LÄN</t>
        </is>
      </c>
      <c r="E906" t="inlineStr">
        <is>
          <t>NORRTÄLJE</t>
        </is>
      </c>
      <c r="G906" t="n">
        <v>2.4</v>
      </c>
      <c r="H906" t="n">
        <v>0</v>
      </c>
      <c r="I906" t="n">
        <v>0</v>
      </c>
      <c r="J906" t="n">
        <v>0</v>
      </c>
      <c r="K906" t="n">
        <v>0</v>
      </c>
      <c r="L906" t="n">
        <v>0</v>
      </c>
      <c r="M906" t="n">
        <v>0</v>
      </c>
      <c r="N906" t="n">
        <v>0</v>
      </c>
      <c r="O906" t="n">
        <v>0</v>
      </c>
      <c r="P906" t="n">
        <v>0</v>
      </c>
      <c r="Q906" t="n">
        <v>0</v>
      </c>
      <c r="R906" s="2" t="inlineStr"/>
    </row>
    <row r="907" ht="15" customHeight="1">
      <c r="A907" t="inlineStr">
        <is>
          <t>A 14724-2022</t>
        </is>
      </c>
      <c r="B907" s="1" t="n">
        <v>44656</v>
      </c>
      <c r="C907" s="1" t="n">
        <v>46120</v>
      </c>
      <c r="D907" t="inlineStr">
        <is>
          <t>STOCKHOLMS LÄN</t>
        </is>
      </c>
      <c r="E907" t="inlineStr">
        <is>
          <t>NORRTÄLJE</t>
        </is>
      </c>
      <c r="F907" t="inlineStr">
        <is>
          <t>Sveaskog</t>
        </is>
      </c>
      <c r="G907" t="n">
        <v>9</v>
      </c>
      <c r="H907" t="n">
        <v>0</v>
      </c>
      <c r="I907" t="n">
        <v>0</v>
      </c>
      <c r="J907" t="n">
        <v>0</v>
      </c>
      <c r="K907" t="n">
        <v>0</v>
      </c>
      <c r="L907" t="n">
        <v>0</v>
      </c>
      <c r="M907" t="n">
        <v>0</v>
      </c>
      <c r="N907" t="n">
        <v>0</v>
      </c>
      <c r="O907" t="n">
        <v>0</v>
      </c>
      <c r="P907" t="n">
        <v>0</v>
      </c>
      <c r="Q907" t="n">
        <v>0</v>
      </c>
      <c r="R907" s="2" t="inlineStr"/>
    </row>
    <row r="908" ht="15" customHeight="1">
      <c r="A908" t="inlineStr">
        <is>
          <t>A 4580-2025</t>
        </is>
      </c>
      <c r="B908" s="1" t="n">
        <v>45687.5038425926</v>
      </c>
      <c r="C908" s="1" t="n">
        <v>46120</v>
      </c>
      <c r="D908" t="inlineStr">
        <is>
          <t>STOCKHOLMS LÄN</t>
        </is>
      </c>
      <c r="E908" t="inlineStr">
        <is>
          <t>NORRTÄLJE</t>
        </is>
      </c>
      <c r="F908" t="inlineStr">
        <is>
          <t>Holmen skog AB</t>
        </is>
      </c>
      <c r="G908" t="n">
        <v>4.8</v>
      </c>
      <c r="H908" t="n">
        <v>0</v>
      </c>
      <c r="I908" t="n">
        <v>0</v>
      </c>
      <c r="J908" t="n">
        <v>0</v>
      </c>
      <c r="K908" t="n">
        <v>0</v>
      </c>
      <c r="L908" t="n">
        <v>0</v>
      </c>
      <c r="M908" t="n">
        <v>0</v>
      </c>
      <c r="N908" t="n">
        <v>0</v>
      </c>
      <c r="O908" t="n">
        <v>0</v>
      </c>
      <c r="P908" t="n">
        <v>0</v>
      </c>
      <c r="Q908" t="n">
        <v>0</v>
      </c>
      <c r="R908" s="2" t="inlineStr"/>
    </row>
    <row r="909" ht="15" customHeight="1">
      <c r="A909" t="inlineStr">
        <is>
          <t>A 16202-2022</t>
        </is>
      </c>
      <c r="B909" s="1" t="n">
        <v>44670</v>
      </c>
      <c r="C909" s="1" t="n">
        <v>46120</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37261-2025</t>
        </is>
      </c>
      <c r="B910" s="1" t="n">
        <v>45876.45253472222</v>
      </c>
      <c r="C910" s="1" t="n">
        <v>46120</v>
      </c>
      <c r="D910" t="inlineStr">
        <is>
          <t>STOCKHOLMS LÄN</t>
        </is>
      </c>
      <c r="E910" t="inlineStr">
        <is>
          <t>NORRTÄLJE</t>
        </is>
      </c>
      <c r="F910" t="inlineStr">
        <is>
          <t>Kommuner</t>
        </is>
      </c>
      <c r="G910" t="n">
        <v>2.2</v>
      </c>
      <c r="H910" t="n">
        <v>0</v>
      </c>
      <c r="I910" t="n">
        <v>0</v>
      </c>
      <c r="J910" t="n">
        <v>0</v>
      </c>
      <c r="K910" t="n">
        <v>0</v>
      </c>
      <c r="L910" t="n">
        <v>0</v>
      </c>
      <c r="M910" t="n">
        <v>0</v>
      </c>
      <c r="N910" t="n">
        <v>0</v>
      </c>
      <c r="O910" t="n">
        <v>0</v>
      </c>
      <c r="P910" t="n">
        <v>0</v>
      </c>
      <c r="Q910" t="n">
        <v>0</v>
      </c>
      <c r="R910" s="2" t="inlineStr"/>
    </row>
    <row r="911" ht="15" customHeight="1">
      <c r="A911" t="inlineStr">
        <is>
          <t>A 6003-2025</t>
        </is>
      </c>
      <c r="B911" s="1" t="n">
        <v>45695.57881944445</v>
      </c>
      <c r="C911" s="1" t="n">
        <v>46120</v>
      </c>
      <c r="D911" t="inlineStr">
        <is>
          <t>STOCKHOLMS LÄN</t>
        </is>
      </c>
      <c r="E911" t="inlineStr">
        <is>
          <t>NORRTÄLJE</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52321-2024</t>
        </is>
      </c>
      <c r="B912" s="1" t="n">
        <v>45608</v>
      </c>
      <c r="C912" s="1" t="n">
        <v>46120</v>
      </c>
      <c r="D912" t="inlineStr">
        <is>
          <t>STOCKHOLMS LÄN</t>
        </is>
      </c>
      <c r="E912" t="inlineStr">
        <is>
          <t>NORRTÄLJE</t>
        </is>
      </c>
      <c r="G912" t="n">
        <v>18.1</v>
      </c>
      <c r="H912" t="n">
        <v>0</v>
      </c>
      <c r="I912" t="n">
        <v>0</v>
      </c>
      <c r="J912" t="n">
        <v>0</v>
      </c>
      <c r="K912" t="n">
        <v>0</v>
      </c>
      <c r="L912" t="n">
        <v>0</v>
      </c>
      <c r="M912" t="n">
        <v>0</v>
      </c>
      <c r="N912" t="n">
        <v>0</v>
      </c>
      <c r="O912" t="n">
        <v>0</v>
      </c>
      <c r="P912" t="n">
        <v>0</v>
      </c>
      <c r="Q912" t="n">
        <v>0</v>
      </c>
      <c r="R912" s="2" t="inlineStr"/>
    </row>
    <row r="913" ht="15" customHeight="1">
      <c r="A913" t="inlineStr">
        <is>
          <t>A 54558-2024</t>
        </is>
      </c>
      <c r="B913" s="1" t="n">
        <v>45617.62358796296</v>
      </c>
      <c r="C913" s="1" t="n">
        <v>46120</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20692-2025</t>
        </is>
      </c>
      <c r="B914" s="1" t="n">
        <v>45776.46369212963</v>
      </c>
      <c r="C914" s="1" t="n">
        <v>46120</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22157-2023</t>
        </is>
      </c>
      <c r="B915" s="1" t="n">
        <v>45069</v>
      </c>
      <c r="C915" s="1" t="n">
        <v>46120</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c r="U915">
        <f>HYPERLINK("https://klasma.github.io/Logging_0188/knärot/A 22157-2023 karta knärot.png", "A 22157-2023")</f>
        <v/>
      </c>
      <c r="V915">
        <f>HYPERLINK("https://klasma.github.io/Logging_0188/klagomål/A 22157-2023 FSC-klagomål.docx", "A 22157-2023")</f>
        <v/>
      </c>
      <c r="W915">
        <f>HYPERLINK("https://klasma.github.io/Logging_0188/klagomålsmail/A 22157-2023 FSC-klagomål mail.docx", "A 22157-2023")</f>
        <v/>
      </c>
      <c r="X915">
        <f>HYPERLINK("https://klasma.github.io/Logging_0188/tillsyn/A 22157-2023 tillsynsbegäran.docx", "A 22157-2023")</f>
        <v/>
      </c>
      <c r="Y915">
        <f>HYPERLINK("https://klasma.github.io/Logging_0188/tillsynsmail/A 22157-2023 tillsynsbegäran mail.docx", "A 22157-2023")</f>
        <v/>
      </c>
    </row>
    <row r="916" ht="15" customHeight="1">
      <c r="A916" t="inlineStr">
        <is>
          <t>A 48633-2023</t>
        </is>
      </c>
      <c r="B916" s="1" t="n">
        <v>45208.58004629629</v>
      </c>
      <c r="C916" s="1" t="n">
        <v>46120</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46071-2024</t>
        </is>
      </c>
      <c r="B917" s="1" t="n">
        <v>45581</v>
      </c>
      <c r="C917" s="1" t="n">
        <v>46120</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29369-2024</t>
        </is>
      </c>
      <c r="B918" s="1" t="n">
        <v>45483.57244212963</v>
      </c>
      <c r="C918" s="1" t="n">
        <v>46120</v>
      </c>
      <c r="D918" t="inlineStr">
        <is>
          <t>STOCKHOLMS LÄN</t>
        </is>
      </c>
      <c r="E918" t="inlineStr">
        <is>
          <t>NORRTÄLJE</t>
        </is>
      </c>
      <c r="G918" t="n">
        <v>15.9</v>
      </c>
      <c r="H918" t="n">
        <v>0</v>
      </c>
      <c r="I918" t="n">
        <v>0</v>
      </c>
      <c r="J918" t="n">
        <v>0</v>
      </c>
      <c r="K918" t="n">
        <v>0</v>
      </c>
      <c r="L918" t="n">
        <v>0</v>
      </c>
      <c r="M918" t="n">
        <v>0</v>
      </c>
      <c r="N918" t="n">
        <v>0</v>
      </c>
      <c r="O918" t="n">
        <v>0</v>
      </c>
      <c r="P918" t="n">
        <v>0</v>
      </c>
      <c r="Q918" t="n">
        <v>0</v>
      </c>
      <c r="R918" s="2" t="inlineStr"/>
    </row>
    <row r="919" ht="15" customHeight="1">
      <c r="A919" t="inlineStr">
        <is>
          <t>A 37630-2025</t>
        </is>
      </c>
      <c r="B919" s="1" t="n">
        <v>45880.46372685185</v>
      </c>
      <c r="C919" s="1" t="n">
        <v>46120</v>
      </c>
      <c r="D919" t="inlineStr">
        <is>
          <t>STOCKHOLMS LÄN</t>
        </is>
      </c>
      <c r="E919" t="inlineStr">
        <is>
          <t>NORRTÄLJE</t>
        </is>
      </c>
      <c r="F919" t="inlineStr">
        <is>
          <t>Sveaskog</t>
        </is>
      </c>
      <c r="G919" t="n">
        <v>12.9</v>
      </c>
      <c r="H919" t="n">
        <v>0</v>
      </c>
      <c r="I919" t="n">
        <v>0</v>
      </c>
      <c r="J919" t="n">
        <v>0</v>
      </c>
      <c r="K919" t="n">
        <v>0</v>
      </c>
      <c r="L919" t="n">
        <v>0</v>
      </c>
      <c r="M919" t="n">
        <v>0</v>
      </c>
      <c r="N919" t="n">
        <v>0</v>
      </c>
      <c r="O919" t="n">
        <v>0</v>
      </c>
      <c r="P919" t="n">
        <v>0</v>
      </c>
      <c r="Q919" t="n">
        <v>0</v>
      </c>
      <c r="R919" s="2" t="inlineStr"/>
    </row>
    <row r="920" ht="15" customHeight="1">
      <c r="A920" t="inlineStr">
        <is>
          <t>A 47419-2023</t>
        </is>
      </c>
      <c r="B920" s="1" t="n">
        <v>45202.65660879629</v>
      </c>
      <c r="C920" s="1" t="n">
        <v>46120</v>
      </c>
      <c r="D920" t="inlineStr">
        <is>
          <t>STOCKHOLMS LÄN</t>
        </is>
      </c>
      <c r="E920" t="inlineStr">
        <is>
          <t>NORRTÄLJE</t>
        </is>
      </c>
      <c r="G920" t="n">
        <v>11.4</v>
      </c>
      <c r="H920" t="n">
        <v>0</v>
      </c>
      <c r="I920" t="n">
        <v>0</v>
      </c>
      <c r="J920" t="n">
        <v>0</v>
      </c>
      <c r="K920" t="n">
        <v>0</v>
      </c>
      <c r="L920" t="n">
        <v>0</v>
      </c>
      <c r="M920" t="n">
        <v>0</v>
      </c>
      <c r="N920" t="n">
        <v>0</v>
      </c>
      <c r="O920" t="n">
        <v>0</v>
      </c>
      <c r="P920" t="n">
        <v>0</v>
      </c>
      <c r="Q920" t="n">
        <v>0</v>
      </c>
      <c r="R920" s="2" t="inlineStr"/>
    </row>
    <row r="921" ht="15" customHeight="1">
      <c r="A921" t="inlineStr">
        <is>
          <t>A 652-2025</t>
        </is>
      </c>
      <c r="B921" s="1" t="n">
        <v>45664</v>
      </c>
      <c r="C921" s="1" t="n">
        <v>46120</v>
      </c>
      <c r="D921" t="inlineStr">
        <is>
          <t>STOCKHOLMS LÄN</t>
        </is>
      </c>
      <c r="E921" t="inlineStr">
        <is>
          <t>NORRTÄLJE</t>
        </is>
      </c>
      <c r="G921" t="n">
        <v>2.5</v>
      </c>
      <c r="H921" t="n">
        <v>0</v>
      </c>
      <c r="I921" t="n">
        <v>0</v>
      </c>
      <c r="J921" t="n">
        <v>0</v>
      </c>
      <c r="K921" t="n">
        <v>0</v>
      </c>
      <c r="L921" t="n">
        <v>0</v>
      </c>
      <c r="M921" t="n">
        <v>0</v>
      </c>
      <c r="N921" t="n">
        <v>0</v>
      </c>
      <c r="O921" t="n">
        <v>0</v>
      </c>
      <c r="P921" t="n">
        <v>0</v>
      </c>
      <c r="Q921" t="n">
        <v>0</v>
      </c>
      <c r="R921" s="2" t="inlineStr"/>
    </row>
    <row r="922" ht="15" customHeight="1">
      <c r="A922" t="inlineStr">
        <is>
          <t>A 37632-2025</t>
        </is>
      </c>
      <c r="B922" s="1" t="n">
        <v>45880.46524305556</v>
      </c>
      <c r="C922" s="1" t="n">
        <v>46120</v>
      </c>
      <c r="D922" t="inlineStr">
        <is>
          <t>STOCKHOLMS LÄN</t>
        </is>
      </c>
      <c r="E922" t="inlineStr">
        <is>
          <t>NORRTÄLJE</t>
        </is>
      </c>
      <c r="F922" t="inlineStr">
        <is>
          <t>Sveaskog</t>
        </is>
      </c>
      <c r="G922" t="n">
        <v>6.4</v>
      </c>
      <c r="H922" t="n">
        <v>0</v>
      </c>
      <c r="I922" t="n">
        <v>0</v>
      </c>
      <c r="J922" t="n">
        <v>0</v>
      </c>
      <c r="K922" t="n">
        <v>0</v>
      </c>
      <c r="L922" t="n">
        <v>0</v>
      </c>
      <c r="M922" t="n">
        <v>0</v>
      </c>
      <c r="N922" t="n">
        <v>0</v>
      </c>
      <c r="O922" t="n">
        <v>0</v>
      </c>
      <c r="P922" t="n">
        <v>0</v>
      </c>
      <c r="Q922" t="n">
        <v>0</v>
      </c>
      <c r="R922" s="2" t="inlineStr"/>
    </row>
    <row r="923" ht="15" customHeight="1">
      <c r="A923" t="inlineStr">
        <is>
          <t>A 29841-2024</t>
        </is>
      </c>
      <c r="B923" s="1" t="n">
        <v>45485.60261574074</v>
      </c>
      <c r="C923" s="1" t="n">
        <v>46120</v>
      </c>
      <c r="D923" t="inlineStr">
        <is>
          <t>STOCKHOLMS LÄN</t>
        </is>
      </c>
      <c r="E923" t="inlineStr">
        <is>
          <t>NORRTÄLJE</t>
        </is>
      </c>
      <c r="G923" t="n">
        <v>15.9</v>
      </c>
      <c r="H923" t="n">
        <v>0</v>
      </c>
      <c r="I923" t="n">
        <v>0</v>
      </c>
      <c r="J923" t="n">
        <v>0</v>
      </c>
      <c r="K923" t="n">
        <v>0</v>
      </c>
      <c r="L923" t="n">
        <v>0</v>
      </c>
      <c r="M923" t="n">
        <v>0</v>
      </c>
      <c r="N923" t="n">
        <v>0</v>
      </c>
      <c r="O923" t="n">
        <v>0</v>
      </c>
      <c r="P923" t="n">
        <v>0</v>
      </c>
      <c r="Q923" t="n">
        <v>0</v>
      </c>
      <c r="R923" s="2" t="inlineStr"/>
    </row>
    <row r="924" ht="15" customHeight="1">
      <c r="A924" t="inlineStr">
        <is>
          <t>A 37628-2025</t>
        </is>
      </c>
      <c r="B924" s="1" t="n">
        <v>45880.46189814815</v>
      </c>
      <c r="C924" s="1" t="n">
        <v>46120</v>
      </c>
      <c r="D924" t="inlineStr">
        <is>
          <t>STOCKHOLMS LÄN</t>
        </is>
      </c>
      <c r="E924" t="inlineStr">
        <is>
          <t>NORRTÄLJE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10653-2022</t>
        </is>
      </c>
      <c r="B925" s="1" t="n">
        <v>44624.59434027778</v>
      </c>
      <c r="C925" s="1" t="n">
        <v>46120</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24350-2025</t>
        </is>
      </c>
      <c r="B926" s="1" t="n">
        <v>45797.58350694444</v>
      </c>
      <c r="C926" s="1" t="n">
        <v>46120</v>
      </c>
      <c r="D926" t="inlineStr">
        <is>
          <t>STOCKHOLMS LÄN</t>
        </is>
      </c>
      <c r="E926" t="inlineStr">
        <is>
          <t>NORRTÄLJE</t>
        </is>
      </c>
      <c r="G926" t="n">
        <v>4.5</v>
      </c>
      <c r="H926" t="n">
        <v>0</v>
      </c>
      <c r="I926" t="n">
        <v>0</v>
      </c>
      <c r="J926" t="n">
        <v>0</v>
      </c>
      <c r="K926" t="n">
        <v>0</v>
      </c>
      <c r="L926" t="n">
        <v>0</v>
      </c>
      <c r="M926" t="n">
        <v>0</v>
      </c>
      <c r="N926" t="n">
        <v>0</v>
      </c>
      <c r="O926" t="n">
        <v>0</v>
      </c>
      <c r="P926" t="n">
        <v>0</v>
      </c>
      <c r="Q926" t="n">
        <v>0</v>
      </c>
      <c r="R926" s="2" t="inlineStr"/>
    </row>
    <row r="927" ht="15" customHeight="1">
      <c r="A927" t="inlineStr">
        <is>
          <t>A 35695-2023</t>
        </is>
      </c>
      <c r="B927" s="1" t="n">
        <v>45147.65407407407</v>
      </c>
      <c r="C927" s="1" t="n">
        <v>46120</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18665-2022</t>
        </is>
      </c>
      <c r="B928" s="1" t="n">
        <v>44687</v>
      </c>
      <c r="C928" s="1" t="n">
        <v>46120</v>
      </c>
      <c r="D928" t="inlineStr">
        <is>
          <t>STOCKHOLMS LÄN</t>
        </is>
      </c>
      <c r="E928" t="inlineStr">
        <is>
          <t>NORRTÄLJE</t>
        </is>
      </c>
      <c r="F928" t="inlineStr">
        <is>
          <t>Kyrkan</t>
        </is>
      </c>
      <c r="G928" t="n">
        <v>1.1</v>
      </c>
      <c r="H928" t="n">
        <v>0</v>
      </c>
      <c r="I928" t="n">
        <v>0</v>
      </c>
      <c r="J928" t="n">
        <v>0</v>
      </c>
      <c r="K928" t="n">
        <v>0</v>
      </c>
      <c r="L928" t="n">
        <v>0</v>
      </c>
      <c r="M928" t="n">
        <v>0</v>
      </c>
      <c r="N928" t="n">
        <v>0</v>
      </c>
      <c r="O928" t="n">
        <v>0</v>
      </c>
      <c r="P928" t="n">
        <v>0</v>
      </c>
      <c r="Q928" t="n">
        <v>0</v>
      </c>
      <c r="R928" s="2" t="inlineStr"/>
    </row>
    <row r="929" ht="15" customHeight="1">
      <c r="A929" t="inlineStr">
        <is>
          <t>A 26703-2025</t>
        </is>
      </c>
      <c r="B929" s="1" t="n">
        <v>45810.45263888889</v>
      </c>
      <c r="C929" s="1" t="n">
        <v>46120</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17574-2025</t>
        </is>
      </c>
      <c r="B930" s="1" t="n">
        <v>45757.65178240741</v>
      </c>
      <c r="C930" s="1" t="n">
        <v>46120</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20370-2025</t>
        </is>
      </c>
      <c r="B931" s="1" t="n">
        <v>45775.41451388889</v>
      </c>
      <c r="C931" s="1" t="n">
        <v>46120</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19982-2022</t>
        </is>
      </c>
      <c r="B932" s="1" t="n">
        <v>44697</v>
      </c>
      <c r="C932" s="1" t="n">
        <v>46120</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13137-2024</t>
        </is>
      </c>
      <c r="B933" s="1" t="n">
        <v>45386.34175925926</v>
      </c>
      <c r="C933" s="1" t="n">
        <v>46120</v>
      </c>
      <c r="D933" t="inlineStr">
        <is>
          <t>STOCKHOLMS LÄN</t>
        </is>
      </c>
      <c r="E933" t="inlineStr">
        <is>
          <t>NORRTÄLJE</t>
        </is>
      </c>
      <c r="G933" t="n">
        <v>5</v>
      </c>
      <c r="H933" t="n">
        <v>0</v>
      </c>
      <c r="I933" t="n">
        <v>0</v>
      </c>
      <c r="J933" t="n">
        <v>0</v>
      </c>
      <c r="K933" t="n">
        <v>0</v>
      </c>
      <c r="L933" t="n">
        <v>0</v>
      </c>
      <c r="M933" t="n">
        <v>0</v>
      </c>
      <c r="N933" t="n">
        <v>0</v>
      </c>
      <c r="O933" t="n">
        <v>0</v>
      </c>
      <c r="P933" t="n">
        <v>0</v>
      </c>
      <c r="Q933" t="n">
        <v>0</v>
      </c>
      <c r="R933" s="2" t="inlineStr"/>
    </row>
    <row r="934" ht="15" customHeight="1">
      <c r="A934" t="inlineStr">
        <is>
          <t>A 38153-2025</t>
        </is>
      </c>
      <c r="B934" s="1" t="n">
        <v>45882.59722222222</v>
      </c>
      <c r="C934" s="1" t="n">
        <v>46120</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35438-2023</t>
        </is>
      </c>
      <c r="B935" s="1" t="n">
        <v>45146</v>
      </c>
      <c r="C935" s="1" t="n">
        <v>46120</v>
      </c>
      <c r="D935" t="inlineStr">
        <is>
          <t>STOCKHOLMS LÄN</t>
        </is>
      </c>
      <c r="E935" t="inlineStr">
        <is>
          <t>NORRTÄLJE</t>
        </is>
      </c>
      <c r="F935" t="inlineStr">
        <is>
          <t>Kommuner</t>
        </is>
      </c>
      <c r="G935" t="n">
        <v>1.9</v>
      </c>
      <c r="H935" t="n">
        <v>0</v>
      </c>
      <c r="I935" t="n">
        <v>0</v>
      </c>
      <c r="J935" t="n">
        <v>0</v>
      </c>
      <c r="K935" t="n">
        <v>0</v>
      </c>
      <c r="L935" t="n">
        <v>0</v>
      </c>
      <c r="M935" t="n">
        <v>0</v>
      </c>
      <c r="N935" t="n">
        <v>0</v>
      </c>
      <c r="O935" t="n">
        <v>0</v>
      </c>
      <c r="P935" t="n">
        <v>0</v>
      </c>
      <c r="Q935" t="n">
        <v>0</v>
      </c>
      <c r="R935" s="2" t="inlineStr"/>
    </row>
    <row r="936" ht="15" customHeight="1">
      <c r="A936" t="inlineStr">
        <is>
          <t>A 33878-2024</t>
        </is>
      </c>
      <c r="B936" s="1" t="n">
        <v>45522.44414351852</v>
      </c>
      <c r="C936" s="1" t="n">
        <v>46120</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38593-2025</t>
        </is>
      </c>
      <c r="B937" s="1" t="n">
        <v>45884.48696759259</v>
      </c>
      <c r="C937" s="1" t="n">
        <v>46120</v>
      </c>
      <c r="D937" t="inlineStr">
        <is>
          <t>STOCKHOLMS LÄN</t>
        </is>
      </c>
      <c r="E937" t="inlineStr">
        <is>
          <t>NORRTÄLJE</t>
        </is>
      </c>
      <c r="G937" t="n">
        <v>3</v>
      </c>
      <c r="H937" t="n">
        <v>0</v>
      </c>
      <c r="I937" t="n">
        <v>0</v>
      </c>
      <c r="J937" t="n">
        <v>0</v>
      </c>
      <c r="K937" t="n">
        <v>0</v>
      </c>
      <c r="L937" t="n">
        <v>0</v>
      </c>
      <c r="M937" t="n">
        <v>0</v>
      </c>
      <c r="N937" t="n">
        <v>0</v>
      </c>
      <c r="O937" t="n">
        <v>0</v>
      </c>
      <c r="P937" t="n">
        <v>0</v>
      </c>
      <c r="Q937" t="n">
        <v>0</v>
      </c>
      <c r="R937" s="2" t="inlineStr"/>
    </row>
    <row r="938" ht="15" customHeight="1">
      <c r="A938" t="inlineStr">
        <is>
          <t>A 4183-2025</t>
        </is>
      </c>
      <c r="B938" s="1" t="n">
        <v>45685.44592592592</v>
      </c>
      <c r="C938" s="1" t="n">
        <v>46120</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17556-2025</t>
        </is>
      </c>
      <c r="B939" s="1" t="n">
        <v>45757.62482638889</v>
      </c>
      <c r="C939" s="1" t="n">
        <v>46120</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67921-2021</t>
        </is>
      </c>
      <c r="B940" s="1" t="n">
        <v>44525</v>
      </c>
      <c r="C940" s="1" t="n">
        <v>46120</v>
      </c>
      <c r="D940" t="inlineStr">
        <is>
          <t>STOCKHOLMS LÄN</t>
        </is>
      </c>
      <c r="E940" t="inlineStr">
        <is>
          <t>NORRTÄLJE</t>
        </is>
      </c>
      <c r="G940" t="n">
        <v>6.3</v>
      </c>
      <c r="H940" t="n">
        <v>0</v>
      </c>
      <c r="I940" t="n">
        <v>0</v>
      </c>
      <c r="J940" t="n">
        <v>0</v>
      </c>
      <c r="K940" t="n">
        <v>0</v>
      </c>
      <c r="L940" t="n">
        <v>0</v>
      </c>
      <c r="M940" t="n">
        <v>0</v>
      </c>
      <c r="N940" t="n">
        <v>0</v>
      </c>
      <c r="O940" t="n">
        <v>0</v>
      </c>
      <c r="P940" t="n">
        <v>0</v>
      </c>
      <c r="Q940" t="n">
        <v>0</v>
      </c>
      <c r="R940" s="2" t="inlineStr"/>
    </row>
    <row r="941" ht="15" customHeight="1">
      <c r="A941" t="inlineStr">
        <is>
          <t>A 41335-2023</t>
        </is>
      </c>
      <c r="B941" s="1" t="n">
        <v>45174.68702546296</v>
      </c>
      <c r="C941" s="1" t="n">
        <v>46120</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4484-2025</t>
        </is>
      </c>
      <c r="B942" s="1" t="n">
        <v>45686.65545138889</v>
      </c>
      <c r="C942" s="1" t="n">
        <v>46120</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8419-2025</t>
        </is>
      </c>
      <c r="B943" s="1" t="n">
        <v>45709.40231481481</v>
      </c>
      <c r="C943" s="1" t="n">
        <v>46120</v>
      </c>
      <c r="D943" t="inlineStr">
        <is>
          <t>STOCKHOLMS LÄN</t>
        </is>
      </c>
      <c r="E943" t="inlineStr">
        <is>
          <t>NORRTÄLJE</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21480-2022</t>
        </is>
      </c>
      <c r="B944" s="1" t="n">
        <v>44704</v>
      </c>
      <c r="C944" s="1" t="n">
        <v>46120</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1654-2025</t>
        </is>
      </c>
      <c r="B945" s="1" t="n">
        <v>45670.65921296296</v>
      </c>
      <c r="C945" s="1" t="n">
        <v>46120</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48686-2023</t>
        </is>
      </c>
      <c r="B946" s="1" t="n">
        <v>45208</v>
      </c>
      <c r="C946" s="1" t="n">
        <v>46120</v>
      </c>
      <c r="D946" t="inlineStr">
        <is>
          <t>STOCKHOLMS LÄN</t>
        </is>
      </c>
      <c r="E946" t="inlineStr">
        <is>
          <t>NORRTÄLJE</t>
        </is>
      </c>
      <c r="G946" t="n">
        <v>6</v>
      </c>
      <c r="H946" t="n">
        <v>0</v>
      </c>
      <c r="I946" t="n">
        <v>0</v>
      </c>
      <c r="J946" t="n">
        <v>0</v>
      </c>
      <c r="K946" t="n">
        <v>0</v>
      </c>
      <c r="L946" t="n">
        <v>0</v>
      </c>
      <c r="M946" t="n">
        <v>0</v>
      </c>
      <c r="N946" t="n">
        <v>0</v>
      </c>
      <c r="O946" t="n">
        <v>0</v>
      </c>
      <c r="P946" t="n">
        <v>0</v>
      </c>
      <c r="Q946" t="n">
        <v>0</v>
      </c>
      <c r="R946" s="2" t="inlineStr"/>
    </row>
    <row r="947" ht="15" customHeight="1">
      <c r="A947" t="inlineStr">
        <is>
          <t>A 48691-2023</t>
        </is>
      </c>
      <c r="B947" s="1" t="n">
        <v>45208</v>
      </c>
      <c r="C947" s="1" t="n">
        <v>46120</v>
      </c>
      <c r="D947" t="inlineStr">
        <is>
          <t>STOCKHOLMS LÄN</t>
        </is>
      </c>
      <c r="E947" t="inlineStr">
        <is>
          <t>NORRTÄLJE</t>
        </is>
      </c>
      <c r="G947" t="n">
        <v>5.8</v>
      </c>
      <c r="H947" t="n">
        <v>0</v>
      </c>
      <c r="I947" t="n">
        <v>0</v>
      </c>
      <c r="J947" t="n">
        <v>0</v>
      </c>
      <c r="K947" t="n">
        <v>0</v>
      </c>
      <c r="L947" t="n">
        <v>0</v>
      </c>
      <c r="M947" t="n">
        <v>0</v>
      </c>
      <c r="N947" t="n">
        <v>0</v>
      </c>
      <c r="O947" t="n">
        <v>0</v>
      </c>
      <c r="P947" t="n">
        <v>0</v>
      </c>
      <c r="Q947" t="n">
        <v>0</v>
      </c>
      <c r="R947" s="2" t="inlineStr"/>
    </row>
    <row r="948" ht="15" customHeight="1">
      <c r="A948" t="inlineStr">
        <is>
          <t>A 55243-2023</t>
        </is>
      </c>
      <c r="B948" s="1" t="n">
        <v>45237</v>
      </c>
      <c r="C948" s="1" t="n">
        <v>46120</v>
      </c>
      <c r="D948" t="inlineStr">
        <is>
          <t>STOCKHOLMS LÄN</t>
        </is>
      </c>
      <c r="E948" t="inlineStr">
        <is>
          <t>NORRTÄLJE</t>
        </is>
      </c>
      <c r="G948" t="n">
        <v>6.5</v>
      </c>
      <c r="H948" t="n">
        <v>0</v>
      </c>
      <c r="I948" t="n">
        <v>0</v>
      </c>
      <c r="J948" t="n">
        <v>0</v>
      </c>
      <c r="K948" t="n">
        <v>0</v>
      </c>
      <c r="L948" t="n">
        <v>0</v>
      </c>
      <c r="M948" t="n">
        <v>0</v>
      </c>
      <c r="N948" t="n">
        <v>0</v>
      </c>
      <c r="O948" t="n">
        <v>0</v>
      </c>
      <c r="P948" t="n">
        <v>0</v>
      </c>
      <c r="Q948" t="n">
        <v>0</v>
      </c>
      <c r="R948" s="2" t="inlineStr"/>
    </row>
    <row r="949" ht="15" customHeight="1">
      <c r="A949" t="inlineStr">
        <is>
          <t>A 35210-2023</t>
        </is>
      </c>
      <c r="B949" s="1" t="n">
        <v>45145.63584490741</v>
      </c>
      <c r="C949" s="1" t="n">
        <v>46120</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6678-2025</t>
        </is>
      </c>
      <c r="B950" s="1" t="n">
        <v>45700</v>
      </c>
      <c r="C950" s="1" t="n">
        <v>46120</v>
      </c>
      <c r="D950" t="inlineStr">
        <is>
          <t>STOCKHOLMS LÄN</t>
        </is>
      </c>
      <c r="E950" t="inlineStr">
        <is>
          <t>NORRTÄLJE</t>
        </is>
      </c>
      <c r="F950" t="inlineStr">
        <is>
          <t>Övriga Aktiebolag</t>
        </is>
      </c>
      <c r="G950" t="n">
        <v>6.6</v>
      </c>
      <c r="H950" t="n">
        <v>0</v>
      </c>
      <c r="I950" t="n">
        <v>0</v>
      </c>
      <c r="J950" t="n">
        <v>0</v>
      </c>
      <c r="K950" t="n">
        <v>0</v>
      </c>
      <c r="L950" t="n">
        <v>0</v>
      </c>
      <c r="M950" t="n">
        <v>0</v>
      </c>
      <c r="N950" t="n">
        <v>0</v>
      </c>
      <c r="O950" t="n">
        <v>0</v>
      </c>
      <c r="P950" t="n">
        <v>0</v>
      </c>
      <c r="Q950" t="n">
        <v>0</v>
      </c>
      <c r="R950" s="2" t="inlineStr"/>
    </row>
    <row r="951" ht="15" customHeight="1">
      <c r="A951" t="inlineStr">
        <is>
          <t>A 17612-2022</t>
        </is>
      </c>
      <c r="B951" s="1" t="n">
        <v>44680</v>
      </c>
      <c r="C951" s="1" t="n">
        <v>46120</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58297-2023</t>
        </is>
      </c>
      <c r="B952" s="1" t="n">
        <v>45245</v>
      </c>
      <c r="C952" s="1" t="n">
        <v>46120</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21726-2022</t>
        </is>
      </c>
      <c r="B953" s="1" t="n">
        <v>44708</v>
      </c>
      <c r="C953" s="1" t="n">
        <v>46120</v>
      </c>
      <c r="D953" t="inlineStr">
        <is>
          <t>STOCKHOLMS LÄN</t>
        </is>
      </c>
      <c r="E953" t="inlineStr">
        <is>
          <t>NORRTÄLJE</t>
        </is>
      </c>
      <c r="G953" t="n">
        <v>0.2</v>
      </c>
      <c r="H953" t="n">
        <v>0</v>
      </c>
      <c r="I953" t="n">
        <v>0</v>
      </c>
      <c r="J953" t="n">
        <v>0</v>
      </c>
      <c r="K953" t="n">
        <v>0</v>
      </c>
      <c r="L953" t="n">
        <v>0</v>
      </c>
      <c r="M953" t="n">
        <v>0</v>
      </c>
      <c r="N953" t="n">
        <v>0</v>
      </c>
      <c r="O953" t="n">
        <v>0</v>
      </c>
      <c r="P953" t="n">
        <v>0</v>
      </c>
      <c r="Q953" t="n">
        <v>0</v>
      </c>
      <c r="R953" s="2" t="inlineStr"/>
    </row>
    <row r="954" ht="15" customHeight="1">
      <c r="A954" t="inlineStr">
        <is>
          <t>A 21739-2022</t>
        </is>
      </c>
      <c r="B954" s="1" t="n">
        <v>44708.36708333333</v>
      </c>
      <c r="C954" s="1" t="n">
        <v>46120</v>
      </c>
      <c r="D954" t="inlineStr">
        <is>
          <t>STOCKHOLMS LÄN</t>
        </is>
      </c>
      <c r="E954" t="inlineStr">
        <is>
          <t>NORRTÄLJE</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28182-2022</t>
        </is>
      </c>
      <c r="B955" s="1" t="n">
        <v>44746.58530092592</v>
      </c>
      <c r="C955" s="1" t="n">
        <v>46120</v>
      </c>
      <c r="D955" t="inlineStr">
        <is>
          <t>STOCKHOLMS LÄN</t>
        </is>
      </c>
      <c r="E955" t="inlineStr">
        <is>
          <t>NORRTÄLJE</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3283-2025</t>
        </is>
      </c>
      <c r="B956" s="1" t="n">
        <v>45679</v>
      </c>
      <c r="C956" s="1" t="n">
        <v>46120</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18092-2022</t>
        </is>
      </c>
      <c r="B957" s="1" t="n">
        <v>44684</v>
      </c>
      <c r="C957" s="1" t="n">
        <v>46120</v>
      </c>
      <c r="D957" t="inlineStr">
        <is>
          <t>STOCKHOLMS LÄN</t>
        </is>
      </c>
      <c r="E957" t="inlineStr">
        <is>
          <t>NORRTÄLJE</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33295-2023</t>
        </is>
      </c>
      <c r="B958" s="1" t="n">
        <v>45127.69371527778</v>
      </c>
      <c r="C958" s="1" t="n">
        <v>46120</v>
      </c>
      <c r="D958" t="inlineStr">
        <is>
          <t>STOCKHOLMS LÄN</t>
        </is>
      </c>
      <c r="E958" t="inlineStr">
        <is>
          <t>NORRTÄLJE</t>
        </is>
      </c>
      <c r="F958" t="inlineStr">
        <is>
          <t>Holmen skog AB</t>
        </is>
      </c>
      <c r="G958" t="n">
        <v>2</v>
      </c>
      <c r="H958" t="n">
        <v>0</v>
      </c>
      <c r="I958" t="n">
        <v>0</v>
      </c>
      <c r="J958" t="n">
        <v>0</v>
      </c>
      <c r="K958" t="n">
        <v>0</v>
      </c>
      <c r="L958" t="n">
        <v>0</v>
      </c>
      <c r="M958" t="n">
        <v>0</v>
      </c>
      <c r="N958" t="n">
        <v>0</v>
      </c>
      <c r="O958" t="n">
        <v>0</v>
      </c>
      <c r="P958" t="n">
        <v>0</v>
      </c>
      <c r="Q958" t="n">
        <v>0</v>
      </c>
      <c r="R958" s="2" t="inlineStr"/>
    </row>
    <row r="959" ht="15" customHeight="1">
      <c r="A959" t="inlineStr">
        <is>
          <t>A 58404-2023</t>
        </is>
      </c>
      <c r="B959" s="1" t="n">
        <v>45245</v>
      </c>
      <c r="C959" s="1" t="n">
        <v>46120</v>
      </c>
      <c r="D959" t="inlineStr">
        <is>
          <t>STOCKHOLMS LÄN</t>
        </is>
      </c>
      <c r="E959" t="inlineStr">
        <is>
          <t>NORRTÄLJE</t>
        </is>
      </c>
      <c r="G959" t="n">
        <v>53.5</v>
      </c>
      <c r="H959" t="n">
        <v>0</v>
      </c>
      <c r="I959" t="n">
        <v>0</v>
      </c>
      <c r="J959" t="n">
        <v>0</v>
      </c>
      <c r="K959" t="n">
        <v>0</v>
      </c>
      <c r="L959" t="n">
        <v>0</v>
      </c>
      <c r="M959" t="n">
        <v>0</v>
      </c>
      <c r="N959" t="n">
        <v>0</v>
      </c>
      <c r="O959" t="n">
        <v>0</v>
      </c>
      <c r="P959" t="n">
        <v>0</v>
      </c>
      <c r="Q959" t="n">
        <v>0</v>
      </c>
      <c r="R959" s="2" t="inlineStr"/>
    </row>
    <row r="960" ht="15" customHeight="1">
      <c r="A960" t="inlineStr">
        <is>
          <t>A 27885-2022</t>
        </is>
      </c>
      <c r="B960" s="1" t="n">
        <v>44743.67418981482</v>
      </c>
      <c r="C960" s="1" t="n">
        <v>46120</v>
      </c>
      <c r="D960" t="inlineStr">
        <is>
          <t>STOCKHOLMS LÄN</t>
        </is>
      </c>
      <c r="E960" t="inlineStr">
        <is>
          <t>NORRTÄLJE</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25525-2022</t>
        </is>
      </c>
      <c r="B961" s="1" t="n">
        <v>44732</v>
      </c>
      <c r="C961" s="1" t="n">
        <v>46120</v>
      </c>
      <c r="D961" t="inlineStr">
        <is>
          <t>STOCKHOLMS LÄN</t>
        </is>
      </c>
      <c r="E961" t="inlineStr">
        <is>
          <t>NORRTÄLJE</t>
        </is>
      </c>
      <c r="G961" t="n">
        <v>2.2</v>
      </c>
      <c r="H961" t="n">
        <v>0</v>
      </c>
      <c r="I961" t="n">
        <v>0</v>
      </c>
      <c r="J961" t="n">
        <v>0</v>
      </c>
      <c r="K961" t="n">
        <v>0</v>
      </c>
      <c r="L961" t="n">
        <v>0</v>
      </c>
      <c r="M961" t="n">
        <v>0</v>
      </c>
      <c r="N961" t="n">
        <v>0</v>
      </c>
      <c r="O961" t="n">
        <v>0</v>
      </c>
      <c r="P961" t="n">
        <v>0</v>
      </c>
      <c r="Q961" t="n">
        <v>0</v>
      </c>
      <c r="R961" s="2" t="inlineStr"/>
    </row>
    <row r="962" ht="15" customHeight="1">
      <c r="A962" t="inlineStr">
        <is>
          <t>A 48722-2023</t>
        </is>
      </c>
      <c r="B962" s="1" t="n">
        <v>45208.70996527778</v>
      </c>
      <c r="C962" s="1" t="n">
        <v>46120</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23801-2022</t>
        </is>
      </c>
      <c r="B963" s="1" t="n">
        <v>44722</v>
      </c>
      <c r="C963" s="1" t="n">
        <v>46120</v>
      </c>
      <c r="D963" t="inlineStr">
        <is>
          <t>STOCKHOLMS LÄN</t>
        </is>
      </c>
      <c r="E963" t="inlineStr">
        <is>
          <t>NORRTÄLJE</t>
        </is>
      </c>
      <c r="G963" t="n">
        <v>6.8</v>
      </c>
      <c r="H963" t="n">
        <v>0</v>
      </c>
      <c r="I963" t="n">
        <v>0</v>
      </c>
      <c r="J963" t="n">
        <v>0</v>
      </c>
      <c r="K963" t="n">
        <v>0</v>
      </c>
      <c r="L963" t="n">
        <v>0</v>
      </c>
      <c r="M963" t="n">
        <v>0</v>
      </c>
      <c r="N963" t="n">
        <v>0</v>
      </c>
      <c r="O963" t="n">
        <v>0</v>
      </c>
      <c r="P963" t="n">
        <v>0</v>
      </c>
      <c r="Q963" t="n">
        <v>0</v>
      </c>
      <c r="R963" s="2" t="inlineStr"/>
    </row>
    <row r="964" ht="15" customHeight="1">
      <c r="A964" t="inlineStr">
        <is>
          <t>A 33353-2023</t>
        </is>
      </c>
      <c r="B964" s="1" t="n">
        <v>45128</v>
      </c>
      <c r="C964" s="1" t="n">
        <v>46120</v>
      </c>
      <c r="D964" t="inlineStr">
        <is>
          <t>STOCKHOLMS LÄN</t>
        </is>
      </c>
      <c r="E964" t="inlineStr">
        <is>
          <t>NORRTÄLJE</t>
        </is>
      </c>
      <c r="G964" t="n">
        <v>0.8</v>
      </c>
      <c r="H964" t="n">
        <v>0</v>
      </c>
      <c r="I964" t="n">
        <v>0</v>
      </c>
      <c r="J964" t="n">
        <v>0</v>
      </c>
      <c r="K964" t="n">
        <v>0</v>
      </c>
      <c r="L964" t="n">
        <v>0</v>
      </c>
      <c r="M964" t="n">
        <v>0</v>
      </c>
      <c r="N964" t="n">
        <v>0</v>
      </c>
      <c r="O964" t="n">
        <v>0</v>
      </c>
      <c r="P964" t="n">
        <v>0</v>
      </c>
      <c r="Q964" t="n">
        <v>0</v>
      </c>
      <c r="R964" s="2" t="inlineStr"/>
    </row>
    <row r="965" ht="15" customHeight="1">
      <c r="A965" t="inlineStr">
        <is>
          <t>A 35708-2022</t>
        </is>
      </c>
      <c r="B965" s="1" t="n">
        <v>44799.65013888889</v>
      </c>
      <c r="C965" s="1" t="n">
        <v>46120</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3426-2025</t>
        </is>
      </c>
      <c r="B966" s="1" t="n">
        <v>45680.42665509259</v>
      </c>
      <c r="C966" s="1" t="n">
        <v>46120</v>
      </c>
      <c r="D966" t="inlineStr">
        <is>
          <t>STOCKHOLMS LÄN</t>
        </is>
      </c>
      <c r="E966" t="inlineStr">
        <is>
          <t>NORRTÄLJE</t>
        </is>
      </c>
      <c r="G966" t="n">
        <v>3.2</v>
      </c>
      <c r="H966" t="n">
        <v>0</v>
      </c>
      <c r="I966" t="n">
        <v>0</v>
      </c>
      <c r="J966" t="n">
        <v>0</v>
      </c>
      <c r="K966" t="n">
        <v>0</v>
      </c>
      <c r="L966" t="n">
        <v>0</v>
      </c>
      <c r="M966" t="n">
        <v>0</v>
      </c>
      <c r="N966" t="n">
        <v>0</v>
      </c>
      <c r="O966" t="n">
        <v>0</v>
      </c>
      <c r="P966" t="n">
        <v>0</v>
      </c>
      <c r="Q966" t="n">
        <v>0</v>
      </c>
      <c r="R966" s="2" t="inlineStr"/>
    </row>
    <row r="967" ht="15" customHeight="1">
      <c r="A967" t="inlineStr">
        <is>
          <t>A 9-2024</t>
        </is>
      </c>
      <c r="B967" s="1" t="n">
        <v>45293</v>
      </c>
      <c r="C967" s="1" t="n">
        <v>46120</v>
      </c>
      <c r="D967" t="inlineStr">
        <is>
          <t>STOCKHOLMS LÄN</t>
        </is>
      </c>
      <c r="E967" t="inlineStr">
        <is>
          <t>NORRTÄLJE</t>
        </is>
      </c>
      <c r="F967" t="inlineStr">
        <is>
          <t>Sveaskog</t>
        </is>
      </c>
      <c r="G967" t="n">
        <v>1.3</v>
      </c>
      <c r="H967" t="n">
        <v>0</v>
      </c>
      <c r="I967" t="n">
        <v>0</v>
      </c>
      <c r="J967" t="n">
        <v>0</v>
      </c>
      <c r="K967" t="n">
        <v>0</v>
      </c>
      <c r="L967" t="n">
        <v>0</v>
      </c>
      <c r="M967" t="n">
        <v>0</v>
      </c>
      <c r="N967" t="n">
        <v>0</v>
      </c>
      <c r="O967" t="n">
        <v>0</v>
      </c>
      <c r="P967" t="n">
        <v>0</v>
      </c>
      <c r="Q967" t="n">
        <v>0</v>
      </c>
      <c r="R967" s="2" t="inlineStr"/>
    </row>
    <row r="968" ht="15" customHeight="1">
      <c r="A968" t="inlineStr">
        <is>
          <t>A 51312-2023</t>
        </is>
      </c>
      <c r="B968" s="1" t="n">
        <v>45219.56697916667</v>
      </c>
      <c r="C968" s="1" t="n">
        <v>46120</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11849-2025</t>
        </is>
      </c>
      <c r="B969" s="1" t="n">
        <v>45728.38409722222</v>
      </c>
      <c r="C969" s="1" t="n">
        <v>46120</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38610-2022</t>
        </is>
      </c>
      <c r="B970" s="1" t="n">
        <v>44813.59915509259</v>
      </c>
      <c r="C970" s="1" t="n">
        <v>46120</v>
      </c>
      <c r="D970" t="inlineStr">
        <is>
          <t>STOCKHOLMS LÄN</t>
        </is>
      </c>
      <c r="E970" t="inlineStr">
        <is>
          <t>NORRTÄLJE</t>
        </is>
      </c>
      <c r="G970" t="n">
        <v>1.9</v>
      </c>
      <c r="H970" t="n">
        <v>0</v>
      </c>
      <c r="I970" t="n">
        <v>0</v>
      </c>
      <c r="J970" t="n">
        <v>0</v>
      </c>
      <c r="K970" t="n">
        <v>0</v>
      </c>
      <c r="L970" t="n">
        <v>0</v>
      </c>
      <c r="M970" t="n">
        <v>0</v>
      </c>
      <c r="N970" t="n">
        <v>0</v>
      </c>
      <c r="O970" t="n">
        <v>0</v>
      </c>
      <c r="P970" t="n">
        <v>0</v>
      </c>
      <c r="Q970" t="n">
        <v>0</v>
      </c>
      <c r="R970" s="2" t="inlineStr"/>
    </row>
    <row r="971" ht="15" customHeight="1">
      <c r="A971" t="inlineStr">
        <is>
          <t>A 22816-2021</t>
        </is>
      </c>
      <c r="B971" s="1" t="n">
        <v>44325</v>
      </c>
      <c r="C971" s="1" t="n">
        <v>46120</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59468-2023</t>
        </is>
      </c>
      <c r="B972" s="1" t="n">
        <v>45254.41509259259</v>
      </c>
      <c r="C972" s="1" t="n">
        <v>46120</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18846-2022</t>
        </is>
      </c>
      <c r="B973" s="1" t="n">
        <v>44690</v>
      </c>
      <c r="C973" s="1" t="n">
        <v>46120</v>
      </c>
      <c r="D973" t="inlineStr">
        <is>
          <t>STOCKHOLMS LÄN</t>
        </is>
      </c>
      <c r="E973" t="inlineStr">
        <is>
          <t>NORRTÄLJE</t>
        </is>
      </c>
      <c r="G973" t="n">
        <v>7</v>
      </c>
      <c r="H973" t="n">
        <v>0</v>
      </c>
      <c r="I973" t="n">
        <v>0</v>
      </c>
      <c r="J973" t="n">
        <v>0</v>
      </c>
      <c r="K973" t="n">
        <v>0</v>
      </c>
      <c r="L973" t="n">
        <v>0</v>
      </c>
      <c r="M973" t="n">
        <v>0</v>
      </c>
      <c r="N973" t="n">
        <v>0</v>
      </c>
      <c r="O973" t="n">
        <v>0</v>
      </c>
      <c r="P973" t="n">
        <v>0</v>
      </c>
      <c r="Q973" t="n">
        <v>0</v>
      </c>
      <c r="R973" s="2" t="inlineStr"/>
    </row>
    <row r="974" ht="15" customHeight="1">
      <c r="A974" t="inlineStr">
        <is>
          <t>A 12535-2025</t>
        </is>
      </c>
      <c r="B974" s="1" t="n">
        <v>45730.69502314815</v>
      </c>
      <c r="C974" s="1" t="n">
        <v>46120</v>
      </c>
      <c r="D974" t="inlineStr">
        <is>
          <t>STOCKHOLMS LÄN</t>
        </is>
      </c>
      <c r="E974" t="inlineStr">
        <is>
          <t>NORRTÄLJE</t>
        </is>
      </c>
      <c r="G974" t="n">
        <v>7.1</v>
      </c>
      <c r="H974" t="n">
        <v>0</v>
      </c>
      <c r="I974" t="n">
        <v>0</v>
      </c>
      <c r="J974" t="n">
        <v>0</v>
      </c>
      <c r="K974" t="n">
        <v>0</v>
      </c>
      <c r="L974" t="n">
        <v>0</v>
      </c>
      <c r="M974" t="n">
        <v>0</v>
      </c>
      <c r="N974" t="n">
        <v>0</v>
      </c>
      <c r="O974" t="n">
        <v>0</v>
      </c>
      <c r="P974" t="n">
        <v>0</v>
      </c>
      <c r="Q974" t="n">
        <v>0</v>
      </c>
      <c r="R974" s="2" t="inlineStr"/>
    </row>
    <row r="975" ht="15" customHeight="1">
      <c r="A975" t="inlineStr">
        <is>
          <t>A 574-2023</t>
        </is>
      </c>
      <c r="B975" s="1" t="n">
        <v>44925</v>
      </c>
      <c r="C975" s="1" t="n">
        <v>46120</v>
      </c>
      <c r="D975" t="inlineStr">
        <is>
          <t>STOCKHOLMS LÄN</t>
        </is>
      </c>
      <c r="E975" t="inlineStr">
        <is>
          <t>NORRTÄLJE</t>
        </is>
      </c>
      <c r="G975" t="n">
        <v>5</v>
      </c>
      <c r="H975" t="n">
        <v>0</v>
      </c>
      <c r="I975" t="n">
        <v>0</v>
      </c>
      <c r="J975" t="n">
        <v>0</v>
      </c>
      <c r="K975" t="n">
        <v>0</v>
      </c>
      <c r="L975" t="n">
        <v>0</v>
      </c>
      <c r="M975" t="n">
        <v>0</v>
      </c>
      <c r="N975" t="n">
        <v>0</v>
      </c>
      <c r="O975" t="n">
        <v>0</v>
      </c>
      <c r="P975" t="n">
        <v>0</v>
      </c>
      <c r="Q975" t="n">
        <v>0</v>
      </c>
      <c r="R975" s="2" t="inlineStr"/>
    </row>
    <row r="976" ht="15" customHeight="1">
      <c r="A976" t="inlineStr">
        <is>
          <t>A 37010-2022</t>
        </is>
      </c>
      <c r="B976" s="1" t="n">
        <v>44806.41576388889</v>
      </c>
      <c r="C976" s="1" t="n">
        <v>46120</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32705-2022</t>
        </is>
      </c>
      <c r="B977" s="1" t="n">
        <v>44783</v>
      </c>
      <c r="C977" s="1" t="n">
        <v>46120</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33149-2022</t>
        </is>
      </c>
      <c r="B978" s="1" t="n">
        <v>44785</v>
      </c>
      <c r="C978" s="1" t="n">
        <v>46120</v>
      </c>
      <c r="D978" t="inlineStr">
        <is>
          <t>STOCKHOLMS LÄN</t>
        </is>
      </c>
      <c r="E978" t="inlineStr">
        <is>
          <t>NORRTÄLJE</t>
        </is>
      </c>
      <c r="F978" t="inlineStr">
        <is>
          <t>Holmen skog AB</t>
        </is>
      </c>
      <c r="G978" t="n">
        <v>4.4</v>
      </c>
      <c r="H978" t="n">
        <v>0</v>
      </c>
      <c r="I978" t="n">
        <v>0</v>
      </c>
      <c r="J978" t="n">
        <v>0</v>
      </c>
      <c r="K978" t="n">
        <v>0</v>
      </c>
      <c r="L978" t="n">
        <v>0</v>
      </c>
      <c r="M978" t="n">
        <v>0</v>
      </c>
      <c r="N978" t="n">
        <v>0</v>
      </c>
      <c r="O978" t="n">
        <v>0</v>
      </c>
      <c r="P978" t="n">
        <v>0</v>
      </c>
      <c r="Q978" t="n">
        <v>0</v>
      </c>
      <c r="R978" s="2" t="inlineStr"/>
    </row>
    <row r="979" ht="15" customHeight="1">
      <c r="A979" t="inlineStr">
        <is>
          <t>A 14559-2024</t>
        </is>
      </c>
      <c r="B979" s="1" t="n">
        <v>45394.72869212963</v>
      </c>
      <c r="C979" s="1" t="n">
        <v>46120</v>
      </c>
      <c r="D979" t="inlineStr">
        <is>
          <t>STOCKHOLMS LÄN</t>
        </is>
      </c>
      <c r="E979" t="inlineStr">
        <is>
          <t>NORRTÄLJE</t>
        </is>
      </c>
      <c r="G979" t="n">
        <v>4.2</v>
      </c>
      <c r="H979" t="n">
        <v>0</v>
      </c>
      <c r="I979" t="n">
        <v>0</v>
      </c>
      <c r="J979" t="n">
        <v>0</v>
      </c>
      <c r="K979" t="n">
        <v>0</v>
      </c>
      <c r="L979" t="n">
        <v>0</v>
      </c>
      <c r="M979" t="n">
        <v>0</v>
      </c>
      <c r="N979" t="n">
        <v>0</v>
      </c>
      <c r="O979" t="n">
        <v>0</v>
      </c>
      <c r="P979" t="n">
        <v>0</v>
      </c>
      <c r="Q979" t="n">
        <v>0</v>
      </c>
      <c r="R979" s="2" t="inlineStr"/>
    </row>
    <row r="980" ht="15" customHeight="1">
      <c r="A980" t="inlineStr">
        <is>
          <t>A 11-2024</t>
        </is>
      </c>
      <c r="B980" s="1" t="n">
        <v>45293</v>
      </c>
      <c r="C980" s="1" t="n">
        <v>46120</v>
      </c>
      <c r="D980" t="inlineStr">
        <is>
          <t>STOCKHOLMS LÄN</t>
        </is>
      </c>
      <c r="E980" t="inlineStr">
        <is>
          <t>NORRTÄLJE</t>
        </is>
      </c>
      <c r="F980" t="inlineStr">
        <is>
          <t>Sveaskog</t>
        </is>
      </c>
      <c r="G980" t="n">
        <v>3.2</v>
      </c>
      <c r="H980" t="n">
        <v>0</v>
      </c>
      <c r="I980" t="n">
        <v>0</v>
      </c>
      <c r="J980" t="n">
        <v>0</v>
      </c>
      <c r="K980" t="n">
        <v>0</v>
      </c>
      <c r="L980" t="n">
        <v>0</v>
      </c>
      <c r="M980" t="n">
        <v>0</v>
      </c>
      <c r="N980" t="n">
        <v>0</v>
      </c>
      <c r="O980" t="n">
        <v>0</v>
      </c>
      <c r="P980" t="n">
        <v>0</v>
      </c>
      <c r="Q980" t="n">
        <v>0</v>
      </c>
      <c r="R980" s="2" t="inlineStr"/>
    </row>
    <row r="981" ht="15" customHeight="1">
      <c r="A981" t="inlineStr">
        <is>
          <t>A 15256-2023</t>
        </is>
      </c>
      <c r="B981" s="1" t="n">
        <v>45019.3959837963</v>
      </c>
      <c r="C981" s="1" t="n">
        <v>46120</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7413-2024</t>
        </is>
      </c>
      <c r="B982" s="1" t="n">
        <v>45345.6059837963</v>
      </c>
      <c r="C982" s="1" t="n">
        <v>46120</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58040-2024</t>
        </is>
      </c>
      <c r="B983" s="1" t="n">
        <v>45631.73952546297</v>
      </c>
      <c r="C983" s="1" t="n">
        <v>46120</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58041-2024</t>
        </is>
      </c>
      <c r="B984" s="1" t="n">
        <v>45631.74673611111</v>
      </c>
      <c r="C984" s="1" t="n">
        <v>46120</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31057-2022</t>
        </is>
      </c>
      <c r="B985" s="1" t="n">
        <v>44769</v>
      </c>
      <c r="C985" s="1" t="n">
        <v>46120</v>
      </c>
      <c r="D985" t="inlineStr">
        <is>
          <t>STOCKHOLMS LÄN</t>
        </is>
      </c>
      <c r="E985" t="inlineStr">
        <is>
          <t>NORRTÄLJE</t>
        </is>
      </c>
      <c r="G985" t="n">
        <v>6.5</v>
      </c>
      <c r="H985" t="n">
        <v>0</v>
      </c>
      <c r="I985" t="n">
        <v>0</v>
      </c>
      <c r="J985" t="n">
        <v>0</v>
      </c>
      <c r="K985" t="n">
        <v>0</v>
      </c>
      <c r="L985" t="n">
        <v>0</v>
      </c>
      <c r="M985" t="n">
        <v>0</v>
      </c>
      <c r="N985" t="n">
        <v>0</v>
      </c>
      <c r="O985" t="n">
        <v>0</v>
      </c>
      <c r="P985" t="n">
        <v>0</v>
      </c>
      <c r="Q985" t="n">
        <v>0</v>
      </c>
      <c r="R985" s="2" t="inlineStr"/>
    </row>
    <row r="986" ht="15" customHeight="1">
      <c r="A986" t="inlineStr">
        <is>
          <t>A 25619-2022</t>
        </is>
      </c>
      <c r="B986" s="1" t="n">
        <v>44732</v>
      </c>
      <c r="C986" s="1" t="n">
        <v>46120</v>
      </c>
      <c r="D986" t="inlineStr">
        <is>
          <t>STOCKHOLMS LÄN</t>
        </is>
      </c>
      <c r="E986" t="inlineStr">
        <is>
          <t>NORRTÄLJE</t>
        </is>
      </c>
      <c r="G986" t="n">
        <v>3.9</v>
      </c>
      <c r="H986" t="n">
        <v>0</v>
      </c>
      <c r="I986" t="n">
        <v>0</v>
      </c>
      <c r="J986" t="n">
        <v>0</v>
      </c>
      <c r="K986" t="n">
        <v>0</v>
      </c>
      <c r="L986" t="n">
        <v>0</v>
      </c>
      <c r="M986" t="n">
        <v>0</v>
      </c>
      <c r="N986" t="n">
        <v>0</v>
      </c>
      <c r="O986" t="n">
        <v>0</v>
      </c>
      <c r="P986" t="n">
        <v>0</v>
      </c>
      <c r="Q986" t="n">
        <v>0</v>
      </c>
      <c r="R986" s="2" t="inlineStr"/>
    </row>
    <row r="987" ht="15" customHeight="1">
      <c r="A987" t="inlineStr">
        <is>
          <t>A 15422-2024</t>
        </is>
      </c>
      <c r="B987" s="1" t="n">
        <v>45401.3653125</v>
      </c>
      <c r="C987" s="1" t="n">
        <v>46120</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48716-2023</t>
        </is>
      </c>
      <c r="B988" s="1" t="n">
        <v>45208.69671296296</v>
      </c>
      <c r="C988" s="1" t="n">
        <v>46120</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55369-2023</t>
        </is>
      </c>
      <c r="B989" s="1" t="n">
        <v>45238</v>
      </c>
      <c r="C989" s="1" t="n">
        <v>46120</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20121-2022</t>
        </is>
      </c>
      <c r="B990" s="1" t="n">
        <v>44698</v>
      </c>
      <c r="C990" s="1" t="n">
        <v>46120</v>
      </c>
      <c r="D990" t="inlineStr">
        <is>
          <t>STOCKHOLMS LÄN</t>
        </is>
      </c>
      <c r="E990" t="inlineStr">
        <is>
          <t>NORRTÄLJE</t>
        </is>
      </c>
      <c r="G990" t="n">
        <v>4.2</v>
      </c>
      <c r="H990" t="n">
        <v>0</v>
      </c>
      <c r="I990" t="n">
        <v>0</v>
      </c>
      <c r="J990" t="n">
        <v>0</v>
      </c>
      <c r="K990" t="n">
        <v>0</v>
      </c>
      <c r="L990" t="n">
        <v>0</v>
      </c>
      <c r="M990" t="n">
        <v>0</v>
      </c>
      <c r="N990" t="n">
        <v>0</v>
      </c>
      <c r="O990" t="n">
        <v>0</v>
      </c>
      <c r="P990" t="n">
        <v>0</v>
      </c>
      <c r="Q990" t="n">
        <v>0</v>
      </c>
      <c r="R990" s="2" t="inlineStr"/>
    </row>
    <row r="991" ht="15" customHeight="1">
      <c r="A991" t="inlineStr">
        <is>
          <t>A 26407-2024</t>
        </is>
      </c>
      <c r="B991" s="1" t="n">
        <v>45469</v>
      </c>
      <c r="C991" s="1" t="n">
        <v>46120</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10098-2022</t>
        </is>
      </c>
      <c r="B992" s="1" t="n">
        <v>44621</v>
      </c>
      <c r="C992" s="1" t="n">
        <v>46120</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49700-2023</t>
        </is>
      </c>
      <c r="B993" s="1" t="n">
        <v>45212</v>
      </c>
      <c r="C993" s="1" t="n">
        <v>46120</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59875-2024</t>
        </is>
      </c>
      <c r="B994" s="1" t="n">
        <v>45640.58716435185</v>
      </c>
      <c r="C994" s="1" t="n">
        <v>46120</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45220-2024</t>
        </is>
      </c>
      <c r="B995" s="1" t="n">
        <v>45575</v>
      </c>
      <c r="C995" s="1" t="n">
        <v>46120</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4658-2024</t>
        </is>
      </c>
      <c r="B996" s="1" t="n">
        <v>45328.46336805556</v>
      </c>
      <c r="C996" s="1" t="n">
        <v>46120</v>
      </c>
      <c r="D996" t="inlineStr">
        <is>
          <t>STOCKHOLMS LÄN</t>
        </is>
      </c>
      <c r="E996" t="inlineStr">
        <is>
          <t>NORRTÄLJE</t>
        </is>
      </c>
      <c r="G996" t="n">
        <v>2.8</v>
      </c>
      <c r="H996" t="n">
        <v>0</v>
      </c>
      <c r="I996" t="n">
        <v>0</v>
      </c>
      <c r="J996" t="n">
        <v>0</v>
      </c>
      <c r="K996" t="n">
        <v>0</v>
      </c>
      <c r="L996" t="n">
        <v>0</v>
      </c>
      <c r="M996" t="n">
        <v>0</v>
      </c>
      <c r="N996" t="n">
        <v>0</v>
      </c>
      <c r="O996" t="n">
        <v>0</v>
      </c>
      <c r="P996" t="n">
        <v>0</v>
      </c>
      <c r="Q996" t="n">
        <v>0</v>
      </c>
      <c r="R996" s="2" t="inlineStr"/>
    </row>
    <row r="997" ht="15" customHeight="1">
      <c r="A997" t="inlineStr">
        <is>
          <t>A 48145-2024</t>
        </is>
      </c>
      <c r="B997" s="1" t="n">
        <v>45589.6756712963</v>
      </c>
      <c r="C997" s="1" t="n">
        <v>46120</v>
      </c>
      <c r="D997" t="inlineStr">
        <is>
          <t>STOCKHOLMS LÄN</t>
        </is>
      </c>
      <c r="E997" t="inlineStr">
        <is>
          <t>NORRTÄLJE</t>
        </is>
      </c>
      <c r="G997" t="n">
        <v>3.4</v>
      </c>
      <c r="H997" t="n">
        <v>0</v>
      </c>
      <c r="I997" t="n">
        <v>0</v>
      </c>
      <c r="J997" t="n">
        <v>0</v>
      </c>
      <c r="K997" t="n">
        <v>0</v>
      </c>
      <c r="L997" t="n">
        <v>0</v>
      </c>
      <c r="M997" t="n">
        <v>0</v>
      </c>
      <c r="N997" t="n">
        <v>0</v>
      </c>
      <c r="O997" t="n">
        <v>0</v>
      </c>
      <c r="P997" t="n">
        <v>0</v>
      </c>
      <c r="Q997" t="n">
        <v>0</v>
      </c>
      <c r="R997" s="2" t="inlineStr"/>
    </row>
    <row r="998" ht="15" customHeight="1">
      <c r="A998" t="inlineStr">
        <is>
          <t>A 10642-2025</t>
        </is>
      </c>
      <c r="B998" s="1" t="n">
        <v>45721.65858796296</v>
      </c>
      <c r="C998" s="1" t="n">
        <v>46120</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24024-2024</t>
        </is>
      </c>
      <c r="B999" s="1" t="n">
        <v>45456</v>
      </c>
      <c r="C999" s="1" t="n">
        <v>46120</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35532-2024</t>
        </is>
      </c>
      <c r="B1000" s="1" t="n">
        <v>45531</v>
      </c>
      <c r="C1000" s="1" t="n">
        <v>46120</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21291-2021</t>
        </is>
      </c>
      <c r="B1001" s="1" t="n">
        <v>44319</v>
      </c>
      <c r="C1001" s="1" t="n">
        <v>46120</v>
      </c>
      <c r="D1001" t="inlineStr">
        <is>
          <t>STOCKHOLMS LÄN</t>
        </is>
      </c>
      <c r="E1001" t="inlineStr">
        <is>
          <t>NORRTÄLJE</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19118-2022</t>
        </is>
      </c>
      <c r="B1002" s="1" t="n">
        <v>44691.5652662037</v>
      </c>
      <c r="C1002" s="1" t="n">
        <v>46120</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22421-2021</t>
        </is>
      </c>
      <c r="B1003" s="1" t="n">
        <v>44326</v>
      </c>
      <c r="C1003" s="1" t="n">
        <v>46120</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59893-2022</t>
        </is>
      </c>
      <c r="B1004" s="1" t="n">
        <v>44908.77368055555</v>
      </c>
      <c r="C1004" s="1" t="n">
        <v>46120</v>
      </c>
      <c r="D1004" t="inlineStr">
        <is>
          <t>STOCKHOLMS LÄN</t>
        </is>
      </c>
      <c r="E1004" t="inlineStr">
        <is>
          <t>NORRTÄLJE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33226-2024</t>
        </is>
      </c>
      <c r="B1005" s="1" t="n">
        <v>45518</v>
      </c>
      <c r="C1005" s="1" t="n">
        <v>46120</v>
      </c>
      <c r="D1005" t="inlineStr">
        <is>
          <t>STOCKHOLMS LÄN</t>
        </is>
      </c>
      <c r="E1005" t="inlineStr">
        <is>
          <t>NORRTÄLJE</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16980-2023</t>
        </is>
      </c>
      <c r="B1006" s="1" t="n">
        <v>45033</v>
      </c>
      <c r="C1006" s="1" t="n">
        <v>46120</v>
      </c>
      <c r="D1006" t="inlineStr">
        <is>
          <t>STOCKHOLMS LÄN</t>
        </is>
      </c>
      <c r="E1006" t="inlineStr">
        <is>
          <t>NORRTÄLJE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31107-2022</t>
        </is>
      </c>
      <c r="B1007" s="1" t="n">
        <v>44769.66864583334</v>
      </c>
      <c r="C1007" s="1" t="n">
        <v>46120</v>
      </c>
      <c r="D1007" t="inlineStr">
        <is>
          <t>STOCKHOLMS LÄN</t>
        </is>
      </c>
      <c r="E1007" t="inlineStr">
        <is>
          <t>NORRTÄLJE</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18539-2021</t>
        </is>
      </c>
      <c r="B1008" s="1" t="n">
        <v>44306</v>
      </c>
      <c r="C1008" s="1" t="n">
        <v>46120</v>
      </c>
      <c r="D1008" t="inlineStr">
        <is>
          <t>STOCKHOLMS LÄN</t>
        </is>
      </c>
      <c r="E1008" t="inlineStr">
        <is>
          <t>NORRTÄLJE</t>
        </is>
      </c>
      <c r="F1008" t="inlineStr">
        <is>
          <t>Holmen skog AB</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43170-2023</t>
        </is>
      </c>
      <c r="B1009" s="1" t="n">
        <v>45183</v>
      </c>
      <c r="C1009" s="1" t="n">
        <v>46120</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47626-2022</t>
        </is>
      </c>
      <c r="B1010" s="1" t="n">
        <v>44854</v>
      </c>
      <c r="C1010" s="1" t="n">
        <v>46120</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32101-2022</t>
        </is>
      </c>
      <c r="B1011" s="1" t="n">
        <v>44778.69210648148</v>
      </c>
      <c r="C1011" s="1" t="n">
        <v>46120</v>
      </c>
      <c r="D1011" t="inlineStr">
        <is>
          <t>STOCKHOLMS LÄN</t>
        </is>
      </c>
      <c r="E1011" t="inlineStr">
        <is>
          <t>NORRTÄLJE</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28365-2022</t>
        </is>
      </c>
      <c r="B1012" s="1" t="n">
        <v>44747</v>
      </c>
      <c r="C1012" s="1" t="n">
        <v>46120</v>
      </c>
      <c r="D1012" t="inlineStr">
        <is>
          <t>STOCKHOLMS LÄN</t>
        </is>
      </c>
      <c r="E1012" t="inlineStr">
        <is>
          <t>NORRTÄLJE</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42867-2022</t>
        </is>
      </c>
      <c r="B1013" s="1" t="n">
        <v>44832</v>
      </c>
      <c r="C1013" s="1" t="n">
        <v>46120</v>
      </c>
      <c r="D1013" t="inlineStr">
        <is>
          <t>STOCKHOLMS LÄN</t>
        </is>
      </c>
      <c r="E1013" t="inlineStr">
        <is>
          <t>NORRTÄLJE</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5645-2023</t>
        </is>
      </c>
      <c r="B1014" s="1" t="n">
        <v>44960.60469907407</v>
      </c>
      <c r="C1014" s="1" t="n">
        <v>46120</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17775-2022</t>
        </is>
      </c>
      <c r="B1015" s="1" t="n">
        <v>44682.78430555556</v>
      </c>
      <c r="C1015" s="1" t="n">
        <v>46120</v>
      </c>
      <c r="D1015" t="inlineStr">
        <is>
          <t>STOCKHOLMS LÄN</t>
        </is>
      </c>
      <c r="E1015" t="inlineStr">
        <is>
          <t>NORRTÄLJE</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47481-2024</t>
        </is>
      </c>
      <c r="B1016" s="1" t="n">
        <v>45587</v>
      </c>
      <c r="C1016" s="1" t="n">
        <v>46120</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24933-2023</t>
        </is>
      </c>
      <c r="B1017" s="1" t="n">
        <v>45085.5309375</v>
      </c>
      <c r="C1017" s="1" t="n">
        <v>46120</v>
      </c>
      <c r="D1017" t="inlineStr">
        <is>
          <t>STOCKHOLMS LÄN</t>
        </is>
      </c>
      <c r="E1017" t="inlineStr">
        <is>
          <t>NORRTÄLJE</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11062-2024</t>
        </is>
      </c>
      <c r="B1018" s="1" t="n">
        <v>45370</v>
      </c>
      <c r="C1018" s="1" t="n">
        <v>46120</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576-2023</t>
        </is>
      </c>
      <c r="B1019" s="1" t="n">
        <v>44925</v>
      </c>
      <c r="C1019" s="1" t="n">
        <v>46120</v>
      </c>
      <c r="D1019" t="inlineStr">
        <is>
          <t>STOCKHOLMS LÄN</t>
        </is>
      </c>
      <c r="E1019" t="inlineStr">
        <is>
          <t>NORRTÄLJE</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12908-2025</t>
        </is>
      </c>
      <c r="B1020" s="1" t="n">
        <v>45733.82105324074</v>
      </c>
      <c r="C1020" s="1" t="n">
        <v>46120</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68361-2021</t>
        </is>
      </c>
      <c r="B1021" s="1" t="n">
        <v>44528.91494212963</v>
      </c>
      <c r="C1021" s="1" t="n">
        <v>46120</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50469-2022</t>
        </is>
      </c>
      <c r="B1022" s="1" t="n">
        <v>44866.49827546296</v>
      </c>
      <c r="C1022" s="1" t="n">
        <v>46120</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41976-2024</t>
        </is>
      </c>
      <c r="B1023" s="1" t="n">
        <v>45561.62141203704</v>
      </c>
      <c r="C1023" s="1" t="n">
        <v>46120</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62206-2022</t>
        </is>
      </c>
      <c r="B1024" s="1" t="n">
        <v>44922</v>
      </c>
      <c r="C1024" s="1" t="n">
        <v>46120</v>
      </c>
      <c r="D1024" t="inlineStr">
        <is>
          <t>STOCKHOLMS LÄN</t>
        </is>
      </c>
      <c r="E1024" t="inlineStr">
        <is>
          <t>NORRTÄLJE</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30886-2022</t>
        </is>
      </c>
      <c r="B1025" s="1" t="n">
        <v>44767.60601851852</v>
      </c>
      <c r="C1025" s="1" t="n">
        <v>46120</v>
      </c>
      <c r="D1025" t="inlineStr">
        <is>
          <t>STOCKHOLMS LÄN</t>
        </is>
      </c>
      <c r="E1025" t="inlineStr">
        <is>
          <t>NORRTÄLJE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58989-2021</t>
        </is>
      </c>
      <c r="B1026" s="1" t="n">
        <v>44490.02482638889</v>
      </c>
      <c r="C1026" s="1" t="n">
        <v>46120</v>
      </c>
      <c r="D1026" t="inlineStr">
        <is>
          <t>STOCKHOLMS LÄN</t>
        </is>
      </c>
      <c r="E1026" t="inlineStr">
        <is>
          <t>NORRTÄLJE</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58990-2021</t>
        </is>
      </c>
      <c r="B1027" s="1" t="n">
        <v>44490.03621527777</v>
      </c>
      <c r="C1027" s="1" t="n">
        <v>46120</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11940-2023</t>
        </is>
      </c>
      <c r="B1028" s="1" t="n">
        <v>44995</v>
      </c>
      <c r="C1028" s="1" t="n">
        <v>46120</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29266-2022</t>
        </is>
      </c>
      <c r="B1029" s="1" t="n">
        <v>44750.66068287037</v>
      </c>
      <c r="C1029" s="1" t="n">
        <v>46120</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29278-2022</t>
        </is>
      </c>
      <c r="B1030" s="1" t="n">
        <v>44750</v>
      </c>
      <c r="C1030" s="1" t="n">
        <v>46120</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6401-2024</t>
        </is>
      </c>
      <c r="B1031" s="1" t="n">
        <v>45338</v>
      </c>
      <c r="C1031" s="1" t="n">
        <v>46120</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24501-2023</t>
        </is>
      </c>
      <c r="B1032" s="1" t="n">
        <v>45082</v>
      </c>
      <c r="C1032" s="1" t="n">
        <v>46120</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24520-2023</t>
        </is>
      </c>
      <c r="B1033" s="1" t="n">
        <v>45082.68922453704</v>
      </c>
      <c r="C1033" s="1" t="n">
        <v>46120</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38612-2022</t>
        </is>
      </c>
      <c r="B1034" s="1" t="n">
        <v>44813</v>
      </c>
      <c r="C1034" s="1" t="n">
        <v>46120</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33040-2021</t>
        </is>
      </c>
      <c r="B1035" s="1" t="n">
        <v>44376.50728009259</v>
      </c>
      <c r="C1035" s="1" t="n">
        <v>46120</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26117-2024</t>
        </is>
      </c>
      <c r="B1036" s="1" t="n">
        <v>45468.45877314815</v>
      </c>
      <c r="C1036" s="1" t="n">
        <v>46120</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61113-2023</t>
        </is>
      </c>
      <c r="B1037" s="1" t="n">
        <v>45261</v>
      </c>
      <c r="C1037" s="1" t="n">
        <v>46120</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60822-2023</t>
        </is>
      </c>
      <c r="B1038" s="1" t="n">
        <v>45259</v>
      </c>
      <c r="C1038" s="1" t="n">
        <v>46120</v>
      </c>
      <c r="D1038" t="inlineStr">
        <is>
          <t>STOCKHOLMS LÄN</t>
        </is>
      </c>
      <c r="E1038" t="inlineStr">
        <is>
          <t>NORRTÄLJE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59310-2023</t>
        </is>
      </c>
      <c r="B1039" s="1" t="n">
        <v>45253.61146990741</v>
      </c>
      <c r="C1039" s="1" t="n">
        <v>46120</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20343-2024</t>
        </is>
      </c>
      <c r="B1040" s="1" t="n">
        <v>45435.43466435185</v>
      </c>
      <c r="C1040" s="1" t="n">
        <v>46120</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20345-2024</t>
        </is>
      </c>
      <c r="B1041" s="1" t="n">
        <v>45435.43820601852</v>
      </c>
      <c r="C1041" s="1" t="n">
        <v>46120</v>
      </c>
      <c r="D1041" t="inlineStr">
        <is>
          <t>STOCKHOLMS LÄN</t>
        </is>
      </c>
      <c r="E1041" t="inlineStr">
        <is>
          <t>NORRTÄLJE</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55010-2024</t>
        </is>
      </c>
      <c r="B1042" s="1" t="n">
        <v>45621.34425925926</v>
      </c>
      <c r="C1042" s="1" t="n">
        <v>46120</v>
      </c>
      <c r="D1042" t="inlineStr">
        <is>
          <t>STOCKHOLMS LÄN</t>
        </is>
      </c>
      <c r="E1042" t="inlineStr">
        <is>
          <t>NORRTÄLJE</t>
        </is>
      </c>
      <c r="F1042" t="inlineStr">
        <is>
          <t>Sveaskog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55018-2024</t>
        </is>
      </c>
      <c r="B1043" s="1" t="n">
        <v>45621.35712962963</v>
      </c>
      <c r="C1043" s="1" t="n">
        <v>46120</v>
      </c>
      <c r="D1043" t="inlineStr">
        <is>
          <t>STOCKHOLMS LÄN</t>
        </is>
      </c>
      <c r="E1043" t="inlineStr">
        <is>
          <t>NORRTÄLJE</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50113-2024</t>
        </is>
      </c>
      <c r="B1044" s="1" t="n">
        <v>45600.411875</v>
      </c>
      <c r="C1044" s="1" t="n">
        <v>46120</v>
      </c>
      <c r="D1044" t="inlineStr">
        <is>
          <t>STOCKHOLMS LÄN</t>
        </is>
      </c>
      <c r="E1044" t="inlineStr">
        <is>
          <t>NORRTÄLJE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20336-2024</t>
        </is>
      </c>
      <c r="B1045" s="1" t="n">
        <v>45435.43123842592</v>
      </c>
      <c r="C1045" s="1" t="n">
        <v>46120</v>
      </c>
      <c r="D1045" t="inlineStr">
        <is>
          <t>STOCKHOLMS LÄN</t>
        </is>
      </c>
      <c r="E1045" t="inlineStr">
        <is>
          <t>NORRTÄLJE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64899-2023</t>
        </is>
      </c>
      <c r="B1046" s="1" t="n">
        <v>45282</v>
      </c>
      <c r="C1046" s="1" t="n">
        <v>46120</v>
      </c>
      <c r="D1046" t="inlineStr">
        <is>
          <t>STOCKHOLMS LÄN</t>
        </is>
      </c>
      <c r="E1046" t="inlineStr">
        <is>
          <t>NORRTÄLJE</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1847-2023</t>
        </is>
      </c>
      <c r="B1047" s="1" t="n">
        <v>44938</v>
      </c>
      <c r="C1047" s="1" t="n">
        <v>46120</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29362-2022</t>
        </is>
      </c>
      <c r="B1048" s="1" t="n">
        <v>44753</v>
      </c>
      <c r="C1048" s="1" t="n">
        <v>46120</v>
      </c>
      <c r="D1048" t="inlineStr">
        <is>
          <t>STOCKHOLMS LÄN</t>
        </is>
      </c>
      <c r="E1048" t="inlineStr">
        <is>
          <t>NORRTÄLJE</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20291-2022</t>
        </is>
      </c>
      <c r="B1049" s="1" t="n">
        <v>44698</v>
      </c>
      <c r="C1049" s="1" t="n">
        <v>46120</v>
      </c>
      <c r="D1049" t="inlineStr">
        <is>
          <t>STOCKHOLMS LÄN</t>
        </is>
      </c>
      <c r="E1049" t="inlineStr">
        <is>
          <t>NORRTÄLJE</t>
        </is>
      </c>
      <c r="F1049" t="inlineStr">
        <is>
          <t>Naturvårdsverket</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12302-2025</t>
        </is>
      </c>
      <c r="B1050" s="1" t="n">
        <v>45729.72851851852</v>
      </c>
      <c r="C1050" s="1" t="n">
        <v>46120</v>
      </c>
      <c r="D1050" t="inlineStr">
        <is>
          <t>STOCKHOLMS LÄN</t>
        </is>
      </c>
      <c r="E1050" t="inlineStr">
        <is>
          <t>NORRTÄLJE</t>
        </is>
      </c>
      <c r="F1050" t="inlineStr">
        <is>
          <t>Holmen skog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31926-2022</t>
        </is>
      </c>
      <c r="B1051" s="1" t="n">
        <v>44777</v>
      </c>
      <c r="C1051" s="1" t="n">
        <v>46120</v>
      </c>
      <c r="D1051" t="inlineStr">
        <is>
          <t>STOCKHOLMS LÄN</t>
        </is>
      </c>
      <c r="E1051" t="inlineStr">
        <is>
          <t>NORRTÄLJE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1425-2025</t>
        </is>
      </c>
      <c r="B1052" s="1" t="n">
        <v>45668.67446759259</v>
      </c>
      <c r="C1052" s="1" t="n">
        <v>46120</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1453-2025</t>
        </is>
      </c>
      <c r="B1053" s="1" t="n">
        <v>45670.3079050926</v>
      </c>
      <c r="C1053" s="1" t="n">
        <v>46120</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13860-2023</t>
        </is>
      </c>
      <c r="B1054" s="1" t="n">
        <v>45007</v>
      </c>
      <c r="C1054" s="1" t="n">
        <v>46120</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6070-2022</t>
        </is>
      </c>
      <c r="B1055" s="1" t="n">
        <v>44599.58428240741</v>
      </c>
      <c r="C1055" s="1" t="n">
        <v>46120</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9130-2025</t>
        </is>
      </c>
      <c r="B1056" s="1" t="n">
        <v>45713.92623842593</v>
      </c>
      <c r="C1056" s="1" t="n">
        <v>46120</v>
      </c>
      <c r="D1056" t="inlineStr">
        <is>
          <t>STOCKHOLMS LÄN</t>
        </is>
      </c>
      <c r="E1056" t="inlineStr">
        <is>
          <t>NORRTÄLJE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27828-2022</t>
        </is>
      </c>
      <c r="B1057" s="1" t="n">
        <v>44743.59765046297</v>
      </c>
      <c r="C1057" s="1" t="n">
        <v>46120</v>
      </c>
      <c r="D1057" t="inlineStr">
        <is>
          <t>STOCKHOLMS LÄN</t>
        </is>
      </c>
      <c r="E1057" t="inlineStr">
        <is>
          <t>NORRTÄLJE</t>
        </is>
      </c>
      <c r="F1057" t="inlineStr">
        <is>
          <t>Kommuner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59873-2024</t>
        </is>
      </c>
      <c r="B1058" s="1" t="n">
        <v>45640.57305555556</v>
      </c>
      <c r="C1058" s="1" t="n">
        <v>46120</v>
      </c>
      <c r="D1058" t="inlineStr">
        <is>
          <t>STOCKHOLMS LÄN</t>
        </is>
      </c>
      <c r="E1058" t="inlineStr">
        <is>
          <t>NORRTÄLJE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22412-2021</t>
        </is>
      </c>
      <c r="B1059" s="1" t="n">
        <v>44326.61967592593</v>
      </c>
      <c r="C1059" s="1" t="n">
        <v>46120</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48161-2022</t>
        </is>
      </c>
      <c r="B1060" s="1" t="n">
        <v>44858</v>
      </c>
      <c r="C1060" s="1" t="n">
        <v>46120</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43150-2023</t>
        </is>
      </c>
      <c r="B1061" s="1" t="n">
        <v>45183</v>
      </c>
      <c r="C1061" s="1" t="n">
        <v>46120</v>
      </c>
      <c r="D1061" t="inlineStr">
        <is>
          <t>STOCKHOLMS LÄN</t>
        </is>
      </c>
      <c r="E1061" t="inlineStr">
        <is>
          <t>NORRTÄLJE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59534-2024</t>
        </is>
      </c>
      <c r="B1062" s="1" t="n">
        <v>45638.5987037037</v>
      </c>
      <c r="C1062" s="1" t="n">
        <v>46120</v>
      </c>
      <c r="D1062" t="inlineStr">
        <is>
          <t>STOCKHOLMS LÄN</t>
        </is>
      </c>
      <c r="E1062" t="inlineStr">
        <is>
          <t>NORRTÄLJE</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23307-2024</t>
        </is>
      </c>
      <c r="B1063" s="1" t="n">
        <v>45453</v>
      </c>
      <c r="C1063" s="1" t="n">
        <v>46120</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19450-2025</t>
        </is>
      </c>
      <c r="B1064" s="1" t="n">
        <v>45770</v>
      </c>
      <c r="C1064" s="1" t="n">
        <v>46120</v>
      </c>
      <c r="D1064" t="inlineStr">
        <is>
          <t>STOCKHOLMS LÄN</t>
        </is>
      </c>
      <c r="E1064" t="inlineStr">
        <is>
          <t>NORRTÄLJE</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2281-2024</t>
        </is>
      </c>
      <c r="B1065" s="1" t="n">
        <v>45310.40628472222</v>
      </c>
      <c r="C1065" s="1" t="n">
        <v>46120</v>
      </c>
      <c r="D1065" t="inlineStr">
        <is>
          <t>STOCKHOLMS LÄN</t>
        </is>
      </c>
      <c r="E1065" t="inlineStr">
        <is>
          <t>NORRTÄLJE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2287-2024</t>
        </is>
      </c>
      <c r="B1066" s="1" t="n">
        <v>45310</v>
      </c>
      <c r="C1066" s="1" t="n">
        <v>46120</v>
      </c>
      <c r="D1066" t="inlineStr">
        <is>
          <t>STOCKHOLMS LÄN</t>
        </is>
      </c>
      <c r="E1066" t="inlineStr">
        <is>
          <t>NORRTÄLJE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20618-2022</t>
        </is>
      </c>
      <c r="B1067" s="1" t="n">
        <v>44700.50659722222</v>
      </c>
      <c r="C1067" s="1" t="n">
        <v>46120</v>
      </c>
      <c r="D1067" t="inlineStr">
        <is>
          <t>STOCKHOLMS LÄN</t>
        </is>
      </c>
      <c r="E1067" t="inlineStr">
        <is>
          <t>NORRTÄLJE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59504-2023</t>
        </is>
      </c>
      <c r="B1068" s="1" t="n">
        <v>45254</v>
      </c>
      <c r="C1068" s="1" t="n">
        <v>46120</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25656-2023</t>
        </is>
      </c>
      <c r="B1069" s="1" t="n">
        <v>45089</v>
      </c>
      <c r="C1069" s="1" t="n">
        <v>46120</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38049-2023</t>
        </is>
      </c>
      <c r="B1070" s="1" t="n">
        <v>45159</v>
      </c>
      <c r="C1070" s="1" t="n">
        <v>46120</v>
      </c>
      <c r="D1070" t="inlineStr">
        <is>
          <t>STOCKHOLMS LÄN</t>
        </is>
      </c>
      <c r="E1070" t="inlineStr">
        <is>
          <t>NORRTÄLJE</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3966-2024</t>
        </is>
      </c>
      <c r="B1071" s="1" t="n">
        <v>45322</v>
      </c>
      <c r="C1071" s="1" t="n">
        <v>46120</v>
      </c>
      <c r="D1071" t="inlineStr">
        <is>
          <t>STOCKHOLMS LÄN</t>
        </is>
      </c>
      <c r="E1071" t="inlineStr">
        <is>
          <t>NORRTÄLJE</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17348-2024</t>
        </is>
      </c>
      <c r="B1072" s="1" t="n">
        <v>45414.58650462963</v>
      </c>
      <c r="C1072" s="1" t="n">
        <v>46120</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38591-2023</t>
        </is>
      </c>
      <c r="B1073" s="1" t="n">
        <v>45162</v>
      </c>
      <c r="C1073" s="1" t="n">
        <v>46120</v>
      </c>
      <c r="D1073" t="inlineStr">
        <is>
          <t>STOCKHOLMS LÄN</t>
        </is>
      </c>
      <c r="E1073" t="inlineStr">
        <is>
          <t>NORRTÄLJE</t>
        </is>
      </c>
      <c r="F1073" t="inlineStr">
        <is>
          <t>Övriga Aktiebolag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3273-2025</t>
        </is>
      </c>
      <c r="B1074" s="1" t="n">
        <v>45679</v>
      </c>
      <c r="C1074" s="1" t="n">
        <v>46120</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34461-2023</t>
        </is>
      </c>
      <c r="B1075" s="1" t="n">
        <v>45139</v>
      </c>
      <c r="C1075" s="1" t="n">
        <v>46120</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15217-2023</t>
        </is>
      </c>
      <c r="B1076" s="1" t="n">
        <v>45019.28847222222</v>
      </c>
      <c r="C1076" s="1" t="n">
        <v>46120</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24522-2023</t>
        </is>
      </c>
      <c r="B1077" s="1" t="n">
        <v>45082.69179398148</v>
      </c>
      <c r="C1077" s="1" t="n">
        <v>46120</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29176-2024</t>
        </is>
      </c>
      <c r="B1078" s="1" t="n">
        <v>45482.53388888889</v>
      </c>
      <c r="C1078" s="1" t="n">
        <v>46120</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4596-2023</t>
        </is>
      </c>
      <c r="B1079" s="1" t="n">
        <v>44956</v>
      </c>
      <c r="C1079" s="1" t="n">
        <v>46120</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4438-2023</t>
        </is>
      </c>
      <c r="B1080" s="1" t="n">
        <v>44956</v>
      </c>
      <c r="C1080" s="1" t="n">
        <v>46120</v>
      </c>
      <c r="D1080" t="inlineStr">
        <is>
          <t>STOCKHOLMS LÄN</t>
        </is>
      </c>
      <c r="E1080" t="inlineStr">
        <is>
          <t>NORRTÄLJE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24727-2023</t>
        </is>
      </c>
      <c r="B1081" s="1" t="n">
        <v>45084.57695601852</v>
      </c>
      <c r="C1081" s="1" t="n">
        <v>46120</v>
      </c>
      <c r="D1081" t="inlineStr">
        <is>
          <t>STOCKHOLMS LÄN</t>
        </is>
      </c>
      <c r="E1081" t="inlineStr">
        <is>
          <t>NORRTÄLJE</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59904-2023</t>
        </is>
      </c>
      <c r="B1082" s="1" t="n">
        <v>45257</v>
      </c>
      <c r="C1082" s="1" t="n">
        <v>46120</v>
      </c>
      <c r="D1082" t="inlineStr">
        <is>
          <t>STOCKHOLMS LÄN</t>
        </is>
      </c>
      <c r="E1082" t="inlineStr">
        <is>
          <t>NORRTÄLJE</t>
        </is>
      </c>
      <c r="G1082" t="n">
        <v>17.4</v>
      </c>
      <c r="H1082" t="n">
        <v>0</v>
      </c>
      <c r="I1082" t="n">
        <v>0</v>
      </c>
      <c r="J1082" t="n">
        <v>0</v>
      </c>
      <c r="K1082" t="n">
        <v>0</v>
      </c>
      <c r="L1082" t="n">
        <v>0</v>
      </c>
      <c r="M1082" t="n">
        <v>0</v>
      </c>
      <c r="N1082" t="n">
        <v>0</v>
      </c>
      <c r="O1082" t="n">
        <v>0</v>
      </c>
      <c r="P1082" t="n">
        <v>0</v>
      </c>
      <c r="Q1082" t="n">
        <v>0</v>
      </c>
      <c r="R1082" s="2" t="inlineStr"/>
    </row>
    <row r="1083" ht="15" customHeight="1">
      <c r="A1083" t="inlineStr">
        <is>
          <t>A 36308-2022</t>
        </is>
      </c>
      <c r="B1083" s="1" t="n">
        <v>44803</v>
      </c>
      <c r="C1083" s="1" t="n">
        <v>46120</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18787-2022</t>
        </is>
      </c>
      <c r="B1084" s="1" t="n">
        <v>44687</v>
      </c>
      <c r="C1084" s="1" t="n">
        <v>46120</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50108-2021</t>
        </is>
      </c>
      <c r="B1085" s="1" t="n">
        <v>44456</v>
      </c>
      <c r="C1085" s="1" t="n">
        <v>46120</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25621-2022</t>
        </is>
      </c>
      <c r="B1086" s="1" t="n">
        <v>44732</v>
      </c>
      <c r="C1086" s="1" t="n">
        <v>46120</v>
      </c>
      <c r="D1086" t="inlineStr">
        <is>
          <t>STOCKHOLMS LÄN</t>
        </is>
      </c>
      <c r="E1086" t="inlineStr">
        <is>
          <t>NORRTÄLJE</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20304-2023</t>
        </is>
      </c>
      <c r="B1087" s="1" t="n">
        <v>45056</v>
      </c>
      <c r="C1087" s="1" t="n">
        <v>46120</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35235-2024</t>
        </is>
      </c>
      <c r="B1088" s="1" t="n">
        <v>45530</v>
      </c>
      <c r="C1088" s="1" t="n">
        <v>46120</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51061-2023</t>
        </is>
      </c>
      <c r="B1089" s="1" t="n">
        <v>45218.65849537037</v>
      </c>
      <c r="C1089" s="1" t="n">
        <v>46120</v>
      </c>
      <c r="D1089" t="inlineStr">
        <is>
          <t>STOCKHOLMS LÄN</t>
        </is>
      </c>
      <c r="E1089" t="inlineStr">
        <is>
          <t>NORRTÄLJE</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39213-2022</t>
        </is>
      </c>
      <c r="B1090" s="1" t="n">
        <v>44817.56120370371</v>
      </c>
      <c r="C1090" s="1" t="n">
        <v>46120</v>
      </c>
      <c r="D1090" t="inlineStr">
        <is>
          <t>STOCKHOLMS LÄN</t>
        </is>
      </c>
      <c r="E1090" t="inlineStr">
        <is>
          <t>NORRTÄLJE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36246-2021</t>
        </is>
      </c>
      <c r="B1091" s="1" t="n">
        <v>44390</v>
      </c>
      <c r="C1091" s="1" t="n">
        <v>46120</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15905-2023</t>
        </is>
      </c>
      <c r="B1092" s="1" t="n">
        <v>45022</v>
      </c>
      <c r="C1092" s="1" t="n">
        <v>46120</v>
      </c>
      <c r="D1092" t="inlineStr">
        <is>
          <t>STOCKHOLMS LÄN</t>
        </is>
      </c>
      <c r="E1092" t="inlineStr">
        <is>
          <t>NORRTÄLJE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11041-2025</t>
        </is>
      </c>
      <c r="B1093" s="1" t="n">
        <v>45723</v>
      </c>
      <c r="C1093" s="1" t="n">
        <v>46120</v>
      </c>
      <c r="D1093" t="inlineStr">
        <is>
          <t>STOCKHOLMS LÄN</t>
        </is>
      </c>
      <c r="E1093" t="inlineStr">
        <is>
          <t>NORRTÄLJE</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44917-2022</t>
        </is>
      </c>
      <c r="B1094" s="1" t="n">
        <v>44841.52804398148</v>
      </c>
      <c r="C1094" s="1" t="n">
        <v>46120</v>
      </c>
      <c r="D1094" t="inlineStr">
        <is>
          <t>STOCKHOLMS LÄN</t>
        </is>
      </c>
      <c r="E1094" t="inlineStr">
        <is>
          <t>NORRTÄLJE</t>
        </is>
      </c>
      <c r="F1094" t="inlineStr">
        <is>
          <t>Holmen skog AB</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33173-2024</t>
        </is>
      </c>
      <c r="B1095" s="1" t="n">
        <v>45518</v>
      </c>
      <c r="C1095" s="1" t="n">
        <v>46120</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17551-2025</t>
        </is>
      </c>
      <c r="B1096" s="1" t="n">
        <v>45757.61421296297</v>
      </c>
      <c r="C1096" s="1" t="n">
        <v>46120</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10678-2025</t>
        </is>
      </c>
      <c r="B1097" s="1" t="n">
        <v>45721.89123842592</v>
      </c>
      <c r="C1097" s="1" t="n">
        <v>46120</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8370-2025</t>
        </is>
      </c>
      <c r="B1098" s="1" t="n">
        <v>45708</v>
      </c>
      <c r="C1098" s="1" t="n">
        <v>46120</v>
      </c>
      <c r="D1098" t="inlineStr">
        <is>
          <t>STOCKHOLMS LÄN</t>
        </is>
      </c>
      <c r="E1098" t="inlineStr">
        <is>
          <t>NORRTÄLJE</t>
        </is>
      </c>
      <c r="F1098" t="inlineStr">
        <is>
          <t>Övriga Aktiebolag</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951-2023</t>
        </is>
      </c>
      <c r="B1099" s="1" t="n">
        <v>44934</v>
      </c>
      <c r="C1099" s="1" t="n">
        <v>46120</v>
      </c>
      <c r="D1099" t="inlineStr">
        <is>
          <t>STOCKHOLMS LÄN</t>
        </is>
      </c>
      <c r="E1099" t="inlineStr">
        <is>
          <t>NORRTÄLJE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32100-2022</t>
        </is>
      </c>
      <c r="B1100" s="1" t="n">
        <v>44778</v>
      </c>
      <c r="C1100" s="1" t="n">
        <v>46120</v>
      </c>
      <c r="D1100" t="inlineStr">
        <is>
          <t>STOCKHOLMS LÄN</t>
        </is>
      </c>
      <c r="E1100" t="inlineStr">
        <is>
          <t>NORRTÄLJE</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2888-2022</t>
        </is>
      </c>
      <c r="B1101" s="1" t="n">
        <v>44581</v>
      </c>
      <c r="C1101" s="1" t="n">
        <v>46120</v>
      </c>
      <c r="D1101" t="inlineStr">
        <is>
          <t>STOCKHOLMS LÄN</t>
        </is>
      </c>
      <c r="E1101" t="inlineStr">
        <is>
          <t>NORRTÄLJE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11902-2024</t>
        </is>
      </c>
      <c r="B1102" s="1" t="n">
        <v>45376.55704861111</v>
      </c>
      <c r="C1102" s="1" t="n">
        <v>46120</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13-2024</t>
        </is>
      </c>
      <c r="B1103" s="1" t="n">
        <v>45293.37263888889</v>
      </c>
      <c r="C1103" s="1" t="n">
        <v>46120</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58260-2023</t>
        </is>
      </c>
      <c r="B1104" s="1" t="n">
        <v>45245</v>
      </c>
      <c r="C1104" s="1" t="n">
        <v>46120</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58261-2023</t>
        </is>
      </c>
      <c r="B1105" s="1" t="n">
        <v>45245</v>
      </c>
      <c r="C1105" s="1" t="n">
        <v>46120</v>
      </c>
      <c r="D1105" t="inlineStr">
        <is>
          <t>STOCKHOLMS LÄN</t>
        </is>
      </c>
      <c r="E1105" t="inlineStr">
        <is>
          <t>NORRTÄLJE</t>
        </is>
      </c>
      <c r="G1105" t="n">
        <v>53.5</v>
      </c>
      <c r="H1105" t="n">
        <v>0</v>
      </c>
      <c r="I1105" t="n">
        <v>0</v>
      </c>
      <c r="J1105" t="n">
        <v>0</v>
      </c>
      <c r="K1105" t="n">
        <v>0</v>
      </c>
      <c r="L1105" t="n">
        <v>0</v>
      </c>
      <c r="M1105" t="n">
        <v>0</v>
      </c>
      <c r="N1105" t="n">
        <v>0</v>
      </c>
      <c r="O1105" t="n">
        <v>0</v>
      </c>
      <c r="P1105" t="n">
        <v>0</v>
      </c>
      <c r="Q1105" t="n">
        <v>0</v>
      </c>
      <c r="R1105" s="2" t="inlineStr"/>
    </row>
    <row r="1106" ht="15" customHeight="1">
      <c r="A1106" t="inlineStr">
        <is>
          <t>A 4553-2023</t>
        </is>
      </c>
      <c r="B1106" s="1" t="n">
        <v>44956.65920138889</v>
      </c>
      <c r="C1106" s="1" t="n">
        <v>46120</v>
      </c>
      <c r="D1106" t="inlineStr">
        <is>
          <t>STOCKHOLMS LÄN</t>
        </is>
      </c>
      <c r="E1106" t="inlineStr">
        <is>
          <t>NORRTÄLJE</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875-2023</t>
        </is>
      </c>
      <c r="B1107" s="1" t="n">
        <v>44931.65626157408</v>
      </c>
      <c r="C1107" s="1" t="n">
        <v>46120</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24575-2024</t>
        </is>
      </c>
      <c r="B1108" s="1" t="n">
        <v>45460.45523148148</v>
      </c>
      <c r="C1108" s="1" t="n">
        <v>46120</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19-2024</t>
        </is>
      </c>
      <c r="B1109" s="1" t="n">
        <v>45293</v>
      </c>
      <c r="C1109" s="1" t="n">
        <v>46120</v>
      </c>
      <c r="D1109" t="inlineStr">
        <is>
          <t>STOCKHOLMS LÄN</t>
        </is>
      </c>
      <c r="E1109" t="inlineStr">
        <is>
          <t>NORRTÄLJE</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11333-2025</t>
        </is>
      </c>
      <c r="B1110" s="1" t="n">
        <v>45726.48377314815</v>
      </c>
      <c r="C1110" s="1" t="n">
        <v>46120</v>
      </c>
      <c r="D1110" t="inlineStr">
        <is>
          <t>STOCKHOLMS LÄN</t>
        </is>
      </c>
      <c r="E1110" t="inlineStr">
        <is>
          <t>NORRTÄLJE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21529-2021</t>
        </is>
      </c>
      <c r="B1111" s="1" t="n">
        <v>44321</v>
      </c>
      <c r="C1111" s="1" t="n">
        <v>46120</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31827-2023</t>
        </is>
      </c>
      <c r="B1112" s="1" t="n">
        <v>45118</v>
      </c>
      <c r="C1112" s="1" t="n">
        <v>46120</v>
      </c>
      <c r="D1112" t="inlineStr">
        <is>
          <t>STOCKHOLMS LÄN</t>
        </is>
      </c>
      <c r="E1112" t="inlineStr">
        <is>
          <t>NORRTÄLJE</t>
        </is>
      </c>
      <c r="F1112" t="inlineStr">
        <is>
          <t>Kyrkan</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10973-2025</t>
        </is>
      </c>
      <c r="B1113" s="1" t="n">
        <v>45723</v>
      </c>
      <c r="C1113" s="1" t="n">
        <v>46120</v>
      </c>
      <c r="D1113" t="inlineStr">
        <is>
          <t>STOCKHOLMS LÄN</t>
        </is>
      </c>
      <c r="E1113" t="inlineStr">
        <is>
          <t>NORRTÄLJE</t>
        </is>
      </c>
      <c r="F1113" t="inlineStr">
        <is>
          <t>Övriga Aktiebolag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54496-2024</t>
        </is>
      </c>
      <c r="B1114" s="1" t="n">
        <v>45617.57439814815</v>
      </c>
      <c r="C1114" s="1" t="n">
        <v>46120</v>
      </c>
      <c r="D1114" t="inlineStr">
        <is>
          <t>STOCKHOLMS LÄN</t>
        </is>
      </c>
      <c r="E1114" t="inlineStr">
        <is>
          <t>NORRTÄLJE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7796-2025</t>
        </is>
      </c>
      <c r="B1115" s="1" t="n">
        <v>45706.60130787037</v>
      </c>
      <c r="C1115" s="1" t="n">
        <v>46120</v>
      </c>
      <c r="D1115" t="inlineStr">
        <is>
          <t>STOCKHOLMS LÄN</t>
        </is>
      </c>
      <c r="E1115" t="inlineStr">
        <is>
          <t>NORRTÄLJE</t>
        </is>
      </c>
      <c r="F1115" t="inlineStr">
        <is>
          <t>Holmen skog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59767-2022</t>
        </is>
      </c>
      <c r="B1116" s="1" t="n">
        <v>44900</v>
      </c>
      <c r="C1116" s="1" t="n">
        <v>46120</v>
      </c>
      <c r="D1116" t="inlineStr">
        <is>
          <t>STOCKHOLMS LÄN</t>
        </is>
      </c>
      <c r="E1116" t="inlineStr">
        <is>
          <t>NORRTÄLJE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22756-2022</t>
        </is>
      </c>
      <c r="B1117" s="1" t="n">
        <v>44714.92253472222</v>
      </c>
      <c r="C1117" s="1" t="n">
        <v>46120</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58311-2023</t>
        </is>
      </c>
      <c r="B1118" s="1" t="n">
        <v>45245</v>
      </c>
      <c r="C1118" s="1" t="n">
        <v>46120</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8739-2024</t>
        </is>
      </c>
      <c r="B1119" s="1" t="n">
        <v>45356.47784722222</v>
      </c>
      <c r="C1119" s="1" t="n">
        <v>46120</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26640-2023</t>
        </is>
      </c>
      <c r="B1120" s="1" t="n">
        <v>45092</v>
      </c>
      <c r="C1120" s="1" t="n">
        <v>46120</v>
      </c>
      <c r="D1120" t="inlineStr">
        <is>
          <t>STOCKHOLMS LÄN</t>
        </is>
      </c>
      <c r="E1120" t="inlineStr">
        <is>
          <t>NORRTÄLJE</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62765-2022</t>
        </is>
      </c>
      <c r="B1121" s="1" t="n">
        <v>44637</v>
      </c>
      <c r="C1121" s="1" t="n">
        <v>46120</v>
      </c>
      <c r="D1121" t="inlineStr">
        <is>
          <t>STOCKHOLMS LÄN</t>
        </is>
      </c>
      <c r="E1121" t="inlineStr">
        <is>
          <t>NORRTÄLJE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38990-2022</t>
        </is>
      </c>
      <c r="B1122" s="1" t="n">
        <v>44816</v>
      </c>
      <c r="C1122" s="1" t="n">
        <v>46120</v>
      </c>
      <c r="D1122" t="inlineStr">
        <is>
          <t>STOCKHOLMS LÄN</t>
        </is>
      </c>
      <c r="E1122" t="inlineStr">
        <is>
          <t>NORRTÄLJE</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17545-2025</t>
        </is>
      </c>
      <c r="B1123" s="1" t="n">
        <v>45757.60658564815</v>
      </c>
      <c r="C1123" s="1" t="n">
        <v>46120</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17956-2025</t>
        </is>
      </c>
      <c r="B1124" s="1" t="n">
        <v>45760.91174768518</v>
      </c>
      <c r="C1124" s="1" t="n">
        <v>46120</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23265-2023</t>
        </is>
      </c>
      <c r="B1125" s="1" t="n">
        <v>45075.90703703704</v>
      </c>
      <c r="C1125" s="1" t="n">
        <v>46120</v>
      </c>
      <c r="D1125" t="inlineStr">
        <is>
          <t>STOCKHOLMS LÄN</t>
        </is>
      </c>
      <c r="E1125" t="inlineStr">
        <is>
          <t>NORRTÄLJE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30268-2024</t>
        </is>
      </c>
      <c r="B1126" s="1" t="n">
        <v>45490.60572916667</v>
      </c>
      <c r="C1126" s="1" t="n">
        <v>46120</v>
      </c>
      <c r="D1126" t="inlineStr">
        <is>
          <t>STOCKHOLMS LÄN</t>
        </is>
      </c>
      <c r="E1126" t="inlineStr">
        <is>
          <t>NORRTÄLJE</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59535-2024</t>
        </is>
      </c>
      <c r="B1127" s="1" t="n">
        <v>45638.59979166667</v>
      </c>
      <c r="C1127" s="1" t="n">
        <v>46120</v>
      </c>
      <c r="D1127" t="inlineStr">
        <is>
          <t>STOCKHOLMS LÄN</t>
        </is>
      </c>
      <c r="E1127" t="inlineStr">
        <is>
          <t>NORRTÄLJE</t>
        </is>
      </c>
      <c r="F1127" t="inlineStr">
        <is>
          <t>Holmen skog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9246-2024</t>
        </is>
      </c>
      <c r="B1128" s="1" t="n">
        <v>45357</v>
      </c>
      <c r="C1128" s="1" t="n">
        <v>46120</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45058.78607638889</v>
      </c>
      <c r="C1129" s="1" t="n">
        <v>46120</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50355-2024</t>
        </is>
      </c>
      <c r="B1130" s="1" t="n">
        <v>45600.86128472222</v>
      </c>
      <c r="C1130" s="1" t="n">
        <v>46120</v>
      </c>
      <c r="D1130" t="inlineStr">
        <is>
          <t>STOCKHOLMS LÄN</t>
        </is>
      </c>
      <c r="E1130" t="inlineStr">
        <is>
          <t>NORRTÄLJE</t>
        </is>
      </c>
      <c r="F1130" t="inlineStr">
        <is>
          <t>Kommuner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60694-2024</t>
        </is>
      </c>
      <c r="B1131" s="1" t="n">
        <v>45644.47878472223</v>
      </c>
      <c r="C1131" s="1" t="n">
        <v>46120</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25094-2023</t>
        </is>
      </c>
      <c r="B1132" s="1" t="n">
        <v>45086.3629050926</v>
      </c>
      <c r="C1132" s="1" t="n">
        <v>46120</v>
      </c>
      <c r="D1132" t="inlineStr">
        <is>
          <t>STOCKHOLMS LÄN</t>
        </is>
      </c>
      <c r="E1132" t="inlineStr">
        <is>
          <t>NORRTÄLJE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59276-2023</t>
        </is>
      </c>
      <c r="B1133" s="1" t="n">
        <v>45253.55641203704</v>
      </c>
      <c r="C1133" s="1" t="n">
        <v>46120</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13767-2025</t>
        </is>
      </c>
      <c r="B1134" s="1" t="n">
        <v>45737.43347222222</v>
      </c>
      <c r="C1134" s="1" t="n">
        <v>46120</v>
      </c>
      <c r="D1134" t="inlineStr">
        <is>
          <t>STOCKHOLMS LÄN</t>
        </is>
      </c>
      <c r="E1134" t="inlineStr">
        <is>
          <t>NORRTÄLJE</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41587-2023</t>
        </is>
      </c>
      <c r="B1135" s="1" t="n">
        <v>45175</v>
      </c>
      <c r="C1135" s="1" t="n">
        <v>46120</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27381-2024</t>
        </is>
      </c>
      <c r="B1136" s="1" t="n">
        <v>45473.94501157408</v>
      </c>
      <c r="C1136" s="1" t="n">
        <v>46120</v>
      </c>
      <c r="D1136" t="inlineStr">
        <is>
          <t>STOCKHOLMS LÄN</t>
        </is>
      </c>
      <c r="E1136" t="inlineStr">
        <is>
          <t>NORRTÄLJE</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60529-2023</t>
        </is>
      </c>
      <c r="B1137" s="1" t="n">
        <v>45259</v>
      </c>
      <c r="C1137" s="1" t="n">
        <v>46120</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59326-2023</t>
        </is>
      </c>
      <c r="B1138" s="1" t="n">
        <v>45253.63089120371</v>
      </c>
      <c r="C1138" s="1" t="n">
        <v>46120</v>
      </c>
      <c r="D1138" t="inlineStr">
        <is>
          <t>STOCKHOLMS LÄN</t>
        </is>
      </c>
      <c r="E1138" t="inlineStr">
        <is>
          <t>NORRTÄLJE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20790-2025</t>
        </is>
      </c>
      <c r="B1139" s="1" t="n">
        <v>45776.62563657408</v>
      </c>
      <c r="C1139" s="1" t="n">
        <v>46120</v>
      </c>
      <c r="D1139" t="inlineStr">
        <is>
          <t>STOCKHOLMS LÄN</t>
        </is>
      </c>
      <c r="E1139" t="inlineStr">
        <is>
          <t>NORRTÄLJE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3152-2024</t>
        </is>
      </c>
      <c r="B1140" s="1" t="n">
        <v>45316.60306712963</v>
      </c>
      <c r="C1140" s="1" t="n">
        <v>46120</v>
      </c>
      <c r="D1140" t="inlineStr">
        <is>
          <t>STOCKHOLMS LÄN</t>
        </is>
      </c>
      <c r="E1140" t="inlineStr">
        <is>
          <t>NORRTÄLJE</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20699-2025</t>
        </is>
      </c>
      <c r="B1141" s="1" t="n">
        <v>45776.47346064815</v>
      </c>
      <c r="C1141" s="1" t="n">
        <v>46120</v>
      </c>
      <c r="D1141" t="inlineStr">
        <is>
          <t>STOCKHOLMS LÄN</t>
        </is>
      </c>
      <c r="E1141" t="inlineStr">
        <is>
          <t>NORRTÄLJE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20779-2025</t>
        </is>
      </c>
      <c r="B1142" s="1" t="n">
        <v>45776.59871527777</v>
      </c>
      <c r="C1142" s="1" t="n">
        <v>46120</v>
      </c>
      <c r="D1142" t="inlineStr">
        <is>
          <t>STOCKHOLMS LÄN</t>
        </is>
      </c>
      <c r="E1142" t="inlineStr">
        <is>
          <t>NORRTÄLJE</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44836-2023</t>
        </is>
      </c>
      <c r="B1143" s="1" t="n">
        <v>45190.55609953704</v>
      </c>
      <c r="C1143" s="1" t="n">
        <v>46120</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21771-2025</t>
        </is>
      </c>
      <c r="B1144" s="1" t="n">
        <v>45783</v>
      </c>
      <c r="C1144" s="1" t="n">
        <v>46120</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21778-2025</t>
        </is>
      </c>
      <c r="B1145" s="1" t="n">
        <v>45783.66429398148</v>
      </c>
      <c r="C1145" s="1" t="n">
        <v>46120</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12902-2024</t>
        </is>
      </c>
      <c r="B1146" s="1" t="n">
        <v>45385.38146990741</v>
      </c>
      <c r="C1146" s="1" t="n">
        <v>46120</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39237-2024</t>
        </is>
      </c>
      <c r="B1147" s="1" t="n">
        <v>45549</v>
      </c>
      <c r="C1147" s="1" t="n">
        <v>46120</v>
      </c>
      <c r="D1147" t="inlineStr">
        <is>
          <t>STOCKHOLMS LÄN</t>
        </is>
      </c>
      <c r="E1147" t="inlineStr">
        <is>
          <t>NORRTÄLJE</t>
        </is>
      </c>
      <c r="G1147" t="n">
        <v>13.3</v>
      </c>
      <c r="H1147" t="n">
        <v>0</v>
      </c>
      <c r="I1147" t="n">
        <v>0</v>
      </c>
      <c r="J1147" t="n">
        <v>0</v>
      </c>
      <c r="K1147" t="n">
        <v>0</v>
      </c>
      <c r="L1147" t="n">
        <v>0</v>
      </c>
      <c r="M1147" t="n">
        <v>0</v>
      </c>
      <c r="N1147" t="n">
        <v>0</v>
      </c>
      <c r="O1147" t="n">
        <v>0</v>
      </c>
      <c r="P1147" t="n">
        <v>0</v>
      </c>
      <c r="Q1147" t="n">
        <v>0</v>
      </c>
      <c r="R1147" s="2" t="inlineStr"/>
    </row>
    <row r="1148" ht="15" customHeight="1">
      <c r="A1148" t="inlineStr">
        <is>
          <t>A 44891-2023</t>
        </is>
      </c>
      <c r="B1148" s="1" t="n">
        <v>45187</v>
      </c>
      <c r="C1148" s="1" t="n">
        <v>46120</v>
      </c>
      <c r="D1148" t="inlineStr">
        <is>
          <t>STOCKHOLMS LÄN</t>
        </is>
      </c>
      <c r="E1148" t="inlineStr">
        <is>
          <t>NORRTÄLJE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13268-2025</t>
        </is>
      </c>
      <c r="B1149" s="1" t="n">
        <v>45735</v>
      </c>
      <c r="C1149" s="1" t="n">
        <v>46120</v>
      </c>
      <c r="D1149" t="inlineStr">
        <is>
          <t>STOCKHOLMS LÄN</t>
        </is>
      </c>
      <c r="E1149" t="inlineStr">
        <is>
          <t>NORRTÄLJE</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8414-2025</t>
        </is>
      </c>
      <c r="B1150" s="1" t="n">
        <v>45709.39361111111</v>
      </c>
      <c r="C1150" s="1" t="n">
        <v>46120</v>
      </c>
      <c r="D1150" t="inlineStr">
        <is>
          <t>STOCKHOLMS LÄN</t>
        </is>
      </c>
      <c r="E1150" t="inlineStr">
        <is>
          <t>NORRTÄLJE</t>
        </is>
      </c>
      <c r="F1150" t="inlineStr">
        <is>
          <t>Holmen skog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44032-2024</t>
        </is>
      </c>
      <c r="B1151" s="1" t="n">
        <v>45572.57828703704</v>
      </c>
      <c r="C1151" s="1" t="n">
        <v>46120</v>
      </c>
      <c r="D1151" t="inlineStr">
        <is>
          <t>STOCKHOLMS LÄN</t>
        </is>
      </c>
      <c r="E1151" t="inlineStr">
        <is>
          <t>NORRTÄLJE</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24563-2024</t>
        </is>
      </c>
      <c r="B1152" s="1" t="n">
        <v>45460.44347222222</v>
      </c>
      <c r="C1152" s="1" t="n">
        <v>46120</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22202-2025</t>
        </is>
      </c>
      <c r="B1153" s="1" t="n">
        <v>45785.65300925926</v>
      </c>
      <c r="C1153" s="1" t="n">
        <v>46120</v>
      </c>
      <c r="D1153" t="inlineStr">
        <is>
          <t>STOCKHOLMS LÄN</t>
        </is>
      </c>
      <c r="E1153" t="inlineStr">
        <is>
          <t>NORRTÄLJE</t>
        </is>
      </c>
      <c r="G1153" t="n">
        <v>10.2</v>
      </c>
      <c r="H1153" t="n">
        <v>0</v>
      </c>
      <c r="I1153" t="n">
        <v>0</v>
      </c>
      <c r="J1153" t="n">
        <v>0</v>
      </c>
      <c r="K1153" t="n">
        <v>0</v>
      </c>
      <c r="L1153" t="n">
        <v>0</v>
      </c>
      <c r="M1153" t="n">
        <v>0</v>
      </c>
      <c r="N1153" t="n">
        <v>0</v>
      </c>
      <c r="O1153" t="n">
        <v>0</v>
      </c>
      <c r="P1153" t="n">
        <v>0</v>
      </c>
      <c r="Q1153" t="n">
        <v>0</v>
      </c>
      <c r="R1153" s="2" t="inlineStr"/>
    </row>
    <row r="1154" ht="15" customHeight="1">
      <c r="A1154" t="inlineStr">
        <is>
          <t>A 36625-2024</t>
        </is>
      </c>
      <c r="B1154" s="1" t="n">
        <v>45537</v>
      </c>
      <c r="C1154" s="1" t="n">
        <v>46120</v>
      </c>
      <c r="D1154" t="inlineStr">
        <is>
          <t>STOCKHOLMS LÄN</t>
        </is>
      </c>
      <c r="E1154" t="inlineStr">
        <is>
          <t>NORRTÄLJE</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45746-2024</t>
        </is>
      </c>
      <c r="B1155" s="1" t="n">
        <v>45579</v>
      </c>
      <c r="C1155" s="1" t="n">
        <v>46120</v>
      </c>
      <c r="D1155" t="inlineStr">
        <is>
          <t>STOCKHOLMS LÄN</t>
        </is>
      </c>
      <c r="E1155" t="inlineStr">
        <is>
          <t>NORRTÄLJE</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8400-2024</t>
        </is>
      </c>
      <c r="B1156" s="1" t="n">
        <v>45352.74090277778</v>
      </c>
      <c r="C1156" s="1" t="n">
        <v>46120</v>
      </c>
      <c r="D1156" t="inlineStr">
        <is>
          <t>STOCKHOLMS LÄN</t>
        </is>
      </c>
      <c r="E1156" t="inlineStr">
        <is>
          <t>NORRTÄLJE</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2182-2022</t>
        </is>
      </c>
      <c r="B1157" s="1" t="n">
        <v>44578</v>
      </c>
      <c r="C1157" s="1" t="n">
        <v>46120</v>
      </c>
      <c r="D1157" t="inlineStr">
        <is>
          <t>STOCKHOLMS LÄN</t>
        </is>
      </c>
      <c r="E1157" t="inlineStr">
        <is>
          <t>NORRTÄLJE</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16620-2024</t>
        </is>
      </c>
      <c r="B1158" s="1" t="n">
        <v>45408.57707175926</v>
      </c>
      <c r="C1158" s="1" t="n">
        <v>46120</v>
      </c>
      <c r="D1158" t="inlineStr">
        <is>
          <t>STOCKHOLMS LÄN</t>
        </is>
      </c>
      <c r="E1158" t="inlineStr">
        <is>
          <t>NORRTÄLJE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22416-2025</t>
        </is>
      </c>
      <c r="B1159" s="1" t="n">
        <v>45786.55645833333</v>
      </c>
      <c r="C1159" s="1" t="n">
        <v>46120</v>
      </c>
      <c r="D1159" t="inlineStr">
        <is>
          <t>STOCKHOLMS LÄN</t>
        </is>
      </c>
      <c r="E1159" t="inlineStr">
        <is>
          <t>NORRTÄLJE</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58785-2024</t>
        </is>
      </c>
      <c r="B1160" s="1" t="n">
        <v>45635.88849537037</v>
      </c>
      <c r="C1160" s="1" t="n">
        <v>46120</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62998-2023</t>
        </is>
      </c>
      <c r="B1161" s="1" t="n">
        <v>45272.64479166667</v>
      </c>
      <c r="C1161" s="1" t="n">
        <v>46120</v>
      </c>
      <c r="D1161" t="inlineStr">
        <is>
          <t>STOCKHOLMS LÄN</t>
        </is>
      </c>
      <c r="E1161" t="inlineStr">
        <is>
          <t>NORRTÄLJE</t>
        </is>
      </c>
      <c r="G1161" t="n">
        <v>16.3</v>
      </c>
      <c r="H1161" t="n">
        <v>0</v>
      </c>
      <c r="I1161" t="n">
        <v>0</v>
      </c>
      <c r="J1161" t="n">
        <v>0</v>
      </c>
      <c r="K1161" t="n">
        <v>0</v>
      </c>
      <c r="L1161" t="n">
        <v>0</v>
      </c>
      <c r="M1161" t="n">
        <v>0</v>
      </c>
      <c r="N1161" t="n">
        <v>0</v>
      </c>
      <c r="O1161" t="n">
        <v>0</v>
      </c>
      <c r="P1161" t="n">
        <v>0</v>
      </c>
      <c r="Q1161" t="n">
        <v>0</v>
      </c>
      <c r="R1161" s="2" t="inlineStr"/>
    </row>
    <row r="1162" ht="15" customHeight="1">
      <c r="A1162" t="inlineStr">
        <is>
          <t>A 63015-2023</t>
        </is>
      </c>
      <c r="B1162" s="1" t="n">
        <v>45272</v>
      </c>
      <c r="C1162" s="1" t="n">
        <v>46120</v>
      </c>
      <c r="D1162" t="inlineStr">
        <is>
          <t>STOCKHOLMS LÄN</t>
        </is>
      </c>
      <c r="E1162" t="inlineStr">
        <is>
          <t>NORRTÄLJE</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12901-2024</t>
        </is>
      </c>
      <c r="B1163" s="1" t="n">
        <v>45385.37922453704</v>
      </c>
      <c r="C1163" s="1" t="n">
        <v>46120</v>
      </c>
      <c r="D1163" t="inlineStr">
        <is>
          <t>STOCKHOLMS LÄN</t>
        </is>
      </c>
      <c r="E1163" t="inlineStr">
        <is>
          <t>NORRTÄLJE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12301-2025</t>
        </is>
      </c>
      <c r="B1164" s="1" t="n">
        <v>45729.7271875</v>
      </c>
      <c r="C1164" s="1" t="n">
        <v>46120</v>
      </c>
      <c r="D1164" t="inlineStr">
        <is>
          <t>STOCKHOLMS LÄN</t>
        </is>
      </c>
      <c r="E1164" t="inlineStr">
        <is>
          <t>NORRTÄLJE</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8950-2025</t>
        </is>
      </c>
      <c r="B1165" s="1" t="n">
        <v>45713</v>
      </c>
      <c r="C1165" s="1" t="n">
        <v>46120</v>
      </c>
      <c r="D1165" t="inlineStr">
        <is>
          <t>STOCKHOLMS LÄN</t>
        </is>
      </c>
      <c r="E1165" t="inlineStr">
        <is>
          <t>NORRTÄLJE</t>
        </is>
      </c>
      <c r="F1165" t="inlineStr">
        <is>
          <t>Övriga Aktiebolag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20730-2024</t>
        </is>
      </c>
      <c r="B1166" s="1" t="n">
        <v>45436</v>
      </c>
      <c r="C1166" s="1" t="n">
        <v>46120</v>
      </c>
      <c r="D1166" t="inlineStr">
        <is>
          <t>STOCKHOLMS LÄN</t>
        </is>
      </c>
      <c r="E1166" t="inlineStr">
        <is>
          <t>NORRTÄLJE</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33175-2024</t>
        </is>
      </c>
      <c r="B1167" s="1" t="n">
        <v>45518</v>
      </c>
      <c r="C1167" s="1" t="n">
        <v>46120</v>
      </c>
      <c r="D1167" t="inlineStr">
        <is>
          <t>STOCKHOLMS LÄN</t>
        </is>
      </c>
      <c r="E1167" t="inlineStr">
        <is>
          <t>NORRTÄLJE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13283-2025</t>
        </is>
      </c>
      <c r="B1168" s="1" t="n">
        <v>45735</v>
      </c>
      <c r="C1168" s="1" t="n">
        <v>46120</v>
      </c>
      <c r="D1168" t="inlineStr">
        <is>
          <t>STOCKHOLMS LÄN</t>
        </is>
      </c>
      <c r="E1168" t="inlineStr">
        <is>
          <t>NORRTÄLJE</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27831-2024</t>
        </is>
      </c>
      <c r="B1169" s="1" t="n">
        <v>45475.61896990741</v>
      </c>
      <c r="C1169" s="1" t="n">
        <v>46120</v>
      </c>
      <c r="D1169" t="inlineStr">
        <is>
          <t>STOCKHOLMS LÄN</t>
        </is>
      </c>
      <c r="E1169" t="inlineStr">
        <is>
          <t>NORRTÄLJE</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21803-2022</t>
        </is>
      </c>
      <c r="B1170" s="1" t="n">
        <v>44708.67822916667</v>
      </c>
      <c r="C1170" s="1" t="n">
        <v>46120</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24687-2025</t>
        </is>
      </c>
      <c r="B1171" s="1" t="n">
        <v>45798.66767361111</v>
      </c>
      <c r="C1171" s="1" t="n">
        <v>46120</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24690-2025</t>
        </is>
      </c>
      <c r="B1172" s="1" t="n">
        <v>45798.67082175926</v>
      </c>
      <c r="C1172" s="1" t="n">
        <v>46120</v>
      </c>
      <c r="D1172" t="inlineStr">
        <is>
          <t>STOCKHOLMS LÄN</t>
        </is>
      </c>
      <c r="E1172" t="inlineStr">
        <is>
          <t>NORRTÄLJE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24638-2025</t>
        </is>
      </c>
      <c r="B1173" s="1" t="n">
        <v>45798</v>
      </c>
      <c r="C1173" s="1" t="n">
        <v>46120</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c r="A1174" t="inlineStr">
        <is>
          <t>A 24351-2025</t>
        </is>
      </c>
      <c r="B1174" s="1" t="n">
        <v>45797.58399305555</v>
      </c>
      <c r="C1174" s="1" t="n">
        <v>46120</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2026-04-08T10:48:18Z</dcterms:created>
  <dcterms:modified xmlns:dcterms="http://purl.org/dc/terms/" xmlns:xsi="http://www.w3.org/2001/XMLSchema-instance" xsi:type="dcterms:W3CDTF">2026-04-08T10:48:19Z</dcterms:modified>
</cp:coreProperties>
</file>