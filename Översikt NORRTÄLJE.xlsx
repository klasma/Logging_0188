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45927</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45927</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45927</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45927</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9472-2025</t>
        </is>
      </c>
      <c r="B6" s="1" t="n">
        <v>45715</v>
      </c>
      <c r="C6" s="1" t="n">
        <v>45927</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45927</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45927</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45927</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45927</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45927</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51334-2022</t>
        </is>
      </c>
      <c r="B12" s="1" t="n">
        <v>44869</v>
      </c>
      <c r="C12" s="1" t="n">
        <v>45927</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45927</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20722-2024</t>
        </is>
      </c>
      <c r="B14" s="1" t="n">
        <v>45436</v>
      </c>
      <c r="C14" s="1" t="n">
        <v>45927</v>
      </c>
      <c r="D14" t="inlineStr">
        <is>
          <t>STOCKHOLMS LÄN</t>
        </is>
      </c>
      <c r="E14" t="inlineStr">
        <is>
          <t>NORRTÄLJE</t>
        </is>
      </c>
      <c r="G14" t="n">
        <v>5.2</v>
      </c>
      <c r="H14" t="n">
        <v>4</v>
      </c>
      <c r="I14" t="n">
        <v>2</v>
      </c>
      <c r="J14" t="n">
        <v>6</v>
      </c>
      <c r="K14" t="n">
        <v>1</v>
      </c>
      <c r="L14" t="n">
        <v>0</v>
      </c>
      <c r="M14" t="n">
        <v>0</v>
      </c>
      <c r="N14" t="n">
        <v>0</v>
      </c>
      <c r="O14" t="n">
        <v>7</v>
      </c>
      <c r="P14" t="n">
        <v>1</v>
      </c>
      <c r="Q14" t="n">
        <v>10</v>
      </c>
      <c r="R14" s="2" t="inlineStr">
        <is>
          <t>Knärot
Garnlav
Granticka
Gränsticka
Spillkråka
Svartvit flugsnappare
Ullticka
Bronshjon
Vågbandad barkbock
Blåsippa</t>
        </is>
      </c>
      <c r="S14">
        <f>HYPERLINK("https://klasma.github.io/Logging_0188/artfynd/A 20722-2024 artfynd.xlsx", "A 20722-2024")</f>
        <v/>
      </c>
      <c r="T14">
        <f>HYPERLINK("https://klasma.github.io/Logging_0188/kartor/A 20722-2024 karta.png", "A 20722-2024")</f>
        <v/>
      </c>
      <c r="U14">
        <f>HYPERLINK("https://klasma.github.io/Logging_0188/knärot/A 20722-2024 karta knärot.png", "A 20722-2024")</f>
        <v/>
      </c>
      <c r="V14">
        <f>HYPERLINK("https://klasma.github.io/Logging_0188/klagomål/A 20722-2024 FSC-klagomål.docx", "A 20722-2024")</f>
        <v/>
      </c>
      <c r="W14">
        <f>HYPERLINK("https://klasma.github.io/Logging_0188/klagomålsmail/A 20722-2024 FSC-klagomål mail.docx", "A 20722-2024")</f>
        <v/>
      </c>
      <c r="X14">
        <f>HYPERLINK("https://klasma.github.io/Logging_0188/tillsyn/A 20722-2024 tillsynsbegäran.docx", "A 20722-2024")</f>
        <v/>
      </c>
      <c r="Y14">
        <f>HYPERLINK("https://klasma.github.io/Logging_0188/tillsynsmail/A 20722-2024 tillsynsbegäran mail.docx", "A 20722-2024")</f>
        <v/>
      </c>
      <c r="Z14">
        <f>HYPERLINK("https://klasma.github.io/Logging_0188/fåglar/A 20722-2024 prioriterade fågelarter.docx", "A 20722-2024")</f>
        <v/>
      </c>
    </row>
    <row r="15" ht="15" customHeight="1">
      <c r="A15" t="inlineStr">
        <is>
          <t>A 11231-2021</t>
        </is>
      </c>
      <c r="B15" s="1" t="n">
        <v>44263</v>
      </c>
      <c r="C15" s="1" t="n">
        <v>45927</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44847-2023</t>
        </is>
      </c>
      <c r="B16" s="1" t="n">
        <v>45190</v>
      </c>
      <c r="C16" s="1" t="n">
        <v>45927</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52815-2021</t>
        </is>
      </c>
      <c r="B17" s="1" t="n">
        <v>44467</v>
      </c>
      <c r="C17" s="1" t="n">
        <v>45927</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45927</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73093-2021</t>
        </is>
      </c>
      <c r="B19" s="1" t="n">
        <v>44550</v>
      </c>
      <c r="C19" s="1" t="n">
        <v>45927</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47274-2024</t>
        </is>
      </c>
      <c r="B20" s="1" t="n">
        <v>45586.88145833334</v>
      </c>
      <c r="C20" s="1" t="n">
        <v>45927</v>
      </c>
      <c r="D20" t="inlineStr">
        <is>
          <t>STOCKHOLMS LÄN</t>
        </is>
      </c>
      <c r="E20" t="inlineStr">
        <is>
          <t>NORRTÄLJE</t>
        </is>
      </c>
      <c r="G20" t="n">
        <v>20.1</v>
      </c>
      <c r="H20" t="n">
        <v>2</v>
      </c>
      <c r="I20" t="n">
        <v>3</v>
      </c>
      <c r="J20" t="n">
        <v>4</v>
      </c>
      <c r="K20" t="n">
        <v>1</v>
      </c>
      <c r="L20" t="n">
        <v>0</v>
      </c>
      <c r="M20" t="n">
        <v>0</v>
      </c>
      <c r="N20" t="n">
        <v>0</v>
      </c>
      <c r="O20" t="n">
        <v>5</v>
      </c>
      <c r="P20" t="n">
        <v>1</v>
      </c>
      <c r="Q20" t="n">
        <v>9</v>
      </c>
      <c r="R20" s="2" t="inlineStr">
        <is>
          <t>Knärot
Grönhjon
Motaggsvamp
Ullticka
Vedskivlav
Dropptaggsvamp
Grönpyrola
Svavelriska
Blåsippa</t>
        </is>
      </c>
      <c r="S20">
        <f>HYPERLINK("https://klasma.github.io/Logging_0188/artfynd/A 47274-2024 artfynd.xlsx", "A 47274-2024")</f>
        <v/>
      </c>
      <c r="T20">
        <f>HYPERLINK("https://klasma.github.io/Logging_0188/kartor/A 47274-2024 karta.png", "A 47274-2024")</f>
        <v/>
      </c>
      <c r="U20">
        <f>HYPERLINK("https://klasma.github.io/Logging_0188/knärot/A 47274-2024 karta knärot.png", "A 47274-2024")</f>
        <v/>
      </c>
      <c r="V20">
        <f>HYPERLINK("https://klasma.github.io/Logging_0188/klagomål/A 47274-2024 FSC-klagomål.docx", "A 47274-2024")</f>
        <v/>
      </c>
      <c r="W20">
        <f>HYPERLINK("https://klasma.github.io/Logging_0188/klagomålsmail/A 47274-2024 FSC-klagomål mail.docx", "A 47274-2024")</f>
        <v/>
      </c>
      <c r="X20">
        <f>HYPERLINK("https://klasma.github.io/Logging_0188/tillsyn/A 47274-2024 tillsynsbegäran.docx", "A 47274-2024")</f>
        <v/>
      </c>
      <c r="Y20">
        <f>HYPERLINK("https://klasma.github.io/Logging_0188/tillsynsmail/A 47274-2024 tillsynsbegäran mail.docx", "A 47274-2024")</f>
        <v/>
      </c>
    </row>
    <row r="21" ht="15" customHeight="1">
      <c r="A21" t="inlineStr">
        <is>
          <t>A 4705-2025</t>
        </is>
      </c>
      <c r="B21" s="1" t="n">
        <v>45688.38224537037</v>
      </c>
      <c r="C21" s="1" t="n">
        <v>45927</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59582-2024</t>
        </is>
      </c>
      <c r="B22" s="1" t="n">
        <v>45638</v>
      </c>
      <c r="C22" s="1" t="n">
        <v>45927</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45811-2022</t>
        </is>
      </c>
      <c r="B23" s="1" t="n">
        <v>44846</v>
      </c>
      <c r="C23" s="1" t="n">
        <v>45927</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45927</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13933-2022</t>
        </is>
      </c>
      <c r="B25" s="1" t="n">
        <v>44650</v>
      </c>
      <c r="C25" s="1" t="n">
        <v>45927</v>
      </c>
      <c r="D25" t="inlineStr">
        <is>
          <t>STOCKHOLMS LÄN</t>
        </is>
      </c>
      <c r="E25" t="inlineStr">
        <is>
          <t>NORRTÄLJE</t>
        </is>
      </c>
      <c r="G25" t="n">
        <v>4.4</v>
      </c>
      <c r="H25" t="n">
        <v>3</v>
      </c>
      <c r="I25" t="n">
        <v>5</v>
      </c>
      <c r="J25" t="n">
        <v>1</v>
      </c>
      <c r="K25" t="n">
        <v>0</v>
      </c>
      <c r="L25" t="n">
        <v>0</v>
      </c>
      <c r="M25" t="n">
        <v>0</v>
      </c>
      <c r="N25" t="n">
        <v>0</v>
      </c>
      <c r="O25" t="n">
        <v>1</v>
      </c>
      <c r="P25" t="n">
        <v>0</v>
      </c>
      <c r="Q25" t="n">
        <v>7</v>
      </c>
      <c r="R25" s="2" t="inlineStr">
        <is>
          <t>Ullticka
Grön sköldmossa
Nästrot
Skogshakmossa
Tibast
Ögonpyrola
Blåsippa</t>
        </is>
      </c>
      <c r="S25">
        <f>HYPERLINK("https://klasma.github.io/Logging_0188/artfynd/A 13933-2022 artfynd.xlsx", "A 13933-2022")</f>
        <v/>
      </c>
      <c r="T25">
        <f>HYPERLINK("https://klasma.github.io/Logging_0188/kartor/A 13933-2022 karta.png", "A 13933-2022")</f>
        <v/>
      </c>
      <c r="V25">
        <f>HYPERLINK("https://klasma.github.io/Logging_0188/klagomål/A 13933-2022 FSC-klagomål.docx", "A 13933-2022")</f>
        <v/>
      </c>
      <c r="W25">
        <f>HYPERLINK("https://klasma.github.io/Logging_0188/klagomålsmail/A 13933-2022 FSC-klagomål mail.docx", "A 13933-2022")</f>
        <v/>
      </c>
      <c r="X25">
        <f>HYPERLINK("https://klasma.github.io/Logging_0188/tillsyn/A 13933-2022 tillsynsbegäran.docx", "A 13933-2022")</f>
        <v/>
      </c>
      <c r="Y25">
        <f>HYPERLINK("https://klasma.github.io/Logging_0188/tillsynsmail/A 13933-2022 tillsynsbegäran mail.docx", "A 13933-2022")</f>
        <v/>
      </c>
    </row>
    <row r="26" ht="15" customHeight="1">
      <c r="A26" t="inlineStr">
        <is>
          <t>A 47346-2021</t>
        </is>
      </c>
      <c r="B26" s="1" t="n">
        <v>44447</v>
      </c>
      <c r="C26" s="1" t="n">
        <v>45927</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15278-2024</t>
        </is>
      </c>
      <c r="B27" s="1" t="n">
        <v>45400.5958912037</v>
      </c>
      <c r="C27" s="1" t="n">
        <v>45927</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34528-2025</t>
        </is>
      </c>
      <c r="B28" s="1" t="n">
        <v>45847.48436342592</v>
      </c>
      <c r="C28" s="1" t="n">
        <v>45927</v>
      </c>
      <c r="D28" t="inlineStr">
        <is>
          <t>STOCKHOLMS LÄN</t>
        </is>
      </c>
      <c r="E28" t="inlineStr">
        <is>
          <t>NORRTÄLJE</t>
        </is>
      </c>
      <c r="G28" t="n">
        <v>1</v>
      </c>
      <c r="H28" t="n">
        <v>1</v>
      </c>
      <c r="I28" t="n">
        <v>2</v>
      </c>
      <c r="J28" t="n">
        <v>3</v>
      </c>
      <c r="K28" t="n">
        <v>1</v>
      </c>
      <c r="L28" t="n">
        <v>0</v>
      </c>
      <c r="M28" t="n">
        <v>0</v>
      </c>
      <c r="N28" t="n">
        <v>0</v>
      </c>
      <c r="O28" t="n">
        <v>4</v>
      </c>
      <c r="P28" t="n">
        <v>1</v>
      </c>
      <c r="Q28" t="n">
        <v>6</v>
      </c>
      <c r="R28" s="2" t="inlineStr">
        <is>
          <t>Gyllenfingersvamp
Gammelgransskål
Motaggsvamp
Spillkråka
Fjällig taggsvamp s.str.
Svavelriska</t>
        </is>
      </c>
      <c r="S28">
        <f>HYPERLINK("https://klasma.github.io/Logging_0188/artfynd/A 34528-2025 artfynd.xlsx", "A 34528-2025")</f>
        <v/>
      </c>
      <c r="T28">
        <f>HYPERLINK("https://klasma.github.io/Logging_0188/kartor/A 34528-2025 karta.png", "A 34528-2025")</f>
        <v/>
      </c>
      <c r="V28">
        <f>HYPERLINK("https://klasma.github.io/Logging_0188/klagomål/A 34528-2025 FSC-klagomål.docx", "A 34528-2025")</f>
        <v/>
      </c>
      <c r="W28">
        <f>HYPERLINK("https://klasma.github.io/Logging_0188/klagomålsmail/A 34528-2025 FSC-klagomål mail.docx", "A 34528-2025")</f>
        <v/>
      </c>
      <c r="X28">
        <f>HYPERLINK("https://klasma.github.io/Logging_0188/tillsyn/A 34528-2025 tillsynsbegäran.docx", "A 34528-2025")</f>
        <v/>
      </c>
      <c r="Y28">
        <f>HYPERLINK("https://klasma.github.io/Logging_0188/tillsynsmail/A 34528-2025 tillsynsbegäran mail.docx", "A 34528-2025")</f>
        <v/>
      </c>
      <c r="Z28">
        <f>HYPERLINK("https://klasma.github.io/Logging_0188/fåglar/A 34528-2025 prioriterade fågelarter.docx", "A 34528-2025")</f>
        <v/>
      </c>
    </row>
    <row r="29" ht="15" customHeight="1">
      <c r="A29" t="inlineStr">
        <is>
          <t>A 25732-2025</t>
        </is>
      </c>
      <c r="B29" s="1" t="n">
        <v>45800</v>
      </c>
      <c r="C29" s="1" t="n">
        <v>45927</v>
      </c>
      <c r="D29" t="inlineStr">
        <is>
          <t>STOCKHOLMS LÄN</t>
        </is>
      </c>
      <c r="E29" t="inlineStr">
        <is>
          <t>NORRTÄLJE</t>
        </is>
      </c>
      <c r="G29" t="n">
        <v>7.4</v>
      </c>
      <c r="H29" t="n">
        <v>3</v>
      </c>
      <c r="I29" t="n">
        <v>2</v>
      </c>
      <c r="J29" t="n">
        <v>2</v>
      </c>
      <c r="K29" t="n">
        <v>1</v>
      </c>
      <c r="L29" t="n">
        <v>0</v>
      </c>
      <c r="M29" t="n">
        <v>0</v>
      </c>
      <c r="N29" t="n">
        <v>0</v>
      </c>
      <c r="O29" t="n">
        <v>3</v>
      </c>
      <c r="P29" t="n">
        <v>1</v>
      </c>
      <c r="Q29" t="n">
        <v>6</v>
      </c>
      <c r="R29" s="2" t="inlineStr">
        <is>
          <t>Knärot
Blå taggsvamp
Skrovlig taggsvamp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1054-2022</t>
        </is>
      </c>
      <c r="B30" s="1" t="n">
        <v>44571</v>
      </c>
      <c r="C30" s="1" t="n">
        <v>45927</v>
      </c>
      <c r="D30" t="inlineStr">
        <is>
          <t>STOCKHOLMS LÄN</t>
        </is>
      </c>
      <c r="E30" t="inlineStr">
        <is>
          <t>NORRTÄLJE</t>
        </is>
      </c>
      <c r="G30" t="n">
        <v>5</v>
      </c>
      <c r="H30" t="n">
        <v>0</v>
      </c>
      <c r="I30" t="n">
        <v>4</v>
      </c>
      <c r="J30" t="n">
        <v>1</v>
      </c>
      <c r="K30" t="n">
        <v>0</v>
      </c>
      <c r="L30" t="n">
        <v>0</v>
      </c>
      <c r="M30" t="n">
        <v>0</v>
      </c>
      <c r="N30" t="n">
        <v>0</v>
      </c>
      <c r="O30" t="n">
        <v>1</v>
      </c>
      <c r="P30" t="n">
        <v>0</v>
      </c>
      <c r="Q30" t="n">
        <v>5</v>
      </c>
      <c r="R30" s="2" t="inlineStr">
        <is>
          <t>Fyrflikig jordstjärna
Fjällig taggsvamp s.str.
Kryddspindling
Olivspindling
Svavelriska</t>
        </is>
      </c>
      <c r="S30">
        <f>HYPERLINK("https://klasma.github.io/Logging_0188/artfynd/A 1054-2022 artfynd.xlsx", "A 1054-2022")</f>
        <v/>
      </c>
      <c r="T30">
        <f>HYPERLINK("https://klasma.github.io/Logging_0188/kartor/A 1054-2022 karta.png", "A 1054-2022")</f>
        <v/>
      </c>
      <c r="V30">
        <f>HYPERLINK("https://klasma.github.io/Logging_0188/klagomål/A 1054-2022 FSC-klagomål.docx", "A 1054-2022")</f>
        <v/>
      </c>
      <c r="W30">
        <f>HYPERLINK("https://klasma.github.io/Logging_0188/klagomålsmail/A 1054-2022 FSC-klagomål mail.docx", "A 1054-2022")</f>
        <v/>
      </c>
      <c r="X30">
        <f>HYPERLINK("https://klasma.github.io/Logging_0188/tillsyn/A 1054-2022 tillsynsbegäran.docx", "A 1054-2022")</f>
        <v/>
      </c>
      <c r="Y30">
        <f>HYPERLINK("https://klasma.github.io/Logging_0188/tillsynsmail/A 1054-2022 tillsynsbegäran mail.docx", "A 1054-2022")</f>
        <v/>
      </c>
    </row>
    <row r="31" ht="15" customHeight="1">
      <c r="A31" t="inlineStr">
        <is>
          <t>A 21922-2023</t>
        </is>
      </c>
      <c r="B31" s="1" t="n">
        <v>45068</v>
      </c>
      <c r="C31" s="1" t="n">
        <v>45927</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45927</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30687-2025</t>
        </is>
      </c>
      <c r="B33" s="1" t="n">
        <v>45831.53390046296</v>
      </c>
      <c r="C33" s="1" t="n">
        <v>45927</v>
      </c>
      <c r="D33" t="inlineStr">
        <is>
          <t>STOCKHOLMS LÄN</t>
        </is>
      </c>
      <c r="E33" t="inlineStr">
        <is>
          <t>NORRTÄLJE</t>
        </is>
      </c>
      <c r="G33" t="n">
        <v>6.7</v>
      </c>
      <c r="H33" t="n">
        <v>1</v>
      </c>
      <c r="I33" t="n">
        <v>2</v>
      </c>
      <c r="J33" t="n">
        <v>2</v>
      </c>
      <c r="K33" t="n">
        <v>0</v>
      </c>
      <c r="L33" t="n">
        <v>0</v>
      </c>
      <c r="M33" t="n">
        <v>0</v>
      </c>
      <c r="N33" t="n">
        <v>0</v>
      </c>
      <c r="O33" t="n">
        <v>2</v>
      </c>
      <c r="P33" t="n">
        <v>0</v>
      </c>
      <c r="Q33" t="n">
        <v>5</v>
      </c>
      <c r="R33" s="2" t="inlineStr">
        <is>
          <t>Ekvaxskivling
Kandelabersvamp
Stinkbrosking
Svart trolldruva
Blåsippa</t>
        </is>
      </c>
      <c r="S33">
        <f>HYPERLINK("https://klasma.github.io/Logging_0188/artfynd/A 30687-2025 artfynd.xlsx", "A 30687-2025")</f>
        <v/>
      </c>
      <c r="T33">
        <f>HYPERLINK("https://klasma.github.io/Logging_0188/kartor/A 30687-2025 karta.png", "A 30687-2025")</f>
        <v/>
      </c>
      <c r="V33">
        <f>HYPERLINK("https://klasma.github.io/Logging_0188/klagomål/A 30687-2025 FSC-klagomål.docx", "A 30687-2025")</f>
        <v/>
      </c>
      <c r="W33">
        <f>HYPERLINK("https://klasma.github.io/Logging_0188/klagomålsmail/A 30687-2025 FSC-klagomål mail.docx", "A 30687-2025")</f>
        <v/>
      </c>
      <c r="X33">
        <f>HYPERLINK("https://klasma.github.io/Logging_0188/tillsyn/A 30687-2025 tillsynsbegäran.docx", "A 30687-2025")</f>
        <v/>
      </c>
      <c r="Y33">
        <f>HYPERLINK("https://klasma.github.io/Logging_0188/tillsynsmail/A 30687-2025 tillsynsbegäran mail.docx", "A 30687-2025")</f>
        <v/>
      </c>
    </row>
    <row r="34" ht="15" customHeight="1">
      <c r="A34" t="inlineStr">
        <is>
          <t>A 15804-2025</t>
        </is>
      </c>
      <c r="B34" s="1" t="n">
        <v>45748.6521875</v>
      </c>
      <c r="C34" s="1" t="n">
        <v>45927</v>
      </c>
      <c r="D34" t="inlineStr">
        <is>
          <t>STOCKHOLMS LÄN</t>
        </is>
      </c>
      <c r="E34" t="inlineStr">
        <is>
          <t>NORRTÄLJE</t>
        </is>
      </c>
      <c r="F34" t="inlineStr">
        <is>
          <t>Holmen skog AB</t>
        </is>
      </c>
      <c r="G34" t="n">
        <v>1.7</v>
      </c>
      <c r="H34" t="n">
        <v>1</v>
      </c>
      <c r="I34" t="n">
        <v>1</v>
      </c>
      <c r="J34" t="n">
        <v>3</v>
      </c>
      <c r="K34" t="n">
        <v>0</v>
      </c>
      <c r="L34" t="n">
        <v>1</v>
      </c>
      <c r="M34" t="n">
        <v>0</v>
      </c>
      <c r="N34" t="n">
        <v>0</v>
      </c>
      <c r="O34" t="n">
        <v>4</v>
      </c>
      <c r="P34" t="n">
        <v>1</v>
      </c>
      <c r="Q34" t="n">
        <v>5</v>
      </c>
      <c r="R34" s="2" t="inlineStr">
        <is>
          <t>Asknätfjäril
Gullklöver
Skogsklocka
Slåtterfibbla
Spetsvaxing</t>
        </is>
      </c>
      <c r="S34">
        <f>HYPERLINK("https://klasma.github.io/Logging_0188/artfynd/A 15804-2025 artfynd.xlsx", "A 15804-2025")</f>
        <v/>
      </c>
      <c r="T34">
        <f>HYPERLINK("https://klasma.github.io/Logging_0188/kartor/A 15804-2025 karta.png", "A 15804-2025")</f>
        <v/>
      </c>
      <c r="V34">
        <f>HYPERLINK("https://klasma.github.io/Logging_0188/klagomål/A 15804-2025 FSC-klagomål.docx", "A 15804-2025")</f>
        <v/>
      </c>
      <c r="W34">
        <f>HYPERLINK("https://klasma.github.io/Logging_0188/klagomålsmail/A 15804-2025 FSC-klagomål mail.docx", "A 15804-2025")</f>
        <v/>
      </c>
      <c r="X34">
        <f>HYPERLINK("https://klasma.github.io/Logging_0188/tillsyn/A 15804-2025 tillsynsbegäran.docx", "A 15804-2025")</f>
        <v/>
      </c>
      <c r="Y34">
        <f>HYPERLINK("https://klasma.github.io/Logging_0188/tillsynsmail/A 15804-2025 tillsynsbegäran mail.docx", "A 15804-2025")</f>
        <v/>
      </c>
    </row>
    <row r="35" ht="15" customHeight="1">
      <c r="A35" t="inlineStr">
        <is>
          <t>A 22071-2022</t>
        </is>
      </c>
      <c r="B35" s="1" t="n">
        <v>44711</v>
      </c>
      <c r="C35" s="1" t="n">
        <v>45927</v>
      </c>
      <c r="D35" t="inlineStr">
        <is>
          <t>STOCKHOLMS LÄN</t>
        </is>
      </c>
      <c r="E35" t="inlineStr">
        <is>
          <t>NORRTÄLJE</t>
        </is>
      </c>
      <c r="G35" t="n">
        <v>7</v>
      </c>
      <c r="H35" t="n">
        <v>1</v>
      </c>
      <c r="I35" t="n">
        <v>2</v>
      </c>
      <c r="J35" t="n">
        <v>2</v>
      </c>
      <c r="K35" t="n">
        <v>0</v>
      </c>
      <c r="L35" t="n">
        <v>0</v>
      </c>
      <c r="M35" t="n">
        <v>0</v>
      </c>
      <c r="N35" t="n">
        <v>0</v>
      </c>
      <c r="O35" t="n">
        <v>2</v>
      </c>
      <c r="P35" t="n">
        <v>0</v>
      </c>
      <c r="Q35" t="n">
        <v>4</v>
      </c>
      <c r="R35" s="2" t="inlineStr">
        <is>
          <t>Spillkråka
Vedskivlav
Björksplintborre
Kattfotslav</t>
        </is>
      </c>
      <c r="S35">
        <f>HYPERLINK("https://klasma.github.io/Logging_0188/artfynd/A 22071-2022 artfynd.xlsx", "A 22071-2022")</f>
        <v/>
      </c>
      <c r="T35">
        <f>HYPERLINK("https://klasma.github.io/Logging_0188/kartor/A 22071-2022 karta.png", "A 22071-2022")</f>
        <v/>
      </c>
      <c r="V35">
        <f>HYPERLINK("https://klasma.github.io/Logging_0188/klagomål/A 22071-2022 FSC-klagomål.docx", "A 22071-2022")</f>
        <v/>
      </c>
      <c r="W35">
        <f>HYPERLINK("https://klasma.github.io/Logging_0188/klagomålsmail/A 22071-2022 FSC-klagomål mail.docx", "A 22071-2022")</f>
        <v/>
      </c>
      <c r="X35">
        <f>HYPERLINK("https://klasma.github.io/Logging_0188/tillsyn/A 22071-2022 tillsynsbegäran.docx", "A 22071-2022")</f>
        <v/>
      </c>
      <c r="Y35">
        <f>HYPERLINK("https://klasma.github.io/Logging_0188/tillsynsmail/A 22071-2022 tillsynsbegäran mail.docx", "A 22071-2022")</f>
        <v/>
      </c>
      <c r="Z35">
        <f>HYPERLINK("https://klasma.github.io/Logging_0188/fåglar/A 22071-2022 prioriterade fågelarter.docx", "A 22071-2022")</f>
        <v/>
      </c>
    </row>
    <row r="36" ht="15" customHeight="1">
      <c r="A36" t="inlineStr">
        <is>
          <t>A 21730-2025</t>
        </is>
      </c>
      <c r="B36" s="1" t="n">
        <v>45783.58123842593</v>
      </c>
      <c r="C36" s="1" t="n">
        <v>45927</v>
      </c>
      <c r="D36" t="inlineStr">
        <is>
          <t>STOCKHOLMS LÄN</t>
        </is>
      </c>
      <c r="E36" t="inlineStr">
        <is>
          <t>NORRTÄLJE</t>
        </is>
      </c>
      <c r="G36" t="n">
        <v>4.2</v>
      </c>
      <c r="H36" t="n">
        <v>2</v>
      </c>
      <c r="I36" t="n">
        <v>2</v>
      </c>
      <c r="J36" t="n">
        <v>0</v>
      </c>
      <c r="K36" t="n">
        <v>0</v>
      </c>
      <c r="L36" t="n">
        <v>0</v>
      </c>
      <c r="M36" t="n">
        <v>0</v>
      </c>
      <c r="N36" t="n">
        <v>0</v>
      </c>
      <c r="O36" t="n">
        <v>0</v>
      </c>
      <c r="P36" t="n">
        <v>0</v>
      </c>
      <c r="Q36" t="n">
        <v>4</v>
      </c>
      <c r="R36" s="2" t="inlineStr">
        <is>
          <t>Blåmossa
Brandticka
Blåsippa
Revlummer</t>
        </is>
      </c>
      <c r="S36">
        <f>HYPERLINK("https://klasma.github.io/Logging_0188/artfynd/A 21730-2025 artfynd.xlsx", "A 21730-2025")</f>
        <v/>
      </c>
      <c r="T36">
        <f>HYPERLINK("https://klasma.github.io/Logging_0188/kartor/A 21730-2025 karta.png", "A 21730-2025")</f>
        <v/>
      </c>
      <c r="V36">
        <f>HYPERLINK("https://klasma.github.io/Logging_0188/klagomål/A 21730-2025 FSC-klagomål.docx", "A 21730-2025")</f>
        <v/>
      </c>
      <c r="W36">
        <f>HYPERLINK("https://klasma.github.io/Logging_0188/klagomålsmail/A 21730-2025 FSC-klagomål mail.docx", "A 21730-2025")</f>
        <v/>
      </c>
      <c r="X36">
        <f>HYPERLINK("https://klasma.github.io/Logging_0188/tillsyn/A 21730-2025 tillsynsbegäran.docx", "A 21730-2025")</f>
        <v/>
      </c>
      <c r="Y36">
        <f>HYPERLINK("https://klasma.github.io/Logging_0188/tillsynsmail/A 21730-2025 tillsynsbegäran mail.docx", "A 21730-2025")</f>
        <v/>
      </c>
    </row>
    <row r="37" ht="15" customHeight="1">
      <c r="A37" t="inlineStr">
        <is>
          <t>A 21837-2025</t>
        </is>
      </c>
      <c r="B37" s="1" t="n">
        <v>45784.32179398148</v>
      </c>
      <c r="C37" s="1" t="n">
        <v>45927</v>
      </c>
      <c r="D37" t="inlineStr">
        <is>
          <t>STOCKHOLMS LÄN</t>
        </is>
      </c>
      <c r="E37" t="inlineStr">
        <is>
          <t>NORRTÄLJE</t>
        </is>
      </c>
      <c r="G37" t="n">
        <v>6.4</v>
      </c>
      <c r="H37" t="n">
        <v>2</v>
      </c>
      <c r="I37" t="n">
        <v>2</v>
      </c>
      <c r="J37" t="n">
        <v>1</v>
      </c>
      <c r="K37" t="n">
        <v>0</v>
      </c>
      <c r="L37" t="n">
        <v>0</v>
      </c>
      <c r="M37" t="n">
        <v>0</v>
      </c>
      <c r="N37" t="n">
        <v>0</v>
      </c>
      <c r="O37" t="n">
        <v>1</v>
      </c>
      <c r="P37" t="n">
        <v>0</v>
      </c>
      <c r="Q37" t="n">
        <v>4</v>
      </c>
      <c r="R37" s="2" t="inlineStr">
        <is>
          <t>Granticka
Brandticka
Nästrot
Blåsippa</t>
        </is>
      </c>
      <c r="S37">
        <f>HYPERLINK("https://klasma.github.io/Logging_0188/artfynd/A 21837-2025 artfynd.xlsx", "A 21837-2025")</f>
        <v/>
      </c>
      <c r="T37">
        <f>HYPERLINK("https://klasma.github.io/Logging_0188/kartor/A 21837-2025 karta.png", "A 21837-2025")</f>
        <v/>
      </c>
      <c r="V37">
        <f>HYPERLINK("https://klasma.github.io/Logging_0188/klagomål/A 21837-2025 FSC-klagomål.docx", "A 21837-2025")</f>
        <v/>
      </c>
      <c r="W37">
        <f>HYPERLINK("https://klasma.github.io/Logging_0188/klagomålsmail/A 21837-2025 FSC-klagomål mail.docx", "A 21837-2025")</f>
        <v/>
      </c>
      <c r="X37">
        <f>HYPERLINK("https://klasma.github.io/Logging_0188/tillsyn/A 21837-2025 tillsynsbegäran.docx", "A 21837-2025")</f>
        <v/>
      </c>
      <c r="Y37">
        <f>HYPERLINK("https://klasma.github.io/Logging_0188/tillsynsmail/A 21837-2025 tillsynsbegäran mail.docx", "A 21837-2025")</f>
        <v/>
      </c>
    </row>
    <row r="38" ht="15" customHeight="1">
      <c r="A38" t="inlineStr">
        <is>
          <t>A 24052-2021</t>
        </is>
      </c>
      <c r="B38" s="1" t="n">
        <v>44336</v>
      </c>
      <c r="C38" s="1" t="n">
        <v>45927</v>
      </c>
      <c r="D38" t="inlineStr">
        <is>
          <t>STOCKHOLMS LÄN</t>
        </is>
      </c>
      <c r="E38" t="inlineStr">
        <is>
          <t>NORRTÄLJE</t>
        </is>
      </c>
      <c r="G38" t="n">
        <v>8.6</v>
      </c>
      <c r="H38" t="n">
        <v>4</v>
      </c>
      <c r="I38" t="n">
        <v>0</v>
      </c>
      <c r="J38" t="n">
        <v>2</v>
      </c>
      <c r="K38" t="n">
        <v>0</v>
      </c>
      <c r="L38" t="n">
        <v>0</v>
      </c>
      <c r="M38" t="n">
        <v>0</v>
      </c>
      <c r="N38" t="n">
        <v>0</v>
      </c>
      <c r="O38" t="n">
        <v>2</v>
      </c>
      <c r="P38" t="n">
        <v>0</v>
      </c>
      <c r="Q38" t="n">
        <v>4</v>
      </c>
      <c r="R38" s="2" t="inlineStr">
        <is>
          <t>Brunlångöra
Nordfladdermus
Dvärgpipistrell
Större brunfladdermus</t>
        </is>
      </c>
      <c r="S38">
        <f>HYPERLINK("https://klasma.github.io/Logging_0188/artfynd/A 24052-2021 artfynd.xlsx", "A 24052-2021")</f>
        <v/>
      </c>
      <c r="T38">
        <f>HYPERLINK("https://klasma.github.io/Logging_0188/kartor/A 24052-2021 karta.png", "A 24052-2021")</f>
        <v/>
      </c>
      <c r="V38">
        <f>HYPERLINK("https://klasma.github.io/Logging_0188/klagomål/A 24052-2021 FSC-klagomål.docx", "A 24052-2021")</f>
        <v/>
      </c>
      <c r="W38">
        <f>HYPERLINK("https://klasma.github.io/Logging_0188/klagomålsmail/A 24052-2021 FSC-klagomål mail.docx", "A 24052-2021")</f>
        <v/>
      </c>
      <c r="X38">
        <f>HYPERLINK("https://klasma.github.io/Logging_0188/tillsyn/A 24052-2021 tillsynsbegäran.docx", "A 24052-2021")</f>
        <v/>
      </c>
      <c r="Y38">
        <f>HYPERLINK("https://klasma.github.io/Logging_0188/tillsynsmail/A 24052-2021 tillsynsbegäran mail.docx", "A 24052-2021")</f>
        <v/>
      </c>
    </row>
    <row r="39" ht="15" customHeight="1">
      <c r="A39" t="inlineStr">
        <is>
          <t>A 72305-2021</t>
        </is>
      </c>
      <c r="B39" s="1" t="n">
        <v>44545</v>
      </c>
      <c r="C39" s="1" t="n">
        <v>45927</v>
      </c>
      <c r="D39" t="inlineStr">
        <is>
          <t>STOCKHOLMS LÄN</t>
        </is>
      </c>
      <c r="E39" t="inlineStr">
        <is>
          <t>NORRTÄLJE</t>
        </is>
      </c>
      <c r="G39" t="n">
        <v>1.5</v>
      </c>
      <c r="H39" t="n">
        <v>1</v>
      </c>
      <c r="I39" t="n">
        <v>3</v>
      </c>
      <c r="J39" t="n">
        <v>0</v>
      </c>
      <c r="K39" t="n">
        <v>0</v>
      </c>
      <c r="L39" t="n">
        <v>0</v>
      </c>
      <c r="M39" t="n">
        <v>0</v>
      </c>
      <c r="N39" t="n">
        <v>0</v>
      </c>
      <c r="O39" t="n">
        <v>0</v>
      </c>
      <c r="P39" t="n">
        <v>0</v>
      </c>
      <c r="Q39" t="n">
        <v>4</v>
      </c>
      <c r="R39" s="2" t="inlineStr">
        <is>
          <t>Svart trolldruva
Sårläka
Vårärt
Blåsippa</t>
        </is>
      </c>
      <c r="S39">
        <f>HYPERLINK("https://klasma.github.io/Logging_0188/artfynd/A 72305-2021 artfynd.xlsx", "A 72305-2021")</f>
        <v/>
      </c>
      <c r="T39">
        <f>HYPERLINK("https://klasma.github.io/Logging_0188/kartor/A 72305-2021 karta.png", "A 72305-2021")</f>
        <v/>
      </c>
      <c r="V39">
        <f>HYPERLINK("https://klasma.github.io/Logging_0188/klagomål/A 72305-2021 FSC-klagomål.docx", "A 72305-2021")</f>
        <v/>
      </c>
      <c r="W39">
        <f>HYPERLINK("https://klasma.github.io/Logging_0188/klagomålsmail/A 72305-2021 FSC-klagomål mail.docx", "A 72305-2021")</f>
        <v/>
      </c>
      <c r="X39">
        <f>HYPERLINK("https://klasma.github.io/Logging_0188/tillsyn/A 72305-2021 tillsynsbegäran.docx", "A 72305-2021")</f>
        <v/>
      </c>
      <c r="Y39">
        <f>HYPERLINK("https://klasma.github.io/Logging_0188/tillsynsmail/A 72305-2021 tillsynsbegäran mail.docx", "A 72305-2021")</f>
        <v/>
      </c>
    </row>
    <row r="40" ht="15" customHeight="1">
      <c r="A40" t="inlineStr">
        <is>
          <t>A 44709-2022</t>
        </is>
      </c>
      <c r="B40" s="1" t="n">
        <v>44839</v>
      </c>
      <c r="C40" s="1" t="n">
        <v>45927</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34521-2025</t>
        </is>
      </c>
      <c r="B41" s="1" t="n">
        <v>45847.47052083333</v>
      </c>
      <c r="C41" s="1" t="n">
        <v>45927</v>
      </c>
      <c r="D41" t="inlineStr">
        <is>
          <t>STOCKHOLMS LÄN</t>
        </is>
      </c>
      <c r="E41" t="inlineStr">
        <is>
          <t>NORRTÄLJE</t>
        </is>
      </c>
      <c r="G41" t="n">
        <v>4.3</v>
      </c>
      <c r="H41" t="n">
        <v>0</v>
      </c>
      <c r="I41" t="n">
        <v>2</v>
      </c>
      <c r="J41" t="n">
        <v>2</v>
      </c>
      <c r="K41" t="n">
        <v>0</v>
      </c>
      <c r="L41" t="n">
        <v>0</v>
      </c>
      <c r="M41" t="n">
        <v>0</v>
      </c>
      <c r="N41" t="n">
        <v>0</v>
      </c>
      <c r="O41" t="n">
        <v>2</v>
      </c>
      <c r="P41" t="n">
        <v>0</v>
      </c>
      <c r="Q41" t="n">
        <v>4</v>
      </c>
      <c r="R41" s="2" t="inlineStr">
        <is>
          <t>Kandelabersvamp
Vedtrappmossa
Anisspindling
Stor aspticka</t>
        </is>
      </c>
      <c r="S41">
        <f>HYPERLINK("https://klasma.github.io/Logging_0188/artfynd/A 34521-2025 artfynd.xlsx", "A 34521-2025")</f>
        <v/>
      </c>
      <c r="T41">
        <f>HYPERLINK("https://klasma.github.io/Logging_0188/kartor/A 34521-2025 karta.png", "A 34521-2025")</f>
        <v/>
      </c>
      <c r="V41">
        <f>HYPERLINK("https://klasma.github.io/Logging_0188/klagomål/A 34521-2025 FSC-klagomål.docx", "A 34521-2025")</f>
        <v/>
      </c>
      <c r="W41">
        <f>HYPERLINK("https://klasma.github.io/Logging_0188/klagomålsmail/A 34521-2025 FSC-klagomål mail.docx", "A 34521-2025")</f>
        <v/>
      </c>
      <c r="X41">
        <f>HYPERLINK("https://klasma.github.io/Logging_0188/tillsyn/A 34521-2025 tillsynsbegäran.docx", "A 34521-2025")</f>
        <v/>
      </c>
      <c r="Y41">
        <f>HYPERLINK("https://klasma.github.io/Logging_0188/tillsynsmail/A 34521-2025 tillsynsbegäran mail.docx", "A 34521-2025")</f>
        <v/>
      </c>
    </row>
    <row r="42" ht="15" customHeight="1">
      <c r="A42" t="inlineStr">
        <is>
          <t>A 41276-2025</t>
        </is>
      </c>
      <c r="B42" s="1" t="n">
        <v>45898.62723379629</v>
      </c>
      <c r="C42" s="1" t="n">
        <v>45927</v>
      </c>
      <c r="D42" t="inlineStr">
        <is>
          <t>STOCKHOLMS LÄN</t>
        </is>
      </c>
      <c r="E42" t="inlineStr">
        <is>
          <t>NORRTÄLJE</t>
        </is>
      </c>
      <c r="G42" t="n">
        <v>3.2</v>
      </c>
      <c r="H42" t="n">
        <v>1</v>
      </c>
      <c r="I42" t="n">
        <v>2</v>
      </c>
      <c r="J42" t="n">
        <v>0</v>
      </c>
      <c r="K42" t="n">
        <v>0</v>
      </c>
      <c r="L42" t="n">
        <v>1</v>
      </c>
      <c r="M42" t="n">
        <v>0</v>
      </c>
      <c r="N42" t="n">
        <v>0</v>
      </c>
      <c r="O42" t="n">
        <v>1</v>
      </c>
      <c r="P42" t="n">
        <v>1</v>
      </c>
      <c r="Q42" t="n">
        <v>4</v>
      </c>
      <c r="R42" s="2" t="inlineStr">
        <is>
          <t>Ask
Underviol
Vårärt
Blåsippa</t>
        </is>
      </c>
      <c r="S42">
        <f>HYPERLINK("https://klasma.github.io/Logging_0188/artfynd/A 41276-2025 artfynd.xlsx", "A 41276-2025")</f>
        <v/>
      </c>
      <c r="T42">
        <f>HYPERLINK("https://klasma.github.io/Logging_0188/kartor/A 41276-2025 karta.png", "A 41276-2025")</f>
        <v/>
      </c>
      <c r="V42">
        <f>HYPERLINK("https://klasma.github.io/Logging_0188/klagomål/A 41276-2025 FSC-klagomål.docx", "A 41276-2025")</f>
        <v/>
      </c>
      <c r="W42">
        <f>HYPERLINK("https://klasma.github.io/Logging_0188/klagomålsmail/A 41276-2025 FSC-klagomål mail.docx", "A 41276-2025")</f>
        <v/>
      </c>
      <c r="X42">
        <f>HYPERLINK("https://klasma.github.io/Logging_0188/tillsyn/A 41276-2025 tillsynsbegäran.docx", "A 41276-2025")</f>
        <v/>
      </c>
      <c r="Y42">
        <f>HYPERLINK("https://klasma.github.io/Logging_0188/tillsynsmail/A 41276-2025 tillsynsbegäran mail.docx", "A 41276-2025")</f>
        <v/>
      </c>
    </row>
    <row r="43" ht="15" customHeight="1">
      <c r="A43" t="inlineStr">
        <is>
          <t>A 10876-2025</t>
        </is>
      </c>
      <c r="B43" s="1" t="n">
        <v>45722</v>
      </c>
      <c r="C43" s="1" t="n">
        <v>45927</v>
      </c>
      <c r="D43" t="inlineStr">
        <is>
          <t>STOCKHOLMS LÄN</t>
        </is>
      </c>
      <c r="E43" t="inlineStr">
        <is>
          <t>NORRTÄLJE</t>
        </is>
      </c>
      <c r="F43" t="inlineStr">
        <is>
          <t>Holmen skog AB</t>
        </is>
      </c>
      <c r="G43" t="n">
        <v>9.300000000000001</v>
      </c>
      <c r="H43" t="n">
        <v>4</v>
      </c>
      <c r="I43" t="n">
        <v>0</v>
      </c>
      <c r="J43" t="n">
        <v>1</v>
      </c>
      <c r="K43" t="n">
        <v>1</v>
      </c>
      <c r="L43" t="n">
        <v>1</v>
      </c>
      <c r="M43" t="n">
        <v>0</v>
      </c>
      <c r="N43" t="n">
        <v>0</v>
      </c>
      <c r="O43" t="n">
        <v>3</v>
      </c>
      <c r="P43" t="n">
        <v>2</v>
      </c>
      <c r="Q43" t="n">
        <v>4</v>
      </c>
      <c r="R43" s="2" t="inlineStr">
        <is>
          <t>Asknätfjäril
Hällebräcka
Utter
Gullviva</t>
        </is>
      </c>
      <c r="S43">
        <f>HYPERLINK("https://klasma.github.io/Logging_0188/artfynd/A 10876-2025 artfynd.xlsx", "A 10876-2025")</f>
        <v/>
      </c>
      <c r="T43">
        <f>HYPERLINK("https://klasma.github.io/Logging_0188/kartor/A 10876-2025 karta.png", "A 10876-2025")</f>
        <v/>
      </c>
      <c r="V43">
        <f>HYPERLINK("https://klasma.github.io/Logging_0188/klagomål/A 10876-2025 FSC-klagomål.docx", "A 10876-2025")</f>
        <v/>
      </c>
      <c r="W43">
        <f>HYPERLINK("https://klasma.github.io/Logging_0188/klagomålsmail/A 10876-2025 FSC-klagomål mail.docx", "A 10876-2025")</f>
        <v/>
      </c>
      <c r="X43">
        <f>HYPERLINK("https://klasma.github.io/Logging_0188/tillsyn/A 10876-2025 tillsynsbegäran.docx", "A 10876-2025")</f>
        <v/>
      </c>
      <c r="Y43">
        <f>HYPERLINK("https://klasma.github.io/Logging_0188/tillsynsmail/A 10876-2025 tillsynsbegäran mail.docx", "A 10876-2025")</f>
        <v/>
      </c>
    </row>
    <row r="44" ht="15" customHeight="1">
      <c r="A44" t="inlineStr">
        <is>
          <t>A 17673-2021</t>
        </is>
      </c>
      <c r="B44" s="1" t="n">
        <v>44300</v>
      </c>
      <c r="C44" s="1" t="n">
        <v>45927</v>
      </c>
      <c r="D44" t="inlineStr">
        <is>
          <t>STOCKHOLMS LÄN</t>
        </is>
      </c>
      <c r="E44" t="inlineStr">
        <is>
          <t>NORRTÄLJE</t>
        </is>
      </c>
      <c r="G44" t="n">
        <v>9.199999999999999</v>
      </c>
      <c r="H44" t="n">
        <v>3</v>
      </c>
      <c r="I44" t="n">
        <v>0</v>
      </c>
      <c r="J44" t="n">
        <v>2</v>
      </c>
      <c r="K44" t="n">
        <v>0</v>
      </c>
      <c r="L44" t="n">
        <v>0</v>
      </c>
      <c r="M44" t="n">
        <v>0</v>
      </c>
      <c r="N44" t="n">
        <v>0</v>
      </c>
      <c r="O44" t="n">
        <v>2</v>
      </c>
      <c r="P44" t="n">
        <v>0</v>
      </c>
      <c r="Q44" t="n">
        <v>3</v>
      </c>
      <c r="R44" s="2" t="inlineStr">
        <is>
          <t>Grönsångare
Havsörn
Blåsippa</t>
        </is>
      </c>
      <c r="S44">
        <f>HYPERLINK("https://klasma.github.io/Logging_0188/artfynd/A 17673-2021 artfynd.xlsx", "A 17673-2021")</f>
        <v/>
      </c>
      <c r="T44">
        <f>HYPERLINK("https://klasma.github.io/Logging_0188/kartor/A 17673-2021 karta.png", "A 17673-2021")</f>
        <v/>
      </c>
      <c r="V44">
        <f>HYPERLINK("https://klasma.github.io/Logging_0188/klagomål/A 17673-2021 FSC-klagomål.docx", "A 17673-2021")</f>
        <v/>
      </c>
      <c r="W44">
        <f>HYPERLINK("https://klasma.github.io/Logging_0188/klagomålsmail/A 17673-2021 FSC-klagomål mail.docx", "A 17673-2021")</f>
        <v/>
      </c>
      <c r="X44">
        <f>HYPERLINK("https://klasma.github.io/Logging_0188/tillsyn/A 17673-2021 tillsynsbegäran.docx", "A 17673-2021")</f>
        <v/>
      </c>
      <c r="Y44">
        <f>HYPERLINK("https://klasma.github.io/Logging_0188/tillsynsmail/A 17673-2021 tillsynsbegäran mail.docx", "A 17673-2021")</f>
        <v/>
      </c>
      <c r="Z44">
        <f>HYPERLINK("https://klasma.github.io/Logging_0188/fåglar/A 17673-2021 prioriterade fågelarter.docx", "A 17673-2021")</f>
        <v/>
      </c>
    </row>
    <row r="45" ht="15" customHeight="1">
      <c r="A45" t="inlineStr">
        <is>
          <t>A 45113-2022</t>
        </is>
      </c>
      <c r="B45" s="1" t="n">
        <v>44843</v>
      </c>
      <c r="C45" s="1" t="n">
        <v>45927</v>
      </c>
      <c r="D45" t="inlineStr">
        <is>
          <t>STOCKHOLMS LÄN</t>
        </is>
      </c>
      <c r="E45" t="inlineStr">
        <is>
          <t>NORRTÄLJE</t>
        </is>
      </c>
      <c r="G45" t="n">
        <v>1.7</v>
      </c>
      <c r="H45" t="n">
        <v>0</v>
      </c>
      <c r="I45" t="n">
        <v>1</v>
      </c>
      <c r="J45" t="n">
        <v>1</v>
      </c>
      <c r="K45" t="n">
        <v>1</v>
      </c>
      <c r="L45" t="n">
        <v>0</v>
      </c>
      <c r="M45" t="n">
        <v>0</v>
      </c>
      <c r="N45" t="n">
        <v>0</v>
      </c>
      <c r="O45" t="n">
        <v>2</v>
      </c>
      <c r="P45" t="n">
        <v>1</v>
      </c>
      <c r="Q45" t="n">
        <v>3</v>
      </c>
      <c r="R45" s="2" t="inlineStr">
        <is>
          <t>Violett fingersvamp
Kandelabersvamp
Slät lönnlav</t>
        </is>
      </c>
      <c r="S45">
        <f>HYPERLINK("https://klasma.github.io/Logging_0188/artfynd/A 45113-2022 artfynd.xlsx", "A 45113-2022")</f>
        <v/>
      </c>
      <c r="T45">
        <f>HYPERLINK("https://klasma.github.io/Logging_0188/kartor/A 45113-2022 karta.png", "A 45113-2022")</f>
        <v/>
      </c>
      <c r="V45">
        <f>HYPERLINK("https://klasma.github.io/Logging_0188/klagomål/A 45113-2022 FSC-klagomål.docx", "A 45113-2022")</f>
        <v/>
      </c>
      <c r="W45">
        <f>HYPERLINK("https://klasma.github.io/Logging_0188/klagomålsmail/A 45113-2022 FSC-klagomål mail.docx", "A 45113-2022")</f>
        <v/>
      </c>
      <c r="X45">
        <f>HYPERLINK("https://klasma.github.io/Logging_0188/tillsyn/A 45113-2022 tillsynsbegäran.docx", "A 45113-2022")</f>
        <v/>
      </c>
      <c r="Y45">
        <f>HYPERLINK("https://klasma.github.io/Logging_0188/tillsynsmail/A 45113-2022 tillsynsbegäran mail.docx", "A 45113-2022")</f>
        <v/>
      </c>
    </row>
    <row r="46" ht="15" customHeight="1">
      <c r="A46" t="inlineStr">
        <is>
          <t>A 28836-2022</t>
        </is>
      </c>
      <c r="B46" s="1" t="n">
        <v>44749</v>
      </c>
      <c r="C46" s="1" t="n">
        <v>45927</v>
      </c>
      <c r="D46" t="inlineStr">
        <is>
          <t>STOCKHOLMS LÄN</t>
        </is>
      </c>
      <c r="E46" t="inlineStr">
        <is>
          <t>NORRTÄLJE</t>
        </is>
      </c>
      <c r="G46" t="n">
        <v>25</v>
      </c>
      <c r="H46" t="n">
        <v>2</v>
      </c>
      <c r="I46" t="n">
        <v>0</v>
      </c>
      <c r="J46" t="n">
        <v>2</v>
      </c>
      <c r="K46" t="n">
        <v>0</v>
      </c>
      <c r="L46" t="n">
        <v>0</v>
      </c>
      <c r="M46" t="n">
        <v>0</v>
      </c>
      <c r="N46" t="n">
        <v>0</v>
      </c>
      <c r="O46" t="n">
        <v>2</v>
      </c>
      <c r="P46" t="n">
        <v>0</v>
      </c>
      <c r="Q46" t="n">
        <v>3</v>
      </c>
      <c r="R46" s="2" t="inlineStr">
        <is>
          <t>Backklöver
Svartvit flugsnappare
Skogsödla</t>
        </is>
      </c>
      <c r="S46">
        <f>HYPERLINK("https://klasma.github.io/Logging_0188/artfynd/A 28836-2022 artfynd.xlsx", "A 28836-2022")</f>
        <v/>
      </c>
      <c r="T46">
        <f>HYPERLINK("https://klasma.github.io/Logging_0188/kartor/A 28836-2022 karta.png", "A 28836-2022")</f>
        <v/>
      </c>
      <c r="V46">
        <f>HYPERLINK("https://klasma.github.io/Logging_0188/klagomål/A 28836-2022 FSC-klagomål.docx", "A 28836-2022")</f>
        <v/>
      </c>
      <c r="W46">
        <f>HYPERLINK("https://klasma.github.io/Logging_0188/klagomålsmail/A 28836-2022 FSC-klagomål mail.docx", "A 28836-2022")</f>
        <v/>
      </c>
      <c r="X46">
        <f>HYPERLINK("https://klasma.github.io/Logging_0188/tillsyn/A 28836-2022 tillsynsbegäran.docx", "A 28836-2022")</f>
        <v/>
      </c>
      <c r="Y46">
        <f>HYPERLINK("https://klasma.github.io/Logging_0188/tillsynsmail/A 28836-2022 tillsynsbegäran mail.docx", "A 28836-2022")</f>
        <v/>
      </c>
      <c r="Z46">
        <f>HYPERLINK("https://klasma.github.io/Logging_0188/fåglar/A 28836-2022 prioriterade fågelarter.docx", "A 28836-2022")</f>
        <v/>
      </c>
    </row>
    <row r="47" ht="15" customHeight="1">
      <c r="A47" t="inlineStr">
        <is>
          <t>A 53065-2024</t>
        </is>
      </c>
      <c r="B47" s="1" t="n">
        <v>45611.47233796296</v>
      </c>
      <c r="C47" s="1" t="n">
        <v>45927</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14560-2021</t>
        </is>
      </c>
      <c r="B48" s="1" t="n">
        <v>44279</v>
      </c>
      <c r="C48" s="1" t="n">
        <v>45927</v>
      </c>
      <c r="D48" t="inlineStr">
        <is>
          <t>STOCKHOLMS LÄN</t>
        </is>
      </c>
      <c r="E48" t="inlineStr">
        <is>
          <t>NORRTÄLJE</t>
        </is>
      </c>
      <c r="G48" t="n">
        <v>1.8</v>
      </c>
      <c r="H48" t="n">
        <v>0</v>
      </c>
      <c r="I48" t="n">
        <v>2</v>
      </c>
      <c r="J48" t="n">
        <v>1</v>
      </c>
      <c r="K48" t="n">
        <v>0</v>
      </c>
      <c r="L48" t="n">
        <v>0</v>
      </c>
      <c r="M48" t="n">
        <v>0</v>
      </c>
      <c r="N48" t="n">
        <v>0</v>
      </c>
      <c r="O48" t="n">
        <v>1</v>
      </c>
      <c r="P48" t="n">
        <v>0</v>
      </c>
      <c r="Q48" t="n">
        <v>3</v>
      </c>
      <c r="R48" s="2" t="inlineStr">
        <is>
          <t>Vit vedfingersvamp
Stor aspticka
Vedticka</t>
        </is>
      </c>
      <c r="S48">
        <f>HYPERLINK("https://klasma.github.io/Logging_0188/artfynd/A 14560-2021 artfynd.xlsx", "A 14560-2021")</f>
        <v/>
      </c>
      <c r="T48">
        <f>HYPERLINK("https://klasma.github.io/Logging_0188/kartor/A 14560-2021 karta.png", "A 14560-2021")</f>
        <v/>
      </c>
      <c r="V48">
        <f>HYPERLINK("https://klasma.github.io/Logging_0188/klagomål/A 14560-2021 FSC-klagomål.docx", "A 14560-2021")</f>
        <v/>
      </c>
      <c r="W48">
        <f>HYPERLINK("https://klasma.github.io/Logging_0188/klagomålsmail/A 14560-2021 FSC-klagomål mail.docx", "A 14560-2021")</f>
        <v/>
      </c>
      <c r="X48">
        <f>HYPERLINK("https://klasma.github.io/Logging_0188/tillsyn/A 14560-2021 tillsynsbegäran.docx", "A 14560-2021")</f>
        <v/>
      </c>
      <c r="Y48">
        <f>HYPERLINK("https://klasma.github.io/Logging_0188/tillsynsmail/A 14560-2021 tillsynsbegäran mail.docx", "A 14560-2021")</f>
        <v/>
      </c>
    </row>
    <row r="49" ht="15" customHeight="1">
      <c r="A49" t="inlineStr">
        <is>
          <t>A 54110-2024</t>
        </is>
      </c>
      <c r="B49" s="1" t="n">
        <v>45616.54866898148</v>
      </c>
      <c r="C49" s="1" t="n">
        <v>45927</v>
      </c>
      <c r="D49" t="inlineStr">
        <is>
          <t>STOCKHOLMS LÄN</t>
        </is>
      </c>
      <c r="E49" t="inlineStr">
        <is>
          <t>NORRTÄLJE</t>
        </is>
      </c>
      <c r="G49" t="n">
        <v>6.7</v>
      </c>
      <c r="H49" t="n">
        <v>2</v>
      </c>
      <c r="I49" t="n">
        <v>0</v>
      </c>
      <c r="J49" t="n">
        <v>1</v>
      </c>
      <c r="K49" t="n">
        <v>0</v>
      </c>
      <c r="L49" t="n">
        <v>0</v>
      </c>
      <c r="M49" t="n">
        <v>0</v>
      </c>
      <c r="N49" t="n">
        <v>0</v>
      </c>
      <c r="O49" t="n">
        <v>1</v>
      </c>
      <c r="P49" t="n">
        <v>0</v>
      </c>
      <c r="Q49" t="n">
        <v>3</v>
      </c>
      <c r="R49" s="2" t="inlineStr">
        <is>
          <t>Klasefibbla
Nattviol
Gullviva</t>
        </is>
      </c>
      <c r="S49">
        <f>HYPERLINK("https://klasma.github.io/Logging_0188/artfynd/A 54110-2024 artfynd.xlsx", "A 54110-2024")</f>
        <v/>
      </c>
      <c r="T49">
        <f>HYPERLINK("https://klasma.github.io/Logging_0188/kartor/A 54110-2024 karta.png", "A 54110-2024")</f>
        <v/>
      </c>
      <c r="V49">
        <f>HYPERLINK("https://klasma.github.io/Logging_0188/klagomål/A 54110-2024 FSC-klagomål.docx", "A 54110-2024")</f>
        <v/>
      </c>
      <c r="W49">
        <f>HYPERLINK("https://klasma.github.io/Logging_0188/klagomålsmail/A 54110-2024 FSC-klagomål mail.docx", "A 54110-2024")</f>
        <v/>
      </c>
      <c r="X49">
        <f>HYPERLINK("https://klasma.github.io/Logging_0188/tillsyn/A 54110-2024 tillsynsbegäran.docx", "A 54110-2024")</f>
        <v/>
      </c>
      <c r="Y49">
        <f>HYPERLINK("https://klasma.github.io/Logging_0188/tillsynsmail/A 54110-2024 tillsynsbegäran mail.docx", "A 54110-2024")</f>
        <v/>
      </c>
    </row>
    <row r="50" ht="15" customHeight="1">
      <c r="A50" t="inlineStr">
        <is>
          <t>A 29185-2025</t>
        </is>
      </c>
      <c r="B50" s="1" t="n">
        <v>45821</v>
      </c>
      <c r="C50" s="1" t="n">
        <v>45927</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2851-2023</t>
        </is>
      </c>
      <c r="B51" s="1" t="n">
        <v>44945</v>
      </c>
      <c r="C51" s="1" t="n">
        <v>45927</v>
      </c>
      <c r="D51" t="inlineStr">
        <is>
          <t>STOCKHOLMS LÄN</t>
        </is>
      </c>
      <c r="E51" t="inlineStr">
        <is>
          <t>NORRTÄLJE</t>
        </is>
      </c>
      <c r="G51" t="n">
        <v>5.8</v>
      </c>
      <c r="H51" t="n">
        <v>1</v>
      </c>
      <c r="I51" t="n">
        <v>1</v>
      </c>
      <c r="J51" t="n">
        <v>2</v>
      </c>
      <c r="K51" t="n">
        <v>0</v>
      </c>
      <c r="L51" t="n">
        <v>0</v>
      </c>
      <c r="M51" t="n">
        <v>0</v>
      </c>
      <c r="N51" t="n">
        <v>0</v>
      </c>
      <c r="O51" t="n">
        <v>2</v>
      </c>
      <c r="P51" t="n">
        <v>0</v>
      </c>
      <c r="Q51" t="n">
        <v>3</v>
      </c>
      <c r="R51" s="2" t="inlineStr">
        <is>
          <t>Gulsparv
Vedflikmossa
Terpentinmossa</t>
        </is>
      </c>
      <c r="S51">
        <f>HYPERLINK("https://klasma.github.io/Logging_0188/artfynd/A 2851-2023 artfynd.xlsx", "A 2851-2023")</f>
        <v/>
      </c>
      <c r="T51">
        <f>HYPERLINK("https://klasma.github.io/Logging_0188/kartor/A 2851-2023 karta.png", "A 2851-2023")</f>
        <v/>
      </c>
      <c r="V51">
        <f>HYPERLINK("https://klasma.github.io/Logging_0188/klagomål/A 2851-2023 FSC-klagomål.docx", "A 2851-2023")</f>
        <v/>
      </c>
      <c r="W51">
        <f>HYPERLINK("https://klasma.github.io/Logging_0188/klagomålsmail/A 2851-2023 FSC-klagomål mail.docx", "A 2851-2023")</f>
        <v/>
      </c>
      <c r="X51">
        <f>HYPERLINK("https://klasma.github.io/Logging_0188/tillsyn/A 2851-2023 tillsynsbegäran.docx", "A 2851-2023")</f>
        <v/>
      </c>
      <c r="Y51">
        <f>HYPERLINK("https://klasma.github.io/Logging_0188/tillsynsmail/A 2851-2023 tillsynsbegäran mail.docx", "A 2851-2023")</f>
        <v/>
      </c>
      <c r="Z51">
        <f>HYPERLINK("https://klasma.github.io/Logging_0188/fåglar/A 2851-2023 prioriterade fågelarter.docx", "A 2851-2023")</f>
        <v/>
      </c>
    </row>
    <row r="52" ht="15" customHeight="1">
      <c r="A52" t="inlineStr">
        <is>
          <t>A 20185-2022</t>
        </is>
      </c>
      <c r="B52" s="1" t="n">
        <v>44698</v>
      </c>
      <c r="C52" s="1" t="n">
        <v>45927</v>
      </c>
      <c r="D52" t="inlineStr">
        <is>
          <t>STOCKHOLMS LÄN</t>
        </is>
      </c>
      <c r="E52" t="inlineStr">
        <is>
          <t>NORRTÄLJE</t>
        </is>
      </c>
      <c r="G52" t="n">
        <v>8.4</v>
      </c>
      <c r="H52" t="n">
        <v>1</v>
      </c>
      <c r="I52" t="n">
        <v>2</v>
      </c>
      <c r="J52" t="n">
        <v>0</v>
      </c>
      <c r="K52" t="n">
        <v>1</v>
      </c>
      <c r="L52" t="n">
        <v>0</v>
      </c>
      <c r="M52" t="n">
        <v>0</v>
      </c>
      <c r="N52" t="n">
        <v>0</v>
      </c>
      <c r="O52" t="n">
        <v>1</v>
      </c>
      <c r="P52" t="n">
        <v>1</v>
      </c>
      <c r="Q52" t="n">
        <v>3</v>
      </c>
      <c r="R52" s="2" t="inlineStr">
        <is>
          <t>Tallbit
Gullgröppa
Vedticka</t>
        </is>
      </c>
      <c r="S52">
        <f>HYPERLINK("https://klasma.github.io/Logging_0188/artfynd/A 20185-2022 artfynd.xlsx", "A 20185-2022")</f>
        <v/>
      </c>
      <c r="T52">
        <f>HYPERLINK("https://klasma.github.io/Logging_0188/kartor/A 20185-2022 karta.png", "A 20185-2022")</f>
        <v/>
      </c>
      <c r="V52">
        <f>HYPERLINK("https://klasma.github.io/Logging_0188/klagomål/A 20185-2022 FSC-klagomål.docx", "A 20185-2022")</f>
        <v/>
      </c>
      <c r="W52">
        <f>HYPERLINK("https://klasma.github.io/Logging_0188/klagomålsmail/A 20185-2022 FSC-klagomål mail.docx", "A 20185-2022")</f>
        <v/>
      </c>
      <c r="X52">
        <f>HYPERLINK("https://klasma.github.io/Logging_0188/tillsyn/A 20185-2022 tillsynsbegäran.docx", "A 20185-2022")</f>
        <v/>
      </c>
      <c r="Y52">
        <f>HYPERLINK("https://klasma.github.io/Logging_0188/tillsynsmail/A 20185-2022 tillsynsbegäran mail.docx", "A 20185-2022")</f>
        <v/>
      </c>
      <c r="Z52">
        <f>HYPERLINK("https://klasma.github.io/Logging_0188/fåglar/A 20185-2022 prioriterade fågelarter.docx", "A 20185-2022")</f>
        <v/>
      </c>
    </row>
    <row r="53" ht="15" customHeight="1">
      <c r="A53" t="inlineStr">
        <is>
          <t>A 34524-2025</t>
        </is>
      </c>
      <c r="B53" s="1" t="n">
        <v>45847.47685185185</v>
      </c>
      <c r="C53" s="1" t="n">
        <v>45927</v>
      </c>
      <c r="D53" t="inlineStr">
        <is>
          <t>STOCKHOLMS LÄN</t>
        </is>
      </c>
      <c r="E53" t="inlineStr">
        <is>
          <t>NORRTÄLJE</t>
        </is>
      </c>
      <c r="G53" t="n">
        <v>3.3</v>
      </c>
      <c r="H53" t="n">
        <v>0</v>
      </c>
      <c r="I53" t="n">
        <v>1</v>
      </c>
      <c r="J53" t="n">
        <v>2</v>
      </c>
      <c r="K53" t="n">
        <v>0</v>
      </c>
      <c r="L53" t="n">
        <v>0</v>
      </c>
      <c r="M53" t="n">
        <v>0</v>
      </c>
      <c r="N53" t="n">
        <v>0</v>
      </c>
      <c r="O53" t="n">
        <v>2</v>
      </c>
      <c r="P53" t="n">
        <v>0</v>
      </c>
      <c r="Q53" t="n">
        <v>3</v>
      </c>
      <c r="R53" s="2" t="inlineStr">
        <is>
          <t>Tallticka
Vedtrappmossa
Kornknutmossa</t>
        </is>
      </c>
      <c r="S53">
        <f>HYPERLINK("https://klasma.github.io/Logging_0188/artfynd/A 34524-2025 artfynd.xlsx", "A 34524-2025")</f>
        <v/>
      </c>
      <c r="T53">
        <f>HYPERLINK("https://klasma.github.io/Logging_0188/kartor/A 34524-2025 karta.png", "A 34524-2025")</f>
        <v/>
      </c>
      <c r="V53">
        <f>HYPERLINK("https://klasma.github.io/Logging_0188/klagomål/A 34524-2025 FSC-klagomål.docx", "A 34524-2025")</f>
        <v/>
      </c>
      <c r="W53">
        <f>HYPERLINK("https://klasma.github.io/Logging_0188/klagomålsmail/A 34524-2025 FSC-klagomål mail.docx", "A 34524-2025")</f>
        <v/>
      </c>
      <c r="X53">
        <f>HYPERLINK("https://klasma.github.io/Logging_0188/tillsyn/A 34524-2025 tillsynsbegäran.docx", "A 34524-2025")</f>
        <v/>
      </c>
      <c r="Y53">
        <f>HYPERLINK("https://klasma.github.io/Logging_0188/tillsynsmail/A 34524-2025 tillsynsbegäran mail.docx", "A 34524-2025")</f>
        <v/>
      </c>
    </row>
    <row r="54" ht="15" customHeight="1">
      <c r="A54" t="inlineStr">
        <is>
          <t>A 27870-2022</t>
        </is>
      </c>
      <c r="B54" s="1" t="n">
        <v>44743.64592592593</v>
      </c>
      <c r="C54" s="1" t="n">
        <v>45927</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50618-2022</t>
        </is>
      </c>
      <c r="B55" s="1" t="n">
        <v>44866</v>
      </c>
      <c r="C55" s="1" t="n">
        <v>45927</v>
      </c>
      <c r="D55" t="inlineStr">
        <is>
          <t>STOCKHOLMS LÄN</t>
        </is>
      </c>
      <c r="E55" t="inlineStr">
        <is>
          <t>NORRTÄLJE</t>
        </is>
      </c>
      <c r="G55" t="n">
        <v>7.8</v>
      </c>
      <c r="H55" t="n">
        <v>2</v>
      </c>
      <c r="I55" t="n">
        <v>2</v>
      </c>
      <c r="J55" t="n">
        <v>0</v>
      </c>
      <c r="K55" t="n">
        <v>0</v>
      </c>
      <c r="L55" t="n">
        <v>0</v>
      </c>
      <c r="M55" t="n">
        <v>0</v>
      </c>
      <c r="N55" t="n">
        <v>0</v>
      </c>
      <c r="O55" t="n">
        <v>0</v>
      </c>
      <c r="P55" t="n">
        <v>0</v>
      </c>
      <c r="Q55" t="n">
        <v>3</v>
      </c>
      <c r="R55" s="2" t="inlineStr">
        <is>
          <t>Skogsknipprot
Vårärt
Blåsippa</t>
        </is>
      </c>
      <c r="S55">
        <f>HYPERLINK("https://klasma.github.io/Logging_0188/artfynd/A 50618-2022 artfynd.xlsx", "A 50618-2022")</f>
        <v/>
      </c>
      <c r="T55">
        <f>HYPERLINK("https://klasma.github.io/Logging_0188/kartor/A 50618-2022 karta.png", "A 50618-2022")</f>
        <v/>
      </c>
      <c r="V55">
        <f>HYPERLINK("https://klasma.github.io/Logging_0188/klagomål/A 50618-2022 FSC-klagomål.docx", "A 50618-2022")</f>
        <v/>
      </c>
      <c r="W55">
        <f>HYPERLINK("https://klasma.github.io/Logging_0188/klagomålsmail/A 50618-2022 FSC-klagomål mail.docx", "A 50618-2022")</f>
        <v/>
      </c>
      <c r="X55">
        <f>HYPERLINK("https://klasma.github.io/Logging_0188/tillsyn/A 50618-2022 tillsynsbegäran.docx", "A 50618-2022")</f>
        <v/>
      </c>
      <c r="Y55">
        <f>HYPERLINK("https://klasma.github.io/Logging_0188/tillsynsmail/A 50618-2022 tillsynsbegäran mail.docx", "A 50618-2022")</f>
        <v/>
      </c>
    </row>
    <row r="56" ht="15" customHeight="1">
      <c r="A56" t="inlineStr">
        <is>
          <t>A 31803-2021</t>
        </is>
      </c>
      <c r="B56" s="1" t="n">
        <v>44370</v>
      </c>
      <c r="C56" s="1" t="n">
        <v>45927</v>
      </c>
      <c r="D56" t="inlineStr">
        <is>
          <t>STOCKHOLMS LÄN</t>
        </is>
      </c>
      <c r="E56" t="inlineStr">
        <is>
          <t>NORRTÄLJE</t>
        </is>
      </c>
      <c r="G56" t="n">
        <v>4.6</v>
      </c>
      <c r="H56" t="n">
        <v>0</v>
      </c>
      <c r="I56" t="n">
        <v>1</v>
      </c>
      <c r="J56" t="n">
        <v>1</v>
      </c>
      <c r="K56" t="n">
        <v>0</v>
      </c>
      <c r="L56" t="n">
        <v>0</v>
      </c>
      <c r="M56" t="n">
        <v>0</v>
      </c>
      <c r="N56" t="n">
        <v>0</v>
      </c>
      <c r="O56" t="n">
        <v>1</v>
      </c>
      <c r="P56" t="n">
        <v>0</v>
      </c>
      <c r="Q56" t="n">
        <v>2</v>
      </c>
      <c r="R56" s="2" t="inlineStr">
        <is>
          <t>Slåtterfibbla
Vårärt</t>
        </is>
      </c>
      <c r="S56">
        <f>HYPERLINK("https://klasma.github.io/Logging_0188/artfynd/A 31803-2021 artfynd.xlsx", "A 31803-2021")</f>
        <v/>
      </c>
      <c r="T56">
        <f>HYPERLINK("https://klasma.github.io/Logging_0188/kartor/A 31803-2021 karta.png", "A 31803-2021")</f>
        <v/>
      </c>
      <c r="V56">
        <f>HYPERLINK("https://klasma.github.io/Logging_0188/klagomål/A 31803-2021 FSC-klagomål.docx", "A 31803-2021")</f>
        <v/>
      </c>
      <c r="W56">
        <f>HYPERLINK("https://klasma.github.io/Logging_0188/klagomålsmail/A 31803-2021 FSC-klagomål mail.docx", "A 31803-2021")</f>
        <v/>
      </c>
      <c r="X56">
        <f>HYPERLINK("https://klasma.github.io/Logging_0188/tillsyn/A 31803-2021 tillsynsbegäran.docx", "A 31803-2021")</f>
        <v/>
      </c>
      <c r="Y56">
        <f>HYPERLINK("https://klasma.github.io/Logging_0188/tillsynsmail/A 31803-2021 tillsynsbegäran mail.docx", "A 31803-2021")</f>
        <v/>
      </c>
    </row>
    <row r="57" ht="15" customHeight="1">
      <c r="A57" t="inlineStr">
        <is>
          <t>A 58676-2021</t>
        </is>
      </c>
      <c r="B57" s="1" t="n">
        <v>44489</v>
      </c>
      <c r="C57" s="1" t="n">
        <v>45927</v>
      </c>
      <c r="D57" t="inlineStr">
        <is>
          <t>STOCKHOLMS LÄN</t>
        </is>
      </c>
      <c r="E57" t="inlineStr">
        <is>
          <t>NORRTÄLJE</t>
        </is>
      </c>
      <c r="G57" t="n">
        <v>0.6</v>
      </c>
      <c r="H57" t="n">
        <v>2</v>
      </c>
      <c r="I57" t="n">
        <v>0</v>
      </c>
      <c r="J57" t="n">
        <v>0</v>
      </c>
      <c r="K57" t="n">
        <v>0</v>
      </c>
      <c r="L57" t="n">
        <v>0</v>
      </c>
      <c r="M57" t="n">
        <v>0</v>
      </c>
      <c r="N57" t="n">
        <v>0</v>
      </c>
      <c r="O57" t="n">
        <v>0</v>
      </c>
      <c r="P57" t="n">
        <v>0</v>
      </c>
      <c r="Q57" t="n">
        <v>2</v>
      </c>
      <c r="R57" s="2" t="inlineStr">
        <is>
          <t>Nattviol
Blåsippa</t>
        </is>
      </c>
      <c r="S57">
        <f>HYPERLINK("https://klasma.github.io/Logging_0188/artfynd/A 58676-2021 artfynd.xlsx", "A 58676-2021")</f>
        <v/>
      </c>
      <c r="T57">
        <f>HYPERLINK("https://klasma.github.io/Logging_0188/kartor/A 58676-2021 karta.png", "A 58676-2021")</f>
        <v/>
      </c>
      <c r="V57">
        <f>HYPERLINK("https://klasma.github.io/Logging_0188/klagomål/A 58676-2021 FSC-klagomål.docx", "A 58676-2021")</f>
        <v/>
      </c>
      <c r="W57">
        <f>HYPERLINK("https://klasma.github.io/Logging_0188/klagomålsmail/A 58676-2021 FSC-klagomål mail.docx", "A 58676-2021")</f>
        <v/>
      </c>
      <c r="X57">
        <f>HYPERLINK("https://klasma.github.io/Logging_0188/tillsyn/A 58676-2021 tillsynsbegäran.docx", "A 58676-2021")</f>
        <v/>
      </c>
      <c r="Y57">
        <f>HYPERLINK("https://klasma.github.io/Logging_0188/tillsynsmail/A 58676-2021 tillsynsbegäran mail.docx", "A 58676-2021")</f>
        <v/>
      </c>
    </row>
    <row r="58" ht="15" customHeight="1">
      <c r="A58" t="inlineStr">
        <is>
          <t>A 51220-2023</t>
        </is>
      </c>
      <c r="B58" s="1" t="n">
        <v>45219</v>
      </c>
      <c r="C58" s="1" t="n">
        <v>45927</v>
      </c>
      <c r="D58" t="inlineStr">
        <is>
          <t>STOCKHOLMS LÄN</t>
        </is>
      </c>
      <c r="E58" t="inlineStr">
        <is>
          <t>NORRTÄLJE</t>
        </is>
      </c>
      <c r="G58" t="n">
        <v>7.7</v>
      </c>
      <c r="H58" t="n">
        <v>1</v>
      </c>
      <c r="I58" t="n">
        <v>0</v>
      </c>
      <c r="J58" t="n">
        <v>1</v>
      </c>
      <c r="K58" t="n">
        <v>0</v>
      </c>
      <c r="L58" t="n">
        <v>0</v>
      </c>
      <c r="M58" t="n">
        <v>0</v>
      </c>
      <c r="N58" t="n">
        <v>0</v>
      </c>
      <c r="O58" t="n">
        <v>1</v>
      </c>
      <c r="P58" t="n">
        <v>0</v>
      </c>
      <c r="Q58" t="n">
        <v>2</v>
      </c>
      <c r="R58" s="2" t="inlineStr">
        <is>
          <t>Ullticka
Blåsippa</t>
        </is>
      </c>
      <c r="S58">
        <f>HYPERLINK("https://klasma.github.io/Logging_0188/artfynd/A 51220-2023 artfynd.xlsx", "A 51220-2023")</f>
        <v/>
      </c>
      <c r="T58">
        <f>HYPERLINK("https://klasma.github.io/Logging_0188/kartor/A 51220-2023 karta.png", "A 51220-2023")</f>
        <v/>
      </c>
      <c r="V58">
        <f>HYPERLINK("https://klasma.github.io/Logging_0188/klagomål/A 51220-2023 FSC-klagomål.docx", "A 51220-2023")</f>
        <v/>
      </c>
      <c r="W58">
        <f>HYPERLINK("https://klasma.github.io/Logging_0188/klagomålsmail/A 51220-2023 FSC-klagomål mail.docx", "A 51220-2023")</f>
        <v/>
      </c>
      <c r="X58">
        <f>HYPERLINK("https://klasma.github.io/Logging_0188/tillsyn/A 51220-2023 tillsynsbegäran.docx", "A 51220-2023")</f>
        <v/>
      </c>
      <c r="Y58">
        <f>HYPERLINK("https://klasma.github.io/Logging_0188/tillsynsmail/A 51220-2023 tillsynsbegäran mail.docx", "A 51220-2023")</f>
        <v/>
      </c>
    </row>
    <row r="59" ht="15" customHeight="1">
      <c r="A59" t="inlineStr">
        <is>
          <t>A 52124-2022</t>
        </is>
      </c>
      <c r="B59" s="1" t="n">
        <v>44868</v>
      </c>
      <c r="C59" s="1" t="n">
        <v>45927</v>
      </c>
      <c r="D59" t="inlineStr">
        <is>
          <t>STOCKHOLMS LÄN</t>
        </is>
      </c>
      <c r="E59" t="inlineStr">
        <is>
          <t>NORRTÄLJE</t>
        </is>
      </c>
      <c r="G59" t="n">
        <v>4.8</v>
      </c>
      <c r="H59" t="n">
        <v>1</v>
      </c>
      <c r="I59" t="n">
        <v>0</v>
      </c>
      <c r="J59" t="n">
        <v>1</v>
      </c>
      <c r="K59" t="n">
        <v>0</v>
      </c>
      <c r="L59" t="n">
        <v>0</v>
      </c>
      <c r="M59" t="n">
        <v>0</v>
      </c>
      <c r="N59" t="n">
        <v>0</v>
      </c>
      <c r="O59" t="n">
        <v>1</v>
      </c>
      <c r="P59" t="n">
        <v>0</v>
      </c>
      <c r="Q59" t="n">
        <v>2</v>
      </c>
      <c r="R59" s="2" t="inlineStr">
        <is>
          <t>Kandelabersvamp
Blåsippa</t>
        </is>
      </c>
      <c r="S59">
        <f>HYPERLINK("https://klasma.github.io/Logging_0188/artfynd/A 52124-2022 artfynd.xlsx", "A 52124-2022")</f>
        <v/>
      </c>
      <c r="T59">
        <f>HYPERLINK("https://klasma.github.io/Logging_0188/kartor/A 52124-2022 karta.png", "A 52124-2022")</f>
        <v/>
      </c>
      <c r="V59">
        <f>HYPERLINK("https://klasma.github.io/Logging_0188/klagomål/A 52124-2022 FSC-klagomål.docx", "A 52124-2022")</f>
        <v/>
      </c>
      <c r="W59">
        <f>HYPERLINK("https://klasma.github.io/Logging_0188/klagomålsmail/A 52124-2022 FSC-klagomål mail.docx", "A 52124-2022")</f>
        <v/>
      </c>
      <c r="X59">
        <f>HYPERLINK("https://klasma.github.io/Logging_0188/tillsyn/A 52124-2022 tillsynsbegäran.docx", "A 52124-2022")</f>
        <v/>
      </c>
      <c r="Y59">
        <f>HYPERLINK("https://klasma.github.io/Logging_0188/tillsynsmail/A 52124-2022 tillsynsbegäran mail.docx", "A 52124-2022")</f>
        <v/>
      </c>
    </row>
    <row r="60" ht="15" customHeight="1">
      <c r="A60" t="inlineStr">
        <is>
          <t>A 52825-2023</t>
        </is>
      </c>
      <c r="B60" s="1" t="n">
        <v>45226</v>
      </c>
      <c r="C60" s="1" t="n">
        <v>45927</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30693-2022</t>
        </is>
      </c>
      <c r="B61" s="1" t="n">
        <v>44763</v>
      </c>
      <c r="C61" s="1" t="n">
        <v>45927</v>
      </c>
      <c r="D61" t="inlineStr">
        <is>
          <t>STOCKHOLMS LÄN</t>
        </is>
      </c>
      <c r="E61" t="inlineStr">
        <is>
          <t>NORRTÄLJE</t>
        </is>
      </c>
      <c r="F61" t="inlineStr">
        <is>
          <t>Sveaskog</t>
        </is>
      </c>
      <c r="G61" t="n">
        <v>3.4</v>
      </c>
      <c r="H61" t="n">
        <v>2</v>
      </c>
      <c r="I61" t="n">
        <v>0</v>
      </c>
      <c r="J61" t="n">
        <v>1</v>
      </c>
      <c r="K61" t="n">
        <v>0</v>
      </c>
      <c r="L61" t="n">
        <v>0</v>
      </c>
      <c r="M61" t="n">
        <v>0</v>
      </c>
      <c r="N61" t="n">
        <v>0</v>
      </c>
      <c r="O61" t="n">
        <v>1</v>
      </c>
      <c r="P61" t="n">
        <v>0</v>
      </c>
      <c r="Q61" t="n">
        <v>2</v>
      </c>
      <c r="R61" s="2" t="inlineStr">
        <is>
          <t>Gulsparv
Gullviva</t>
        </is>
      </c>
      <c r="S61">
        <f>HYPERLINK("https://klasma.github.io/Logging_0188/artfynd/A 30693-2022 artfynd.xlsx", "A 30693-2022")</f>
        <v/>
      </c>
      <c r="T61">
        <f>HYPERLINK("https://klasma.github.io/Logging_0188/kartor/A 30693-2022 karta.png", "A 30693-2022")</f>
        <v/>
      </c>
      <c r="V61">
        <f>HYPERLINK("https://klasma.github.io/Logging_0188/klagomål/A 30693-2022 FSC-klagomål.docx", "A 30693-2022")</f>
        <v/>
      </c>
      <c r="W61">
        <f>HYPERLINK("https://klasma.github.io/Logging_0188/klagomålsmail/A 30693-2022 FSC-klagomål mail.docx", "A 30693-2022")</f>
        <v/>
      </c>
      <c r="X61">
        <f>HYPERLINK("https://klasma.github.io/Logging_0188/tillsyn/A 30693-2022 tillsynsbegäran.docx", "A 30693-2022")</f>
        <v/>
      </c>
      <c r="Y61">
        <f>HYPERLINK("https://klasma.github.io/Logging_0188/tillsynsmail/A 30693-2022 tillsynsbegäran mail.docx", "A 30693-2022")</f>
        <v/>
      </c>
      <c r="Z61">
        <f>HYPERLINK("https://klasma.github.io/Logging_0188/fåglar/A 30693-2022 prioriterade fågelarter.docx", "A 30693-2022")</f>
        <v/>
      </c>
    </row>
    <row r="62" ht="15" customHeight="1">
      <c r="A62" t="inlineStr">
        <is>
          <t>A 16260-2022</t>
        </is>
      </c>
      <c r="B62" s="1" t="n">
        <v>44670</v>
      </c>
      <c r="C62" s="1" t="n">
        <v>45927</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52360-2024</t>
        </is>
      </c>
      <c r="B63" s="1" t="n">
        <v>45609.37094907407</v>
      </c>
      <c r="C63" s="1" t="n">
        <v>45927</v>
      </c>
      <c r="D63" t="inlineStr">
        <is>
          <t>STOCKHOLMS LÄN</t>
        </is>
      </c>
      <c r="E63" t="inlineStr">
        <is>
          <t>NORRTÄLJE</t>
        </is>
      </c>
      <c r="G63" t="n">
        <v>2.2</v>
      </c>
      <c r="H63" t="n">
        <v>1</v>
      </c>
      <c r="I63" t="n">
        <v>1</v>
      </c>
      <c r="J63" t="n">
        <v>0</v>
      </c>
      <c r="K63" t="n">
        <v>0</v>
      </c>
      <c r="L63" t="n">
        <v>0</v>
      </c>
      <c r="M63" t="n">
        <v>0</v>
      </c>
      <c r="N63" t="n">
        <v>0</v>
      </c>
      <c r="O63" t="n">
        <v>0</v>
      </c>
      <c r="P63" t="n">
        <v>0</v>
      </c>
      <c r="Q63" t="n">
        <v>2</v>
      </c>
      <c r="R63" s="2" t="inlineStr">
        <is>
          <t>Brandticka
Blåsippa</t>
        </is>
      </c>
      <c r="S63">
        <f>HYPERLINK("https://klasma.github.io/Logging_0188/artfynd/A 52360-2024 artfynd.xlsx", "A 52360-2024")</f>
        <v/>
      </c>
      <c r="T63">
        <f>HYPERLINK("https://klasma.github.io/Logging_0188/kartor/A 52360-2024 karta.png", "A 52360-2024")</f>
        <v/>
      </c>
      <c r="V63">
        <f>HYPERLINK("https://klasma.github.io/Logging_0188/klagomål/A 52360-2024 FSC-klagomål.docx", "A 52360-2024")</f>
        <v/>
      </c>
      <c r="W63">
        <f>HYPERLINK("https://klasma.github.io/Logging_0188/klagomålsmail/A 52360-2024 FSC-klagomål mail.docx", "A 52360-2024")</f>
        <v/>
      </c>
      <c r="X63">
        <f>HYPERLINK("https://klasma.github.io/Logging_0188/tillsyn/A 52360-2024 tillsynsbegäran.docx", "A 52360-2024")</f>
        <v/>
      </c>
      <c r="Y63">
        <f>HYPERLINK("https://klasma.github.io/Logging_0188/tillsynsmail/A 52360-2024 tillsynsbegäran mail.docx", "A 52360-2024")</f>
        <v/>
      </c>
    </row>
    <row r="64" ht="15" customHeight="1">
      <c r="A64" t="inlineStr">
        <is>
          <t>A 11031-2025</t>
        </is>
      </c>
      <c r="B64" s="1" t="n">
        <v>45723</v>
      </c>
      <c r="C64" s="1" t="n">
        <v>45927</v>
      </c>
      <c r="D64" t="inlineStr">
        <is>
          <t>STOCKHOLMS LÄN</t>
        </is>
      </c>
      <c r="E64" t="inlineStr">
        <is>
          <t>NORRTÄLJE</t>
        </is>
      </c>
      <c r="F64" t="inlineStr">
        <is>
          <t>Övriga Aktiebolag</t>
        </is>
      </c>
      <c r="G64" t="n">
        <v>13.2</v>
      </c>
      <c r="H64" t="n">
        <v>1</v>
      </c>
      <c r="I64" t="n">
        <v>0</v>
      </c>
      <c r="J64" t="n">
        <v>2</v>
      </c>
      <c r="K64" t="n">
        <v>0</v>
      </c>
      <c r="L64" t="n">
        <v>0</v>
      </c>
      <c r="M64" t="n">
        <v>0</v>
      </c>
      <c r="N64" t="n">
        <v>0</v>
      </c>
      <c r="O64" t="n">
        <v>2</v>
      </c>
      <c r="P64" t="n">
        <v>0</v>
      </c>
      <c r="Q64" t="n">
        <v>2</v>
      </c>
      <c r="R64" s="2" t="inlineStr">
        <is>
          <t>Järpe
Ullticka</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20012-2025</t>
        </is>
      </c>
      <c r="B65" s="1" t="n">
        <v>45772.30234953704</v>
      </c>
      <c r="C65" s="1" t="n">
        <v>45927</v>
      </c>
      <c r="D65" t="inlineStr">
        <is>
          <t>STOCKHOLMS LÄN</t>
        </is>
      </c>
      <c r="E65" t="inlineStr">
        <is>
          <t>NORRTÄLJE</t>
        </is>
      </c>
      <c r="G65" t="n">
        <v>3.8</v>
      </c>
      <c r="H65" t="n">
        <v>0</v>
      </c>
      <c r="I65" t="n">
        <v>2</v>
      </c>
      <c r="J65" t="n">
        <v>0</v>
      </c>
      <c r="K65" t="n">
        <v>0</v>
      </c>
      <c r="L65" t="n">
        <v>0</v>
      </c>
      <c r="M65" t="n">
        <v>0</v>
      </c>
      <c r="N65" t="n">
        <v>0</v>
      </c>
      <c r="O65" t="n">
        <v>0</v>
      </c>
      <c r="P65" t="n">
        <v>0</v>
      </c>
      <c r="Q65" t="n">
        <v>2</v>
      </c>
      <c r="R65" s="2" t="inlineStr">
        <is>
          <t>Barkticka
Stor aspticka</t>
        </is>
      </c>
      <c r="S65">
        <f>HYPERLINK("https://klasma.github.io/Logging_0188/artfynd/A 20012-2025 artfynd.xlsx", "A 20012-2025")</f>
        <v/>
      </c>
      <c r="T65">
        <f>HYPERLINK("https://klasma.github.io/Logging_0188/kartor/A 20012-2025 karta.png", "A 20012-2025")</f>
        <v/>
      </c>
      <c r="V65">
        <f>HYPERLINK("https://klasma.github.io/Logging_0188/klagomål/A 20012-2025 FSC-klagomål.docx", "A 20012-2025")</f>
        <v/>
      </c>
      <c r="W65">
        <f>HYPERLINK("https://klasma.github.io/Logging_0188/klagomålsmail/A 20012-2025 FSC-klagomål mail.docx", "A 20012-2025")</f>
        <v/>
      </c>
      <c r="X65">
        <f>HYPERLINK("https://klasma.github.io/Logging_0188/tillsyn/A 20012-2025 tillsynsbegäran.docx", "A 20012-2025")</f>
        <v/>
      </c>
      <c r="Y65">
        <f>HYPERLINK("https://klasma.github.io/Logging_0188/tillsynsmail/A 20012-2025 tillsynsbegäran mail.docx", "A 20012-2025")</f>
        <v/>
      </c>
    </row>
    <row r="66" ht="15" customHeight="1">
      <c r="A66" t="inlineStr">
        <is>
          <t>A 22190-2024</t>
        </is>
      </c>
      <c r="B66" s="1" t="n">
        <v>45446.35888888889</v>
      </c>
      <c r="C66" s="1" t="n">
        <v>45927</v>
      </c>
      <c r="D66" t="inlineStr">
        <is>
          <t>STOCKHOLMS LÄN</t>
        </is>
      </c>
      <c r="E66" t="inlineStr">
        <is>
          <t>NORRTÄLJE</t>
        </is>
      </c>
      <c r="G66" t="n">
        <v>2.8</v>
      </c>
      <c r="H66" t="n">
        <v>2</v>
      </c>
      <c r="I66" t="n">
        <v>1</v>
      </c>
      <c r="J66" t="n">
        <v>0</v>
      </c>
      <c r="K66" t="n">
        <v>0</v>
      </c>
      <c r="L66" t="n">
        <v>0</v>
      </c>
      <c r="M66" t="n">
        <v>0</v>
      </c>
      <c r="N66" t="n">
        <v>0</v>
      </c>
      <c r="O66" t="n">
        <v>0</v>
      </c>
      <c r="P66" t="n">
        <v>0</v>
      </c>
      <c r="Q66" t="n">
        <v>2</v>
      </c>
      <c r="R66" s="2" t="inlineStr">
        <is>
          <t>Skogsknipprot
Vanlig groda</t>
        </is>
      </c>
      <c r="S66">
        <f>HYPERLINK("https://klasma.github.io/Logging_0188/artfynd/A 22190-2024 artfynd.xlsx", "A 22190-2024")</f>
        <v/>
      </c>
      <c r="T66">
        <f>HYPERLINK("https://klasma.github.io/Logging_0188/kartor/A 22190-2024 karta.png", "A 22190-2024")</f>
        <v/>
      </c>
      <c r="V66">
        <f>HYPERLINK("https://klasma.github.io/Logging_0188/klagomål/A 22190-2024 FSC-klagomål.docx", "A 22190-2024")</f>
        <v/>
      </c>
      <c r="W66">
        <f>HYPERLINK("https://klasma.github.io/Logging_0188/klagomålsmail/A 22190-2024 FSC-klagomål mail.docx", "A 22190-2024")</f>
        <v/>
      </c>
      <c r="X66">
        <f>HYPERLINK("https://klasma.github.io/Logging_0188/tillsyn/A 22190-2024 tillsynsbegäran.docx", "A 22190-2024")</f>
        <v/>
      </c>
      <c r="Y66">
        <f>HYPERLINK("https://klasma.github.io/Logging_0188/tillsynsmail/A 22190-2024 tillsynsbegäran mail.docx", "A 22190-2024")</f>
        <v/>
      </c>
    </row>
    <row r="67" ht="15" customHeight="1">
      <c r="A67" t="inlineStr">
        <is>
          <t>A 51980-2022</t>
        </is>
      </c>
      <c r="B67" s="1" t="n">
        <v>44872</v>
      </c>
      <c r="C67" s="1" t="n">
        <v>45927</v>
      </c>
      <c r="D67" t="inlineStr">
        <is>
          <t>STOCKHOLMS LÄN</t>
        </is>
      </c>
      <c r="E67" t="inlineStr">
        <is>
          <t>NORRTÄLJE</t>
        </is>
      </c>
      <c r="G67" t="n">
        <v>7.9</v>
      </c>
      <c r="H67" t="n">
        <v>1</v>
      </c>
      <c r="I67" t="n">
        <v>2</v>
      </c>
      <c r="J67" t="n">
        <v>0</v>
      </c>
      <c r="K67" t="n">
        <v>0</v>
      </c>
      <c r="L67" t="n">
        <v>0</v>
      </c>
      <c r="M67" t="n">
        <v>0</v>
      </c>
      <c r="N67" t="n">
        <v>0</v>
      </c>
      <c r="O67" t="n">
        <v>0</v>
      </c>
      <c r="P67" t="n">
        <v>0</v>
      </c>
      <c r="Q67" t="n">
        <v>2</v>
      </c>
      <c r="R67" s="2" t="inlineStr">
        <is>
          <t>Rödgul trumpetsvamp
Skogsknipprot</t>
        </is>
      </c>
      <c r="S67">
        <f>HYPERLINK("https://klasma.github.io/Logging_0188/artfynd/A 51980-2022 artfynd.xlsx", "A 51980-2022")</f>
        <v/>
      </c>
      <c r="T67">
        <f>HYPERLINK("https://klasma.github.io/Logging_0188/kartor/A 51980-2022 karta.png", "A 51980-2022")</f>
        <v/>
      </c>
      <c r="V67">
        <f>HYPERLINK("https://klasma.github.io/Logging_0188/klagomål/A 51980-2022 FSC-klagomål.docx", "A 51980-2022")</f>
        <v/>
      </c>
      <c r="W67">
        <f>HYPERLINK("https://klasma.github.io/Logging_0188/klagomålsmail/A 51980-2022 FSC-klagomål mail.docx", "A 51980-2022")</f>
        <v/>
      </c>
      <c r="X67">
        <f>HYPERLINK("https://klasma.github.io/Logging_0188/tillsyn/A 51980-2022 tillsynsbegäran.docx", "A 51980-2022")</f>
        <v/>
      </c>
      <c r="Y67">
        <f>HYPERLINK("https://klasma.github.io/Logging_0188/tillsynsmail/A 51980-2022 tillsynsbegäran mail.docx", "A 51980-2022")</f>
        <v/>
      </c>
    </row>
    <row r="68" ht="15" customHeight="1">
      <c r="A68" t="inlineStr">
        <is>
          <t>A 25731-2025</t>
        </is>
      </c>
      <c r="B68" s="1" t="n">
        <v>45800</v>
      </c>
      <c r="C68" s="1" t="n">
        <v>45927</v>
      </c>
      <c r="D68" t="inlineStr">
        <is>
          <t>STOCKHOLMS LÄN</t>
        </is>
      </c>
      <c r="E68" t="inlineStr">
        <is>
          <t>NORRTÄLJE</t>
        </is>
      </c>
      <c r="G68" t="n">
        <v>11.9</v>
      </c>
      <c r="H68" t="n">
        <v>2</v>
      </c>
      <c r="I68" t="n">
        <v>0</v>
      </c>
      <c r="J68" t="n">
        <v>0</v>
      </c>
      <c r="K68" t="n">
        <v>1</v>
      </c>
      <c r="L68" t="n">
        <v>0</v>
      </c>
      <c r="M68" t="n">
        <v>0</v>
      </c>
      <c r="N68" t="n">
        <v>0</v>
      </c>
      <c r="O68" t="n">
        <v>1</v>
      </c>
      <c r="P68" t="n">
        <v>1</v>
      </c>
      <c r="Q68" t="n">
        <v>2</v>
      </c>
      <c r="R68" s="2" t="inlineStr">
        <is>
          <t>Knärot
Tjäder</t>
        </is>
      </c>
      <c r="S68">
        <f>HYPERLINK("https://klasma.github.io/Logging_0188/artfynd/A 25731-2025 artfynd.xlsx", "A 25731-2025")</f>
        <v/>
      </c>
      <c r="T68">
        <f>HYPERLINK("https://klasma.github.io/Logging_0188/kartor/A 25731-2025 karta.png", "A 25731-2025")</f>
        <v/>
      </c>
      <c r="U68">
        <f>HYPERLINK("https://klasma.github.io/Logging_0188/knärot/A 25731-2025 karta knärot.png", "A 25731-2025")</f>
        <v/>
      </c>
      <c r="V68">
        <f>HYPERLINK("https://klasma.github.io/Logging_0188/klagomål/A 25731-2025 FSC-klagomål.docx", "A 25731-2025")</f>
        <v/>
      </c>
      <c r="W68">
        <f>HYPERLINK("https://klasma.github.io/Logging_0188/klagomålsmail/A 25731-2025 FSC-klagomål mail.docx", "A 25731-2025")</f>
        <v/>
      </c>
      <c r="X68">
        <f>HYPERLINK("https://klasma.github.io/Logging_0188/tillsyn/A 25731-2025 tillsynsbegäran.docx", "A 25731-2025")</f>
        <v/>
      </c>
      <c r="Y68">
        <f>HYPERLINK("https://klasma.github.io/Logging_0188/tillsynsmail/A 25731-2025 tillsynsbegäran mail.docx", "A 25731-2025")</f>
        <v/>
      </c>
      <c r="Z68">
        <f>HYPERLINK("https://klasma.github.io/Logging_0188/fåglar/A 25731-2025 prioriterade fågelarter.docx", "A 25731-2025")</f>
        <v/>
      </c>
    </row>
    <row r="69" ht="15" customHeight="1">
      <c r="A69" t="inlineStr">
        <is>
          <t>A 1547-2022</t>
        </is>
      </c>
      <c r="B69" s="1" t="n">
        <v>44573</v>
      </c>
      <c r="C69" s="1" t="n">
        <v>45927</v>
      </c>
      <c r="D69" t="inlineStr">
        <is>
          <t>STOCKHOLMS LÄN</t>
        </is>
      </c>
      <c r="E69" t="inlineStr">
        <is>
          <t>NORRTÄLJE</t>
        </is>
      </c>
      <c r="G69" t="n">
        <v>1.8</v>
      </c>
      <c r="H69" t="n">
        <v>1</v>
      </c>
      <c r="I69" t="n">
        <v>0</v>
      </c>
      <c r="J69" t="n">
        <v>0</v>
      </c>
      <c r="K69" t="n">
        <v>1</v>
      </c>
      <c r="L69" t="n">
        <v>0</v>
      </c>
      <c r="M69" t="n">
        <v>0</v>
      </c>
      <c r="N69" t="n">
        <v>0</v>
      </c>
      <c r="O69" t="n">
        <v>1</v>
      </c>
      <c r="P69" t="n">
        <v>1</v>
      </c>
      <c r="Q69" t="n">
        <v>1</v>
      </c>
      <c r="R69" s="2" t="inlineStr">
        <is>
          <t>Hällebräcka</t>
        </is>
      </c>
      <c r="S69">
        <f>HYPERLINK("https://klasma.github.io/Logging_0188/artfynd/A 1547-2022 artfynd.xlsx", "A 1547-2022")</f>
        <v/>
      </c>
      <c r="T69">
        <f>HYPERLINK("https://klasma.github.io/Logging_0188/kartor/A 1547-2022 karta.png", "A 1547-2022")</f>
        <v/>
      </c>
      <c r="V69">
        <f>HYPERLINK("https://klasma.github.io/Logging_0188/klagomål/A 1547-2022 FSC-klagomål.docx", "A 1547-2022")</f>
        <v/>
      </c>
      <c r="W69">
        <f>HYPERLINK("https://klasma.github.io/Logging_0188/klagomålsmail/A 1547-2022 FSC-klagomål mail.docx", "A 1547-2022")</f>
        <v/>
      </c>
      <c r="X69">
        <f>HYPERLINK("https://klasma.github.io/Logging_0188/tillsyn/A 1547-2022 tillsynsbegäran.docx", "A 1547-2022")</f>
        <v/>
      </c>
      <c r="Y69">
        <f>HYPERLINK("https://klasma.github.io/Logging_0188/tillsynsmail/A 1547-2022 tillsynsbegäran mail.docx", "A 1547-2022")</f>
        <v/>
      </c>
    </row>
    <row r="70" ht="15" customHeight="1">
      <c r="A70" t="inlineStr">
        <is>
          <t>A 48288-2020</t>
        </is>
      </c>
      <c r="B70" s="1" t="n">
        <v>44102</v>
      </c>
      <c r="C70" s="1" t="n">
        <v>45927</v>
      </c>
      <c r="D70" t="inlineStr">
        <is>
          <t>STOCKHOLMS LÄN</t>
        </is>
      </c>
      <c r="E70" t="inlineStr">
        <is>
          <t>NORRTÄLJE</t>
        </is>
      </c>
      <c r="F70" t="inlineStr">
        <is>
          <t>Holmen skog AB</t>
        </is>
      </c>
      <c r="G70" t="n">
        <v>2.9</v>
      </c>
      <c r="H70" t="n">
        <v>1</v>
      </c>
      <c r="I70" t="n">
        <v>0</v>
      </c>
      <c r="J70" t="n">
        <v>0</v>
      </c>
      <c r="K70" t="n">
        <v>0</v>
      </c>
      <c r="L70" t="n">
        <v>1</v>
      </c>
      <c r="M70" t="n">
        <v>0</v>
      </c>
      <c r="N70" t="n">
        <v>0</v>
      </c>
      <c r="O70" t="n">
        <v>1</v>
      </c>
      <c r="P70" t="n">
        <v>1</v>
      </c>
      <c r="Q70" t="n">
        <v>1</v>
      </c>
      <c r="R70" s="2" t="inlineStr">
        <is>
          <t>Asknätfjäril</t>
        </is>
      </c>
      <c r="S70">
        <f>HYPERLINK("https://klasma.github.io/Logging_0188/artfynd/A 48288-2020 artfynd.xlsx", "A 48288-2020")</f>
        <v/>
      </c>
      <c r="T70">
        <f>HYPERLINK("https://klasma.github.io/Logging_0188/kartor/A 48288-2020 karta.png", "A 48288-2020")</f>
        <v/>
      </c>
      <c r="V70">
        <f>HYPERLINK("https://klasma.github.io/Logging_0188/klagomål/A 48288-2020 FSC-klagomål.docx", "A 48288-2020")</f>
        <v/>
      </c>
      <c r="W70">
        <f>HYPERLINK("https://klasma.github.io/Logging_0188/klagomålsmail/A 48288-2020 FSC-klagomål mail.docx", "A 48288-2020")</f>
        <v/>
      </c>
      <c r="X70">
        <f>HYPERLINK("https://klasma.github.io/Logging_0188/tillsyn/A 48288-2020 tillsynsbegäran.docx", "A 48288-2020")</f>
        <v/>
      </c>
      <c r="Y70">
        <f>HYPERLINK("https://klasma.github.io/Logging_0188/tillsynsmail/A 48288-2020 tillsynsbegäran mail.docx", "A 48288-2020")</f>
        <v/>
      </c>
    </row>
    <row r="71" ht="15" customHeight="1">
      <c r="A71" t="inlineStr">
        <is>
          <t>A 188-2022</t>
        </is>
      </c>
      <c r="B71" s="1" t="n">
        <v>44564.66387731482</v>
      </c>
      <c r="C71" s="1" t="n">
        <v>45927</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45927</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45927</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45927</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45927</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58888-2021</t>
        </is>
      </c>
      <c r="B76" s="1" t="n">
        <v>44489</v>
      </c>
      <c r="C76" s="1" t="n">
        <v>45927</v>
      </c>
      <c r="D76" t="inlineStr">
        <is>
          <t>STOCKHOLMS LÄN</t>
        </is>
      </c>
      <c r="E76" t="inlineStr">
        <is>
          <t>NORRTÄLJE</t>
        </is>
      </c>
      <c r="F76" t="inlineStr">
        <is>
          <t>Holmen skog AB</t>
        </is>
      </c>
      <c r="G76" t="n">
        <v>2.5</v>
      </c>
      <c r="H76" t="n">
        <v>1</v>
      </c>
      <c r="I76" t="n">
        <v>0</v>
      </c>
      <c r="J76" t="n">
        <v>0</v>
      </c>
      <c r="K76" t="n">
        <v>0</v>
      </c>
      <c r="L76" t="n">
        <v>1</v>
      </c>
      <c r="M76" t="n">
        <v>0</v>
      </c>
      <c r="N76" t="n">
        <v>0</v>
      </c>
      <c r="O76" t="n">
        <v>1</v>
      </c>
      <c r="P76" t="n">
        <v>1</v>
      </c>
      <c r="Q76" t="n">
        <v>1</v>
      </c>
      <c r="R76" s="2" t="inlineStr">
        <is>
          <t>Asknätfjäril</t>
        </is>
      </c>
      <c r="S76">
        <f>HYPERLINK("https://klasma.github.io/Logging_0188/artfynd/A 58888-2021 artfynd.xlsx", "A 58888-2021")</f>
        <v/>
      </c>
      <c r="T76">
        <f>HYPERLINK("https://klasma.github.io/Logging_0188/kartor/A 58888-2021 karta.png", "A 58888-2021")</f>
        <v/>
      </c>
      <c r="V76">
        <f>HYPERLINK("https://klasma.github.io/Logging_0188/klagomål/A 58888-2021 FSC-klagomål.docx", "A 58888-2021")</f>
        <v/>
      </c>
      <c r="W76">
        <f>HYPERLINK("https://klasma.github.io/Logging_0188/klagomålsmail/A 58888-2021 FSC-klagomål mail.docx", "A 58888-2021")</f>
        <v/>
      </c>
      <c r="X76">
        <f>HYPERLINK("https://klasma.github.io/Logging_0188/tillsyn/A 58888-2021 tillsynsbegäran.docx", "A 58888-2021")</f>
        <v/>
      </c>
      <c r="Y76">
        <f>HYPERLINK("https://klasma.github.io/Logging_0188/tillsynsmail/A 58888-2021 tillsynsbegäran mail.docx", "A 58888-2021")</f>
        <v/>
      </c>
    </row>
    <row r="77" ht="15" customHeight="1">
      <c r="A77" t="inlineStr">
        <is>
          <t>A 11429-2023</t>
        </is>
      </c>
      <c r="B77" s="1" t="n">
        <v>44993</v>
      </c>
      <c r="C77" s="1" t="n">
        <v>45927</v>
      </c>
      <c r="D77" t="inlineStr">
        <is>
          <t>STOCKHOLMS LÄN</t>
        </is>
      </c>
      <c r="E77" t="inlineStr">
        <is>
          <t>NORRTÄLJE</t>
        </is>
      </c>
      <c r="G77" t="n">
        <v>2</v>
      </c>
      <c r="H77" t="n">
        <v>0</v>
      </c>
      <c r="I77" t="n">
        <v>0</v>
      </c>
      <c r="J77" t="n">
        <v>1</v>
      </c>
      <c r="K77" t="n">
        <v>0</v>
      </c>
      <c r="L77" t="n">
        <v>0</v>
      </c>
      <c r="M77" t="n">
        <v>0</v>
      </c>
      <c r="N77" t="n">
        <v>0</v>
      </c>
      <c r="O77" t="n">
        <v>1</v>
      </c>
      <c r="P77" t="n">
        <v>0</v>
      </c>
      <c r="Q77" t="n">
        <v>1</v>
      </c>
      <c r="R77" s="2" t="inlineStr">
        <is>
          <t>Skogsklocka</t>
        </is>
      </c>
      <c r="S77">
        <f>HYPERLINK("https://klasma.github.io/Logging_0188/artfynd/A 11429-2023 artfynd.xlsx", "A 11429-2023")</f>
        <v/>
      </c>
      <c r="T77">
        <f>HYPERLINK("https://klasma.github.io/Logging_0188/kartor/A 11429-2023 karta.png", "A 11429-2023")</f>
        <v/>
      </c>
      <c r="V77">
        <f>HYPERLINK("https://klasma.github.io/Logging_0188/klagomål/A 11429-2023 FSC-klagomål.docx", "A 11429-2023")</f>
        <v/>
      </c>
      <c r="W77">
        <f>HYPERLINK("https://klasma.github.io/Logging_0188/klagomålsmail/A 11429-2023 FSC-klagomål mail.docx", "A 11429-2023")</f>
        <v/>
      </c>
      <c r="X77">
        <f>HYPERLINK("https://klasma.github.io/Logging_0188/tillsyn/A 11429-2023 tillsynsbegäran.docx", "A 11429-2023")</f>
        <v/>
      </c>
      <c r="Y77">
        <f>HYPERLINK("https://klasma.github.io/Logging_0188/tillsynsmail/A 11429-2023 tillsynsbegäran mail.docx", "A 11429-2023")</f>
        <v/>
      </c>
    </row>
    <row r="78" ht="15" customHeight="1">
      <c r="A78" t="inlineStr">
        <is>
          <t>A 47898-2022</t>
        </is>
      </c>
      <c r="B78" s="1" t="n">
        <v>44855</v>
      </c>
      <c r="C78" s="1" t="n">
        <v>45927</v>
      </c>
      <c r="D78" t="inlineStr">
        <is>
          <t>STOCKHOLMS LÄN</t>
        </is>
      </c>
      <c r="E78" t="inlineStr">
        <is>
          <t>NORRTÄLJE</t>
        </is>
      </c>
      <c r="G78" t="n">
        <v>6.7</v>
      </c>
      <c r="H78" t="n">
        <v>1</v>
      </c>
      <c r="I78" t="n">
        <v>1</v>
      </c>
      <c r="J78" t="n">
        <v>0</v>
      </c>
      <c r="K78" t="n">
        <v>0</v>
      </c>
      <c r="L78" t="n">
        <v>0</v>
      </c>
      <c r="M78" t="n">
        <v>0</v>
      </c>
      <c r="N78" t="n">
        <v>0</v>
      </c>
      <c r="O78" t="n">
        <v>0</v>
      </c>
      <c r="P78" t="n">
        <v>0</v>
      </c>
      <c r="Q78" t="n">
        <v>1</v>
      </c>
      <c r="R78" s="2" t="inlineStr">
        <is>
          <t>Guckusko</t>
        </is>
      </c>
      <c r="S78">
        <f>HYPERLINK("https://klasma.github.io/Logging_0188/artfynd/A 47898-2022 artfynd.xlsx", "A 47898-2022")</f>
        <v/>
      </c>
      <c r="T78">
        <f>HYPERLINK("https://klasma.github.io/Logging_0188/kartor/A 47898-2022 karta.png", "A 47898-2022")</f>
        <v/>
      </c>
      <c r="V78">
        <f>HYPERLINK("https://klasma.github.io/Logging_0188/klagomål/A 47898-2022 FSC-klagomål.docx", "A 47898-2022")</f>
        <v/>
      </c>
      <c r="W78">
        <f>HYPERLINK("https://klasma.github.io/Logging_0188/klagomålsmail/A 47898-2022 FSC-klagomål mail.docx", "A 47898-2022")</f>
        <v/>
      </c>
      <c r="X78">
        <f>HYPERLINK("https://klasma.github.io/Logging_0188/tillsyn/A 47898-2022 tillsynsbegäran.docx", "A 47898-2022")</f>
        <v/>
      </c>
      <c r="Y78">
        <f>HYPERLINK("https://klasma.github.io/Logging_0188/tillsynsmail/A 47898-2022 tillsynsbegäran mail.docx", "A 47898-2022")</f>
        <v/>
      </c>
    </row>
    <row r="79" ht="15" customHeight="1">
      <c r="A79" t="inlineStr">
        <is>
          <t>A 21927-2025</t>
        </is>
      </c>
      <c r="B79" s="1" t="n">
        <v>45784.54878472222</v>
      </c>
      <c r="C79" s="1" t="n">
        <v>45927</v>
      </c>
      <c r="D79" t="inlineStr">
        <is>
          <t>STOCKHOLMS LÄN</t>
        </is>
      </c>
      <c r="E79" t="inlineStr">
        <is>
          <t>NORRTÄLJE</t>
        </is>
      </c>
      <c r="G79" t="n">
        <v>3.4</v>
      </c>
      <c r="H79" t="n">
        <v>1</v>
      </c>
      <c r="I79" t="n">
        <v>1</v>
      </c>
      <c r="J79" t="n">
        <v>0</v>
      </c>
      <c r="K79" t="n">
        <v>0</v>
      </c>
      <c r="L79" t="n">
        <v>0</v>
      </c>
      <c r="M79" t="n">
        <v>0</v>
      </c>
      <c r="N79" t="n">
        <v>0</v>
      </c>
      <c r="O79" t="n">
        <v>0</v>
      </c>
      <c r="P79" t="n">
        <v>0</v>
      </c>
      <c r="Q79" t="n">
        <v>1</v>
      </c>
      <c r="R79" s="2" t="inlineStr">
        <is>
          <t>Nästrot</t>
        </is>
      </c>
      <c r="S79">
        <f>HYPERLINK("https://klasma.github.io/Logging_0188/artfynd/A 21927-2025 artfynd.xlsx", "A 21927-2025")</f>
        <v/>
      </c>
      <c r="T79">
        <f>HYPERLINK("https://klasma.github.io/Logging_0188/kartor/A 21927-2025 karta.png", "A 21927-2025")</f>
        <v/>
      </c>
      <c r="V79">
        <f>HYPERLINK("https://klasma.github.io/Logging_0188/klagomål/A 21927-2025 FSC-klagomål.docx", "A 21927-2025")</f>
        <v/>
      </c>
      <c r="W79">
        <f>HYPERLINK("https://klasma.github.io/Logging_0188/klagomålsmail/A 21927-2025 FSC-klagomål mail.docx", "A 21927-2025")</f>
        <v/>
      </c>
      <c r="X79">
        <f>HYPERLINK("https://klasma.github.io/Logging_0188/tillsyn/A 21927-2025 tillsynsbegäran.docx", "A 21927-2025")</f>
        <v/>
      </c>
      <c r="Y79">
        <f>HYPERLINK("https://klasma.github.io/Logging_0188/tillsynsmail/A 21927-2025 tillsynsbegäran mail.docx", "A 21927-2025")</f>
        <v/>
      </c>
    </row>
    <row r="80" ht="15" customHeight="1">
      <c r="A80" t="inlineStr">
        <is>
          <t>A 16870-2025</t>
        </is>
      </c>
      <c r="B80" s="1" t="n">
        <v>45754</v>
      </c>
      <c r="C80" s="1" t="n">
        <v>45927</v>
      </c>
      <c r="D80" t="inlineStr">
        <is>
          <t>STOCKHOLMS LÄN</t>
        </is>
      </c>
      <c r="E80" t="inlineStr">
        <is>
          <t>NORRTÄLJE</t>
        </is>
      </c>
      <c r="G80" t="n">
        <v>24.6</v>
      </c>
      <c r="H80" t="n">
        <v>1</v>
      </c>
      <c r="I80" t="n">
        <v>0</v>
      </c>
      <c r="J80" t="n">
        <v>0</v>
      </c>
      <c r="K80" t="n">
        <v>0</v>
      </c>
      <c r="L80" t="n">
        <v>0</v>
      </c>
      <c r="M80" t="n">
        <v>0</v>
      </c>
      <c r="N80" t="n">
        <v>0</v>
      </c>
      <c r="O80" t="n">
        <v>0</v>
      </c>
      <c r="P80" t="n">
        <v>0</v>
      </c>
      <c r="Q80" t="n">
        <v>1</v>
      </c>
      <c r="R80" s="2" t="inlineStr">
        <is>
          <t>Vanlig groda</t>
        </is>
      </c>
      <c r="S80">
        <f>HYPERLINK("https://klasma.github.io/Logging_0188/artfynd/A 16870-2025 artfynd.xlsx", "A 16870-2025")</f>
        <v/>
      </c>
      <c r="T80">
        <f>HYPERLINK("https://klasma.github.io/Logging_0188/kartor/A 16870-2025 karta.png", "A 16870-2025")</f>
        <v/>
      </c>
      <c r="V80">
        <f>HYPERLINK("https://klasma.github.io/Logging_0188/klagomål/A 16870-2025 FSC-klagomål.docx", "A 16870-2025")</f>
        <v/>
      </c>
      <c r="W80">
        <f>HYPERLINK("https://klasma.github.io/Logging_0188/klagomålsmail/A 16870-2025 FSC-klagomål mail.docx", "A 16870-2025")</f>
        <v/>
      </c>
      <c r="X80">
        <f>HYPERLINK("https://klasma.github.io/Logging_0188/tillsyn/A 16870-2025 tillsynsbegäran.docx", "A 16870-2025")</f>
        <v/>
      </c>
      <c r="Y80">
        <f>HYPERLINK("https://klasma.github.io/Logging_0188/tillsynsmail/A 16870-2025 tillsynsbegäran mail.docx", "A 16870-2025")</f>
        <v/>
      </c>
    </row>
    <row r="81" ht="15" customHeight="1">
      <c r="A81" t="inlineStr">
        <is>
          <t>A 9955-2022</t>
        </is>
      </c>
      <c r="B81" s="1" t="n">
        <v>44620</v>
      </c>
      <c r="C81" s="1" t="n">
        <v>45927</v>
      </c>
      <c r="D81" t="inlineStr">
        <is>
          <t>STOCKHOLMS LÄN</t>
        </is>
      </c>
      <c r="E81" t="inlineStr">
        <is>
          <t>NORRTÄLJE</t>
        </is>
      </c>
      <c r="G81" t="n">
        <v>7.8</v>
      </c>
      <c r="H81" t="n">
        <v>1</v>
      </c>
      <c r="I81" t="n">
        <v>0</v>
      </c>
      <c r="J81" t="n">
        <v>0</v>
      </c>
      <c r="K81" t="n">
        <v>0</v>
      </c>
      <c r="L81" t="n">
        <v>0</v>
      </c>
      <c r="M81" t="n">
        <v>0</v>
      </c>
      <c r="N81" t="n">
        <v>0</v>
      </c>
      <c r="O81" t="n">
        <v>0</v>
      </c>
      <c r="P81" t="n">
        <v>0</v>
      </c>
      <c r="Q81" t="n">
        <v>1</v>
      </c>
      <c r="R81" s="2" t="inlineStr">
        <is>
          <t>Åkergroda</t>
        </is>
      </c>
      <c r="S81">
        <f>HYPERLINK("https://klasma.github.io/Logging_0188/artfynd/A 9955-2022 artfynd.xlsx", "A 9955-2022")</f>
        <v/>
      </c>
      <c r="T81">
        <f>HYPERLINK("https://klasma.github.io/Logging_0188/kartor/A 9955-2022 karta.png", "A 9955-2022")</f>
        <v/>
      </c>
      <c r="V81">
        <f>HYPERLINK("https://klasma.github.io/Logging_0188/klagomål/A 9955-2022 FSC-klagomål.docx", "A 9955-2022")</f>
        <v/>
      </c>
      <c r="W81">
        <f>HYPERLINK("https://klasma.github.io/Logging_0188/klagomålsmail/A 9955-2022 FSC-klagomål mail.docx", "A 9955-2022")</f>
        <v/>
      </c>
      <c r="X81">
        <f>HYPERLINK("https://klasma.github.io/Logging_0188/tillsyn/A 9955-2022 tillsynsbegäran.docx", "A 9955-2022")</f>
        <v/>
      </c>
      <c r="Y81">
        <f>HYPERLINK("https://klasma.github.io/Logging_0188/tillsynsmail/A 9955-2022 tillsynsbegäran mail.docx", "A 9955-2022")</f>
        <v/>
      </c>
    </row>
    <row r="82" ht="15" customHeight="1">
      <c r="A82" t="inlineStr">
        <is>
          <t>A 14365-2025</t>
        </is>
      </c>
      <c r="B82" s="1" t="n">
        <v>45741.38688657407</v>
      </c>
      <c r="C82" s="1" t="n">
        <v>45927</v>
      </c>
      <c r="D82" t="inlineStr">
        <is>
          <t>STOCKHOLMS LÄN</t>
        </is>
      </c>
      <c r="E82" t="inlineStr">
        <is>
          <t>NORRTÄLJE</t>
        </is>
      </c>
      <c r="G82" t="n">
        <v>2.4</v>
      </c>
      <c r="H82" t="n">
        <v>0</v>
      </c>
      <c r="I82" t="n">
        <v>0</v>
      </c>
      <c r="J82" t="n">
        <v>1</v>
      </c>
      <c r="K82" t="n">
        <v>0</v>
      </c>
      <c r="L82" t="n">
        <v>0</v>
      </c>
      <c r="M82" t="n">
        <v>0</v>
      </c>
      <c r="N82" t="n">
        <v>0</v>
      </c>
      <c r="O82" t="n">
        <v>1</v>
      </c>
      <c r="P82" t="n">
        <v>0</v>
      </c>
      <c r="Q82" t="n">
        <v>1</v>
      </c>
      <c r="R82" s="2" t="inlineStr">
        <is>
          <t>Granticka</t>
        </is>
      </c>
      <c r="S82">
        <f>HYPERLINK("https://klasma.github.io/Logging_0188/artfynd/A 14365-2025 artfynd.xlsx", "A 14365-2025")</f>
        <v/>
      </c>
      <c r="T82">
        <f>HYPERLINK("https://klasma.github.io/Logging_0188/kartor/A 14365-2025 karta.png", "A 14365-2025")</f>
        <v/>
      </c>
      <c r="V82">
        <f>HYPERLINK("https://klasma.github.io/Logging_0188/klagomål/A 14365-2025 FSC-klagomål.docx", "A 14365-2025")</f>
        <v/>
      </c>
      <c r="W82">
        <f>HYPERLINK("https://klasma.github.io/Logging_0188/klagomålsmail/A 14365-2025 FSC-klagomål mail.docx", "A 14365-2025")</f>
        <v/>
      </c>
      <c r="X82">
        <f>HYPERLINK("https://klasma.github.io/Logging_0188/tillsyn/A 14365-2025 tillsynsbegäran.docx", "A 14365-2025")</f>
        <v/>
      </c>
      <c r="Y82">
        <f>HYPERLINK("https://klasma.github.io/Logging_0188/tillsynsmail/A 14365-2025 tillsynsbegäran mail.docx", "A 14365-2025")</f>
        <v/>
      </c>
    </row>
    <row r="83" ht="15" customHeight="1">
      <c r="A83" t="inlineStr">
        <is>
          <t>A 32111-2022</t>
        </is>
      </c>
      <c r="B83" s="1" t="n">
        <v>44778.92797453704</v>
      </c>
      <c r="C83" s="1" t="n">
        <v>45927</v>
      </c>
      <c r="D83" t="inlineStr">
        <is>
          <t>STOCKHOLMS LÄN</t>
        </is>
      </c>
      <c r="E83" t="inlineStr">
        <is>
          <t>NORRTÄLJE</t>
        </is>
      </c>
      <c r="G83" t="n">
        <v>3.1</v>
      </c>
      <c r="H83" t="n">
        <v>0</v>
      </c>
      <c r="I83" t="n">
        <v>0</v>
      </c>
      <c r="J83" t="n">
        <v>1</v>
      </c>
      <c r="K83" t="n">
        <v>0</v>
      </c>
      <c r="L83" t="n">
        <v>0</v>
      </c>
      <c r="M83" t="n">
        <v>0</v>
      </c>
      <c r="N83" t="n">
        <v>0</v>
      </c>
      <c r="O83" t="n">
        <v>1</v>
      </c>
      <c r="P83" t="n">
        <v>0</v>
      </c>
      <c r="Q83" t="n">
        <v>1</v>
      </c>
      <c r="R83" s="2" t="inlineStr">
        <is>
          <t>Orange taggsvamp</t>
        </is>
      </c>
      <c r="S83">
        <f>HYPERLINK("https://klasma.github.io/Logging_0188/artfynd/A 32111-2022 artfynd.xlsx", "A 32111-2022")</f>
        <v/>
      </c>
      <c r="T83">
        <f>HYPERLINK("https://klasma.github.io/Logging_0188/kartor/A 32111-2022 karta.png", "A 32111-2022")</f>
        <v/>
      </c>
      <c r="V83">
        <f>HYPERLINK("https://klasma.github.io/Logging_0188/klagomål/A 32111-2022 FSC-klagomål.docx", "A 32111-2022")</f>
        <v/>
      </c>
      <c r="W83">
        <f>HYPERLINK("https://klasma.github.io/Logging_0188/klagomålsmail/A 32111-2022 FSC-klagomål mail.docx", "A 32111-2022")</f>
        <v/>
      </c>
      <c r="X83">
        <f>HYPERLINK("https://klasma.github.io/Logging_0188/tillsyn/A 32111-2022 tillsynsbegäran.docx", "A 32111-2022")</f>
        <v/>
      </c>
      <c r="Y83">
        <f>HYPERLINK("https://klasma.github.io/Logging_0188/tillsynsmail/A 32111-2022 tillsynsbegäran mail.docx", "A 32111-2022")</f>
        <v/>
      </c>
    </row>
    <row r="84" ht="15" customHeight="1">
      <c r="A84" t="inlineStr">
        <is>
          <t>A 4385-2023</t>
        </is>
      </c>
      <c r="B84" s="1" t="n">
        <v>44955.71322916666</v>
      </c>
      <c r="C84" s="1" t="n">
        <v>45927</v>
      </c>
      <c r="D84" t="inlineStr">
        <is>
          <t>STOCKHOLMS LÄN</t>
        </is>
      </c>
      <c r="E84" t="inlineStr">
        <is>
          <t>NORRTÄLJE</t>
        </is>
      </c>
      <c r="G84" t="n">
        <v>7.8</v>
      </c>
      <c r="H84" t="n">
        <v>1</v>
      </c>
      <c r="I84" t="n">
        <v>1</v>
      </c>
      <c r="J84" t="n">
        <v>0</v>
      </c>
      <c r="K84" t="n">
        <v>0</v>
      </c>
      <c r="L84" t="n">
        <v>0</v>
      </c>
      <c r="M84" t="n">
        <v>0</v>
      </c>
      <c r="N84" t="n">
        <v>0</v>
      </c>
      <c r="O84" t="n">
        <v>0</v>
      </c>
      <c r="P84" t="n">
        <v>0</v>
      </c>
      <c r="Q84" t="n">
        <v>1</v>
      </c>
      <c r="R84" s="2" t="inlineStr">
        <is>
          <t>Skogsknipprot</t>
        </is>
      </c>
      <c r="S84">
        <f>HYPERLINK("https://klasma.github.io/Logging_0188/artfynd/A 4385-2023 artfynd.xlsx", "A 4385-2023")</f>
        <v/>
      </c>
      <c r="T84">
        <f>HYPERLINK("https://klasma.github.io/Logging_0188/kartor/A 4385-2023 karta.png", "A 4385-2023")</f>
        <v/>
      </c>
      <c r="V84">
        <f>HYPERLINK("https://klasma.github.io/Logging_0188/klagomål/A 4385-2023 FSC-klagomål.docx", "A 4385-2023")</f>
        <v/>
      </c>
      <c r="W84">
        <f>HYPERLINK("https://klasma.github.io/Logging_0188/klagomålsmail/A 4385-2023 FSC-klagomål mail.docx", "A 4385-2023")</f>
        <v/>
      </c>
      <c r="X84">
        <f>HYPERLINK("https://klasma.github.io/Logging_0188/tillsyn/A 4385-2023 tillsynsbegäran.docx", "A 4385-2023")</f>
        <v/>
      </c>
      <c r="Y84">
        <f>HYPERLINK("https://klasma.github.io/Logging_0188/tillsynsmail/A 4385-2023 tillsynsbegäran mail.docx", "A 4385-2023")</f>
        <v/>
      </c>
    </row>
    <row r="85" ht="15" customHeight="1">
      <c r="A85" t="inlineStr">
        <is>
          <t>A 4595-2023</t>
        </is>
      </c>
      <c r="B85" s="1" t="n">
        <v>44956</v>
      </c>
      <c r="C85" s="1" t="n">
        <v>45927</v>
      </c>
      <c r="D85" t="inlineStr">
        <is>
          <t>STOCKHOLMS LÄN</t>
        </is>
      </c>
      <c r="E85" t="inlineStr">
        <is>
          <t>NORRTÄLJE</t>
        </is>
      </c>
      <c r="G85" t="n">
        <v>0.6</v>
      </c>
      <c r="H85" t="n">
        <v>1</v>
      </c>
      <c r="I85" t="n">
        <v>0</v>
      </c>
      <c r="J85" t="n">
        <v>0</v>
      </c>
      <c r="K85" t="n">
        <v>0</v>
      </c>
      <c r="L85" t="n">
        <v>0</v>
      </c>
      <c r="M85" t="n">
        <v>0</v>
      </c>
      <c r="N85" t="n">
        <v>0</v>
      </c>
      <c r="O85" t="n">
        <v>0</v>
      </c>
      <c r="P85" t="n">
        <v>0</v>
      </c>
      <c r="Q85" t="n">
        <v>1</v>
      </c>
      <c r="R85" s="2" t="inlineStr">
        <is>
          <t>Blåsippa</t>
        </is>
      </c>
      <c r="S85">
        <f>HYPERLINK("https://klasma.github.io/Logging_0188/artfynd/A 4595-2023 artfynd.xlsx", "A 4595-2023")</f>
        <v/>
      </c>
      <c r="T85">
        <f>HYPERLINK("https://klasma.github.io/Logging_0188/kartor/A 4595-2023 karta.png", "A 4595-2023")</f>
        <v/>
      </c>
      <c r="V85">
        <f>HYPERLINK("https://klasma.github.io/Logging_0188/klagomål/A 4595-2023 FSC-klagomål.docx", "A 4595-2023")</f>
        <v/>
      </c>
      <c r="W85">
        <f>HYPERLINK("https://klasma.github.io/Logging_0188/klagomålsmail/A 4595-2023 FSC-klagomål mail.docx", "A 4595-2023")</f>
        <v/>
      </c>
      <c r="X85">
        <f>HYPERLINK("https://klasma.github.io/Logging_0188/tillsyn/A 4595-2023 tillsynsbegäran.docx", "A 4595-2023")</f>
        <v/>
      </c>
      <c r="Y85">
        <f>HYPERLINK("https://klasma.github.io/Logging_0188/tillsynsmail/A 4595-2023 tillsynsbegäran mail.docx", "A 4595-2023")</f>
        <v/>
      </c>
    </row>
    <row r="86" ht="15" customHeight="1">
      <c r="A86" t="inlineStr">
        <is>
          <t>A 4860-2022</t>
        </is>
      </c>
      <c r="B86" s="1" t="n">
        <v>44592</v>
      </c>
      <c r="C86" s="1" t="n">
        <v>45927</v>
      </c>
      <c r="D86" t="inlineStr">
        <is>
          <t>STOCKHOLMS LÄN</t>
        </is>
      </c>
      <c r="E86" t="inlineStr">
        <is>
          <t>NORRTÄLJE</t>
        </is>
      </c>
      <c r="G86" t="n">
        <v>22.3</v>
      </c>
      <c r="H86" t="n">
        <v>0</v>
      </c>
      <c r="I86" t="n">
        <v>0</v>
      </c>
      <c r="J86" t="n">
        <v>1</v>
      </c>
      <c r="K86" t="n">
        <v>0</v>
      </c>
      <c r="L86" t="n">
        <v>0</v>
      </c>
      <c r="M86" t="n">
        <v>0</v>
      </c>
      <c r="N86" t="n">
        <v>0</v>
      </c>
      <c r="O86" t="n">
        <v>1</v>
      </c>
      <c r="P86" t="n">
        <v>0</v>
      </c>
      <c r="Q86" t="n">
        <v>1</v>
      </c>
      <c r="R86" s="2" t="inlineStr">
        <is>
          <t>Igelkott</t>
        </is>
      </c>
      <c r="S86">
        <f>HYPERLINK("https://klasma.github.io/Logging_0188/artfynd/A 4860-2022 artfynd.xlsx", "A 4860-2022")</f>
        <v/>
      </c>
      <c r="T86">
        <f>HYPERLINK("https://klasma.github.io/Logging_0188/kartor/A 4860-2022 karta.png", "A 4860-2022")</f>
        <v/>
      </c>
      <c r="V86">
        <f>HYPERLINK("https://klasma.github.io/Logging_0188/klagomål/A 4860-2022 FSC-klagomål.docx", "A 4860-2022")</f>
        <v/>
      </c>
      <c r="W86">
        <f>HYPERLINK("https://klasma.github.io/Logging_0188/klagomålsmail/A 4860-2022 FSC-klagomål mail.docx", "A 4860-2022")</f>
        <v/>
      </c>
      <c r="X86">
        <f>HYPERLINK("https://klasma.github.io/Logging_0188/tillsyn/A 4860-2022 tillsynsbegäran.docx", "A 4860-2022")</f>
        <v/>
      </c>
      <c r="Y86">
        <f>HYPERLINK("https://klasma.github.io/Logging_0188/tillsynsmail/A 4860-2022 tillsynsbegäran mail.docx", "A 4860-2022")</f>
        <v/>
      </c>
    </row>
    <row r="87" ht="15" customHeight="1">
      <c r="A87" t="inlineStr">
        <is>
          <t>A 19829-2022</t>
        </is>
      </c>
      <c r="B87" s="1" t="n">
        <v>44695.43527777777</v>
      </c>
      <c r="C87" s="1" t="n">
        <v>45927</v>
      </c>
      <c r="D87" t="inlineStr">
        <is>
          <t>STOCKHOLMS LÄN</t>
        </is>
      </c>
      <c r="E87" t="inlineStr">
        <is>
          <t>NORRTÄLJE</t>
        </is>
      </c>
      <c r="G87" t="n">
        <v>2</v>
      </c>
      <c r="H87" t="n">
        <v>1</v>
      </c>
      <c r="I87" t="n">
        <v>1</v>
      </c>
      <c r="J87" t="n">
        <v>0</v>
      </c>
      <c r="K87" t="n">
        <v>0</v>
      </c>
      <c r="L87" t="n">
        <v>0</v>
      </c>
      <c r="M87" t="n">
        <v>0</v>
      </c>
      <c r="N87" t="n">
        <v>0</v>
      </c>
      <c r="O87" t="n">
        <v>0</v>
      </c>
      <c r="P87" t="n">
        <v>0</v>
      </c>
      <c r="Q87" t="n">
        <v>1</v>
      </c>
      <c r="R87" s="2" t="inlineStr">
        <is>
          <t>Guckusko</t>
        </is>
      </c>
      <c r="S87">
        <f>HYPERLINK("https://klasma.github.io/Logging_0188/artfynd/A 19829-2022 artfynd.xlsx", "A 19829-2022")</f>
        <v/>
      </c>
      <c r="T87">
        <f>HYPERLINK("https://klasma.github.io/Logging_0188/kartor/A 19829-2022 karta.png", "A 19829-2022")</f>
        <v/>
      </c>
      <c r="V87">
        <f>HYPERLINK("https://klasma.github.io/Logging_0188/klagomål/A 19829-2022 FSC-klagomål.docx", "A 19829-2022")</f>
        <v/>
      </c>
      <c r="W87">
        <f>HYPERLINK("https://klasma.github.io/Logging_0188/klagomålsmail/A 19829-2022 FSC-klagomål mail.docx", "A 19829-2022")</f>
        <v/>
      </c>
      <c r="X87">
        <f>HYPERLINK("https://klasma.github.io/Logging_0188/tillsyn/A 19829-2022 tillsynsbegäran.docx", "A 19829-2022")</f>
        <v/>
      </c>
      <c r="Y87">
        <f>HYPERLINK("https://klasma.github.io/Logging_0188/tillsynsmail/A 19829-2022 tillsynsbegäran mail.docx", "A 19829-2022")</f>
        <v/>
      </c>
    </row>
    <row r="88" ht="15" customHeight="1">
      <c r="A88" t="inlineStr">
        <is>
          <t>A 23905-2025</t>
        </is>
      </c>
      <c r="B88" s="1" t="n">
        <v>45794.63298611111</v>
      </c>
      <c r="C88" s="1" t="n">
        <v>45927</v>
      </c>
      <c r="D88" t="inlineStr">
        <is>
          <t>STOCKHOLMS LÄN</t>
        </is>
      </c>
      <c r="E88" t="inlineStr">
        <is>
          <t>NORRTÄLJE</t>
        </is>
      </c>
      <c r="G88" t="n">
        <v>8.4</v>
      </c>
      <c r="H88" t="n">
        <v>1</v>
      </c>
      <c r="I88" t="n">
        <v>0</v>
      </c>
      <c r="J88" t="n">
        <v>0</v>
      </c>
      <c r="K88" t="n">
        <v>0</v>
      </c>
      <c r="L88" t="n">
        <v>0</v>
      </c>
      <c r="M88" t="n">
        <v>0</v>
      </c>
      <c r="N88" t="n">
        <v>0</v>
      </c>
      <c r="O88" t="n">
        <v>0</v>
      </c>
      <c r="P88" t="n">
        <v>0</v>
      </c>
      <c r="Q88" t="n">
        <v>1</v>
      </c>
      <c r="R88" s="2" t="inlineStr">
        <is>
          <t>Blåsippa</t>
        </is>
      </c>
      <c r="S88">
        <f>HYPERLINK("https://klasma.github.io/Logging_0188/artfynd/A 23905-2025 artfynd.xlsx", "A 23905-2025")</f>
        <v/>
      </c>
      <c r="T88">
        <f>HYPERLINK("https://klasma.github.io/Logging_0188/kartor/A 23905-2025 karta.png", "A 23905-2025")</f>
        <v/>
      </c>
      <c r="V88">
        <f>HYPERLINK("https://klasma.github.io/Logging_0188/klagomål/A 23905-2025 FSC-klagomål.docx", "A 23905-2025")</f>
        <v/>
      </c>
      <c r="W88">
        <f>HYPERLINK("https://klasma.github.io/Logging_0188/klagomålsmail/A 23905-2025 FSC-klagomål mail.docx", "A 23905-2025")</f>
        <v/>
      </c>
      <c r="X88">
        <f>HYPERLINK("https://klasma.github.io/Logging_0188/tillsyn/A 23905-2025 tillsynsbegäran.docx", "A 23905-2025")</f>
        <v/>
      </c>
      <c r="Y88">
        <f>HYPERLINK("https://klasma.github.io/Logging_0188/tillsynsmail/A 23905-2025 tillsynsbegäran mail.docx", "A 23905-2025")</f>
        <v/>
      </c>
    </row>
    <row r="89" ht="15" customHeight="1">
      <c r="A89" t="inlineStr">
        <is>
          <t>A 24535-2023</t>
        </is>
      </c>
      <c r="B89" s="1" t="n">
        <v>45082</v>
      </c>
      <c r="C89" s="1" t="n">
        <v>45927</v>
      </c>
      <c r="D89" t="inlineStr">
        <is>
          <t>STOCKHOLMS LÄN</t>
        </is>
      </c>
      <c r="E89" t="inlineStr">
        <is>
          <t>NORRTÄLJE</t>
        </is>
      </c>
      <c r="F89" t="inlineStr">
        <is>
          <t>Kommuner</t>
        </is>
      </c>
      <c r="G89" t="n">
        <v>2</v>
      </c>
      <c r="H89" t="n">
        <v>1</v>
      </c>
      <c r="I89" t="n">
        <v>0</v>
      </c>
      <c r="J89" t="n">
        <v>0</v>
      </c>
      <c r="K89" t="n">
        <v>0</v>
      </c>
      <c r="L89" t="n">
        <v>0</v>
      </c>
      <c r="M89" t="n">
        <v>0</v>
      </c>
      <c r="N89" t="n">
        <v>0</v>
      </c>
      <c r="O89" t="n">
        <v>0</v>
      </c>
      <c r="P89" t="n">
        <v>0</v>
      </c>
      <c r="Q89" t="n">
        <v>1</v>
      </c>
      <c r="R89" s="2" t="inlineStr">
        <is>
          <t>Blåsippa</t>
        </is>
      </c>
      <c r="S89">
        <f>HYPERLINK("https://klasma.github.io/Logging_0188/artfynd/A 24535-2023 artfynd.xlsx", "A 24535-2023")</f>
        <v/>
      </c>
      <c r="T89">
        <f>HYPERLINK("https://klasma.github.io/Logging_0188/kartor/A 24535-2023 karta.png", "A 24535-2023")</f>
        <v/>
      </c>
      <c r="V89">
        <f>HYPERLINK("https://klasma.github.io/Logging_0188/klagomål/A 24535-2023 FSC-klagomål.docx", "A 24535-2023")</f>
        <v/>
      </c>
      <c r="W89">
        <f>HYPERLINK("https://klasma.github.io/Logging_0188/klagomålsmail/A 24535-2023 FSC-klagomål mail.docx", "A 24535-2023")</f>
        <v/>
      </c>
      <c r="X89">
        <f>HYPERLINK("https://klasma.github.io/Logging_0188/tillsyn/A 24535-2023 tillsynsbegäran.docx", "A 24535-2023")</f>
        <v/>
      </c>
      <c r="Y89">
        <f>HYPERLINK("https://klasma.github.io/Logging_0188/tillsynsmail/A 24535-2023 tillsynsbegäran mail.docx", "A 24535-2023")</f>
        <v/>
      </c>
    </row>
    <row r="90" ht="15" customHeight="1">
      <c r="A90" t="inlineStr">
        <is>
          <t>A 25669-2025</t>
        </is>
      </c>
      <c r="B90" s="1" t="n">
        <v>45803.62766203703</v>
      </c>
      <c r="C90" s="1" t="n">
        <v>45927</v>
      </c>
      <c r="D90" t="inlineStr">
        <is>
          <t>STOCKHOLMS LÄN</t>
        </is>
      </c>
      <c r="E90" t="inlineStr">
        <is>
          <t>NORRTÄLJE</t>
        </is>
      </c>
      <c r="F90" t="inlineStr">
        <is>
          <t>Holmen skog AB</t>
        </is>
      </c>
      <c r="G90" t="n">
        <v>3.1</v>
      </c>
      <c r="H90" t="n">
        <v>1</v>
      </c>
      <c r="I90" t="n">
        <v>0</v>
      </c>
      <c r="J90" t="n">
        <v>0</v>
      </c>
      <c r="K90" t="n">
        <v>0</v>
      </c>
      <c r="L90" t="n">
        <v>0</v>
      </c>
      <c r="M90" t="n">
        <v>0</v>
      </c>
      <c r="N90" t="n">
        <v>0</v>
      </c>
      <c r="O90" t="n">
        <v>0</v>
      </c>
      <c r="P90" t="n">
        <v>0</v>
      </c>
      <c r="Q90" t="n">
        <v>1</v>
      </c>
      <c r="R90" s="2" t="inlineStr">
        <is>
          <t>Tjäder</t>
        </is>
      </c>
      <c r="S90">
        <f>HYPERLINK("https://klasma.github.io/Logging_0188/artfynd/A 25669-2025 artfynd.xlsx", "A 25669-2025")</f>
        <v/>
      </c>
      <c r="T90">
        <f>HYPERLINK("https://klasma.github.io/Logging_0188/kartor/A 25669-2025 karta.png", "A 25669-2025")</f>
        <v/>
      </c>
      <c r="V90">
        <f>HYPERLINK("https://klasma.github.io/Logging_0188/klagomål/A 25669-2025 FSC-klagomål.docx", "A 25669-2025")</f>
        <v/>
      </c>
      <c r="W90">
        <f>HYPERLINK("https://klasma.github.io/Logging_0188/klagomålsmail/A 25669-2025 FSC-klagomål mail.docx", "A 25669-2025")</f>
        <v/>
      </c>
      <c r="X90">
        <f>HYPERLINK("https://klasma.github.io/Logging_0188/tillsyn/A 25669-2025 tillsynsbegäran.docx", "A 25669-2025")</f>
        <v/>
      </c>
      <c r="Y90">
        <f>HYPERLINK("https://klasma.github.io/Logging_0188/tillsynsmail/A 25669-2025 tillsynsbegäran mail.docx", "A 25669-2025")</f>
        <v/>
      </c>
      <c r="Z90">
        <f>HYPERLINK("https://klasma.github.io/Logging_0188/fåglar/A 25669-2025 prioriterade fågelarter.docx", "A 25669-2025")</f>
        <v/>
      </c>
    </row>
    <row r="91" ht="15" customHeight="1">
      <c r="A91" t="inlineStr">
        <is>
          <t>A 35764-2024</t>
        </is>
      </c>
      <c r="B91" s="1" t="n">
        <v>45532</v>
      </c>
      <c r="C91" s="1" t="n">
        <v>45927</v>
      </c>
      <c r="D91" t="inlineStr">
        <is>
          <t>STOCKHOLMS LÄN</t>
        </is>
      </c>
      <c r="E91" t="inlineStr">
        <is>
          <t>NORRTÄLJE</t>
        </is>
      </c>
      <c r="G91" t="n">
        <v>14.2</v>
      </c>
      <c r="H91" t="n">
        <v>1</v>
      </c>
      <c r="I91" t="n">
        <v>0</v>
      </c>
      <c r="J91" t="n">
        <v>0</v>
      </c>
      <c r="K91" t="n">
        <v>1</v>
      </c>
      <c r="L91" t="n">
        <v>0</v>
      </c>
      <c r="M91" t="n">
        <v>0</v>
      </c>
      <c r="N91" t="n">
        <v>0</v>
      </c>
      <c r="O91" t="n">
        <v>1</v>
      </c>
      <c r="P91" t="n">
        <v>1</v>
      </c>
      <c r="Q91" t="n">
        <v>1</v>
      </c>
      <c r="R91" s="2" t="inlineStr">
        <is>
          <t>Knärot</t>
        </is>
      </c>
      <c r="S91">
        <f>HYPERLINK("https://klasma.github.io/Logging_0188/artfynd/A 35764-2024 artfynd.xlsx", "A 35764-2024")</f>
        <v/>
      </c>
      <c r="T91">
        <f>HYPERLINK("https://klasma.github.io/Logging_0188/kartor/A 35764-2024 karta.png", "A 35764-2024")</f>
        <v/>
      </c>
      <c r="U91">
        <f>HYPERLINK("https://klasma.github.io/Logging_0188/knärot/A 35764-2024 karta knärot.png", "A 35764-2024")</f>
        <v/>
      </c>
      <c r="V91">
        <f>HYPERLINK("https://klasma.github.io/Logging_0188/klagomål/A 35764-2024 FSC-klagomål.docx", "A 35764-2024")</f>
        <v/>
      </c>
      <c r="W91">
        <f>HYPERLINK("https://klasma.github.io/Logging_0188/klagomålsmail/A 35764-2024 FSC-klagomål mail.docx", "A 35764-2024")</f>
        <v/>
      </c>
      <c r="X91">
        <f>HYPERLINK("https://klasma.github.io/Logging_0188/tillsyn/A 35764-2024 tillsynsbegäran.docx", "A 35764-2024")</f>
        <v/>
      </c>
      <c r="Y91">
        <f>HYPERLINK("https://klasma.github.io/Logging_0188/tillsynsmail/A 35764-2024 tillsynsbegäran mail.docx", "A 35764-2024")</f>
        <v/>
      </c>
    </row>
    <row r="92" ht="15" customHeight="1">
      <c r="A92" t="inlineStr">
        <is>
          <t>A 25687-2025</t>
        </is>
      </c>
      <c r="B92" s="1" t="n">
        <v>45800</v>
      </c>
      <c r="C92" s="1" t="n">
        <v>45927</v>
      </c>
      <c r="D92" t="inlineStr">
        <is>
          <t>STOCKHOLMS LÄN</t>
        </is>
      </c>
      <c r="E92" t="inlineStr">
        <is>
          <t>NORRTÄLJE</t>
        </is>
      </c>
      <c r="G92" t="n">
        <v>15.7</v>
      </c>
      <c r="H92" t="n">
        <v>0</v>
      </c>
      <c r="I92" t="n">
        <v>1</v>
      </c>
      <c r="J92" t="n">
        <v>0</v>
      </c>
      <c r="K92" t="n">
        <v>0</v>
      </c>
      <c r="L92" t="n">
        <v>0</v>
      </c>
      <c r="M92" t="n">
        <v>0</v>
      </c>
      <c r="N92" t="n">
        <v>0</v>
      </c>
      <c r="O92" t="n">
        <v>0</v>
      </c>
      <c r="P92" t="n">
        <v>0</v>
      </c>
      <c r="Q92" t="n">
        <v>1</v>
      </c>
      <c r="R92" s="2" t="inlineStr">
        <is>
          <t>Grönpyrola</t>
        </is>
      </c>
      <c r="S92">
        <f>HYPERLINK("https://klasma.github.io/Logging_0188/artfynd/A 25687-2025 artfynd.xlsx", "A 25687-2025")</f>
        <v/>
      </c>
      <c r="T92">
        <f>HYPERLINK("https://klasma.github.io/Logging_0188/kartor/A 25687-2025 karta.png", "A 25687-2025")</f>
        <v/>
      </c>
      <c r="V92">
        <f>HYPERLINK("https://klasma.github.io/Logging_0188/klagomål/A 25687-2025 FSC-klagomål.docx", "A 25687-2025")</f>
        <v/>
      </c>
      <c r="W92">
        <f>HYPERLINK("https://klasma.github.io/Logging_0188/klagomålsmail/A 25687-2025 FSC-klagomål mail.docx", "A 25687-2025")</f>
        <v/>
      </c>
      <c r="X92">
        <f>HYPERLINK("https://klasma.github.io/Logging_0188/tillsyn/A 25687-2025 tillsynsbegäran.docx", "A 25687-2025")</f>
        <v/>
      </c>
      <c r="Y92">
        <f>HYPERLINK("https://klasma.github.io/Logging_0188/tillsynsmail/A 25687-2025 tillsynsbegäran mail.docx", "A 25687-2025")</f>
        <v/>
      </c>
    </row>
    <row r="93" ht="15" customHeight="1">
      <c r="A93" t="inlineStr">
        <is>
          <t>A 35649-2023</t>
        </is>
      </c>
      <c r="B93" s="1" t="n">
        <v>45146</v>
      </c>
      <c r="C93" s="1" t="n">
        <v>45927</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4532-2025</t>
        </is>
      </c>
      <c r="B94" s="1" t="n">
        <v>45687.34177083334</v>
      </c>
      <c r="C94" s="1" t="n">
        <v>45927</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6381-2023</t>
        </is>
      </c>
      <c r="B95" s="1" t="n">
        <v>44965</v>
      </c>
      <c r="C95" s="1" t="n">
        <v>45927</v>
      </c>
      <c r="D95" t="inlineStr">
        <is>
          <t>STOCKHOLMS LÄN</t>
        </is>
      </c>
      <c r="E95" t="inlineStr">
        <is>
          <t>NORRTÄLJE</t>
        </is>
      </c>
      <c r="G95" t="n">
        <v>3.5</v>
      </c>
      <c r="H95" t="n">
        <v>1</v>
      </c>
      <c r="I95" t="n">
        <v>1</v>
      </c>
      <c r="J95" t="n">
        <v>0</v>
      </c>
      <c r="K95" t="n">
        <v>0</v>
      </c>
      <c r="L95" t="n">
        <v>0</v>
      </c>
      <c r="M95" t="n">
        <v>0</v>
      </c>
      <c r="N95" t="n">
        <v>0</v>
      </c>
      <c r="O95" t="n">
        <v>0</v>
      </c>
      <c r="P95" t="n">
        <v>0</v>
      </c>
      <c r="Q95" t="n">
        <v>1</v>
      </c>
      <c r="R95" s="2" t="inlineStr">
        <is>
          <t>Guckusko</t>
        </is>
      </c>
      <c r="S95">
        <f>HYPERLINK("https://klasma.github.io/Logging_0188/artfynd/A 6381-2023 artfynd.xlsx", "A 6381-2023")</f>
        <v/>
      </c>
      <c r="T95">
        <f>HYPERLINK("https://klasma.github.io/Logging_0188/kartor/A 6381-2023 karta.png", "A 6381-2023")</f>
        <v/>
      </c>
      <c r="V95">
        <f>HYPERLINK("https://klasma.github.io/Logging_0188/klagomål/A 6381-2023 FSC-klagomål.docx", "A 6381-2023")</f>
        <v/>
      </c>
      <c r="W95">
        <f>HYPERLINK("https://klasma.github.io/Logging_0188/klagomålsmail/A 6381-2023 FSC-klagomål mail.docx", "A 6381-2023")</f>
        <v/>
      </c>
      <c r="X95">
        <f>HYPERLINK("https://klasma.github.io/Logging_0188/tillsyn/A 6381-2023 tillsynsbegäran.docx", "A 6381-2023")</f>
        <v/>
      </c>
      <c r="Y95">
        <f>HYPERLINK("https://klasma.github.io/Logging_0188/tillsynsmail/A 6381-2023 tillsynsbegäran mail.docx", "A 6381-2023")</f>
        <v/>
      </c>
    </row>
    <row r="96" ht="15" customHeight="1">
      <c r="A96" t="inlineStr">
        <is>
          <t>A 50854-2022</t>
        </is>
      </c>
      <c r="B96" s="1" t="n">
        <v>44863</v>
      </c>
      <c r="C96" s="1" t="n">
        <v>45927</v>
      </c>
      <c r="D96" t="inlineStr">
        <is>
          <t>STOCKHOLMS LÄN</t>
        </is>
      </c>
      <c r="E96" t="inlineStr">
        <is>
          <t>NORRTÄLJE</t>
        </is>
      </c>
      <c r="G96" t="n">
        <v>2.9</v>
      </c>
      <c r="H96" t="n">
        <v>0</v>
      </c>
      <c r="I96" t="n">
        <v>1</v>
      </c>
      <c r="J96" t="n">
        <v>0</v>
      </c>
      <c r="K96" t="n">
        <v>0</v>
      </c>
      <c r="L96" t="n">
        <v>0</v>
      </c>
      <c r="M96" t="n">
        <v>0</v>
      </c>
      <c r="N96" t="n">
        <v>0</v>
      </c>
      <c r="O96" t="n">
        <v>0</v>
      </c>
      <c r="P96" t="n">
        <v>0</v>
      </c>
      <c r="Q96" t="n">
        <v>1</v>
      </c>
      <c r="R96" s="2" t="inlineStr">
        <is>
          <t>Tibast</t>
        </is>
      </c>
      <c r="S96">
        <f>HYPERLINK("https://klasma.github.io/Logging_0188/artfynd/A 50854-2022 artfynd.xlsx", "A 50854-2022")</f>
        <v/>
      </c>
      <c r="T96">
        <f>HYPERLINK("https://klasma.github.io/Logging_0188/kartor/A 50854-2022 karta.png", "A 50854-2022")</f>
        <v/>
      </c>
      <c r="V96">
        <f>HYPERLINK("https://klasma.github.io/Logging_0188/klagomål/A 50854-2022 FSC-klagomål.docx", "A 50854-2022")</f>
        <v/>
      </c>
      <c r="W96">
        <f>HYPERLINK("https://klasma.github.io/Logging_0188/klagomålsmail/A 50854-2022 FSC-klagomål mail.docx", "A 50854-2022")</f>
        <v/>
      </c>
      <c r="X96">
        <f>HYPERLINK("https://klasma.github.io/Logging_0188/tillsyn/A 50854-2022 tillsynsbegäran.docx", "A 50854-2022")</f>
        <v/>
      </c>
      <c r="Y96">
        <f>HYPERLINK("https://klasma.github.io/Logging_0188/tillsynsmail/A 50854-2022 tillsynsbegäran mail.docx", "A 50854-2022")</f>
        <v/>
      </c>
    </row>
    <row r="97" ht="15" customHeight="1">
      <c r="A97" t="inlineStr">
        <is>
          <t>A 52508-2023</t>
        </is>
      </c>
      <c r="B97" s="1" t="n">
        <v>45225</v>
      </c>
      <c r="C97" s="1" t="n">
        <v>45927</v>
      </c>
      <c r="D97" t="inlineStr">
        <is>
          <t>STOCKHOLMS LÄN</t>
        </is>
      </c>
      <c r="E97" t="inlineStr">
        <is>
          <t>NORRTÄLJE</t>
        </is>
      </c>
      <c r="G97" t="n">
        <v>19.7</v>
      </c>
      <c r="H97" t="n">
        <v>1</v>
      </c>
      <c r="I97" t="n">
        <v>0</v>
      </c>
      <c r="J97" t="n">
        <v>0</v>
      </c>
      <c r="K97" t="n">
        <v>1</v>
      </c>
      <c r="L97" t="n">
        <v>0</v>
      </c>
      <c r="M97" t="n">
        <v>0</v>
      </c>
      <c r="N97" t="n">
        <v>0</v>
      </c>
      <c r="O97" t="n">
        <v>1</v>
      </c>
      <c r="P97" t="n">
        <v>1</v>
      </c>
      <c r="Q97" t="n">
        <v>1</v>
      </c>
      <c r="R97" s="2" t="inlineStr">
        <is>
          <t>Svärta</t>
        </is>
      </c>
      <c r="S97">
        <f>HYPERLINK("https://klasma.github.io/Logging_0188/artfynd/A 52508-2023 artfynd.xlsx", "A 52508-2023")</f>
        <v/>
      </c>
      <c r="T97">
        <f>HYPERLINK("https://klasma.github.io/Logging_0188/kartor/A 52508-2023 karta.png", "A 52508-2023")</f>
        <v/>
      </c>
      <c r="V97">
        <f>HYPERLINK("https://klasma.github.io/Logging_0188/klagomål/A 52508-2023 FSC-klagomål.docx", "A 52508-2023")</f>
        <v/>
      </c>
      <c r="W97">
        <f>HYPERLINK("https://klasma.github.io/Logging_0188/klagomålsmail/A 52508-2023 FSC-klagomål mail.docx", "A 52508-2023")</f>
        <v/>
      </c>
      <c r="X97">
        <f>HYPERLINK("https://klasma.github.io/Logging_0188/tillsyn/A 52508-2023 tillsynsbegäran.docx", "A 52508-2023")</f>
        <v/>
      </c>
      <c r="Y97">
        <f>HYPERLINK("https://klasma.github.io/Logging_0188/tillsynsmail/A 52508-2023 tillsynsbegäran mail.docx", "A 52508-2023")</f>
        <v/>
      </c>
    </row>
    <row r="98" ht="15" customHeight="1">
      <c r="A98" t="inlineStr">
        <is>
          <t>A 26120-2024</t>
        </is>
      </c>
      <c r="B98" s="1" t="n">
        <v>45468.45995370371</v>
      </c>
      <c r="C98" s="1" t="n">
        <v>45927</v>
      </c>
      <c r="D98" t="inlineStr">
        <is>
          <t>STOCKHOLMS LÄN</t>
        </is>
      </c>
      <c r="E98" t="inlineStr">
        <is>
          <t>NORRTÄLJE</t>
        </is>
      </c>
      <c r="G98" t="n">
        <v>1.8</v>
      </c>
      <c r="H98" t="n">
        <v>0</v>
      </c>
      <c r="I98" t="n">
        <v>0</v>
      </c>
      <c r="J98" t="n">
        <v>1</v>
      </c>
      <c r="K98" t="n">
        <v>0</v>
      </c>
      <c r="L98" t="n">
        <v>0</v>
      </c>
      <c r="M98" t="n">
        <v>0</v>
      </c>
      <c r="N98" t="n">
        <v>0</v>
      </c>
      <c r="O98" t="n">
        <v>1</v>
      </c>
      <c r="P98" t="n">
        <v>0</v>
      </c>
      <c r="Q98" t="n">
        <v>1</v>
      </c>
      <c r="R98" s="2" t="inlineStr">
        <is>
          <t>Majviva</t>
        </is>
      </c>
      <c r="S98">
        <f>HYPERLINK("https://klasma.github.io/Logging_0188/artfynd/A 26120-2024 artfynd.xlsx", "A 26120-2024")</f>
        <v/>
      </c>
      <c r="T98">
        <f>HYPERLINK("https://klasma.github.io/Logging_0188/kartor/A 26120-2024 karta.png", "A 26120-2024")</f>
        <v/>
      </c>
      <c r="V98">
        <f>HYPERLINK("https://klasma.github.io/Logging_0188/klagomål/A 26120-2024 FSC-klagomål.docx", "A 26120-2024")</f>
        <v/>
      </c>
      <c r="W98">
        <f>HYPERLINK("https://klasma.github.io/Logging_0188/klagomålsmail/A 26120-2024 FSC-klagomål mail.docx", "A 26120-2024")</f>
        <v/>
      </c>
      <c r="X98">
        <f>HYPERLINK("https://klasma.github.io/Logging_0188/tillsyn/A 26120-2024 tillsynsbegäran.docx", "A 26120-2024")</f>
        <v/>
      </c>
      <c r="Y98">
        <f>HYPERLINK("https://klasma.github.io/Logging_0188/tillsynsmail/A 26120-2024 tillsynsbegäran mail.docx", "A 26120-2024")</f>
        <v/>
      </c>
    </row>
    <row r="99" ht="15" customHeight="1">
      <c r="A99" t="inlineStr">
        <is>
          <t>A 64456-2023</t>
        </is>
      </c>
      <c r="B99" s="1" t="n">
        <v>45280</v>
      </c>
      <c r="C99" s="1" t="n">
        <v>45927</v>
      </c>
      <c r="D99" t="inlineStr">
        <is>
          <t>STOCKHOLMS LÄN</t>
        </is>
      </c>
      <c r="E99" t="inlineStr">
        <is>
          <t>NORRTÄLJE</t>
        </is>
      </c>
      <c r="G99" t="n">
        <v>2.5</v>
      </c>
      <c r="H99" t="n">
        <v>0</v>
      </c>
      <c r="I99" t="n">
        <v>1</v>
      </c>
      <c r="J99" t="n">
        <v>0</v>
      </c>
      <c r="K99" t="n">
        <v>0</v>
      </c>
      <c r="L99" t="n">
        <v>0</v>
      </c>
      <c r="M99" t="n">
        <v>0</v>
      </c>
      <c r="N99" t="n">
        <v>0</v>
      </c>
      <c r="O99" t="n">
        <v>0</v>
      </c>
      <c r="P99" t="n">
        <v>0</v>
      </c>
      <c r="Q99" t="n">
        <v>1</v>
      </c>
      <c r="R99" s="2" t="inlineStr">
        <is>
          <t>Rödgul trumpetsvamp</t>
        </is>
      </c>
      <c r="S99">
        <f>HYPERLINK("https://klasma.github.io/Logging_0188/artfynd/A 64456-2023 artfynd.xlsx", "A 64456-2023")</f>
        <v/>
      </c>
      <c r="T99">
        <f>HYPERLINK("https://klasma.github.io/Logging_0188/kartor/A 64456-2023 karta.png", "A 64456-2023")</f>
        <v/>
      </c>
      <c r="V99">
        <f>HYPERLINK("https://klasma.github.io/Logging_0188/klagomål/A 64456-2023 FSC-klagomål.docx", "A 64456-2023")</f>
        <v/>
      </c>
      <c r="W99">
        <f>HYPERLINK("https://klasma.github.io/Logging_0188/klagomålsmail/A 64456-2023 FSC-klagomål mail.docx", "A 64456-2023")</f>
        <v/>
      </c>
      <c r="X99">
        <f>HYPERLINK("https://klasma.github.io/Logging_0188/tillsyn/A 64456-2023 tillsynsbegäran.docx", "A 64456-2023")</f>
        <v/>
      </c>
      <c r="Y99">
        <f>HYPERLINK("https://klasma.github.io/Logging_0188/tillsynsmail/A 64456-2023 tillsynsbegäran mail.docx", "A 64456-2023")</f>
        <v/>
      </c>
    </row>
    <row r="100" ht="15" customHeight="1">
      <c r="A100" t="inlineStr">
        <is>
          <t>A 29946-2025</t>
        </is>
      </c>
      <c r="B100" s="1" t="n">
        <v>45826.46392361111</v>
      </c>
      <c r="C100" s="1" t="n">
        <v>45927</v>
      </c>
      <c r="D100" t="inlineStr">
        <is>
          <t>STOCKHOLMS LÄN</t>
        </is>
      </c>
      <c r="E100" t="inlineStr">
        <is>
          <t>NORRTÄLJE</t>
        </is>
      </c>
      <c r="F100" t="inlineStr">
        <is>
          <t>Holmen skog AB</t>
        </is>
      </c>
      <c r="G100" t="n">
        <v>3.6</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29946-2025 artfynd.xlsx", "A 29946-2025")</f>
        <v/>
      </c>
      <c r="T100">
        <f>HYPERLINK("https://klasma.github.io/Logging_0188/kartor/A 29946-2025 karta.png", "A 29946-2025")</f>
        <v/>
      </c>
      <c r="V100">
        <f>HYPERLINK("https://klasma.github.io/Logging_0188/klagomål/A 29946-2025 FSC-klagomål.docx", "A 29946-2025")</f>
        <v/>
      </c>
      <c r="W100">
        <f>HYPERLINK("https://klasma.github.io/Logging_0188/klagomålsmail/A 29946-2025 FSC-klagomål mail.docx", "A 29946-2025")</f>
        <v/>
      </c>
      <c r="X100">
        <f>HYPERLINK("https://klasma.github.io/Logging_0188/tillsyn/A 29946-2025 tillsynsbegäran.docx", "A 29946-2025")</f>
        <v/>
      </c>
      <c r="Y100">
        <f>HYPERLINK("https://klasma.github.io/Logging_0188/tillsynsmail/A 29946-2025 tillsynsbegäran mail.docx", "A 29946-2025")</f>
        <v/>
      </c>
    </row>
    <row r="101" ht="15" customHeight="1">
      <c r="A101" t="inlineStr">
        <is>
          <t>A 24330-2023</t>
        </is>
      </c>
      <c r="B101" s="1" t="n">
        <v>45081</v>
      </c>
      <c r="C101" s="1" t="n">
        <v>45927</v>
      </c>
      <c r="D101" t="inlineStr">
        <is>
          <t>STOCKHOLMS LÄN</t>
        </is>
      </c>
      <c r="E101" t="inlineStr">
        <is>
          <t>NORRTÄLJE</t>
        </is>
      </c>
      <c r="G101" t="n">
        <v>5</v>
      </c>
      <c r="H101" t="n">
        <v>1</v>
      </c>
      <c r="I101" t="n">
        <v>0</v>
      </c>
      <c r="J101" t="n">
        <v>1</v>
      </c>
      <c r="K101" t="n">
        <v>0</v>
      </c>
      <c r="L101" t="n">
        <v>0</v>
      </c>
      <c r="M101" t="n">
        <v>0</v>
      </c>
      <c r="N101" t="n">
        <v>0</v>
      </c>
      <c r="O101" t="n">
        <v>1</v>
      </c>
      <c r="P101" t="n">
        <v>0</v>
      </c>
      <c r="Q101" t="n">
        <v>1</v>
      </c>
      <c r="R101" s="2" t="inlineStr">
        <is>
          <t>Mindre hackspett</t>
        </is>
      </c>
      <c r="S101">
        <f>HYPERLINK("https://klasma.github.io/Logging_0188/artfynd/A 24330-2023 artfynd.xlsx", "A 24330-2023")</f>
        <v/>
      </c>
      <c r="T101">
        <f>HYPERLINK("https://klasma.github.io/Logging_0188/kartor/A 24330-2023 karta.png", "A 24330-2023")</f>
        <v/>
      </c>
      <c r="V101">
        <f>HYPERLINK("https://klasma.github.io/Logging_0188/klagomål/A 24330-2023 FSC-klagomål.docx", "A 24330-2023")</f>
        <v/>
      </c>
      <c r="W101">
        <f>HYPERLINK("https://klasma.github.io/Logging_0188/klagomålsmail/A 24330-2023 FSC-klagomål mail.docx", "A 24330-2023")</f>
        <v/>
      </c>
      <c r="X101">
        <f>HYPERLINK("https://klasma.github.io/Logging_0188/tillsyn/A 24330-2023 tillsynsbegäran.docx", "A 24330-2023")</f>
        <v/>
      </c>
      <c r="Y101">
        <f>HYPERLINK("https://klasma.github.io/Logging_0188/tillsynsmail/A 24330-2023 tillsynsbegäran mail.docx", "A 24330-2023")</f>
        <v/>
      </c>
      <c r="Z101">
        <f>HYPERLINK("https://klasma.github.io/Logging_0188/fåglar/A 24330-2023 prioriterade fågelarter.docx", "A 24330-2023")</f>
        <v/>
      </c>
    </row>
    <row r="102" ht="15" customHeight="1">
      <c r="A102" t="inlineStr">
        <is>
          <t>A 21744-2023</t>
        </is>
      </c>
      <c r="B102" s="1" t="n">
        <v>45065</v>
      </c>
      <c r="C102" s="1" t="n">
        <v>45927</v>
      </c>
      <c r="D102" t="inlineStr">
        <is>
          <t>STOCKHOLMS LÄN</t>
        </is>
      </c>
      <c r="E102" t="inlineStr">
        <is>
          <t>NORRTÄLJE</t>
        </is>
      </c>
      <c r="F102" t="inlineStr">
        <is>
          <t>Holmen skog AB</t>
        </is>
      </c>
      <c r="G102" t="n">
        <v>4.2</v>
      </c>
      <c r="H102" t="n">
        <v>0</v>
      </c>
      <c r="I102" t="n">
        <v>1</v>
      </c>
      <c r="J102" t="n">
        <v>0</v>
      </c>
      <c r="K102" t="n">
        <v>0</v>
      </c>
      <c r="L102" t="n">
        <v>0</v>
      </c>
      <c r="M102" t="n">
        <v>0</v>
      </c>
      <c r="N102" t="n">
        <v>0</v>
      </c>
      <c r="O102" t="n">
        <v>0</v>
      </c>
      <c r="P102" t="n">
        <v>0</v>
      </c>
      <c r="Q102" t="n">
        <v>1</v>
      </c>
      <c r="R102" s="2" t="inlineStr">
        <is>
          <t>Korallblylav</t>
        </is>
      </c>
      <c r="S102">
        <f>HYPERLINK("https://klasma.github.io/Logging_0188/artfynd/A 21744-2023 artfynd.xlsx", "A 21744-2023")</f>
        <v/>
      </c>
      <c r="T102">
        <f>HYPERLINK("https://klasma.github.io/Logging_0188/kartor/A 21744-2023 karta.png", "A 21744-2023")</f>
        <v/>
      </c>
      <c r="V102">
        <f>HYPERLINK("https://klasma.github.io/Logging_0188/klagomål/A 21744-2023 FSC-klagomål.docx", "A 21744-2023")</f>
        <v/>
      </c>
      <c r="W102">
        <f>HYPERLINK("https://klasma.github.io/Logging_0188/klagomålsmail/A 21744-2023 FSC-klagomål mail.docx", "A 21744-2023")</f>
        <v/>
      </c>
      <c r="X102">
        <f>HYPERLINK("https://klasma.github.io/Logging_0188/tillsyn/A 21744-2023 tillsynsbegäran.docx", "A 21744-2023")</f>
        <v/>
      </c>
      <c r="Y102">
        <f>HYPERLINK("https://klasma.github.io/Logging_0188/tillsynsmail/A 21744-2023 tillsynsbegäran mail.docx", "A 21744-2023")</f>
        <v/>
      </c>
    </row>
    <row r="103" ht="15" customHeight="1">
      <c r="A103" t="inlineStr">
        <is>
          <t>A 33548-2025</t>
        </is>
      </c>
      <c r="B103" s="1" t="n">
        <v>45841.5721875</v>
      </c>
      <c r="C103" s="1" t="n">
        <v>45927</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33546-2025</t>
        </is>
      </c>
      <c r="B104" s="1" t="n">
        <v>45841.56996527778</v>
      </c>
      <c r="C104" s="1" t="n">
        <v>45927</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1162-2021</t>
        </is>
      </c>
      <c r="B105" s="1" t="n">
        <v>44207</v>
      </c>
      <c r="C105" s="1" t="n">
        <v>45927</v>
      </c>
      <c r="D105" t="inlineStr">
        <is>
          <t>STOCKHOLMS LÄN</t>
        </is>
      </c>
      <c r="E105" t="inlineStr">
        <is>
          <t>NORRTÄLJE</t>
        </is>
      </c>
      <c r="G105" t="n">
        <v>2.2</v>
      </c>
      <c r="H105" t="n">
        <v>1</v>
      </c>
      <c r="I105" t="n">
        <v>0</v>
      </c>
      <c r="J105" t="n">
        <v>0</v>
      </c>
      <c r="K105" t="n">
        <v>1</v>
      </c>
      <c r="L105" t="n">
        <v>0</v>
      </c>
      <c r="M105" t="n">
        <v>0</v>
      </c>
      <c r="N105" t="n">
        <v>0</v>
      </c>
      <c r="O105" t="n">
        <v>1</v>
      </c>
      <c r="P105" t="n">
        <v>1</v>
      </c>
      <c r="Q105" t="n">
        <v>1</v>
      </c>
      <c r="R105" s="2" t="inlineStr">
        <is>
          <t>Hällebräcka</t>
        </is>
      </c>
      <c r="S105">
        <f>HYPERLINK("https://klasma.github.io/Logging_0188/artfynd/A 1162-2021 artfynd.xlsx", "A 1162-2021")</f>
        <v/>
      </c>
      <c r="T105">
        <f>HYPERLINK("https://klasma.github.io/Logging_0188/kartor/A 1162-2021 karta.png", "A 1162-2021")</f>
        <v/>
      </c>
      <c r="V105">
        <f>HYPERLINK("https://klasma.github.io/Logging_0188/klagomål/A 1162-2021 FSC-klagomål.docx", "A 1162-2021")</f>
        <v/>
      </c>
      <c r="W105">
        <f>HYPERLINK("https://klasma.github.io/Logging_0188/klagomålsmail/A 1162-2021 FSC-klagomål mail.docx", "A 1162-2021")</f>
        <v/>
      </c>
      <c r="X105">
        <f>HYPERLINK("https://klasma.github.io/Logging_0188/tillsyn/A 1162-2021 tillsynsbegäran.docx", "A 1162-2021")</f>
        <v/>
      </c>
      <c r="Y105">
        <f>HYPERLINK("https://klasma.github.io/Logging_0188/tillsynsmail/A 1162-2021 tillsynsbegäran mail.docx", "A 1162-2021")</f>
        <v/>
      </c>
    </row>
    <row r="106" ht="15" customHeight="1">
      <c r="A106" t="inlineStr">
        <is>
          <t>A 27827-2022</t>
        </is>
      </c>
      <c r="B106" s="1" t="n">
        <v>44743.59504629629</v>
      </c>
      <c r="C106" s="1" t="n">
        <v>45927</v>
      </c>
      <c r="D106" t="inlineStr">
        <is>
          <t>STOCKHOLMS LÄN</t>
        </is>
      </c>
      <c r="E106" t="inlineStr">
        <is>
          <t>NORRTÄLJE</t>
        </is>
      </c>
      <c r="F106" t="inlineStr">
        <is>
          <t>Holmen skog AB</t>
        </is>
      </c>
      <c r="G106" t="n">
        <v>4.7</v>
      </c>
      <c r="H106" t="n">
        <v>1</v>
      </c>
      <c r="I106" t="n">
        <v>0</v>
      </c>
      <c r="J106" t="n">
        <v>1</v>
      </c>
      <c r="K106" t="n">
        <v>0</v>
      </c>
      <c r="L106" t="n">
        <v>0</v>
      </c>
      <c r="M106" t="n">
        <v>0</v>
      </c>
      <c r="N106" t="n">
        <v>0</v>
      </c>
      <c r="O106" t="n">
        <v>1</v>
      </c>
      <c r="P106" t="n">
        <v>0</v>
      </c>
      <c r="Q106" t="n">
        <v>1</v>
      </c>
      <c r="R106" s="2" t="inlineStr">
        <is>
          <t>Nordfladdermus</t>
        </is>
      </c>
      <c r="S106">
        <f>HYPERLINK("https://klasma.github.io/Logging_0188/artfynd/A 27827-2022 artfynd.xlsx", "A 27827-2022")</f>
        <v/>
      </c>
      <c r="T106">
        <f>HYPERLINK("https://klasma.github.io/Logging_0188/kartor/A 27827-2022 karta.png", "A 27827-2022")</f>
        <v/>
      </c>
      <c r="V106">
        <f>HYPERLINK("https://klasma.github.io/Logging_0188/klagomål/A 27827-2022 FSC-klagomål.docx", "A 27827-2022")</f>
        <v/>
      </c>
      <c r="W106">
        <f>HYPERLINK("https://klasma.github.io/Logging_0188/klagomålsmail/A 27827-2022 FSC-klagomål mail.docx", "A 27827-2022")</f>
        <v/>
      </c>
      <c r="X106">
        <f>HYPERLINK("https://klasma.github.io/Logging_0188/tillsyn/A 27827-2022 tillsynsbegäran.docx", "A 27827-2022")</f>
        <v/>
      </c>
      <c r="Y106">
        <f>HYPERLINK("https://klasma.github.io/Logging_0188/tillsynsmail/A 27827-2022 tillsynsbegäran mail.docx", "A 27827-2022")</f>
        <v/>
      </c>
    </row>
    <row r="107" ht="15" customHeight="1">
      <c r="A107" t="inlineStr">
        <is>
          <t>A 52611-2024</t>
        </is>
      </c>
      <c r="B107" s="1" t="n">
        <v>45609.83747685186</v>
      </c>
      <c r="C107" s="1" t="n">
        <v>45927</v>
      </c>
      <c r="D107" t="inlineStr">
        <is>
          <t>STOCKHOLMS LÄN</t>
        </is>
      </c>
      <c r="E107" t="inlineStr">
        <is>
          <t>NORRTÄLJE</t>
        </is>
      </c>
      <c r="G107" t="n">
        <v>10.6</v>
      </c>
      <c r="H107" t="n">
        <v>1</v>
      </c>
      <c r="I107" t="n">
        <v>0</v>
      </c>
      <c r="J107" t="n">
        <v>0</v>
      </c>
      <c r="K107" t="n">
        <v>0</v>
      </c>
      <c r="L107" t="n">
        <v>0</v>
      </c>
      <c r="M107" t="n">
        <v>0</v>
      </c>
      <c r="N107" t="n">
        <v>0</v>
      </c>
      <c r="O107" t="n">
        <v>0</v>
      </c>
      <c r="P107" t="n">
        <v>0</v>
      </c>
      <c r="Q107" t="n">
        <v>1</v>
      </c>
      <c r="R107" s="2" t="inlineStr">
        <is>
          <t>Blåsippa</t>
        </is>
      </c>
      <c r="S107">
        <f>HYPERLINK("https://klasma.github.io/Logging_0188/artfynd/A 52611-2024 artfynd.xlsx", "A 52611-2024")</f>
        <v/>
      </c>
      <c r="T107">
        <f>HYPERLINK("https://klasma.github.io/Logging_0188/kartor/A 52611-2024 karta.png", "A 52611-2024")</f>
        <v/>
      </c>
      <c r="V107">
        <f>HYPERLINK("https://klasma.github.io/Logging_0188/klagomål/A 52611-2024 FSC-klagomål.docx", "A 52611-2024")</f>
        <v/>
      </c>
      <c r="W107">
        <f>HYPERLINK("https://klasma.github.io/Logging_0188/klagomålsmail/A 52611-2024 FSC-klagomål mail.docx", "A 52611-2024")</f>
        <v/>
      </c>
      <c r="X107">
        <f>HYPERLINK("https://klasma.github.io/Logging_0188/tillsyn/A 52611-2024 tillsynsbegäran.docx", "A 52611-2024")</f>
        <v/>
      </c>
      <c r="Y107">
        <f>HYPERLINK("https://klasma.github.io/Logging_0188/tillsynsmail/A 52611-2024 tillsynsbegäran mail.docx", "A 52611-2024")</f>
        <v/>
      </c>
    </row>
    <row r="108" ht="15" customHeight="1">
      <c r="A108" t="inlineStr">
        <is>
          <t>A 17952-2022</t>
        </is>
      </c>
      <c r="B108" s="1" t="n">
        <v>44683</v>
      </c>
      <c r="C108" s="1" t="n">
        <v>45927</v>
      </c>
      <c r="D108" t="inlineStr">
        <is>
          <t>STOCKHOLMS LÄN</t>
        </is>
      </c>
      <c r="E108" t="inlineStr">
        <is>
          <t>NORRTÄLJE</t>
        </is>
      </c>
      <c r="G108" t="n">
        <v>51.1</v>
      </c>
      <c r="H108" t="n">
        <v>0</v>
      </c>
      <c r="I108" t="n">
        <v>0</v>
      </c>
      <c r="J108" t="n">
        <v>0</v>
      </c>
      <c r="K108" t="n">
        <v>1</v>
      </c>
      <c r="L108" t="n">
        <v>0</v>
      </c>
      <c r="M108" t="n">
        <v>0</v>
      </c>
      <c r="N108" t="n">
        <v>0</v>
      </c>
      <c r="O108" t="n">
        <v>1</v>
      </c>
      <c r="P108" t="n">
        <v>1</v>
      </c>
      <c r="Q108" t="n">
        <v>1</v>
      </c>
      <c r="R108" s="2" t="inlineStr">
        <is>
          <t>Kattunvisslare</t>
        </is>
      </c>
      <c r="S108">
        <f>HYPERLINK("https://klasma.github.io/Logging_0188/artfynd/A 17952-2022 artfynd.xlsx", "A 17952-2022")</f>
        <v/>
      </c>
      <c r="T108">
        <f>HYPERLINK("https://klasma.github.io/Logging_0188/kartor/A 17952-2022 karta.png", "A 17952-2022")</f>
        <v/>
      </c>
      <c r="V108">
        <f>HYPERLINK("https://klasma.github.io/Logging_0188/klagomål/A 17952-2022 FSC-klagomål.docx", "A 17952-2022")</f>
        <v/>
      </c>
      <c r="W108">
        <f>HYPERLINK("https://klasma.github.io/Logging_0188/klagomålsmail/A 17952-2022 FSC-klagomål mail.docx", "A 17952-2022")</f>
        <v/>
      </c>
      <c r="X108">
        <f>HYPERLINK("https://klasma.github.io/Logging_0188/tillsyn/A 17952-2022 tillsynsbegäran.docx", "A 17952-2022")</f>
        <v/>
      </c>
      <c r="Y108">
        <f>HYPERLINK("https://klasma.github.io/Logging_0188/tillsynsmail/A 17952-2022 tillsynsbegäran mail.docx", "A 17952-2022")</f>
        <v/>
      </c>
    </row>
    <row r="109" ht="15" customHeight="1">
      <c r="A109" t="inlineStr">
        <is>
          <t>A 39158-2025</t>
        </is>
      </c>
      <c r="B109" s="1" t="n">
        <v>45888.62712962963</v>
      </c>
      <c r="C109" s="1" t="n">
        <v>45927</v>
      </c>
      <c r="D109" t="inlineStr">
        <is>
          <t>STOCKHOLMS LÄN</t>
        </is>
      </c>
      <c r="E109" t="inlineStr">
        <is>
          <t>NORRTÄLJE</t>
        </is>
      </c>
      <c r="G109" t="n">
        <v>1.5</v>
      </c>
      <c r="H109" t="n">
        <v>1</v>
      </c>
      <c r="I109" t="n">
        <v>0</v>
      </c>
      <c r="J109" t="n">
        <v>0</v>
      </c>
      <c r="K109" t="n">
        <v>0</v>
      </c>
      <c r="L109" t="n">
        <v>0</v>
      </c>
      <c r="M109" t="n">
        <v>0</v>
      </c>
      <c r="N109" t="n">
        <v>0</v>
      </c>
      <c r="O109" t="n">
        <v>0</v>
      </c>
      <c r="P109" t="n">
        <v>0</v>
      </c>
      <c r="Q109" t="n">
        <v>1</v>
      </c>
      <c r="R109" s="2" t="inlineStr">
        <is>
          <t>Blåsippa</t>
        </is>
      </c>
      <c r="S109">
        <f>HYPERLINK("https://klasma.github.io/Logging_0188/artfynd/A 39158-2025 artfynd.xlsx", "A 39158-2025")</f>
        <v/>
      </c>
      <c r="T109">
        <f>HYPERLINK("https://klasma.github.io/Logging_0188/kartor/A 39158-2025 karta.png", "A 39158-2025")</f>
        <v/>
      </c>
      <c r="V109">
        <f>HYPERLINK("https://klasma.github.io/Logging_0188/klagomål/A 39158-2025 FSC-klagomål.docx", "A 39158-2025")</f>
        <v/>
      </c>
      <c r="W109">
        <f>HYPERLINK("https://klasma.github.io/Logging_0188/klagomålsmail/A 39158-2025 FSC-klagomål mail.docx", "A 39158-2025")</f>
        <v/>
      </c>
      <c r="X109">
        <f>HYPERLINK("https://klasma.github.io/Logging_0188/tillsyn/A 39158-2025 tillsynsbegäran.docx", "A 39158-2025")</f>
        <v/>
      </c>
      <c r="Y109">
        <f>HYPERLINK("https://klasma.github.io/Logging_0188/tillsynsmail/A 39158-2025 tillsynsbegäran mail.docx", "A 39158-2025")</f>
        <v/>
      </c>
    </row>
    <row r="110" ht="15" customHeight="1">
      <c r="A110" t="inlineStr">
        <is>
          <t>A 23146-2024</t>
        </is>
      </c>
      <c r="B110" s="1" t="n">
        <v>45450.63958333333</v>
      </c>
      <c r="C110" s="1" t="n">
        <v>45927</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13271-2025</t>
        </is>
      </c>
      <c r="B111" s="1" t="n">
        <v>45735.54510416667</v>
      </c>
      <c r="C111" s="1" t="n">
        <v>45927</v>
      </c>
      <c r="D111" t="inlineStr">
        <is>
          <t>STOCKHOLMS LÄN</t>
        </is>
      </c>
      <c r="E111" t="inlineStr">
        <is>
          <t>NORRTÄLJE</t>
        </is>
      </c>
      <c r="G111" t="n">
        <v>7.2</v>
      </c>
      <c r="H111" t="n">
        <v>1</v>
      </c>
      <c r="I111" t="n">
        <v>0</v>
      </c>
      <c r="J111" t="n">
        <v>0</v>
      </c>
      <c r="K111" t="n">
        <v>0</v>
      </c>
      <c r="L111" t="n">
        <v>1</v>
      </c>
      <c r="M111" t="n">
        <v>0</v>
      </c>
      <c r="N111" t="n">
        <v>0</v>
      </c>
      <c r="O111" t="n">
        <v>1</v>
      </c>
      <c r="P111" t="n">
        <v>1</v>
      </c>
      <c r="Q111" t="n">
        <v>1</v>
      </c>
      <c r="R111" s="2" t="inlineStr">
        <is>
          <t>Asknätfjäril</t>
        </is>
      </c>
      <c r="S111">
        <f>HYPERLINK("https://klasma.github.io/Logging_0188/artfynd/A 13271-2025 artfynd.xlsx", "A 13271-2025")</f>
        <v/>
      </c>
      <c r="T111">
        <f>HYPERLINK("https://klasma.github.io/Logging_0188/kartor/A 13271-2025 karta.png", "A 13271-2025")</f>
        <v/>
      </c>
      <c r="V111">
        <f>HYPERLINK("https://klasma.github.io/Logging_0188/klagomål/A 13271-2025 FSC-klagomål.docx", "A 13271-2025")</f>
        <v/>
      </c>
      <c r="W111">
        <f>HYPERLINK("https://klasma.github.io/Logging_0188/klagomålsmail/A 13271-2025 FSC-klagomål mail.docx", "A 13271-2025")</f>
        <v/>
      </c>
      <c r="X111">
        <f>HYPERLINK("https://klasma.github.io/Logging_0188/tillsyn/A 13271-2025 tillsynsbegäran.docx", "A 13271-2025")</f>
        <v/>
      </c>
      <c r="Y111">
        <f>HYPERLINK("https://klasma.github.io/Logging_0188/tillsynsmail/A 13271-2025 tillsynsbegäran mail.docx", "A 13271-2025")</f>
        <v/>
      </c>
    </row>
    <row r="112" ht="15" customHeight="1">
      <c r="A112" t="inlineStr">
        <is>
          <t>A 27538-2024</t>
        </is>
      </c>
      <c r="B112" s="1" t="n">
        <v>45474</v>
      </c>
      <c r="C112" s="1" t="n">
        <v>45927</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40861-2025</t>
        </is>
      </c>
      <c r="B113" s="1" t="n">
        <v>45897.56356481482</v>
      </c>
      <c r="C113" s="1" t="n">
        <v>45927</v>
      </c>
      <c r="D113" t="inlineStr">
        <is>
          <t>STOCKHOLMS LÄN</t>
        </is>
      </c>
      <c r="E113" t="inlineStr">
        <is>
          <t>NORRTÄLJE</t>
        </is>
      </c>
      <c r="G113" t="n">
        <v>4</v>
      </c>
      <c r="H113" t="n">
        <v>0</v>
      </c>
      <c r="I113" t="n">
        <v>0</v>
      </c>
      <c r="J113" t="n">
        <v>1</v>
      </c>
      <c r="K113" t="n">
        <v>0</v>
      </c>
      <c r="L113" t="n">
        <v>0</v>
      </c>
      <c r="M113" t="n">
        <v>0</v>
      </c>
      <c r="N113" t="n">
        <v>0</v>
      </c>
      <c r="O113" t="n">
        <v>1</v>
      </c>
      <c r="P113" t="n">
        <v>0</v>
      </c>
      <c r="Q113" t="n">
        <v>1</v>
      </c>
      <c r="R113" s="2" t="inlineStr">
        <is>
          <t>Skogsklocka</t>
        </is>
      </c>
      <c r="S113">
        <f>HYPERLINK("https://klasma.github.io/Logging_0188/artfynd/A 40861-2025 artfynd.xlsx", "A 40861-2025")</f>
        <v/>
      </c>
      <c r="T113">
        <f>HYPERLINK("https://klasma.github.io/Logging_0188/kartor/A 40861-2025 karta.png", "A 40861-2025")</f>
        <v/>
      </c>
      <c r="V113">
        <f>HYPERLINK("https://klasma.github.io/Logging_0188/klagomål/A 40861-2025 FSC-klagomål.docx", "A 40861-2025")</f>
        <v/>
      </c>
      <c r="W113">
        <f>HYPERLINK("https://klasma.github.io/Logging_0188/klagomålsmail/A 40861-2025 FSC-klagomål mail.docx", "A 40861-2025")</f>
        <v/>
      </c>
      <c r="X113">
        <f>HYPERLINK("https://klasma.github.io/Logging_0188/tillsyn/A 40861-2025 tillsynsbegäran.docx", "A 40861-2025")</f>
        <v/>
      </c>
      <c r="Y113">
        <f>HYPERLINK("https://klasma.github.io/Logging_0188/tillsynsmail/A 40861-2025 tillsynsbegäran mail.docx", "A 40861-2025")</f>
        <v/>
      </c>
    </row>
    <row r="114" ht="15" customHeight="1">
      <c r="A114" t="inlineStr">
        <is>
          <t>A 48131-2023</t>
        </is>
      </c>
      <c r="B114" s="1" t="n">
        <v>45205</v>
      </c>
      <c r="C114" s="1" t="n">
        <v>45927</v>
      </c>
      <c r="D114" t="inlineStr">
        <is>
          <t>STOCKHOLMS LÄN</t>
        </is>
      </c>
      <c r="E114" t="inlineStr">
        <is>
          <t>NORRTÄLJE</t>
        </is>
      </c>
      <c r="G114" t="n">
        <v>2.3</v>
      </c>
      <c r="H114" t="n">
        <v>0</v>
      </c>
      <c r="I114" t="n">
        <v>0</v>
      </c>
      <c r="J114" t="n">
        <v>1</v>
      </c>
      <c r="K114" t="n">
        <v>0</v>
      </c>
      <c r="L114" t="n">
        <v>0</v>
      </c>
      <c r="M114" t="n">
        <v>0</v>
      </c>
      <c r="N114" t="n">
        <v>0</v>
      </c>
      <c r="O114" t="n">
        <v>1</v>
      </c>
      <c r="P114" t="n">
        <v>0</v>
      </c>
      <c r="Q114" t="n">
        <v>1</v>
      </c>
      <c r="R114" s="2" t="inlineStr">
        <is>
          <t>Slåtterfibbla</t>
        </is>
      </c>
      <c r="S114">
        <f>HYPERLINK("https://klasma.github.io/Logging_0188/artfynd/A 48131-2023 artfynd.xlsx", "A 48131-2023")</f>
        <v/>
      </c>
      <c r="T114">
        <f>HYPERLINK("https://klasma.github.io/Logging_0188/kartor/A 48131-2023 karta.png", "A 48131-2023")</f>
        <v/>
      </c>
      <c r="V114">
        <f>HYPERLINK("https://klasma.github.io/Logging_0188/klagomål/A 48131-2023 FSC-klagomål.docx", "A 48131-2023")</f>
        <v/>
      </c>
      <c r="W114">
        <f>HYPERLINK("https://klasma.github.io/Logging_0188/klagomålsmail/A 48131-2023 FSC-klagomål mail.docx", "A 48131-2023")</f>
        <v/>
      </c>
      <c r="X114">
        <f>HYPERLINK("https://klasma.github.io/Logging_0188/tillsyn/A 48131-2023 tillsynsbegäran.docx", "A 48131-2023")</f>
        <v/>
      </c>
      <c r="Y114">
        <f>HYPERLINK("https://klasma.github.io/Logging_0188/tillsynsmail/A 48131-2023 tillsynsbegäran mail.docx", "A 48131-2023")</f>
        <v/>
      </c>
    </row>
    <row r="115" ht="15" customHeight="1">
      <c r="A115" t="inlineStr">
        <is>
          <t>A 42313-2025</t>
        </is>
      </c>
      <c r="B115" s="1" t="n">
        <v>45904.6575</v>
      </c>
      <c r="C115" s="1" t="n">
        <v>45927</v>
      </c>
      <c r="D115" t="inlineStr">
        <is>
          <t>STOCKHOLMS LÄN</t>
        </is>
      </c>
      <c r="E115" t="inlineStr">
        <is>
          <t>NORRTÄLJE</t>
        </is>
      </c>
      <c r="G115" t="n">
        <v>1.7</v>
      </c>
      <c r="H115" t="n">
        <v>1</v>
      </c>
      <c r="I115" t="n">
        <v>0</v>
      </c>
      <c r="J115" t="n">
        <v>0</v>
      </c>
      <c r="K115" t="n">
        <v>0</v>
      </c>
      <c r="L115" t="n">
        <v>0</v>
      </c>
      <c r="M115" t="n">
        <v>0</v>
      </c>
      <c r="N115" t="n">
        <v>0</v>
      </c>
      <c r="O115" t="n">
        <v>0</v>
      </c>
      <c r="P115" t="n">
        <v>0</v>
      </c>
      <c r="Q115" t="n">
        <v>1</v>
      </c>
      <c r="R115" s="2" t="inlineStr">
        <is>
          <t>Vanlig padda</t>
        </is>
      </c>
      <c r="S115">
        <f>HYPERLINK("https://klasma.github.io/Logging_0188/artfynd/A 42313-2025 artfynd.xlsx", "A 42313-2025")</f>
        <v/>
      </c>
      <c r="T115">
        <f>HYPERLINK("https://klasma.github.io/Logging_0188/kartor/A 42313-2025 karta.png", "A 42313-2025")</f>
        <v/>
      </c>
      <c r="V115">
        <f>HYPERLINK("https://klasma.github.io/Logging_0188/klagomål/A 42313-2025 FSC-klagomål.docx", "A 42313-2025")</f>
        <v/>
      </c>
      <c r="W115">
        <f>HYPERLINK("https://klasma.github.io/Logging_0188/klagomålsmail/A 42313-2025 FSC-klagomål mail.docx", "A 42313-2025")</f>
        <v/>
      </c>
      <c r="X115">
        <f>HYPERLINK("https://klasma.github.io/Logging_0188/tillsyn/A 42313-2025 tillsynsbegäran.docx", "A 42313-2025")</f>
        <v/>
      </c>
      <c r="Y115">
        <f>HYPERLINK("https://klasma.github.io/Logging_0188/tillsynsmail/A 42313-2025 tillsynsbegäran mail.docx", "A 42313-2025")</f>
        <v/>
      </c>
    </row>
    <row r="116" ht="15" customHeight="1">
      <c r="A116" t="inlineStr">
        <is>
          <t>A 26635-2023</t>
        </is>
      </c>
      <c r="B116" s="1" t="n">
        <v>45092</v>
      </c>
      <c r="C116" s="1" t="n">
        <v>45927</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21150-2022</t>
        </is>
      </c>
      <c r="B117" s="1" t="n">
        <v>44704</v>
      </c>
      <c r="C117" s="1" t="n">
        <v>45927</v>
      </c>
      <c r="D117" t="inlineStr">
        <is>
          <t>STOCKHOLMS LÄN</t>
        </is>
      </c>
      <c r="E117" t="inlineStr">
        <is>
          <t>NORRTÄLJE</t>
        </is>
      </c>
      <c r="G117" t="n">
        <v>12.5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21150-2022 artfynd.xlsx", "A 21150-2022")</f>
        <v/>
      </c>
      <c r="T117">
        <f>HYPERLINK("https://klasma.github.io/Logging_0188/kartor/A 21150-2022 karta.png", "A 21150-2022")</f>
        <v/>
      </c>
      <c r="V117">
        <f>HYPERLINK("https://klasma.github.io/Logging_0188/klagomål/A 21150-2022 FSC-klagomål.docx", "A 21150-2022")</f>
        <v/>
      </c>
      <c r="W117">
        <f>HYPERLINK("https://klasma.github.io/Logging_0188/klagomålsmail/A 21150-2022 FSC-klagomål mail.docx", "A 21150-2022")</f>
        <v/>
      </c>
      <c r="X117">
        <f>HYPERLINK("https://klasma.github.io/Logging_0188/tillsyn/A 21150-2022 tillsynsbegäran.docx", "A 21150-2022")</f>
        <v/>
      </c>
      <c r="Y117">
        <f>HYPERLINK("https://klasma.github.io/Logging_0188/tillsynsmail/A 21150-2022 tillsynsbegäran mail.docx", "A 21150-2022")</f>
        <v/>
      </c>
    </row>
    <row r="118" ht="15" customHeight="1">
      <c r="A118" t="inlineStr">
        <is>
          <t>A 8371-2025</t>
        </is>
      </c>
      <c r="B118" s="1" t="n">
        <v>45708</v>
      </c>
      <c r="C118" s="1" t="n">
        <v>45927</v>
      </c>
      <c r="D118" t="inlineStr">
        <is>
          <t>STOCKHOLMS LÄN</t>
        </is>
      </c>
      <c r="E118" t="inlineStr">
        <is>
          <t>NORRTÄLJE</t>
        </is>
      </c>
      <c r="F118" t="inlineStr">
        <is>
          <t>Övriga Aktiebolag</t>
        </is>
      </c>
      <c r="G118" t="n">
        <v>2.9</v>
      </c>
      <c r="H118" t="n">
        <v>1</v>
      </c>
      <c r="I118" t="n">
        <v>0</v>
      </c>
      <c r="J118" t="n">
        <v>1</v>
      </c>
      <c r="K118" t="n">
        <v>0</v>
      </c>
      <c r="L118" t="n">
        <v>0</v>
      </c>
      <c r="M118" t="n">
        <v>0</v>
      </c>
      <c r="N118" t="n">
        <v>0</v>
      </c>
      <c r="O118" t="n">
        <v>1</v>
      </c>
      <c r="P118" t="n">
        <v>0</v>
      </c>
      <c r="Q118" t="n">
        <v>1</v>
      </c>
      <c r="R118" s="2" t="inlineStr">
        <is>
          <t>Spillkråka</t>
        </is>
      </c>
      <c r="S118">
        <f>HYPERLINK("https://klasma.github.io/Logging_0188/artfynd/A 8371-2025 artfynd.xlsx", "A 8371-2025")</f>
        <v/>
      </c>
      <c r="T118">
        <f>HYPERLINK("https://klasma.github.io/Logging_0188/kartor/A 8371-2025 karta.png", "A 8371-2025")</f>
        <v/>
      </c>
      <c r="V118">
        <f>HYPERLINK("https://klasma.github.io/Logging_0188/klagomål/A 8371-2025 FSC-klagomål.docx", "A 8371-2025")</f>
        <v/>
      </c>
      <c r="W118">
        <f>HYPERLINK("https://klasma.github.io/Logging_0188/klagomålsmail/A 8371-2025 FSC-klagomål mail.docx", "A 8371-2025")</f>
        <v/>
      </c>
      <c r="X118">
        <f>HYPERLINK("https://klasma.github.io/Logging_0188/tillsyn/A 8371-2025 tillsynsbegäran.docx", "A 8371-2025")</f>
        <v/>
      </c>
      <c r="Y118">
        <f>HYPERLINK("https://klasma.github.io/Logging_0188/tillsynsmail/A 8371-2025 tillsynsbegäran mail.docx", "A 8371-2025")</f>
        <v/>
      </c>
      <c r="Z118">
        <f>HYPERLINK("https://klasma.github.io/Logging_0188/fåglar/A 8371-2025 prioriterade fågelarter.docx", "A 8371-2025")</f>
        <v/>
      </c>
    </row>
    <row r="119" ht="15" customHeight="1">
      <c r="A119" t="inlineStr">
        <is>
          <t>A 1970-2021</t>
        </is>
      </c>
      <c r="B119" s="1" t="n">
        <v>44210</v>
      </c>
      <c r="C119" s="1" t="n">
        <v>45927</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45927</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45927</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45927</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45927</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45927</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45927</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45927</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45927</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45927</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45927</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45927</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45927</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45927</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24977-2022</t>
        </is>
      </c>
      <c r="B133" s="1" t="n">
        <v>44728.73465277778</v>
      </c>
      <c r="C133" s="1" t="n">
        <v>45927</v>
      </c>
      <c r="D133" t="inlineStr">
        <is>
          <t>STOCKHOLMS LÄN</t>
        </is>
      </c>
      <c r="E133" t="inlineStr">
        <is>
          <t>NORRTÄLJE</t>
        </is>
      </c>
      <c r="F133" t="inlineStr">
        <is>
          <t>Kyrkan</t>
        </is>
      </c>
      <c r="G133" t="n">
        <v>1</v>
      </c>
      <c r="H133" t="n">
        <v>0</v>
      </c>
      <c r="I133" t="n">
        <v>0</v>
      </c>
      <c r="J133" t="n">
        <v>0</v>
      </c>
      <c r="K133" t="n">
        <v>0</v>
      </c>
      <c r="L133" t="n">
        <v>0</v>
      </c>
      <c r="M133" t="n">
        <v>0</v>
      </c>
      <c r="N133" t="n">
        <v>0</v>
      </c>
      <c r="O133" t="n">
        <v>0</v>
      </c>
      <c r="P133" t="n">
        <v>0</v>
      </c>
      <c r="Q133" t="n">
        <v>0</v>
      </c>
      <c r="R133" s="2" t="inlineStr"/>
    </row>
    <row r="134" ht="15" customHeight="1">
      <c r="A134" t="inlineStr">
        <is>
          <t>A 11821-2022</t>
        </is>
      </c>
      <c r="B134" s="1" t="n">
        <v>44634</v>
      </c>
      <c r="C134" s="1" t="n">
        <v>45927</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2977-2022</t>
        </is>
      </c>
      <c r="B135" s="1" t="n">
        <v>44581.75819444445</v>
      </c>
      <c r="C135" s="1" t="n">
        <v>45927</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73855-2021</t>
        </is>
      </c>
      <c r="B136" s="1" t="n">
        <v>44552</v>
      </c>
      <c r="C136" s="1" t="n">
        <v>45927</v>
      </c>
      <c r="D136" t="inlineStr">
        <is>
          <t>STOCKHOLMS LÄN</t>
        </is>
      </c>
      <c r="E136" t="inlineStr">
        <is>
          <t>NORRTÄLJE</t>
        </is>
      </c>
      <c r="F136" t="inlineStr">
        <is>
          <t>Övriga Aktiebolag</t>
        </is>
      </c>
      <c r="G136" t="n">
        <v>4</v>
      </c>
      <c r="H136" t="n">
        <v>0</v>
      </c>
      <c r="I136" t="n">
        <v>0</v>
      </c>
      <c r="J136" t="n">
        <v>0</v>
      </c>
      <c r="K136" t="n">
        <v>0</v>
      </c>
      <c r="L136" t="n">
        <v>0</v>
      </c>
      <c r="M136" t="n">
        <v>0</v>
      </c>
      <c r="N136" t="n">
        <v>0</v>
      </c>
      <c r="O136" t="n">
        <v>0</v>
      </c>
      <c r="P136" t="n">
        <v>0</v>
      </c>
      <c r="Q136" t="n">
        <v>0</v>
      </c>
      <c r="R136" s="2" t="inlineStr"/>
    </row>
    <row r="137" ht="15" customHeight="1">
      <c r="A137" t="inlineStr">
        <is>
          <t>A 74468-2021</t>
        </is>
      </c>
      <c r="B137" s="1" t="n">
        <v>44560</v>
      </c>
      <c r="C137" s="1" t="n">
        <v>45927</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45927</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45927</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45927</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31283-2022</t>
        </is>
      </c>
      <c r="B141" s="1" t="n">
        <v>44771</v>
      </c>
      <c r="C141" s="1" t="n">
        <v>45927</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45927</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45927</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45927</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45927</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48496-2020</t>
        </is>
      </c>
      <c r="B146" s="1" t="n">
        <v>44103</v>
      </c>
      <c r="C146" s="1" t="n">
        <v>45927</v>
      </c>
      <c r="D146" t="inlineStr">
        <is>
          <t>STOCKHOLMS LÄN</t>
        </is>
      </c>
      <c r="E146" t="inlineStr">
        <is>
          <t>NORRTÄLJE</t>
        </is>
      </c>
      <c r="F146" t="inlineStr">
        <is>
          <t>Holmen skog AB</t>
        </is>
      </c>
      <c r="G146" t="n">
        <v>1.5</v>
      </c>
      <c r="H146" t="n">
        <v>0</v>
      </c>
      <c r="I146" t="n">
        <v>0</v>
      </c>
      <c r="J146" t="n">
        <v>0</v>
      </c>
      <c r="K146" t="n">
        <v>0</v>
      </c>
      <c r="L146" t="n">
        <v>0</v>
      </c>
      <c r="M146" t="n">
        <v>0</v>
      </c>
      <c r="N146" t="n">
        <v>0</v>
      </c>
      <c r="O146" t="n">
        <v>0</v>
      </c>
      <c r="P146" t="n">
        <v>0</v>
      </c>
      <c r="Q146" t="n">
        <v>0</v>
      </c>
      <c r="R146" s="2" t="inlineStr"/>
    </row>
    <row r="147" ht="15" customHeight="1">
      <c r="A147" t="inlineStr">
        <is>
          <t>A 52133-2022</t>
        </is>
      </c>
      <c r="B147" s="1" t="n">
        <v>44868</v>
      </c>
      <c r="C147" s="1" t="n">
        <v>45927</v>
      </c>
      <c r="D147" t="inlineStr">
        <is>
          <t>STOCKHOLMS LÄN</t>
        </is>
      </c>
      <c r="E147" t="inlineStr">
        <is>
          <t>NORRTÄLJE</t>
        </is>
      </c>
      <c r="G147" t="n">
        <v>11.5</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45927</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45927</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45927</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45927</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45927</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43374-2022</t>
        </is>
      </c>
      <c r="B153" s="1" t="n">
        <v>44834</v>
      </c>
      <c r="C153" s="1" t="n">
        <v>45927</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60822-2021</t>
        </is>
      </c>
      <c r="B154" s="1" t="n">
        <v>44496</v>
      </c>
      <c r="C154" s="1" t="n">
        <v>45927</v>
      </c>
      <c r="D154" t="inlineStr">
        <is>
          <t>STOCKHOLMS LÄN</t>
        </is>
      </c>
      <c r="E154" t="inlineStr">
        <is>
          <t>NORRTÄLJE</t>
        </is>
      </c>
      <c r="G154" t="n">
        <v>7.6</v>
      </c>
      <c r="H154" t="n">
        <v>0</v>
      </c>
      <c r="I154" t="n">
        <v>0</v>
      </c>
      <c r="J154" t="n">
        <v>0</v>
      </c>
      <c r="K154" t="n">
        <v>0</v>
      </c>
      <c r="L154" t="n">
        <v>0</v>
      </c>
      <c r="M154" t="n">
        <v>0</v>
      </c>
      <c r="N154" t="n">
        <v>0</v>
      </c>
      <c r="O154" t="n">
        <v>0</v>
      </c>
      <c r="P154" t="n">
        <v>0</v>
      </c>
      <c r="Q154" t="n">
        <v>0</v>
      </c>
      <c r="R154" s="2" t="inlineStr"/>
    </row>
    <row r="155" ht="15" customHeight="1">
      <c r="A155" t="inlineStr">
        <is>
          <t>A 48492-2022</t>
        </is>
      </c>
      <c r="B155" s="1" t="n">
        <v>44858</v>
      </c>
      <c r="C155" s="1" t="n">
        <v>45927</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8338-2021</t>
        </is>
      </c>
      <c r="B156" s="1" t="n">
        <v>44244</v>
      </c>
      <c r="C156" s="1" t="n">
        <v>45927</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45927</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10711-2022</t>
        </is>
      </c>
      <c r="B158" s="1" t="n">
        <v>44626</v>
      </c>
      <c r="C158" s="1" t="n">
        <v>45927</v>
      </c>
      <c r="D158" t="inlineStr">
        <is>
          <t>STOCKHOLMS LÄN</t>
        </is>
      </c>
      <c r="E158" t="inlineStr">
        <is>
          <t>NORRTÄLJE</t>
        </is>
      </c>
      <c r="G158" t="n">
        <v>0.4</v>
      </c>
      <c r="H158" t="n">
        <v>0</v>
      </c>
      <c r="I158" t="n">
        <v>0</v>
      </c>
      <c r="J158" t="n">
        <v>0</v>
      </c>
      <c r="K158" t="n">
        <v>0</v>
      </c>
      <c r="L158" t="n">
        <v>0</v>
      </c>
      <c r="M158" t="n">
        <v>0</v>
      </c>
      <c r="N158" t="n">
        <v>0</v>
      </c>
      <c r="O158" t="n">
        <v>0</v>
      </c>
      <c r="P158" t="n">
        <v>0</v>
      </c>
      <c r="Q158" t="n">
        <v>0</v>
      </c>
      <c r="R158" s="2" t="inlineStr"/>
    </row>
    <row r="159" ht="15" customHeight="1">
      <c r="A159" t="inlineStr">
        <is>
          <t>A 17777-2022</t>
        </is>
      </c>
      <c r="B159" s="1" t="n">
        <v>44682.79203703703</v>
      </c>
      <c r="C159" s="1" t="n">
        <v>45927</v>
      </c>
      <c r="D159" t="inlineStr">
        <is>
          <t>STOCKHOLMS LÄN</t>
        </is>
      </c>
      <c r="E159" t="inlineStr">
        <is>
          <t>NORRTÄLJE</t>
        </is>
      </c>
      <c r="G159" t="n">
        <v>3.7</v>
      </c>
      <c r="H159" t="n">
        <v>0</v>
      </c>
      <c r="I159" t="n">
        <v>0</v>
      </c>
      <c r="J159" t="n">
        <v>0</v>
      </c>
      <c r="K159" t="n">
        <v>0</v>
      </c>
      <c r="L159" t="n">
        <v>0</v>
      </c>
      <c r="M159" t="n">
        <v>0</v>
      </c>
      <c r="N159" t="n">
        <v>0</v>
      </c>
      <c r="O159" t="n">
        <v>0</v>
      </c>
      <c r="P159" t="n">
        <v>0</v>
      </c>
      <c r="Q159" t="n">
        <v>0</v>
      </c>
      <c r="R159" s="2" t="inlineStr"/>
    </row>
    <row r="160" ht="15" customHeight="1">
      <c r="A160" t="inlineStr">
        <is>
          <t>A 21723-2022</t>
        </is>
      </c>
      <c r="B160" s="1" t="n">
        <v>44708</v>
      </c>
      <c r="C160" s="1" t="n">
        <v>45927</v>
      </c>
      <c r="D160" t="inlineStr">
        <is>
          <t>STOCKHOLMS LÄN</t>
        </is>
      </c>
      <c r="E160" t="inlineStr">
        <is>
          <t>NORRTÄLJE</t>
        </is>
      </c>
      <c r="G160" t="n">
        <v>0.3</v>
      </c>
      <c r="H160" t="n">
        <v>0</v>
      </c>
      <c r="I160" t="n">
        <v>0</v>
      </c>
      <c r="J160" t="n">
        <v>0</v>
      </c>
      <c r="K160" t="n">
        <v>0</v>
      </c>
      <c r="L160" t="n">
        <v>0</v>
      </c>
      <c r="M160" t="n">
        <v>0</v>
      </c>
      <c r="N160" t="n">
        <v>0</v>
      </c>
      <c r="O160" t="n">
        <v>0</v>
      </c>
      <c r="P160" t="n">
        <v>0</v>
      </c>
      <c r="Q160" t="n">
        <v>0</v>
      </c>
      <c r="R160" s="2" t="inlineStr"/>
    </row>
    <row r="161" ht="15" customHeight="1">
      <c r="A161" t="inlineStr">
        <is>
          <t>A 12816-2022</t>
        </is>
      </c>
      <c r="B161" s="1" t="n">
        <v>44642</v>
      </c>
      <c r="C161" s="1" t="n">
        <v>45927</v>
      </c>
      <c r="D161" t="inlineStr">
        <is>
          <t>STOCKHOLMS LÄN</t>
        </is>
      </c>
      <c r="E161" t="inlineStr">
        <is>
          <t>NORRTÄLJE</t>
        </is>
      </c>
      <c r="G161" t="n">
        <v>4.4</v>
      </c>
      <c r="H161" t="n">
        <v>0</v>
      </c>
      <c r="I161" t="n">
        <v>0</v>
      </c>
      <c r="J161" t="n">
        <v>0</v>
      </c>
      <c r="K161" t="n">
        <v>0</v>
      </c>
      <c r="L161" t="n">
        <v>0</v>
      </c>
      <c r="M161" t="n">
        <v>0</v>
      </c>
      <c r="N161" t="n">
        <v>0</v>
      </c>
      <c r="O161" t="n">
        <v>0</v>
      </c>
      <c r="P161" t="n">
        <v>0</v>
      </c>
      <c r="Q161" t="n">
        <v>0</v>
      </c>
      <c r="R161" s="2" t="inlineStr"/>
    </row>
    <row r="162" ht="15" customHeight="1">
      <c r="A162" t="inlineStr">
        <is>
          <t>A 31807-2022</t>
        </is>
      </c>
      <c r="B162" s="1" t="n">
        <v>44776</v>
      </c>
      <c r="C162" s="1" t="n">
        <v>45927</v>
      </c>
      <c r="D162" t="inlineStr">
        <is>
          <t>STOCKHOLMS LÄN</t>
        </is>
      </c>
      <c r="E162" t="inlineStr">
        <is>
          <t>NORRTÄLJE</t>
        </is>
      </c>
      <c r="G162" t="n">
        <v>2.5</v>
      </c>
      <c r="H162" t="n">
        <v>0</v>
      </c>
      <c r="I162" t="n">
        <v>0</v>
      </c>
      <c r="J162" t="n">
        <v>0</v>
      </c>
      <c r="K162" t="n">
        <v>0</v>
      </c>
      <c r="L162" t="n">
        <v>0</v>
      </c>
      <c r="M162" t="n">
        <v>0</v>
      </c>
      <c r="N162" t="n">
        <v>0</v>
      </c>
      <c r="O162" t="n">
        <v>0</v>
      </c>
      <c r="P162" t="n">
        <v>0</v>
      </c>
      <c r="Q162" t="n">
        <v>0</v>
      </c>
      <c r="R162" s="2" t="inlineStr"/>
    </row>
    <row r="163" ht="15" customHeight="1">
      <c r="A163" t="inlineStr">
        <is>
          <t>A 48522-2020</t>
        </is>
      </c>
      <c r="B163" s="1" t="n">
        <v>44103</v>
      </c>
      <c r="C163" s="1" t="n">
        <v>45927</v>
      </c>
      <c r="D163" t="inlineStr">
        <is>
          <t>STOCKHOLMS LÄN</t>
        </is>
      </c>
      <c r="E163" t="inlineStr">
        <is>
          <t>NORRTÄLJE</t>
        </is>
      </c>
      <c r="F163" t="inlineStr">
        <is>
          <t>Holmen skog AB</t>
        </is>
      </c>
      <c r="G163" t="n">
        <v>1.3</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45927</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66907-2020</t>
        </is>
      </c>
      <c r="B165" s="1" t="n">
        <v>44176</v>
      </c>
      <c r="C165" s="1" t="n">
        <v>45927</v>
      </c>
      <c r="D165" t="inlineStr">
        <is>
          <t>STOCKHOLMS LÄN</t>
        </is>
      </c>
      <c r="E165" t="inlineStr">
        <is>
          <t>NORRTÄLJE</t>
        </is>
      </c>
      <c r="G165" t="n">
        <v>1.7</v>
      </c>
      <c r="H165" t="n">
        <v>0</v>
      </c>
      <c r="I165" t="n">
        <v>0</v>
      </c>
      <c r="J165" t="n">
        <v>0</v>
      </c>
      <c r="K165" t="n">
        <v>0</v>
      </c>
      <c r="L165" t="n">
        <v>0</v>
      </c>
      <c r="M165" t="n">
        <v>0</v>
      </c>
      <c r="N165" t="n">
        <v>0</v>
      </c>
      <c r="O165" t="n">
        <v>0</v>
      </c>
      <c r="P165" t="n">
        <v>0</v>
      </c>
      <c r="Q165" t="n">
        <v>0</v>
      </c>
      <c r="R165" s="2" t="inlineStr"/>
    </row>
    <row r="166" ht="15" customHeight="1">
      <c r="A166" t="inlineStr">
        <is>
          <t>A 2447-2021</t>
        </is>
      </c>
      <c r="B166" s="1" t="n">
        <v>44214</v>
      </c>
      <c r="C166" s="1" t="n">
        <v>45927</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18609-2021</t>
        </is>
      </c>
      <c r="B167" s="1" t="n">
        <v>44306</v>
      </c>
      <c r="C167" s="1" t="n">
        <v>45927</v>
      </c>
      <c r="D167" t="inlineStr">
        <is>
          <t>STOCKHOLMS LÄN</t>
        </is>
      </c>
      <c r="E167" t="inlineStr">
        <is>
          <t>NORRTÄLJE</t>
        </is>
      </c>
      <c r="G167" t="n">
        <v>9.5</v>
      </c>
      <c r="H167" t="n">
        <v>0</v>
      </c>
      <c r="I167" t="n">
        <v>0</v>
      </c>
      <c r="J167" t="n">
        <v>0</v>
      </c>
      <c r="K167" t="n">
        <v>0</v>
      </c>
      <c r="L167" t="n">
        <v>0</v>
      </c>
      <c r="M167" t="n">
        <v>0</v>
      </c>
      <c r="N167" t="n">
        <v>0</v>
      </c>
      <c r="O167" t="n">
        <v>0</v>
      </c>
      <c r="P167" t="n">
        <v>0</v>
      </c>
      <c r="Q167" t="n">
        <v>0</v>
      </c>
      <c r="R167" s="2" t="inlineStr"/>
    </row>
    <row r="168" ht="15" customHeight="1">
      <c r="A168" t="inlineStr">
        <is>
          <t>A 24534-2022</t>
        </is>
      </c>
      <c r="B168" s="1" t="n">
        <v>44727</v>
      </c>
      <c r="C168" s="1" t="n">
        <v>45927</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45539-2022</t>
        </is>
      </c>
      <c r="B169" s="1" t="n">
        <v>44845.47585648148</v>
      </c>
      <c r="C169" s="1" t="n">
        <v>45927</v>
      </c>
      <c r="D169" t="inlineStr">
        <is>
          <t>STOCKHOLMS LÄN</t>
        </is>
      </c>
      <c r="E169" t="inlineStr">
        <is>
          <t>NORRTÄLJE</t>
        </is>
      </c>
      <c r="G169" t="n">
        <v>0.3</v>
      </c>
      <c r="H169" t="n">
        <v>0</v>
      </c>
      <c r="I169" t="n">
        <v>0</v>
      </c>
      <c r="J169" t="n">
        <v>0</v>
      </c>
      <c r="K169" t="n">
        <v>0</v>
      </c>
      <c r="L169" t="n">
        <v>0</v>
      </c>
      <c r="M169" t="n">
        <v>0</v>
      </c>
      <c r="N169" t="n">
        <v>0</v>
      </c>
      <c r="O169" t="n">
        <v>0</v>
      </c>
      <c r="P169" t="n">
        <v>0</v>
      </c>
      <c r="Q169" t="n">
        <v>0</v>
      </c>
      <c r="R169" s="2" t="inlineStr"/>
    </row>
    <row r="170" ht="15" customHeight="1">
      <c r="A170" t="inlineStr">
        <is>
          <t>A 71876-2021</t>
        </is>
      </c>
      <c r="B170" s="1" t="n">
        <v>44543</v>
      </c>
      <c r="C170" s="1" t="n">
        <v>45927</v>
      </c>
      <c r="D170" t="inlineStr">
        <is>
          <t>STOCKHOLMS LÄN</t>
        </is>
      </c>
      <c r="E170" t="inlineStr">
        <is>
          <t>NORRTÄLJE</t>
        </is>
      </c>
      <c r="G170" t="n">
        <v>2.8</v>
      </c>
      <c r="H170" t="n">
        <v>0</v>
      </c>
      <c r="I170" t="n">
        <v>0</v>
      </c>
      <c r="J170" t="n">
        <v>0</v>
      </c>
      <c r="K170" t="n">
        <v>0</v>
      </c>
      <c r="L170" t="n">
        <v>0</v>
      </c>
      <c r="M170" t="n">
        <v>0</v>
      </c>
      <c r="N170" t="n">
        <v>0</v>
      </c>
      <c r="O170" t="n">
        <v>0</v>
      </c>
      <c r="P170" t="n">
        <v>0</v>
      </c>
      <c r="Q170" t="n">
        <v>0</v>
      </c>
      <c r="R170" s="2" t="inlineStr"/>
    </row>
    <row r="171" ht="15" customHeight="1">
      <c r="A171" t="inlineStr">
        <is>
          <t>A 71878-2021</t>
        </is>
      </c>
      <c r="B171" s="1" t="n">
        <v>44543</v>
      </c>
      <c r="C171" s="1" t="n">
        <v>45927</v>
      </c>
      <c r="D171" t="inlineStr">
        <is>
          <t>STOCKHOLMS LÄN</t>
        </is>
      </c>
      <c r="E171" t="inlineStr">
        <is>
          <t>NORRTÄLJE</t>
        </is>
      </c>
      <c r="G171" t="n">
        <v>1.2</v>
      </c>
      <c r="H171" t="n">
        <v>0</v>
      </c>
      <c r="I171" t="n">
        <v>0</v>
      </c>
      <c r="J171" t="n">
        <v>0</v>
      </c>
      <c r="K171" t="n">
        <v>0</v>
      </c>
      <c r="L171" t="n">
        <v>0</v>
      </c>
      <c r="M171" t="n">
        <v>0</v>
      </c>
      <c r="N171" t="n">
        <v>0</v>
      </c>
      <c r="O171" t="n">
        <v>0</v>
      </c>
      <c r="P171" t="n">
        <v>0</v>
      </c>
      <c r="Q171" t="n">
        <v>0</v>
      </c>
      <c r="R171" s="2" t="inlineStr"/>
    </row>
    <row r="172" ht="15" customHeight="1">
      <c r="A172" t="inlineStr">
        <is>
          <t>A 60186-2021</t>
        </is>
      </c>
      <c r="B172" s="1" t="n">
        <v>44495</v>
      </c>
      <c r="C172" s="1" t="n">
        <v>45927</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28959-2022</t>
        </is>
      </c>
      <c r="B173" s="1" t="n">
        <v>44749.61980324074</v>
      </c>
      <c r="C173" s="1" t="n">
        <v>45927</v>
      </c>
      <c r="D173" t="inlineStr">
        <is>
          <t>STOCKHOLMS LÄN</t>
        </is>
      </c>
      <c r="E173" t="inlineStr">
        <is>
          <t>NORRTÄLJE</t>
        </is>
      </c>
      <c r="G173" t="n">
        <v>5.2</v>
      </c>
      <c r="H173" t="n">
        <v>0</v>
      </c>
      <c r="I173" t="n">
        <v>0</v>
      </c>
      <c r="J173" t="n">
        <v>0</v>
      </c>
      <c r="K173" t="n">
        <v>0</v>
      </c>
      <c r="L173" t="n">
        <v>0</v>
      </c>
      <c r="M173" t="n">
        <v>0</v>
      </c>
      <c r="N173" t="n">
        <v>0</v>
      </c>
      <c r="O173" t="n">
        <v>0</v>
      </c>
      <c r="P173" t="n">
        <v>0</v>
      </c>
      <c r="Q173" t="n">
        <v>0</v>
      </c>
      <c r="R173" s="2" t="inlineStr"/>
    </row>
    <row r="174" ht="15" customHeight="1">
      <c r="A174" t="inlineStr">
        <is>
          <t>A 54340-2022</t>
        </is>
      </c>
      <c r="B174" s="1" t="n">
        <v>44882.44732638889</v>
      </c>
      <c r="C174" s="1" t="n">
        <v>45927</v>
      </c>
      <c r="D174" t="inlineStr">
        <is>
          <t>STOCKHOLMS LÄN</t>
        </is>
      </c>
      <c r="E174" t="inlineStr">
        <is>
          <t>NORRTÄLJE</t>
        </is>
      </c>
      <c r="G174" t="n">
        <v>6.7</v>
      </c>
      <c r="H174" t="n">
        <v>0</v>
      </c>
      <c r="I174" t="n">
        <v>0</v>
      </c>
      <c r="J174" t="n">
        <v>0</v>
      </c>
      <c r="K174" t="n">
        <v>0</v>
      </c>
      <c r="L174" t="n">
        <v>0</v>
      </c>
      <c r="M174" t="n">
        <v>0</v>
      </c>
      <c r="N174" t="n">
        <v>0</v>
      </c>
      <c r="O174" t="n">
        <v>0</v>
      </c>
      <c r="P174" t="n">
        <v>0</v>
      </c>
      <c r="Q174" t="n">
        <v>0</v>
      </c>
      <c r="R174" s="2" t="inlineStr"/>
    </row>
    <row r="175" ht="15" customHeight="1">
      <c r="A175" t="inlineStr">
        <is>
          <t>A 54355-2022</t>
        </is>
      </c>
      <c r="B175" s="1" t="n">
        <v>44882</v>
      </c>
      <c r="C175" s="1" t="n">
        <v>45927</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4634-2021</t>
        </is>
      </c>
      <c r="B176" s="1" t="n">
        <v>44224</v>
      </c>
      <c r="C176" s="1" t="n">
        <v>45927</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72308-2021</t>
        </is>
      </c>
      <c r="B177" s="1" t="n">
        <v>44545.4189699074</v>
      </c>
      <c r="C177" s="1" t="n">
        <v>45927</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20073-2021</t>
        </is>
      </c>
      <c r="B178" s="1" t="n">
        <v>44314</v>
      </c>
      <c r="C178" s="1" t="n">
        <v>45927</v>
      </c>
      <c r="D178" t="inlineStr">
        <is>
          <t>STOCKHOLMS LÄN</t>
        </is>
      </c>
      <c r="E178" t="inlineStr">
        <is>
          <t>NORRTÄLJE</t>
        </is>
      </c>
      <c r="G178" t="n">
        <v>4.6</v>
      </c>
      <c r="H178" t="n">
        <v>0</v>
      </c>
      <c r="I178" t="n">
        <v>0</v>
      </c>
      <c r="J178" t="n">
        <v>0</v>
      </c>
      <c r="K178" t="n">
        <v>0</v>
      </c>
      <c r="L178" t="n">
        <v>0</v>
      </c>
      <c r="M178" t="n">
        <v>0</v>
      </c>
      <c r="N178" t="n">
        <v>0</v>
      </c>
      <c r="O178" t="n">
        <v>0</v>
      </c>
      <c r="P178" t="n">
        <v>0</v>
      </c>
      <c r="Q178" t="n">
        <v>0</v>
      </c>
      <c r="R178" s="2" t="inlineStr"/>
    </row>
    <row r="179" ht="15" customHeight="1">
      <c r="A179" t="inlineStr">
        <is>
          <t>A 14381-2021</t>
        </is>
      </c>
      <c r="B179" s="1" t="n">
        <v>44279</v>
      </c>
      <c r="C179" s="1" t="n">
        <v>45927</v>
      </c>
      <c r="D179" t="inlineStr">
        <is>
          <t>STOCKHOLMS LÄN</t>
        </is>
      </c>
      <c r="E179" t="inlineStr">
        <is>
          <t>NORRTÄLJE</t>
        </is>
      </c>
      <c r="G179" t="n">
        <v>0.9</v>
      </c>
      <c r="H179" t="n">
        <v>0</v>
      </c>
      <c r="I179" t="n">
        <v>0</v>
      </c>
      <c r="J179" t="n">
        <v>0</v>
      </c>
      <c r="K179" t="n">
        <v>0</v>
      </c>
      <c r="L179" t="n">
        <v>0</v>
      </c>
      <c r="M179" t="n">
        <v>0</v>
      </c>
      <c r="N179" t="n">
        <v>0</v>
      </c>
      <c r="O179" t="n">
        <v>0</v>
      </c>
      <c r="P179" t="n">
        <v>0</v>
      </c>
      <c r="Q179" t="n">
        <v>0</v>
      </c>
      <c r="R179" s="2" t="inlineStr"/>
    </row>
    <row r="180" ht="15" customHeight="1">
      <c r="A180" t="inlineStr">
        <is>
          <t>A 17703-2021</t>
        </is>
      </c>
      <c r="B180" s="1" t="n">
        <v>44300</v>
      </c>
      <c r="C180" s="1" t="n">
        <v>45927</v>
      </c>
      <c r="D180" t="inlineStr">
        <is>
          <t>STOCKHOLMS LÄN</t>
        </is>
      </c>
      <c r="E180" t="inlineStr">
        <is>
          <t>NORRTÄLJE</t>
        </is>
      </c>
      <c r="F180" t="inlineStr">
        <is>
          <t>Holmen skog AB</t>
        </is>
      </c>
      <c r="G180" t="n">
        <v>1.1</v>
      </c>
      <c r="H180" t="n">
        <v>0</v>
      </c>
      <c r="I180" t="n">
        <v>0</v>
      </c>
      <c r="J180" t="n">
        <v>0</v>
      </c>
      <c r="K180" t="n">
        <v>0</v>
      </c>
      <c r="L180" t="n">
        <v>0</v>
      </c>
      <c r="M180" t="n">
        <v>0</v>
      </c>
      <c r="N180" t="n">
        <v>0</v>
      </c>
      <c r="O180" t="n">
        <v>0</v>
      </c>
      <c r="P180" t="n">
        <v>0</v>
      </c>
      <c r="Q180" t="n">
        <v>0</v>
      </c>
      <c r="R180" s="2" t="inlineStr"/>
    </row>
    <row r="181" ht="15" customHeight="1">
      <c r="A181" t="inlineStr">
        <is>
          <t>A 23770-2022</t>
        </is>
      </c>
      <c r="B181" s="1" t="n">
        <v>44722</v>
      </c>
      <c r="C181" s="1" t="n">
        <v>45927</v>
      </c>
      <c r="D181" t="inlineStr">
        <is>
          <t>STOCKHOLMS LÄN</t>
        </is>
      </c>
      <c r="E181" t="inlineStr">
        <is>
          <t>NORRTÄLJE</t>
        </is>
      </c>
      <c r="G181" t="n">
        <v>1.6</v>
      </c>
      <c r="H181" t="n">
        <v>0</v>
      </c>
      <c r="I181" t="n">
        <v>0</v>
      </c>
      <c r="J181" t="n">
        <v>0</v>
      </c>
      <c r="K181" t="n">
        <v>0</v>
      </c>
      <c r="L181" t="n">
        <v>0</v>
      </c>
      <c r="M181" t="n">
        <v>0</v>
      </c>
      <c r="N181" t="n">
        <v>0</v>
      </c>
      <c r="O181" t="n">
        <v>0</v>
      </c>
      <c r="P181" t="n">
        <v>0</v>
      </c>
      <c r="Q181" t="n">
        <v>0</v>
      </c>
      <c r="R181" s="2" t="inlineStr"/>
    </row>
    <row r="182" ht="15" customHeight="1">
      <c r="A182" t="inlineStr">
        <is>
          <t>A 27538-2022</t>
        </is>
      </c>
      <c r="B182" s="1" t="n">
        <v>44742</v>
      </c>
      <c r="C182" s="1" t="n">
        <v>45927</v>
      </c>
      <c r="D182" t="inlineStr">
        <is>
          <t>STOCKHOLMS LÄN</t>
        </is>
      </c>
      <c r="E182" t="inlineStr">
        <is>
          <t>NORRTÄLJE</t>
        </is>
      </c>
      <c r="G182" t="n">
        <v>2.2</v>
      </c>
      <c r="H182" t="n">
        <v>0</v>
      </c>
      <c r="I182" t="n">
        <v>0</v>
      </c>
      <c r="J182" t="n">
        <v>0</v>
      </c>
      <c r="K182" t="n">
        <v>0</v>
      </c>
      <c r="L182" t="n">
        <v>0</v>
      </c>
      <c r="M182" t="n">
        <v>0</v>
      </c>
      <c r="N182" t="n">
        <v>0</v>
      </c>
      <c r="O182" t="n">
        <v>0</v>
      </c>
      <c r="P182" t="n">
        <v>0</v>
      </c>
      <c r="Q182" t="n">
        <v>0</v>
      </c>
      <c r="R182" s="2" t="inlineStr"/>
    </row>
    <row r="183" ht="15" customHeight="1">
      <c r="A183" t="inlineStr">
        <is>
          <t>A 29868-2022</t>
        </is>
      </c>
      <c r="B183" s="1" t="n">
        <v>44756.40881944444</v>
      </c>
      <c r="C183" s="1" t="n">
        <v>45927</v>
      </c>
      <c r="D183" t="inlineStr">
        <is>
          <t>STOCKHOLMS LÄN</t>
        </is>
      </c>
      <c r="E183" t="inlineStr">
        <is>
          <t>NORRTÄLJE</t>
        </is>
      </c>
      <c r="G183" t="n">
        <v>1.8</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45927</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45927</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36975-2022</t>
        </is>
      </c>
      <c r="B186" s="1" t="n">
        <v>44806.34577546296</v>
      </c>
      <c r="C186" s="1" t="n">
        <v>45927</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23122-2021</t>
        </is>
      </c>
      <c r="B187" s="1" t="n">
        <v>44330</v>
      </c>
      <c r="C187" s="1" t="n">
        <v>45927</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45927</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64599-2021</t>
        </is>
      </c>
      <c r="B189" s="1" t="n">
        <v>44511.69885416667</v>
      </c>
      <c r="C189" s="1" t="n">
        <v>45927</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64212-2021</t>
        </is>
      </c>
      <c r="B190" s="1" t="n">
        <v>44510</v>
      </c>
      <c r="C190" s="1" t="n">
        <v>45927</v>
      </c>
      <c r="D190" t="inlineStr">
        <is>
          <t>STOCKHOLMS LÄN</t>
        </is>
      </c>
      <c r="E190" t="inlineStr">
        <is>
          <t>NORRTÄLJE</t>
        </is>
      </c>
      <c r="G190" t="n">
        <v>28.7</v>
      </c>
      <c r="H190" t="n">
        <v>0</v>
      </c>
      <c r="I190" t="n">
        <v>0</v>
      </c>
      <c r="J190" t="n">
        <v>0</v>
      </c>
      <c r="K190" t="n">
        <v>0</v>
      </c>
      <c r="L190" t="n">
        <v>0</v>
      </c>
      <c r="M190" t="n">
        <v>0</v>
      </c>
      <c r="N190" t="n">
        <v>0</v>
      </c>
      <c r="O190" t="n">
        <v>0</v>
      </c>
      <c r="P190" t="n">
        <v>0</v>
      </c>
      <c r="Q190" t="n">
        <v>0</v>
      </c>
      <c r="R190" s="2" t="inlineStr"/>
    </row>
    <row r="191" ht="15" customHeight="1">
      <c r="A191" t="inlineStr">
        <is>
          <t>A 47349-2021</t>
        </is>
      </c>
      <c r="B191" s="1" t="n">
        <v>44447</v>
      </c>
      <c r="C191" s="1" t="n">
        <v>45927</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36565-2021</t>
        </is>
      </c>
      <c r="B192" s="1" t="n">
        <v>44391.5580787037</v>
      </c>
      <c r="C192" s="1" t="n">
        <v>45927</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44274-2021</t>
        </is>
      </c>
      <c r="B193" s="1" t="n">
        <v>44435</v>
      </c>
      <c r="C193" s="1" t="n">
        <v>45927</v>
      </c>
      <c r="D193" t="inlineStr">
        <is>
          <t>STOCKHOLMS LÄN</t>
        </is>
      </c>
      <c r="E193" t="inlineStr">
        <is>
          <t>NORRTÄLJE</t>
        </is>
      </c>
      <c r="G193" t="n">
        <v>1</v>
      </c>
      <c r="H193" t="n">
        <v>0</v>
      </c>
      <c r="I193" t="n">
        <v>0</v>
      </c>
      <c r="J193" t="n">
        <v>0</v>
      </c>
      <c r="K193" t="n">
        <v>0</v>
      </c>
      <c r="L193" t="n">
        <v>0</v>
      </c>
      <c r="M193" t="n">
        <v>0</v>
      </c>
      <c r="N193" t="n">
        <v>0</v>
      </c>
      <c r="O193" t="n">
        <v>0</v>
      </c>
      <c r="P193" t="n">
        <v>0</v>
      </c>
      <c r="Q193" t="n">
        <v>0</v>
      </c>
      <c r="R193" s="2" t="inlineStr"/>
    </row>
    <row r="194" ht="15" customHeight="1">
      <c r="A194" t="inlineStr">
        <is>
          <t>A 50970-2022</t>
        </is>
      </c>
      <c r="B194" s="1" t="n">
        <v>44867</v>
      </c>
      <c r="C194" s="1" t="n">
        <v>45927</v>
      </c>
      <c r="D194" t="inlineStr">
        <is>
          <t>STOCKHOLMS LÄN</t>
        </is>
      </c>
      <c r="E194" t="inlineStr">
        <is>
          <t>NORRTÄLJE</t>
        </is>
      </c>
      <c r="G194" t="n">
        <v>9</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45927</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45927</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45927</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45927</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367-2021</t>
        </is>
      </c>
      <c r="B199" s="1" t="n">
        <v>44201</v>
      </c>
      <c r="C199" s="1" t="n">
        <v>45927</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17803-2022</t>
        </is>
      </c>
      <c r="B200" s="1" t="n">
        <v>44683</v>
      </c>
      <c r="C200" s="1" t="n">
        <v>45927</v>
      </c>
      <c r="D200" t="inlineStr">
        <is>
          <t>STOCKHOLMS LÄN</t>
        </is>
      </c>
      <c r="E200" t="inlineStr">
        <is>
          <t>NORRTÄLJE</t>
        </is>
      </c>
      <c r="G200" t="n">
        <v>1.4</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45927</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45927</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45927</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45927</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45927</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45927</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45927</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45927</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45927</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45927</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45927</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19398-2021</t>
        </is>
      </c>
      <c r="B212" s="1" t="n">
        <v>44309</v>
      </c>
      <c r="C212" s="1" t="n">
        <v>45927</v>
      </c>
      <c r="D212" t="inlineStr">
        <is>
          <t>STOCKHOLMS LÄN</t>
        </is>
      </c>
      <c r="E212" t="inlineStr">
        <is>
          <t>NORRTÄLJE</t>
        </is>
      </c>
      <c r="F212" t="inlineStr">
        <is>
          <t>Kommuner</t>
        </is>
      </c>
      <c r="G212" t="n">
        <v>2.1</v>
      </c>
      <c r="H212" t="n">
        <v>0</v>
      </c>
      <c r="I212" t="n">
        <v>0</v>
      </c>
      <c r="J212" t="n">
        <v>0</v>
      </c>
      <c r="K212" t="n">
        <v>0</v>
      </c>
      <c r="L212" t="n">
        <v>0</v>
      </c>
      <c r="M212" t="n">
        <v>0</v>
      </c>
      <c r="N212" t="n">
        <v>0</v>
      </c>
      <c r="O212" t="n">
        <v>0</v>
      </c>
      <c r="P212" t="n">
        <v>0</v>
      </c>
      <c r="Q212" t="n">
        <v>0</v>
      </c>
      <c r="R212" s="2" t="inlineStr"/>
    </row>
    <row r="213" ht="15" customHeight="1">
      <c r="A213" t="inlineStr">
        <is>
          <t>A 45541-2022</t>
        </is>
      </c>
      <c r="B213" s="1" t="n">
        <v>44845.47672453704</v>
      </c>
      <c r="C213" s="1" t="n">
        <v>45927</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45927</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12779-2021</t>
        </is>
      </c>
      <c r="B215" s="1" t="n">
        <v>44270</v>
      </c>
      <c r="C215" s="1" t="n">
        <v>45927</v>
      </c>
      <c r="D215" t="inlineStr">
        <is>
          <t>STOCKHOLMS LÄN</t>
        </is>
      </c>
      <c r="E215" t="inlineStr">
        <is>
          <t>NORRTÄLJE</t>
        </is>
      </c>
      <c r="G215" t="n">
        <v>10.8</v>
      </c>
      <c r="H215" t="n">
        <v>0</v>
      </c>
      <c r="I215" t="n">
        <v>0</v>
      </c>
      <c r="J215" t="n">
        <v>0</v>
      </c>
      <c r="K215" t="n">
        <v>0</v>
      </c>
      <c r="L215" t="n">
        <v>0</v>
      </c>
      <c r="M215" t="n">
        <v>0</v>
      </c>
      <c r="N215" t="n">
        <v>0</v>
      </c>
      <c r="O215" t="n">
        <v>0</v>
      </c>
      <c r="P215" t="n">
        <v>0</v>
      </c>
      <c r="Q215" t="n">
        <v>0</v>
      </c>
      <c r="R215" s="2" t="inlineStr"/>
    </row>
    <row r="216" ht="15" customHeight="1">
      <c r="A216" t="inlineStr">
        <is>
          <t>A 12782-2021</t>
        </is>
      </c>
      <c r="B216" s="1" t="n">
        <v>44270</v>
      </c>
      <c r="C216" s="1" t="n">
        <v>45927</v>
      </c>
      <c r="D216" t="inlineStr">
        <is>
          <t>STOCKHOLMS LÄN</t>
        </is>
      </c>
      <c r="E216" t="inlineStr">
        <is>
          <t>NORRTÄLJE</t>
        </is>
      </c>
      <c r="G216" t="n">
        <v>3.8</v>
      </c>
      <c r="H216" t="n">
        <v>0</v>
      </c>
      <c r="I216" t="n">
        <v>0</v>
      </c>
      <c r="J216" t="n">
        <v>0</v>
      </c>
      <c r="K216" t="n">
        <v>0</v>
      </c>
      <c r="L216" t="n">
        <v>0</v>
      </c>
      <c r="M216" t="n">
        <v>0</v>
      </c>
      <c r="N216" t="n">
        <v>0</v>
      </c>
      <c r="O216" t="n">
        <v>0</v>
      </c>
      <c r="P216" t="n">
        <v>0</v>
      </c>
      <c r="Q216" t="n">
        <v>0</v>
      </c>
      <c r="R216" s="2" t="inlineStr"/>
    </row>
    <row r="217" ht="15" customHeight="1">
      <c r="A217" t="inlineStr">
        <is>
          <t>A 1229-2022</t>
        </is>
      </c>
      <c r="B217" s="1" t="n">
        <v>44572</v>
      </c>
      <c r="C217" s="1" t="n">
        <v>45927</v>
      </c>
      <c r="D217" t="inlineStr">
        <is>
          <t>STOCKHOLMS LÄN</t>
        </is>
      </c>
      <c r="E217" t="inlineStr">
        <is>
          <t>NORRTÄLJE</t>
        </is>
      </c>
      <c r="G217" t="n">
        <v>11.5</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45927</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45927</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14051-2022</t>
        </is>
      </c>
      <c r="B220" s="1" t="n">
        <v>44650.92714120371</v>
      </c>
      <c r="C220" s="1" t="n">
        <v>45927</v>
      </c>
      <c r="D220" t="inlineStr">
        <is>
          <t>STOCKHOLMS LÄN</t>
        </is>
      </c>
      <c r="E220" t="inlineStr">
        <is>
          <t>NORRTÄLJE</t>
        </is>
      </c>
      <c r="G220" t="n">
        <v>2.3</v>
      </c>
      <c r="H220" t="n">
        <v>0</v>
      </c>
      <c r="I220" t="n">
        <v>0</v>
      </c>
      <c r="J220" t="n">
        <v>0</v>
      </c>
      <c r="K220" t="n">
        <v>0</v>
      </c>
      <c r="L220" t="n">
        <v>0</v>
      </c>
      <c r="M220" t="n">
        <v>0</v>
      </c>
      <c r="N220" t="n">
        <v>0</v>
      </c>
      <c r="O220" t="n">
        <v>0</v>
      </c>
      <c r="P220" t="n">
        <v>0</v>
      </c>
      <c r="Q220" t="n">
        <v>0</v>
      </c>
      <c r="R220" s="2" t="inlineStr"/>
    </row>
    <row r="221" ht="15" customHeight="1">
      <c r="A221" t="inlineStr">
        <is>
          <t>A 68273-2021</t>
        </is>
      </c>
      <c r="B221" s="1" t="n">
        <v>44526</v>
      </c>
      <c r="C221" s="1" t="n">
        <v>45927</v>
      </c>
      <c r="D221" t="inlineStr">
        <is>
          <t>STOCKHOLMS LÄN</t>
        </is>
      </c>
      <c r="E221" t="inlineStr">
        <is>
          <t>NORRTÄLJE</t>
        </is>
      </c>
      <c r="G221" t="n">
        <v>5.3</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45927</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45927</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5562-2021</t>
        </is>
      </c>
      <c r="B224" s="1" t="n">
        <v>44230</v>
      </c>
      <c r="C224" s="1" t="n">
        <v>45927</v>
      </c>
      <c r="D224" t="inlineStr">
        <is>
          <t>STOCKHOLMS LÄN</t>
        </is>
      </c>
      <c r="E224" t="inlineStr">
        <is>
          <t>NORRTÄLJE</t>
        </is>
      </c>
      <c r="G224" t="n">
        <v>0.5</v>
      </c>
      <c r="H224" t="n">
        <v>0</v>
      </c>
      <c r="I224" t="n">
        <v>0</v>
      </c>
      <c r="J224" t="n">
        <v>0</v>
      </c>
      <c r="K224" t="n">
        <v>0</v>
      </c>
      <c r="L224" t="n">
        <v>0</v>
      </c>
      <c r="M224" t="n">
        <v>0</v>
      </c>
      <c r="N224" t="n">
        <v>0</v>
      </c>
      <c r="O224" t="n">
        <v>0</v>
      </c>
      <c r="P224" t="n">
        <v>0</v>
      </c>
      <c r="Q224" t="n">
        <v>0</v>
      </c>
      <c r="R224" s="2" t="inlineStr"/>
    </row>
    <row r="225" ht="15" customHeight="1">
      <c r="A225" t="inlineStr">
        <is>
          <t>A 5566-2021</t>
        </is>
      </c>
      <c r="B225" s="1" t="n">
        <v>44230</v>
      </c>
      <c r="C225" s="1" t="n">
        <v>45927</v>
      </c>
      <c r="D225" t="inlineStr">
        <is>
          <t>STOCKHOLMS LÄN</t>
        </is>
      </c>
      <c r="E225" t="inlineStr">
        <is>
          <t>NORRTÄLJE</t>
        </is>
      </c>
      <c r="G225" t="n">
        <v>3.1</v>
      </c>
      <c r="H225" t="n">
        <v>0</v>
      </c>
      <c r="I225" t="n">
        <v>0</v>
      </c>
      <c r="J225" t="n">
        <v>0</v>
      </c>
      <c r="K225" t="n">
        <v>0</v>
      </c>
      <c r="L225" t="n">
        <v>0</v>
      </c>
      <c r="M225" t="n">
        <v>0</v>
      </c>
      <c r="N225" t="n">
        <v>0</v>
      </c>
      <c r="O225" t="n">
        <v>0</v>
      </c>
      <c r="P225" t="n">
        <v>0</v>
      </c>
      <c r="Q225" t="n">
        <v>0</v>
      </c>
      <c r="R225" s="2" t="inlineStr"/>
    </row>
    <row r="226" ht="15" customHeight="1">
      <c r="A226" t="inlineStr">
        <is>
          <t>A 24167-2022</t>
        </is>
      </c>
      <c r="B226" s="1" t="n">
        <v>44725.49491898148</v>
      </c>
      <c r="C226" s="1" t="n">
        <v>45927</v>
      </c>
      <c r="D226" t="inlineStr">
        <is>
          <t>STOCKHOLMS LÄN</t>
        </is>
      </c>
      <c r="E226" t="inlineStr">
        <is>
          <t>NORRTÄLJE</t>
        </is>
      </c>
      <c r="G226" t="n">
        <v>3.4</v>
      </c>
      <c r="H226" t="n">
        <v>0</v>
      </c>
      <c r="I226" t="n">
        <v>0</v>
      </c>
      <c r="J226" t="n">
        <v>0</v>
      </c>
      <c r="K226" t="n">
        <v>0</v>
      </c>
      <c r="L226" t="n">
        <v>0</v>
      </c>
      <c r="M226" t="n">
        <v>0</v>
      </c>
      <c r="N226" t="n">
        <v>0</v>
      </c>
      <c r="O226" t="n">
        <v>0</v>
      </c>
      <c r="P226" t="n">
        <v>0</v>
      </c>
      <c r="Q226" t="n">
        <v>0</v>
      </c>
      <c r="R226" s="2" t="inlineStr"/>
    </row>
    <row r="227" ht="15" customHeight="1">
      <c r="A227" t="inlineStr">
        <is>
          <t>A 42396-2021</t>
        </is>
      </c>
      <c r="B227" s="1" t="n">
        <v>44427</v>
      </c>
      <c r="C227" s="1" t="n">
        <v>45927</v>
      </c>
      <c r="D227" t="inlineStr">
        <is>
          <t>STOCKHOLMS LÄN</t>
        </is>
      </c>
      <c r="E227" t="inlineStr">
        <is>
          <t>NORRTÄLJE</t>
        </is>
      </c>
      <c r="G227" t="n">
        <v>2</v>
      </c>
      <c r="H227" t="n">
        <v>0</v>
      </c>
      <c r="I227" t="n">
        <v>0</v>
      </c>
      <c r="J227" t="n">
        <v>0</v>
      </c>
      <c r="K227" t="n">
        <v>0</v>
      </c>
      <c r="L227" t="n">
        <v>0</v>
      </c>
      <c r="M227" t="n">
        <v>0</v>
      </c>
      <c r="N227" t="n">
        <v>0</v>
      </c>
      <c r="O227" t="n">
        <v>0</v>
      </c>
      <c r="P227" t="n">
        <v>0</v>
      </c>
      <c r="Q227" t="n">
        <v>0</v>
      </c>
      <c r="R227" s="2" t="inlineStr"/>
    </row>
    <row r="228" ht="15" customHeight="1">
      <c r="A228" t="inlineStr">
        <is>
          <t>A 9988-2022</t>
        </is>
      </c>
      <c r="B228" s="1" t="n">
        <v>44621</v>
      </c>
      <c r="C228" s="1" t="n">
        <v>45927</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60733-2021</t>
        </is>
      </c>
      <c r="B229" s="1" t="n">
        <v>44496.77542824074</v>
      </c>
      <c r="C229" s="1" t="n">
        <v>45927</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52139-2022</t>
        </is>
      </c>
      <c r="B230" s="1" t="n">
        <v>44868</v>
      </c>
      <c r="C230" s="1" t="n">
        <v>45927</v>
      </c>
      <c r="D230" t="inlineStr">
        <is>
          <t>STOCKHOLMS LÄN</t>
        </is>
      </c>
      <c r="E230" t="inlineStr">
        <is>
          <t>NORRTÄLJE</t>
        </is>
      </c>
      <c r="G230" t="n">
        <v>3.2</v>
      </c>
      <c r="H230" t="n">
        <v>0</v>
      </c>
      <c r="I230" t="n">
        <v>0</v>
      </c>
      <c r="J230" t="n">
        <v>0</v>
      </c>
      <c r="K230" t="n">
        <v>0</v>
      </c>
      <c r="L230" t="n">
        <v>0</v>
      </c>
      <c r="M230" t="n">
        <v>0</v>
      </c>
      <c r="N230" t="n">
        <v>0</v>
      </c>
      <c r="O230" t="n">
        <v>0</v>
      </c>
      <c r="P230" t="n">
        <v>0</v>
      </c>
      <c r="Q230" t="n">
        <v>0</v>
      </c>
      <c r="R230" s="2" t="inlineStr"/>
    </row>
    <row r="231" ht="15" customHeight="1">
      <c r="A231" t="inlineStr">
        <is>
          <t>A 2732-2022</t>
        </is>
      </c>
      <c r="B231" s="1" t="n">
        <v>44580</v>
      </c>
      <c r="C231" s="1" t="n">
        <v>45927</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9446-2021</t>
        </is>
      </c>
      <c r="B232" s="1" t="n">
        <v>44251</v>
      </c>
      <c r="C232" s="1" t="n">
        <v>45927</v>
      </c>
      <c r="D232" t="inlineStr">
        <is>
          <t>STOCKHOLMS LÄN</t>
        </is>
      </c>
      <c r="E232" t="inlineStr">
        <is>
          <t>NORRTÄLJE</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16119-2022</t>
        </is>
      </c>
      <c r="B233" s="1" t="n">
        <v>44665.66407407408</v>
      </c>
      <c r="C233" s="1" t="n">
        <v>45927</v>
      </c>
      <c r="D233" t="inlineStr">
        <is>
          <t>STOCKHOLMS LÄN</t>
        </is>
      </c>
      <c r="E233" t="inlineStr">
        <is>
          <t>NORRTÄLJE</t>
        </is>
      </c>
      <c r="G233" t="n">
        <v>3.9</v>
      </c>
      <c r="H233" t="n">
        <v>0</v>
      </c>
      <c r="I233" t="n">
        <v>0</v>
      </c>
      <c r="J233" t="n">
        <v>0</v>
      </c>
      <c r="K233" t="n">
        <v>0</v>
      </c>
      <c r="L233" t="n">
        <v>0</v>
      </c>
      <c r="M233" t="n">
        <v>0</v>
      </c>
      <c r="N233" t="n">
        <v>0</v>
      </c>
      <c r="O233" t="n">
        <v>0</v>
      </c>
      <c r="P233" t="n">
        <v>0</v>
      </c>
      <c r="Q233" t="n">
        <v>0</v>
      </c>
      <c r="R233" s="2" t="inlineStr"/>
    </row>
    <row r="234" ht="15" customHeight="1">
      <c r="A234" t="inlineStr">
        <is>
          <t>A 31924-2022</t>
        </is>
      </c>
      <c r="B234" s="1" t="n">
        <v>44777</v>
      </c>
      <c r="C234" s="1" t="n">
        <v>45927</v>
      </c>
      <c r="D234" t="inlineStr">
        <is>
          <t>STOCKHOLMS LÄN</t>
        </is>
      </c>
      <c r="E234" t="inlineStr">
        <is>
          <t>NORRTÄLJE</t>
        </is>
      </c>
      <c r="G234" t="n">
        <v>0.7</v>
      </c>
      <c r="H234" t="n">
        <v>0</v>
      </c>
      <c r="I234" t="n">
        <v>0</v>
      </c>
      <c r="J234" t="n">
        <v>0</v>
      </c>
      <c r="K234" t="n">
        <v>0</v>
      </c>
      <c r="L234" t="n">
        <v>0</v>
      </c>
      <c r="M234" t="n">
        <v>0</v>
      </c>
      <c r="N234" t="n">
        <v>0</v>
      </c>
      <c r="O234" t="n">
        <v>0</v>
      </c>
      <c r="P234" t="n">
        <v>0</v>
      </c>
      <c r="Q234" t="n">
        <v>0</v>
      </c>
      <c r="R234" s="2" t="inlineStr"/>
    </row>
    <row r="235" ht="15" customHeight="1">
      <c r="A235" t="inlineStr">
        <is>
          <t>A 53884-2022</t>
        </is>
      </c>
      <c r="B235" s="1" t="n">
        <v>44880.68423611111</v>
      </c>
      <c r="C235" s="1" t="n">
        <v>45927</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12357-2022</t>
        </is>
      </c>
      <c r="B236" s="1" t="n">
        <v>44637</v>
      </c>
      <c r="C236" s="1" t="n">
        <v>45927</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26335-2022</t>
        </is>
      </c>
      <c r="B237" s="1" t="n">
        <v>44735</v>
      </c>
      <c r="C237" s="1" t="n">
        <v>45927</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45927</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45927</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17673-2021</t>
        </is>
      </c>
      <c r="B240" s="1" t="n">
        <v>44300</v>
      </c>
      <c r="C240" s="1" t="n">
        <v>45927</v>
      </c>
      <c r="D240" t="inlineStr">
        <is>
          <t>STOCKHOLMS LÄN</t>
        </is>
      </c>
      <c r="E240" t="inlineStr">
        <is>
          <t>NORRTÄLJE</t>
        </is>
      </c>
      <c r="G240" t="n">
        <v>1.1</v>
      </c>
      <c r="H240" t="n">
        <v>0</v>
      </c>
      <c r="I240" t="n">
        <v>0</v>
      </c>
      <c r="J240" t="n">
        <v>0</v>
      </c>
      <c r="K240" t="n">
        <v>0</v>
      </c>
      <c r="L240" t="n">
        <v>0</v>
      </c>
      <c r="M240" t="n">
        <v>0</v>
      </c>
      <c r="N240" t="n">
        <v>0</v>
      </c>
      <c r="O240" t="n">
        <v>0</v>
      </c>
      <c r="P240" t="n">
        <v>0</v>
      </c>
      <c r="Q240" t="n">
        <v>0</v>
      </c>
      <c r="R240" s="2" t="inlineStr"/>
      <c r="T240">
        <f>HYPERLINK("https://klasma.github.io/Logging_0188/kartor/A 17673-2021 karta.png", "A 17673-2021")</f>
        <v/>
      </c>
      <c r="V240">
        <f>HYPERLINK("https://klasma.github.io/Logging_0188/klagomål/A 17673-2021 FSC-klagomål.docx", "A 17673-2021")</f>
        <v/>
      </c>
      <c r="W240">
        <f>HYPERLINK("https://klasma.github.io/Logging_0188/klagomålsmail/A 17673-2021 FSC-klagomål mail.docx", "A 17673-2021")</f>
        <v/>
      </c>
      <c r="X240">
        <f>HYPERLINK("https://klasma.github.io/Logging_0188/tillsyn/A 17673-2021 tillsynsbegäran.docx", "A 17673-2021")</f>
        <v/>
      </c>
      <c r="Y240">
        <f>HYPERLINK("https://klasma.github.io/Logging_0188/tillsynsmail/A 17673-2021 tillsynsbegäran mail.docx", "A 17673-2021")</f>
        <v/>
      </c>
      <c r="Z240">
        <f>HYPERLINK("https://klasma.github.io/Logging_0188/fåglar/A 17673-2021 prioriterade fågelarter.docx", "A 17673-2021")</f>
        <v/>
      </c>
    </row>
    <row r="241" ht="15" customHeight="1">
      <c r="A241" t="inlineStr">
        <is>
          <t>A 30624-2022</t>
        </is>
      </c>
      <c r="B241" s="1" t="n">
        <v>44763.4182175926</v>
      </c>
      <c r="C241" s="1" t="n">
        <v>45927</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20295-2022</t>
        </is>
      </c>
      <c r="B242" s="1" t="n">
        <v>44698</v>
      </c>
      <c r="C242" s="1" t="n">
        <v>45927</v>
      </c>
      <c r="D242" t="inlineStr">
        <is>
          <t>STOCKHOLMS LÄN</t>
        </is>
      </c>
      <c r="E242" t="inlineStr">
        <is>
          <t>NORRTÄLJE</t>
        </is>
      </c>
      <c r="G242" t="n">
        <v>1.3</v>
      </c>
      <c r="H242" t="n">
        <v>0</v>
      </c>
      <c r="I242" t="n">
        <v>0</v>
      </c>
      <c r="J242" t="n">
        <v>0</v>
      </c>
      <c r="K242" t="n">
        <v>0</v>
      </c>
      <c r="L242" t="n">
        <v>0</v>
      </c>
      <c r="M242" t="n">
        <v>0</v>
      </c>
      <c r="N242" t="n">
        <v>0</v>
      </c>
      <c r="O242" t="n">
        <v>0</v>
      </c>
      <c r="P242" t="n">
        <v>0</v>
      </c>
      <c r="Q242" t="n">
        <v>0</v>
      </c>
      <c r="R242" s="2" t="inlineStr"/>
    </row>
    <row r="243" ht="15" customHeight="1">
      <c r="A243" t="inlineStr">
        <is>
          <t>A 27217-2021</t>
        </is>
      </c>
      <c r="B243" s="1" t="n">
        <v>44350</v>
      </c>
      <c r="C243" s="1" t="n">
        <v>45927</v>
      </c>
      <c r="D243" t="inlineStr">
        <is>
          <t>STOCKHOLMS LÄN</t>
        </is>
      </c>
      <c r="E243" t="inlineStr">
        <is>
          <t>NORRTÄLJE</t>
        </is>
      </c>
      <c r="G243" t="n">
        <v>5.5</v>
      </c>
      <c r="H243" t="n">
        <v>0</v>
      </c>
      <c r="I243" t="n">
        <v>0</v>
      </c>
      <c r="J243" t="n">
        <v>0</v>
      </c>
      <c r="K243" t="n">
        <v>0</v>
      </c>
      <c r="L243" t="n">
        <v>0</v>
      </c>
      <c r="M243" t="n">
        <v>0</v>
      </c>
      <c r="N243" t="n">
        <v>0</v>
      </c>
      <c r="O243" t="n">
        <v>0</v>
      </c>
      <c r="P243" t="n">
        <v>0</v>
      </c>
      <c r="Q243" t="n">
        <v>0</v>
      </c>
      <c r="R243" s="2" t="inlineStr"/>
    </row>
    <row r="244" ht="15" customHeight="1">
      <c r="A244" t="inlineStr">
        <is>
          <t>A 57957-2020</t>
        </is>
      </c>
      <c r="B244" s="1" t="n">
        <v>44143</v>
      </c>
      <c r="C244" s="1" t="n">
        <v>45927</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55982-2020</t>
        </is>
      </c>
      <c r="B245" s="1" t="n">
        <v>44132</v>
      </c>
      <c r="C245" s="1" t="n">
        <v>45927</v>
      </c>
      <c r="D245" t="inlineStr">
        <is>
          <t>STOCKHOLMS LÄN</t>
        </is>
      </c>
      <c r="E245" t="inlineStr">
        <is>
          <t>NORRTÄLJE</t>
        </is>
      </c>
      <c r="G245" t="n">
        <v>11.3</v>
      </c>
      <c r="H245" t="n">
        <v>0</v>
      </c>
      <c r="I245" t="n">
        <v>0</v>
      </c>
      <c r="J245" t="n">
        <v>0</v>
      </c>
      <c r="K245" t="n">
        <v>0</v>
      </c>
      <c r="L245" t="n">
        <v>0</v>
      </c>
      <c r="M245" t="n">
        <v>0</v>
      </c>
      <c r="N245" t="n">
        <v>0</v>
      </c>
      <c r="O245" t="n">
        <v>0</v>
      </c>
      <c r="P245" t="n">
        <v>0</v>
      </c>
      <c r="Q245" t="n">
        <v>0</v>
      </c>
      <c r="R245" s="2" t="inlineStr"/>
    </row>
    <row r="246" ht="15" customHeight="1">
      <c r="A246" t="inlineStr">
        <is>
          <t>A 52449-2021</t>
        </is>
      </c>
      <c r="B246" s="1" t="n">
        <v>44466.37496527778</v>
      </c>
      <c r="C246" s="1" t="n">
        <v>45927</v>
      </c>
      <c r="D246" t="inlineStr">
        <is>
          <t>STOCKHOLMS LÄN</t>
        </is>
      </c>
      <c r="E246" t="inlineStr">
        <is>
          <t>NORRTÄLJE</t>
        </is>
      </c>
      <c r="F246" t="inlineStr">
        <is>
          <t>Holmen skog AB</t>
        </is>
      </c>
      <c r="G246" t="n">
        <v>1.8</v>
      </c>
      <c r="H246" t="n">
        <v>0</v>
      </c>
      <c r="I246" t="n">
        <v>0</v>
      </c>
      <c r="J246" t="n">
        <v>0</v>
      </c>
      <c r="K246" t="n">
        <v>0</v>
      </c>
      <c r="L246" t="n">
        <v>0</v>
      </c>
      <c r="M246" t="n">
        <v>0</v>
      </c>
      <c r="N246" t="n">
        <v>0</v>
      </c>
      <c r="O246" t="n">
        <v>0</v>
      </c>
      <c r="P246" t="n">
        <v>0</v>
      </c>
      <c r="Q246" t="n">
        <v>0</v>
      </c>
      <c r="R246" s="2" t="inlineStr"/>
    </row>
    <row r="247" ht="15" customHeight="1">
      <c r="A247" t="inlineStr">
        <is>
          <t>A 37415-2021</t>
        </is>
      </c>
      <c r="B247" s="1" t="n">
        <v>44397</v>
      </c>
      <c r="C247" s="1" t="n">
        <v>45927</v>
      </c>
      <c r="D247" t="inlineStr">
        <is>
          <t>STOCKHOLMS LÄN</t>
        </is>
      </c>
      <c r="E247" t="inlineStr">
        <is>
          <t>NORRTÄLJE</t>
        </is>
      </c>
      <c r="F247" t="inlineStr">
        <is>
          <t>Övriga Aktiebolag</t>
        </is>
      </c>
      <c r="G247" t="n">
        <v>3</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45927</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33046-2021</t>
        </is>
      </c>
      <c r="B249" s="1" t="n">
        <v>44376</v>
      </c>
      <c r="C249" s="1" t="n">
        <v>45927</v>
      </c>
      <c r="D249" t="inlineStr">
        <is>
          <t>STOCKHOLMS LÄN</t>
        </is>
      </c>
      <c r="E249" t="inlineStr">
        <is>
          <t>NORRTÄLJE</t>
        </is>
      </c>
      <c r="G249" t="n">
        <v>2.1</v>
      </c>
      <c r="H249" t="n">
        <v>0</v>
      </c>
      <c r="I249" t="n">
        <v>0</v>
      </c>
      <c r="J249" t="n">
        <v>0</v>
      </c>
      <c r="K249" t="n">
        <v>0</v>
      </c>
      <c r="L249" t="n">
        <v>0</v>
      </c>
      <c r="M249" t="n">
        <v>0</v>
      </c>
      <c r="N249" t="n">
        <v>0</v>
      </c>
      <c r="O249" t="n">
        <v>0</v>
      </c>
      <c r="P249" t="n">
        <v>0</v>
      </c>
      <c r="Q249" t="n">
        <v>0</v>
      </c>
      <c r="R249" s="2" t="inlineStr"/>
    </row>
    <row r="250" ht="15" customHeight="1">
      <c r="A250" t="inlineStr">
        <is>
          <t>A 26328-2022</t>
        </is>
      </c>
      <c r="B250" s="1" t="n">
        <v>44735</v>
      </c>
      <c r="C250" s="1" t="n">
        <v>45927</v>
      </c>
      <c r="D250" t="inlineStr">
        <is>
          <t>STOCKHOLMS LÄN</t>
        </is>
      </c>
      <c r="E250" t="inlineStr">
        <is>
          <t>NORRTÄLJE</t>
        </is>
      </c>
      <c r="G250" t="n">
        <v>2.8</v>
      </c>
      <c r="H250" t="n">
        <v>0</v>
      </c>
      <c r="I250" t="n">
        <v>0</v>
      </c>
      <c r="J250" t="n">
        <v>0</v>
      </c>
      <c r="K250" t="n">
        <v>0</v>
      </c>
      <c r="L250" t="n">
        <v>0</v>
      </c>
      <c r="M250" t="n">
        <v>0</v>
      </c>
      <c r="N250" t="n">
        <v>0</v>
      </c>
      <c r="O250" t="n">
        <v>0</v>
      </c>
      <c r="P250" t="n">
        <v>0</v>
      </c>
      <c r="Q250" t="n">
        <v>0</v>
      </c>
      <c r="R250" s="2" t="inlineStr"/>
    </row>
    <row r="251" ht="15" customHeight="1">
      <c r="A251" t="inlineStr">
        <is>
          <t>A 66372-2020</t>
        </is>
      </c>
      <c r="B251" s="1" t="n">
        <v>44176</v>
      </c>
      <c r="C251" s="1" t="n">
        <v>45927</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45927</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60542-2020</t>
        </is>
      </c>
      <c r="B253" s="1" t="n">
        <v>44153</v>
      </c>
      <c r="C253" s="1" t="n">
        <v>45927</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45927</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23453-2021</t>
        </is>
      </c>
      <c r="B255" s="1" t="n">
        <v>44333</v>
      </c>
      <c r="C255" s="1" t="n">
        <v>45927</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15441-2021</t>
        </is>
      </c>
      <c r="B256" s="1" t="n">
        <v>44284</v>
      </c>
      <c r="C256" s="1" t="n">
        <v>45927</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27214-2021</t>
        </is>
      </c>
      <c r="B257" s="1" t="n">
        <v>44350</v>
      </c>
      <c r="C257" s="1" t="n">
        <v>45927</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28042-2022</t>
        </is>
      </c>
      <c r="B258" s="1" t="n">
        <v>44744</v>
      </c>
      <c r="C258" s="1" t="n">
        <v>45927</v>
      </c>
      <c r="D258" t="inlineStr">
        <is>
          <t>STOCKHOLMS LÄN</t>
        </is>
      </c>
      <c r="E258" t="inlineStr">
        <is>
          <t>NORRTÄLJE</t>
        </is>
      </c>
      <c r="G258" t="n">
        <v>0.2</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45927</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67598-2021</t>
        </is>
      </c>
      <c r="B260" s="1" t="n">
        <v>44524</v>
      </c>
      <c r="C260" s="1" t="n">
        <v>45927</v>
      </c>
      <c r="D260" t="inlineStr">
        <is>
          <t>STOCKHOLMS LÄN</t>
        </is>
      </c>
      <c r="E260" t="inlineStr">
        <is>
          <t>NORRTÄLJE</t>
        </is>
      </c>
      <c r="G260" t="n">
        <v>1.2</v>
      </c>
      <c r="H260" t="n">
        <v>0</v>
      </c>
      <c r="I260" t="n">
        <v>0</v>
      </c>
      <c r="J260" t="n">
        <v>0</v>
      </c>
      <c r="K260" t="n">
        <v>0</v>
      </c>
      <c r="L260" t="n">
        <v>0</v>
      </c>
      <c r="M260" t="n">
        <v>0</v>
      </c>
      <c r="N260" t="n">
        <v>0</v>
      </c>
      <c r="O260" t="n">
        <v>0</v>
      </c>
      <c r="P260" t="n">
        <v>0</v>
      </c>
      <c r="Q260" t="n">
        <v>0</v>
      </c>
      <c r="R260" s="2" t="inlineStr"/>
    </row>
    <row r="261" ht="15" customHeight="1">
      <c r="A261" t="inlineStr">
        <is>
          <t>A 34520-2021</t>
        </is>
      </c>
      <c r="B261" s="1" t="n">
        <v>44379</v>
      </c>
      <c r="C261" s="1" t="n">
        <v>45927</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30286-2022</t>
        </is>
      </c>
      <c r="B262" s="1" t="n">
        <v>44760</v>
      </c>
      <c r="C262" s="1" t="n">
        <v>45927</v>
      </c>
      <c r="D262" t="inlineStr">
        <is>
          <t>STOCKHOLMS LÄN</t>
        </is>
      </c>
      <c r="E262" t="inlineStr">
        <is>
          <t>NORRTÄLJE</t>
        </is>
      </c>
      <c r="G262" t="n">
        <v>0.3</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45927</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8160-2022</t>
        </is>
      </c>
      <c r="B264" s="1" t="n">
        <v>44609</v>
      </c>
      <c r="C264" s="1" t="n">
        <v>45927</v>
      </c>
      <c r="D264" t="inlineStr">
        <is>
          <t>STOCKHOLMS LÄN</t>
        </is>
      </c>
      <c r="E264" t="inlineStr">
        <is>
          <t>NORRTÄLJE</t>
        </is>
      </c>
      <c r="G264" t="n">
        <v>3.9</v>
      </c>
      <c r="H264" t="n">
        <v>0</v>
      </c>
      <c r="I264" t="n">
        <v>0</v>
      </c>
      <c r="J264" t="n">
        <v>0</v>
      </c>
      <c r="K264" t="n">
        <v>0</v>
      </c>
      <c r="L264" t="n">
        <v>0</v>
      </c>
      <c r="M264" t="n">
        <v>0</v>
      </c>
      <c r="N264" t="n">
        <v>0</v>
      </c>
      <c r="O264" t="n">
        <v>0</v>
      </c>
      <c r="P264" t="n">
        <v>0</v>
      </c>
      <c r="Q264" t="n">
        <v>0</v>
      </c>
      <c r="R264" s="2" t="inlineStr"/>
    </row>
    <row r="265" ht="15" customHeight="1">
      <c r="A265" t="inlineStr">
        <is>
          <t>A 41822-2021</t>
        </is>
      </c>
      <c r="B265" s="1" t="n">
        <v>44425</v>
      </c>
      <c r="C265" s="1" t="n">
        <v>45927</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41823-2021</t>
        </is>
      </c>
      <c r="B266" s="1" t="n">
        <v>44425</v>
      </c>
      <c r="C266" s="1" t="n">
        <v>45927</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41398-2022</t>
        </is>
      </c>
      <c r="B267" s="1" t="n">
        <v>44826</v>
      </c>
      <c r="C267" s="1" t="n">
        <v>45927</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22369-2021</t>
        </is>
      </c>
      <c r="B268" s="1" t="n">
        <v>44326</v>
      </c>
      <c r="C268" s="1" t="n">
        <v>45927</v>
      </c>
      <c r="D268" t="inlineStr">
        <is>
          <t>STOCKHOLMS LÄN</t>
        </is>
      </c>
      <c r="E268" t="inlineStr">
        <is>
          <t>NORRTÄLJE</t>
        </is>
      </c>
      <c r="F268" t="inlineStr">
        <is>
          <t>Holmen skog AB</t>
        </is>
      </c>
      <c r="G268" t="n">
        <v>3.4</v>
      </c>
      <c r="H268" t="n">
        <v>0</v>
      </c>
      <c r="I268" t="n">
        <v>0</v>
      </c>
      <c r="J268" t="n">
        <v>0</v>
      </c>
      <c r="K268" t="n">
        <v>0</v>
      </c>
      <c r="L268" t="n">
        <v>0</v>
      </c>
      <c r="M268" t="n">
        <v>0</v>
      </c>
      <c r="N268" t="n">
        <v>0</v>
      </c>
      <c r="O268" t="n">
        <v>0</v>
      </c>
      <c r="P268" t="n">
        <v>0</v>
      </c>
      <c r="Q268" t="n">
        <v>0</v>
      </c>
      <c r="R268" s="2" t="inlineStr"/>
    </row>
    <row r="269" ht="15" customHeight="1">
      <c r="A269" t="inlineStr">
        <is>
          <t>A 39319-2022</t>
        </is>
      </c>
      <c r="B269" s="1" t="n">
        <v>44817.70516203704</v>
      </c>
      <c r="C269" s="1" t="n">
        <v>45927</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1968-2022</t>
        </is>
      </c>
      <c r="B270" s="1" t="n">
        <v>44575.52831018518</v>
      </c>
      <c r="C270" s="1" t="n">
        <v>45927</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29972-2024</t>
        </is>
      </c>
      <c r="B271" s="1" t="n">
        <v>45485</v>
      </c>
      <c r="C271" s="1" t="n">
        <v>45927</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31926-2022</t>
        </is>
      </c>
      <c r="B272" s="1" t="n">
        <v>44777</v>
      </c>
      <c r="C272" s="1" t="n">
        <v>45927</v>
      </c>
      <c r="D272" t="inlineStr">
        <is>
          <t>STOCKHOLMS LÄN</t>
        </is>
      </c>
      <c r="E272" t="inlineStr">
        <is>
          <t>NORRTÄLJE</t>
        </is>
      </c>
      <c r="G272" t="n">
        <v>5.2</v>
      </c>
      <c r="H272" t="n">
        <v>0</v>
      </c>
      <c r="I272" t="n">
        <v>0</v>
      </c>
      <c r="J272" t="n">
        <v>0</v>
      </c>
      <c r="K272" t="n">
        <v>0</v>
      </c>
      <c r="L272" t="n">
        <v>0</v>
      </c>
      <c r="M272" t="n">
        <v>0</v>
      </c>
      <c r="N272" t="n">
        <v>0</v>
      </c>
      <c r="O272" t="n">
        <v>0</v>
      </c>
      <c r="P272" t="n">
        <v>0</v>
      </c>
      <c r="Q272" t="n">
        <v>0</v>
      </c>
      <c r="R272" s="2" t="inlineStr"/>
    </row>
    <row r="273" ht="15" customHeight="1">
      <c r="A273" t="inlineStr">
        <is>
          <t>A 48716-2023</t>
        </is>
      </c>
      <c r="B273" s="1" t="n">
        <v>45208.69671296296</v>
      </c>
      <c r="C273" s="1" t="n">
        <v>45927</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5027-2025</t>
        </is>
      </c>
      <c r="B274" s="1" t="n">
        <v>45691.41101851852</v>
      </c>
      <c r="C274" s="1" t="n">
        <v>45927</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7571-2024</t>
        </is>
      </c>
      <c r="B275" s="1" t="n">
        <v>45348.46300925926</v>
      </c>
      <c r="C275" s="1" t="n">
        <v>45927</v>
      </c>
      <c r="D275" t="inlineStr">
        <is>
          <t>STOCKHOLMS LÄN</t>
        </is>
      </c>
      <c r="E275" t="inlineStr">
        <is>
          <t>NORRTÄLJE</t>
        </is>
      </c>
      <c r="F275" t="inlineStr">
        <is>
          <t>Holmen skog AB</t>
        </is>
      </c>
      <c r="G275" t="n">
        <v>1.8</v>
      </c>
      <c r="H275" t="n">
        <v>0</v>
      </c>
      <c r="I275" t="n">
        <v>0</v>
      </c>
      <c r="J275" t="n">
        <v>0</v>
      </c>
      <c r="K275" t="n">
        <v>0</v>
      </c>
      <c r="L275" t="n">
        <v>0</v>
      </c>
      <c r="M275" t="n">
        <v>0</v>
      </c>
      <c r="N275" t="n">
        <v>0</v>
      </c>
      <c r="O275" t="n">
        <v>0</v>
      </c>
      <c r="P275" t="n">
        <v>0</v>
      </c>
      <c r="Q275" t="n">
        <v>0</v>
      </c>
      <c r="R275" s="2" t="inlineStr"/>
    </row>
    <row r="276" ht="15" customHeight="1">
      <c r="A276" t="inlineStr">
        <is>
          <t>A 10511-2025</t>
        </is>
      </c>
      <c r="B276" s="1" t="n">
        <v>45721.40780092592</v>
      </c>
      <c r="C276" s="1" t="n">
        <v>45927</v>
      </c>
      <c r="D276" t="inlineStr">
        <is>
          <t>STOCKHOLMS LÄN</t>
        </is>
      </c>
      <c r="E276" t="inlineStr">
        <is>
          <t>NORRTÄLJE</t>
        </is>
      </c>
      <c r="G276" t="n">
        <v>2.6</v>
      </c>
      <c r="H276" t="n">
        <v>0</v>
      </c>
      <c r="I276" t="n">
        <v>0</v>
      </c>
      <c r="J276" t="n">
        <v>0</v>
      </c>
      <c r="K276" t="n">
        <v>0</v>
      </c>
      <c r="L276" t="n">
        <v>0</v>
      </c>
      <c r="M276" t="n">
        <v>0</v>
      </c>
      <c r="N276" t="n">
        <v>0</v>
      </c>
      <c r="O276" t="n">
        <v>0</v>
      </c>
      <c r="P276" t="n">
        <v>0</v>
      </c>
      <c r="Q276" t="n">
        <v>0</v>
      </c>
      <c r="R276" s="2" t="inlineStr"/>
    </row>
    <row r="277" ht="15" customHeight="1">
      <c r="A277" t="inlineStr">
        <is>
          <t>A 64137-2021</t>
        </is>
      </c>
      <c r="B277" s="1" t="n">
        <v>44510.51422453704</v>
      </c>
      <c r="C277" s="1" t="n">
        <v>45927</v>
      </c>
      <c r="D277" t="inlineStr">
        <is>
          <t>STOCKHOLMS LÄN</t>
        </is>
      </c>
      <c r="E277" t="inlineStr">
        <is>
          <t>NORRTÄLJE</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11849-2025</t>
        </is>
      </c>
      <c r="B278" s="1" t="n">
        <v>45728.38409722222</v>
      </c>
      <c r="C278" s="1" t="n">
        <v>45927</v>
      </c>
      <c r="D278" t="inlineStr">
        <is>
          <t>STOCKHOLMS LÄN</t>
        </is>
      </c>
      <c r="E278" t="inlineStr">
        <is>
          <t>NORRTÄLJE</t>
        </is>
      </c>
      <c r="G278" t="n">
        <v>1.7</v>
      </c>
      <c r="H278" t="n">
        <v>0</v>
      </c>
      <c r="I278" t="n">
        <v>0</v>
      </c>
      <c r="J278" t="n">
        <v>0</v>
      </c>
      <c r="K278" t="n">
        <v>0</v>
      </c>
      <c r="L278" t="n">
        <v>0</v>
      </c>
      <c r="M278" t="n">
        <v>0</v>
      </c>
      <c r="N278" t="n">
        <v>0</v>
      </c>
      <c r="O278" t="n">
        <v>0</v>
      </c>
      <c r="P278" t="n">
        <v>0</v>
      </c>
      <c r="Q278" t="n">
        <v>0</v>
      </c>
      <c r="R278" s="2" t="inlineStr"/>
    </row>
    <row r="279" ht="15" customHeight="1">
      <c r="A279" t="inlineStr">
        <is>
          <t>A 21480-2022</t>
        </is>
      </c>
      <c r="B279" s="1" t="n">
        <v>44704</v>
      </c>
      <c r="C279" s="1" t="n">
        <v>45927</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40425-2021</t>
        </is>
      </c>
      <c r="B280" s="1" t="n">
        <v>44419</v>
      </c>
      <c r="C280" s="1" t="n">
        <v>45927</v>
      </c>
      <c r="D280" t="inlineStr">
        <is>
          <t>STOCKHOLMS LÄN</t>
        </is>
      </c>
      <c r="E280" t="inlineStr">
        <is>
          <t>NORRTÄLJE</t>
        </is>
      </c>
      <c r="G280" t="n">
        <v>5</v>
      </c>
      <c r="H280" t="n">
        <v>0</v>
      </c>
      <c r="I280" t="n">
        <v>0</v>
      </c>
      <c r="J280" t="n">
        <v>0</v>
      </c>
      <c r="K280" t="n">
        <v>0</v>
      </c>
      <c r="L280" t="n">
        <v>0</v>
      </c>
      <c r="M280" t="n">
        <v>0</v>
      </c>
      <c r="N280" t="n">
        <v>0</v>
      </c>
      <c r="O280" t="n">
        <v>0</v>
      </c>
      <c r="P280" t="n">
        <v>0</v>
      </c>
      <c r="Q280" t="n">
        <v>0</v>
      </c>
      <c r="R280" s="2" t="inlineStr"/>
    </row>
    <row r="281" ht="15" customHeight="1">
      <c r="A281" t="inlineStr">
        <is>
          <t>A 11041-2025</t>
        </is>
      </c>
      <c r="B281" s="1" t="n">
        <v>45723</v>
      </c>
      <c r="C281" s="1" t="n">
        <v>45927</v>
      </c>
      <c r="D281" t="inlineStr">
        <is>
          <t>STOCKHOLMS LÄN</t>
        </is>
      </c>
      <c r="E281" t="inlineStr">
        <is>
          <t>NORRTÄLJE</t>
        </is>
      </c>
      <c r="F281" t="inlineStr">
        <is>
          <t>Övriga Aktiebolag</t>
        </is>
      </c>
      <c r="G281" t="n">
        <v>1.8</v>
      </c>
      <c r="H281" t="n">
        <v>0</v>
      </c>
      <c r="I281" t="n">
        <v>0</v>
      </c>
      <c r="J281" t="n">
        <v>0</v>
      </c>
      <c r="K281" t="n">
        <v>0</v>
      </c>
      <c r="L281" t="n">
        <v>0</v>
      </c>
      <c r="M281" t="n">
        <v>0</v>
      </c>
      <c r="N281" t="n">
        <v>0</v>
      </c>
      <c r="O281" t="n">
        <v>0</v>
      </c>
      <c r="P281" t="n">
        <v>0</v>
      </c>
      <c r="Q281" t="n">
        <v>0</v>
      </c>
      <c r="R281" s="2" t="inlineStr"/>
    </row>
    <row r="282" ht="15" customHeight="1">
      <c r="A282" t="inlineStr">
        <is>
          <t>A 9469-2021</t>
        </is>
      </c>
      <c r="B282" s="1" t="n">
        <v>44251</v>
      </c>
      <c r="C282" s="1" t="n">
        <v>45927</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58990-2021</t>
        </is>
      </c>
      <c r="B283" s="1" t="n">
        <v>44490.03621527777</v>
      </c>
      <c r="C283" s="1" t="n">
        <v>45927</v>
      </c>
      <c r="D283" t="inlineStr">
        <is>
          <t>STOCKHOLMS LÄN</t>
        </is>
      </c>
      <c r="E283" t="inlineStr">
        <is>
          <t>NORRTÄLJE</t>
        </is>
      </c>
      <c r="G283" t="n">
        <v>4.2</v>
      </c>
      <c r="H283" t="n">
        <v>0</v>
      </c>
      <c r="I283" t="n">
        <v>0</v>
      </c>
      <c r="J283" t="n">
        <v>0</v>
      </c>
      <c r="K283" t="n">
        <v>0</v>
      </c>
      <c r="L283" t="n">
        <v>0</v>
      </c>
      <c r="M283" t="n">
        <v>0</v>
      </c>
      <c r="N283" t="n">
        <v>0</v>
      </c>
      <c r="O283" t="n">
        <v>0</v>
      </c>
      <c r="P283" t="n">
        <v>0</v>
      </c>
      <c r="Q283" t="n">
        <v>0</v>
      </c>
      <c r="R283" s="2" t="inlineStr"/>
    </row>
    <row r="284" ht="15" customHeight="1">
      <c r="A284" t="inlineStr">
        <is>
          <t>A 24024-2024</t>
        </is>
      </c>
      <c r="B284" s="1" t="n">
        <v>45456</v>
      </c>
      <c r="C284" s="1" t="n">
        <v>45927</v>
      </c>
      <c r="D284" t="inlineStr">
        <is>
          <t>STOCKHOLMS LÄN</t>
        </is>
      </c>
      <c r="E284" t="inlineStr">
        <is>
          <t>NORRTÄLJE</t>
        </is>
      </c>
      <c r="G284" t="n">
        <v>1.9</v>
      </c>
      <c r="H284" t="n">
        <v>0</v>
      </c>
      <c r="I284" t="n">
        <v>0</v>
      </c>
      <c r="J284" t="n">
        <v>0</v>
      </c>
      <c r="K284" t="n">
        <v>0</v>
      </c>
      <c r="L284" t="n">
        <v>0</v>
      </c>
      <c r="M284" t="n">
        <v>0</v>
      </c>
      <c r="N284" t="n">
        <v>0</v>
      </c>
      <c r="O284" t="n">
        <v>0</v>
      </c>
      <c r="P284" t="n">
        <v>0</v>
      </c>
      <c r="Q284" t="n">
        <v>0</v>
      </c>
      <c r="R284" s="2" t="inlineStr"/>
    </row>
    <row r="285" ht="15" customHeight="1">
      <c r="A285" t="inlineStr">
        <is>
          <t>A 28809-2023</t>
        </is>
      </c>
      <c r="B285" s="1" t="n">
        <v>45104</v>
      </c>
      <c r="C285" s="1" t="n">
        <v>45927</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28813-2023</t>
        </is>
      </c>
      <c r="B286" s="1" t="n">
        <v>45104</v>
      </c>
      <c r="C286" s="1" t="n">
        <v>45927</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40656-2022</t>
        </is>
      </c>
      <c r="B287" s="1" t="n">
        <v>44824.36069444445</v>
      </c>
      <c r="C287" s="1" t="n">
        <v>45927</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11122-2021</t>
        </is>
      </c>
      <c r="B288" s="1" t="n">
        <v>44260</v>
      </c>
      <c r="C288" s="1" t="n">
        <v>45927</v>
      </c>
      <c r="D288" t="inlineStr">
        <is>
          <t>STOCKHOLMS LÄN</t>
        </is>
      </c>
      <c r="E288" t="inlineStr">
        <is>
          <t>NORRTÄLJE</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60694-2024</t>
        </is>
      </c>
      <c r="B289" s="1" t="n">
        <v>45644.47878472223</v>
      </c>
      <c r="C289" s="1" t="n">
        <v>45927</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56219-2021</t>
        </is>
      </c>
      <c r="B290" s="1" t="n">
        <v>44477</v>
      </c>
      <c r="C290" s="1" t="n">
        <v>45927</v>
      </c>
      <c r="D290" t="inlineStr">
        <is>
          <t>STOCKHOLMS LÄN</t>
        </is>
      </c>
      <c r="E290" t="inlineStr">
        <is>
          <t>NORRTÄLJE</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20790-2025</t>
        </is>
      </c>
      <c r="B291" s="1" t="n">
        <v>45776.62563657408</v>
      </c>
      <c r="C291" s="1" t="n">
        <v>45927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20699-2025</t>
        </is>
      </c>
      <c r="B292" s="1" t="n">
        <v>45776.47346064815</v>
      </c>
      <c r="C292" s="1" t="n">
        <v>45927</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3152-2024</t>
        </is>
      </c>
      <c r="B293" s="1" t="n">
        <v>45316.60306712963</v>
      </c>
      <c r="C293" s="1" t="n">
        <v>45927</v>
      </c>
      <c r="D293" t="inlineStr">
        <is>
          <t>STOCKHOLMS LÄN</t>
        </is>
      </c>
      <c r="E293" t="inlineStr">
        <is>
          <t>NORRTÄLJE</t>
        </is>
      </c>
      <c r="G293" t="n">
        <v>7.9</v>
      </c>
      <c r="H293" t="n">
        <v>0</v>
      </c>
      <c r="I293" t="n">
        <v>0</v>
      </c>
      <c r="J293" t="n">
        <v>0</v>
      </c>
      <c r="K293" t="n">
        <v>0</v>
      </c>
      <c r="L293" t="n">
        <v>0</v>
      </c>
      <c r="M293" t="n">
        <v>0</v>
      </c>
      <c r="N293" t="n">
        <v>0</v>
      </c>
      <c r="O293" t="n">
        <v>0</v>
      </c>
      <c r="P293" t="n">
        <v>0</v>
      </c>
      <c r="Q293" t="n">
        <v>0</v>
      </c>
      <c r="R293" s="2" t="inlineStr"/>
    </row>
    <row r="294" ht="15" customHeight="1">
      <c r="A294" t="inlineStr">
        <is>
          <t>A 59326-2023</t>
        </is>
      </c>
      <c r="B294" s="1" t="n">
        <v>45253.63089120371</v>
      </c>
      <c r="C294" s="1" t="n">
        <v>45927</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44836-2023</t>
        </is>
      </c>
      <c r="B295" s="1" t="n">
        <v>45190.55609953704</v>
      </c>
      <c r="C295" s="1" t="n">
        <v>45927</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20779-2025</t>
        </is>
      </c>
      <c r="B296" s="1" t="n">
        <v>45776.59871527777</v>
      </c>
      <c r="C296" s="1" t="n">
        <v>45927</v>
      </c>
      <c r="D296" t="inlineStr">
        <is>
          <t>STOCKHOLMS LÄN</t>
        </is>
      </c>
      <c r="E296" t="inlineStr">
        <is>
          <t>NORRTÄLJE</t>
        </is>
      </c>
      <c r="G296" t="n">
        <v>6.9</v>
      </c>
      <c r="H296" t="n">
        <v>0</v>
      </c>
      <c r="I296" t="n">
        <v>0</v>
      </c>
      <c r="J296" t="n">
        <v>0</v>
      </c>
      <c r="K296" t="n">
        <v>0</v>
      </c>
      <c r="L296" t="n">
        <v>0</v>
      </c>
      <c r="M296" t="n">
        <v>0</v>
      </c>
      <c r="N296" t="n">
        <v>0</v>
      </c>
      <c r="O296" t="n">
        <v>0</v>
      </c>
      <c r="P296" t="n">
        <v>0</v>
      </c>
      <c r="Q296" t="n">
        <v>0</v>
      </c>
      <c r="R296" s="2" t="inlineStr"/>
    </row>
    <row r="297" ht="15" customHeight="1">
      <c r="A297" t="inlineStr">
        <is>
          <t>A 19450-2025</t>
        </is>
      </c>
      <c r="B297" s="1" t="n">
        <v>45770</v>
      </c>
      <c r="C297" s="1" t="n">
        <v>45927</v>
      </c>
      <c r="D297" t="inlineStr">
        <is>
          <t>STOCKHOLMS LÄN</t>
        </is>
      </c>
      <c r="E297" t="inlineStr">
        <is>
          <t>NORRTÄLJE</t>
        </is>
      </c>
      <c r="G297" t="n">
        <v>5.3</v>
      </c>
      <c r="H297" t="n">
        <v>0</v>
      </c>
      <c r="I297" t="n">
        <v>0</v>
      </c>
      <c r="J297" t="n">
        <v>0</v>
      </c>
      <c r="K297" t="n">
        <v>0</v>
      </c>
      <c r="L297" t="n">
        <v>0</v>
      </c>
      <c r="M297" t="n">
        <v>0</v>
      </c>
      <c r="N297" t="n">
        <v>0</v>
      </c>
      <c r="O297" t="n">
        <v>0</v>
      </c>
      <c r="P297" t="n">
        <v>0</v>
      </c>
      <c r="Q297" t="n">
        <v>0</v>
      </c>
      <c r="R297" s="2" t="inlineStr"/>
    </row>
    <row r="298" ht="15" customHeight="1">
      <c r="A298" t="inlineStr">
        <is>
          <t>A 12268-2022</t>
        </is>
      </c>
      <c r="B298" s="1" t="n">
        <v>44637</v>
      </c>
      <c r="C298" s="1" t="n">
        <v>45927</v>
      </c>
      <c r="D298" t="inlineStr">
        <is>
          <t>STOCKHOLMS LÄN</t>
        </is>
      </c>
      <c r="E298" t="inlineStr">
        <is>
          <t>NORRTÄLJE</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20015-2023</t>
        </is>
      </c>
      <c r="B299" s="1" t="n">
        <v>45054</v>
      </c>
      <c r="C299" s="1" t="n">
        <v>45927</v>
      </c>
      <c r="D299" t="inlineStr">
        <is>
          <t>STOCKHOLMS LÄN</t>
        </is>
      </c>
      <c r="E299" t="inlineStr">
        <is>
          <t>NORRTÄLJE</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3273-2025</t>
        </is>
      </c>
      <c r="B300" s="1" t="n">
        <v>45679</v>
      </c>
      <c r="C300" s="1" t="n">
        <v>45927</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24245-2024</t>
        </is>
      </c>
      <c r="B301" s="1" t="n">
        <v>45457</v>
      </c>
      <c r="C301" s="1" t="n">
        <v>45927</v>
      </c>
      <c r="D301" t="inlineStr">
        <is>
          <t>STOCKHOLMS LÄN</t>
        </is>
      </c>
      <c r="E301" t="inlineStr">
        <is>
          <t>NORRTÄLJE</t>
        </is>
      </c>
      <c r="F301" t="inlineStr">
        <is>
          <t>Holmen skog AB</t>
        </is>
      </c>
      <c r="G301" t="n">
        <v>3.4</v>
      </c>
      <c r="H301" t="n">
        <v>0</v>
      </c>
      <c r="I301" t="n">
        <v>0</v>
      </c>
      <c r="J301" t="n">
        <v>0</v>
      </c>
      <c r="K301" t="n">
        <v>0</v>
      </c>
      <c r="L301" t="n">
        <v>0</v>
      </c>
      <c r="M301" t="n">
        <v>0</v>
      </c>
      <c r="N301" t="n">
        <v>0</v>
      </c>
      <c r="O301" t="n">
        <v>0</v>
      </c>
      <c r="P301" t="n">
        <v>0</v>
      </c>
      <c r="Q301" t="n">
        <v>0</v>
      </c>
      <c r="R301" s="2" t="inlineStr"/>
    </row>
    <row r="302" ht="15" customHeight="1">
      <c r="A302" t="inlineStr">
        <is>
          <t>A 21291-2021</t>
        </is>
      </c>
      <c r="B302" s="1" t="n">
        <v>44319</v>
      </c>
      <c r="C302" s="1" t="n">
        <v>45927</v>
      </c>
      <c r="D302" t="inlineStr">
        <is>
          <t>STOCKHOLMS LÄN</t>
        </is>
      </c>
      <c r="E302" t="inlineStr">
        <is>
          <t>NORRTÄLJE</t>
        </is>
      </c>
      <c r="G302" t="n">
        <v>12.7</v>
      </c>
      <c r="H302" t="n">
        <v>0</v>
      </c>
      <c r="I302" t="n">
        <v>0</v>
      </c>
      <c r="J302" t="n">
        <v>0</v>
      </c>
      <c r="K302" t="n">
        <v>0</v>
      </c>
      <c r="L302" t="n">
        <v>0</v>
      </c>
      <c r="M302" t="n">
        <v>0</v>
      </c>
      <c r="N302" t="n">
        <v>0</v>
      </c>
      <c r="O302" t="n">
        <v>0</v>
      </c>
      <c r="P302" t="n">
        <v>0</v>
      </c>
      <c r="Q302" t="n">
        <v>0</v>
      </c>
      <c r="R302" s="2" t="inlineStr"/>
    </row>
    <row r="303" ht="15" customHeight="1">
      <c r="A303" t="inlineStr">
        <is>
          <t>A 15256-2023</t>
        </is>
      </c>
      <c r="B303" s="1" t="n">
        <v>45019.3959837963</v>
      </c>
      <c r="C303" s="1" t="n">
        <v>45927</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20428-2024</t>
        </is>
      </c>
      <c r="B304" s="1" t="n">
        <v>45435</v>
      </c>
      <c r="C304" s="1" t="n">
        <v>45927</v>
      </c>
      <c r="D304" t="inlineStr">
        <is>
          <t>STOCKHOLMS LÄN</t>
        </is>
      </c>
      <c r="E304" t="inlineStr">
        <is>
          <t>NORRTÄLJE</t>
        </is>
      </c>
      <c r="G304" t="n">
        <v>3.7</v>
      </c>
      <c r="H304" t="n">
        <v>0</v>
      </c>
      <c r="I304" t="n">
        <v>0</v>
      </c>
      <c r="J304" t="n">
        <v>0</v>
      </c>
      <c r="K304" t="n">
        <v>0</v>
      </c>
      <c r="L304" t="n">
        <v>0</v>
      </c>
      <c r="M304" t="n">
        <v>0</v>
      </c>
      <c r="N304" t="n">
        <v>0</v>
      </c>
      <c r="O304" t="n">
        <v>0</v>
      </c>
      <c r="P304" t="n">
        <v>0</v>
      </c>
      <c r="Q304" t="n">
        <v>0</v>
      </c>
      <c r="R304" s="2" t="inlineStr"/>
    </row>
    <row r="305" ht="15" customHeight="1">
      <c r="A305" t="inlineStr">
        <is>
          <t>A 21771-2025</t>
        </is>
      </c>
      <c r="B305" s="1" t="n">
        <v>45783</v>
      </c>
      <c r="C305" s="1" t="n">
        <v>45927</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21778-2025</t>
        </is>
      </c>
      <c r="B306" s="1" t="n">
        <v>45783.66429398148</v>
      </c>
      <c r="C306" s="1" t="n">
        <v>45927</v>
      </c>
      <c r="D306" t="inlineStr">
        <is>
          <t>STOCKHOLMS LÄN</t>
        </is>
      </c>
      <c r="E306" t="inlineStr">
        <is>
          <t>NORRTÄLJE</t>
        </is>
      </c>
      <c r="G306" t="n">
        <v>2</v>
      </c>
      <c r="H306" t="n">
        <v>0</v>
      </c>
      <c r="I306" t="n">
        <v>0</v>
      </c>
      <c r="J306" t="n">
        <v>0</v>
      </c>
      <c r="K306" t="n">
        <v>0</v>
      </c>
      <c r="L306" t="n">
        <v>0</v>
      </c>
      <c r="M306" t="n">
        <v>0</v>
      </c>
      <c r="N306" t="n">
        <v>0</v>
      </c>
      <c r="O306" t="n">
        <v>0</v>
      </c>
      <c r="P306" t="n">
        <v>0</v>
      </c>
      <c r="Q306" t="n">
        <v>0</v>
      </c>
      <c r="R306" s="2" t="inlineStr"/>
    </row>
    <row r="307" ht="15" customHeight="1">
      <c r="A307" t="inlineStr">
        <is>
          <t>A 13172-2025</t>
        </is>
      </c>
      <c r="B307" s="1" t="n">
        <v>45735.36873842592</v>
      </c>
      <c r="C307" s="1" t="n">
        <v>45927</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33353-2023</t>
        </is>
      </c>
      <c r="B308" s="1" t="n">
        <v>45128</v>
      </c>
      <c r="C308" s="1" t="n">
        <v>45927</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58661-2020</t>
        </is>
      </c>
      <c r="B309" s="1" t="n">
        <v>44145</v>
      </c>
      <c r="C309" s="1" t="n">
        <v>45927</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64145-2021</t>
        </is>
      </c>
      <c r="B310" s="1" t="n">
        <v>44510</v>
      </c>
      <c r="C310" s="1" t="n">
        <v>45927</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1740-2023</t>
        </is>
      </c>
      <c r="B311" s="1" t="n">
        <v>44938</v>
      </c>
      <c r="C311" s="1" t="n">
        <v>45927</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4596-2023</t>
        </is>
      </c>
      <c r="B312" s="1" t="n">
        <v>44956</v>
      </c>
      <c r="C312" s="1" t="n">
        <v>45927</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3966-2024</t>
        </is>
      </c>
      <c r="B313" s="1" t="n">
        <v>45322</v>
      </c>
      <c r="C313" s="1" t="n">
        <v>45927</v>
      </c>
      <c r="D313" t="inlineStr">
        <is>
          <t>STOCKHOLMS LÄN</t>
        </is>
      </c>
      <c r="E313" t="inlineStr">
        <is>
          <t>NORRTÄLJE</t>
        </is>
      </c>
      <c r="G313" t="n">
        <v>5.3</v>
      </c>
      <c r="H313" t="n">
        <v>0</v>
      </c>
      <c r="I313" t="n">
        <v>0</v>
      </c>
      <c r="J313" t="n">
        <v>0</v>
      </c>
      <c r="K313" t="n">
        <v>0</v>
      </c>
      <c r="L313" t="n">
        <v>0</v>
      </c>
      <c r="M313" t="n">
        <v>0</v>
      </c>
      <c r="N313" t="n">
        <v>0</v>
      </c>
      <c r="O313" t="n">
        <v>0</v>
      </c>
      <c r="P313" t="n">
        <v>0</v>
      </c>
      <c r="Q313" t="n">
        <v>0</v>
      </c>
      <c r="R313" s="2" t="inlineStr"/>
    </row>
    <row r="314" ht="15" customHeight="1">
      <c r="A314" t="inlineStr">
        <is>
          <t>A 10676-2025</t>
        </is>
      </c>
      <c r="B314" s="1" t="n">
        <v>45721.88684027778</v>
      </c>
      <c r="C314" s="1" t="n">
        <v>45927</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20852-2023</t>
        </is>
      </c>
      <c r="B315" s="1" t="n">
        <v>45058.78607638889</v>
      </c>
      <c r="C315" s="1" t="n">
        <v>45927</v>
      </c>
      <c r="D315" t="inlineStr">
        <is>
          <t>STOCKHOLMS LÄN</t>
        </is>
      </c>
      <c r="E315" t="inlineStr">
        <is>
          <t>NORRTÄLJE</t>
        </is>
      </c>
      <c r="G315" t="n">
        <v>3.5</v>
      </c>
      <c r="H315" t="n">
        <v>0</v>
      </c>
      <c r="I315" t="n">
        <v>0</v>
      </c>
      <c r="J315" t="n">
        <v>0</v>
      </c>
      <c r="K315" t="n">
        <v>0</v>
      </c>
      <c r="L315" t="n">
        <v>0</v>
      </c>
      <c r="M315" t="n">
        <v>0</v>
      </c>
      <c r="N315" t="n">
        <v>0</v>
      </c>
      <c r="O315" t="n">
        <v>0</v>
      </c>
      <c r="P315" t="n">
        <v>0</v>
      </c>
      <c r="Q315" t="n">
        <v>0</v>
      </c>
      <c r="R315" s="2" t="inlineStr"/>
    </row>
    <row r="316" ht="15" customHeight="1">
      <c r="A316" t="inlineStr">
        <is>
          <t>A 22456-2023</t>
        </is>
      </c>
      <c r="B316" s="1" t="n">
        <v>45070</v>
      </c>
      <c r="C316" s="1" t="n">
        <v>45927</v>
      </c>
      <c r="D316" t="inlineStr">
        <is>
          <t>STOCKHOLMS LÄN</t>
        </is>
      </c>
      <c r="E316" t="inlineStr">
        <is>
          <t>NORRTÄLJE</t>
        </is>
      </c>
      <c r="G316" t="n">
        <v>3.1</v>
      </c>
      <c r="H316" t="n">
        <v>0</v>
      </c>
      <c r="I316" t="n">
        <v>0</v>
      </c>
      <c r="J316" t="n">
        <v>0</v>
      </c>
      <c r="K316" t="n">
        <v>0</v>
      </c>
      <c r="L316" t="n">
        <v>0</v>
      </c>
      <c r="M316" t="n">
        <v>0</v>
      </c>
      <c r="N316" t="n">
        <v>0</v>
      </c>
      <c r="O316" t="n">
        <v>0</v>
      </c>
      <c r="P316" t="n">
        <v>0</v>
      </c>
      <c r="Q316" t="n">
        <v>0</v>
      </c>
      <c r="R316" s="2" t="inlineStr"/>
    </row>
    <row r="317" ht="15" customHeight="1">
      <c r="A317" t="inlineStr">
        <is>
          <t>A 22202-2025</t>
        </is>
      </c>
      <c r="B317" s="1" t="n">
        <v>45785.65300925926</v>
      </c>
      <c r="C317" s="1" t="n">
        <v>45927</v>
      </c>
      <c r="D317" t="inlineStr">
        <is>
          <t>STOCKHOLMS LÄN</t>
        </is>
      </c>
      <c r="E317" t="inlineStr">
        <is>
          <t>NORRTÄLJE</t>
        </is>
      </c>
      <c r="G317" t="n">
        <v>10.2</v>
      </c>
      <c r="H317" t="n">
        <v>0</v>
      </c>
      <c r="I317" t="n">
        <v>0</v>
      </c>
      <c r="J317" t="n">
        <v>0</v>
      </c>
      <c r="K317" t="n">
        <v>0</v>
      </c>
      <c r="L317" t="n">
        <v>0</v>
      </c>
      <c r="M317" t="n">
        <v>0</v>
      </c>
      <c r="N317" t="n">
        <v>0</v>
      </c>
      <c r="O317" t="n">
        <v>0</v>
      </c>
      <c r="P317" t="n">
        <v>0</v>
      </c>
      <c r="Q317" t="n">
        <v>0</v>
      </c>
      <c r="R317" s="2" t="inlineStr"/>
    </row>
    <row r="318" ht="15" customHeight="1">
      <c r="A318" t="inlineStr">
        <is>
          <t>A 17785-2024</t>
        </is>
      </c>
      <c r="B318" s="1" t="n">
        <v>45418.6968287037</v>
      </c>
      <c r="C318" s="1" t="n">
        <v>45927</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23262-2023</t>
        </is>
      </c>
      <c r="B319" s="1" t="n">
        <v>45075.90270833333</v>
      </c>
      <c r="C319" s="1" t="n">
        <v>45927</v>
      </c>
      <c r="D319" t="inlineStr">
        <is>
          <t>STOCKHOLMS LÄN</t>
        </is>
      </c>
      <c r="E319" t="inlineStr">
        <is>
          <t>NORRTÄLJE</t>
        </is>
      </c>
      <c r="F319" t="inlineStr">
        <is>
          <t>Kommuner</t>
        </is>
      </c>
      <c r="G319" t="n">
        <v>1.9</v>
      </c>
      <c r="H319" t="n">
        <v>0</v>
      </c>
      <c r="I319" t="n">
        <v>0</v>
      </c>
      <c r="J319" t="n">
        <v>0</v>
      </c>
      <c r="K319" t="n">
        <v>0</v>
      </c>
      <c r="L319" t="n">
        <v>0</v>
      </c>
      <c r="M319" t="n">
        <v>0</v>
      </c>
      <c r="N319" t="n">
        <v>0</v>
      </c>
      <c r="O319" t="n">
        <v>0</v>
      </c>
      <c r="P319" t="n">
        <v>0</v>
      </c>
      <c r="Q319" t="n">
        <v>0</v>
      </c>
      <c r="R319" s="2" t="inlineStr"/>
    </row>
    <row r="320" ht="15" customHeight="1">
      <c r="A320" t="inlineStr">
        <is>
          <t>A 23268-2023</t>
        </is>
      </c>
      <c r="B320" s="1" t="n">
        <v>45075.91042824074</v>
      </c>
      <c r="C320" s="1" t="n">
        <v>45927</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23270-2023</t>
        </is>
      </c>
      <c r="B321" s="1" t="n">
        <v>45075.91265046296</v>
      </c>
      <c r="C321" s="1" t="n">
        <v>45927</v>
      </c>
      <c r="D321" t="inlineStr">
        <is>
          <t>STOCKHOLMS LÄN</t>
        </is>
      </c>
      <c r="E321" t="inlineStr">
        <is>
          <t>NORRTÄLJE</t>
        </is>
      </c>
      <c r="G321" t="n">
        <v>12.3</v>
      </c>
      <c r="H321" t="n">
        <v>0</v>
      </c>
      <c r="I321" t="n">
        <v>0</v>
      </c>
      <c r="J321" t="n">
        <v>0</v>
      </c>
      <c r="K321" t="n">
        <v>0</v>
      </c>
      <c r="L321" t="n">
        <v>0</v>
      </c>
      <c r="M321" t="n">
        <v>0</v>
      </c>
      <c r="N321" t="n">
        <v>0</v>
      </c>
      <c r="O321" t="n">
        <v>0</v>
      </c>
      <c r="P321" t="n">
        <v>0</v>
      </c>
      <c r="Q321" t="n">
        <v>0</v>
      </c>
      <c r="R321" s="2" t="inlineStr"/>
    </row>
    <row r="322" ht="15" customHeight="1">
      <c r="A322" t="inlineStr">
        <is>
          <t>A 23274-2023</t>
        </is>
      </c>
      <c r="B322" s="1" t="n">
        <v>45075.92153935185</v>
      </c>
      <c r="C322" s="1" t="n">
        <v>45927</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17843-2024</t>
        </is>
      </c>
      <c r="B323" s="1" t="n">
        <v>45418</v>
      </c>
      <c r="C323" s="1" t="n">
        <v>45927</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16620-2024</t>
        </is>
      </c>
      <c r="B324" s="1" t="n">
        <v>45408.57707175926</v>
      </c>
      <c r="C324" s="1" t="n">
        <v>45927</v>
      </c>
      <c r="D324" t="inlineStr">
        <is>
          <t>STOCKHOLMS LÄN</t>
        </is>
      </c>
      <c r="E324" t="inlineStr">
        <is>
          <t>NORRTÄLJE</t>
        </is>
      </c>
      <c r="G324" t="n">
        <v>2.7</v>
      </c>
      <c r="H324" t="n">
        <v>0</v>
      </c>
      <c r="I324" t="n">
        <v>0</v>
      </c>
      <c r="J324" t="n">
        <v>0</v>
      </c>
      <c r="K324" t="n">
        <v>0</v>
      </c>
      <c r="L324" t="n">
        <v>0</v>
      </c>
      <c r="M324" t="n">
        <v>0</v>
      </c>
      <c r="N324" t="n">
        <v>0</v>
      </c>
      <c r="O324" t="n">
        <v>0</v>
      </c>
      <c r="P324" t="n">
        <v>0</v>
      </c>
      <c r="Q324" t="n">
        <v>0</v>
      </c>
      <c r="R324" s="2" t="inlineStr"/>
    </row>
    <row r="325" ht="15" customHeight="1">
      <c r="A325" t="inlineStr">
        <is>
          <t>A 6678-2025</t>
        </is>
      </c>
      <c r="B325" s="1" t="n">
        <v>45700</v>
      </c>
      <c r="C325" s="1" t="n">
        <v>45927</v>
      </c>
      <c r="D325" t="inlineStr">
        <is>
          <t>STOCKHOLMS LÄN</t>
        </is>
      </c>
      <c r="E325" t="inlineStr">
        <is>
          <t>NORRTÄLJE</t>
        </is>
      </c>
      <c r="F325" t="inlineStr">
        <is>
          <t>Övriga Aktiebolag</t>
        </is>
      </c>
      <c r="G325" t="n">
        <v>6.6</v>
      </c>
      <c r="H325" t="n">
        <v>0</v>
      </c>
      <c r="I325" t="n">
        <v>0</v>
      </c>
      <c r="J325" t="n">
        <v>0</v>
      </c>
      <c r="K325" t="n">
        <v>0</v>
      </c>
      <c r="L325" t="n">
        <v>0</v>
      </c>
      <c r="M325" t="n">
        <v>0</v>
      </c>
      <c r="N325" t="n">
        <v>0</v>
      </c>
      <c r="O325" t="n">
        <v>0</v>
      </c>
      <c r="P325" t="n">
        <v>0</v>
      </c>
      <c r="Q325" t="n">
        <v>0</v>
      </c>
      <c r="R325" s="2" t="inlineStr"/>
    </row>
    <row r="326" ht="15" customHeight="1">
      <c r="A326" t="inlineStr">
        <is>
          <t>A 30719-2025</t>
        </is>
      </c>
      <c r="B326" s="1" t="n">
        <v>45831.56521990741</v>
      </c>
      <c r="C326" s="1" t="n">
        <v>45927</v>
      </c>
      <c r="D326" t="inlineStr">
        <is>
          <t>STOCKHOLMS LÄN</t>
        </is>
      </c>
      <c r="E326" t="inlineStr">
        <is>
          <t>NORRTÄLJE</t>
        </is>
      </c>
      <c r="G326" t="n">
        <v>0.5</v>
      </c>
      <c r="H326" t="n">
        <v>0</v>
      </c>
      <c r="I326" t="n">
        <v>0</v>
      </c>
      <c r="J326" t="n">
        <v>0</v>
      </c>
      <c r="K326" t="n">
        <v>0</v>
      </c>
      <c r="L326" t="n">
        <v>0</v>
      </c>
      <c r="M326" t="n">
        <v>0</v>
      </c>
      <c r="N326" t="n">
        <v>0</v>
      </c>
      <c r="O326" t="n">
        <v>0</v>
      </c>
      <c r="P326" t="n">
        <v>0</v>
      </c>
      <c r="Q326" t="n">
        <v>0</v>
      </c>
      <c r="R326" s="2" t="inlineStr"/>
    </row>
    <row r="327" ht="15" customHeight="1">
      <c r="A327" t="inlineStr">
        <is>
          <t>A 19058-2024</t>
        </is>
      </c>
      <c r="B327" s="1" t="n">
        <v>45427.89121527778</v>
      </c>
      <c r="C327" s="1" t="n">
        <v>45927</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26636-2023</t>
        </is>
      </c>
      <c r="B328" s="1" t="n">
        <v>45092</v>
      </c>
      <c r="C328" s="1" t="n">
        <v>45927</v>
      </c>
      <c r="D328" t="inlineStr">
        <is>
          <t>STOCKHOLMS LÄN</t>
        </is>
      </c>
      <c r="E328" t="inlineStr">
        <is>
          <t>NORRTÄLJE</t>
        </is>
      </c>
      <c r="G328" t="n">
        <v>1.7</v>
      </c>
      <c r="H328" t="n">
        <v>0</v>
      </c>
      <c r="I328" t="n">
        <v>0</v>
      </c>
      <c r="J328" t="n">
        <v>0</v>
      </c>
      <c r="K328" t="n">
        <v>0</v>
      </c>
      <c r="L328" t="n">
        <v>0</v>
      </c>
      <c r="M328" t="n">
        <v>0</v>
      </c>
      <c r="N328" t="n">
        <v>0</v>
      </c>
      <c r="O328" t="n">
        <v>0</v>
      </c>
      <c r="P328" t="n">
        <v>0</v>
      </c>
      <c r="Q328" t="n">
        <v>0</v>
      </c>
      <c r="R328" s="2" t="inlineStr"/>
    </row>
    <row r="329" ht="15" customHeight="1">
      <c r="A329" t="inlineStr">
        <is>
          <t>A 26637-2023</t>
        </is>
      </c>
      <c r="B329" s="1" t="n">
        <v>45092</v>
      </c>
      <c r="C329" s="1" t="n">
        <v>45927</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72704-2021</t>
        </is>
      </c>
      <c r="B330" s="1" t="n">
        <v>44546</v>
      </c>
      <c r="C330" s="1" t="n">
        <v>45927</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52743-2024</t>
        </is>
      </c>
      <c r="B331" s="1" t="n">
        <v>45610.47414351852</v>
      </c>
      <c r="C331" s="1" t="n">
        <v>45927</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16852-2024</t>
        </is>
      </c>
      <c r="B332" s="1" t="n">
        <v>45411.54768518519</v>
      </c>
      <c r="C332" s="1" t="n">
        <v>45927</v>
      </c>
      <c r="D332" t="inlineStr">
        <is>
          <t>STOCKHOLMS LÄN</t>
        </is>
      </c>
      <c r="E332" t="inlineStr">
        <is>
          <t>NORRTÄLJE</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22416-2025</t>
        </is>
      </c>
      <c r="B333" s="1" t="n">
        <v>45786.55645833333</v>
      </c>
      <c r="C333" s="1" t="n">
        <v>45927</v>
      </c>
      <c r="D333" t="inlineStr">
        <is>
          <t>STOCKHOLMS LÄN</t>
        </is>
      </c>
      <c r="E333" t="inlineStr">
        <is>
          <t>NORRTÄLJE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19982-2022</t>
        </is>
      </c>
      <c r="B334" s="1" t="n">
        <v>44697</v>
      </c>
      <c r="C334" s="1" t="n">
        <v>45927</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58785-2024</t>
        </is>
      </c>
      <c r="B335" s="1" t="n">
        <v>45635.88849537037</v>
      </c>
      <c r="C335" s="1" t="n">
        <v>45927</v>
      </c>
      <c r="D335" t="inlineStr">
        <is>
          <t>STOCKHOLMS LÄN</t>
        </is>
      </c>
      <c r="E335" t="inlineStr">
        <is>
          <t>NORRTÄLJE</t>
        </is>
      </c>
      <c r="G335" t="n">
        <v>3.3</v>
      </c>
      <c r="H335" t="n">
        <v>0</v>
      </c>
      <c r="I335" t="n">
        <v>0</v>
      </c>
      <c r="J335" t="n">
        <v>0</v>
      </c>
      <c r="K335" t="n">
        <v>0</v>
      </c>
      <c r="L335" t="n">
        <v>0</v>
      </c>
      <c r="M335" t="n">
        <v>0</v>
      </c>
      <c r="N335" t="n">
        <v>0</v>
      </c>
      <c r="O335" t="n">
        <v>0</v>
      </c>
      <c r="P335" t="n">
        <v>0</v>
      </c>
      <c r="Q335" t="n">
        <v>0</v>
      </c>
      <c r="R335" s="2" t="inlineStr"/>
    </row>
    <row r="336" ht="15" customHeight="1">
      <c r="A336" t="inlineStr">
        <is>
          <t>A 55755-2023</t>
        </is>
      </c>
      <c r="B336" s="1" t="n">
        <v>45239</v>
      </c>
      <c r="C336" s="1" t="n">
        <v>45927</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42075-2023</t>
        </is>
      </c>
      <c r="B337" s="1" t="n">
        <v>45177</v>
      </c>
      <c r="C337" s="1" t="n">
        <v>45927</v>
      </c>
      <c r="D337" t="inlineStr">
        <is>
          <t>STOCKHOLMS LÄN</t>
        </is>
      </c>
      <c r="E337" t="inlineStr">
        <is>
          <t>NORRTÄLJE</t>
        </is>
      </c>
      <c r="G337" t="n">
        <v>2.5</v>
      </c>
      <c r="H337" t="n">
        <v>0</v>
      </c>
      <c r="I337" t="n">
        <v>0</v>
      </c>
      <c r="J337" t="n">
        <v>0</v>
      </c>
      <c r="K337" t="n">
        <v>0</v>
      </c>
      <c r="L337" t="n">
        <v>0</v>
      </c>
      <c r="M337" t="n">
        <v>0</v>
      </c>
      <c r="N337" t="n">
        <v>0</v>
      </c>
      <c r="O337" t="n">
        <v>0</v>
      </c>
      <c r="P337" t="n">
        <v>0</v>
      </c>
      <c r="Q337" t="n">
        <v>0</v>
      </c>
      <c r="R337" s="2" t="inlineStr"/>
    </row>
    <row r="338" ht="15" customHeight="1">
      <c r="A338" t="inlineStr">
        <is>
          <t>A 17348-2024</t>
        </is>
      </c>
      <c r="B338" s="1" t="n">
        <v>45414.58650462963</v>
      </c>
      <c r="C338" s="1" t="n">
        <v>45927</v>
      </c>
      <c r="D338" t="inlineStr">
        <is>
          <t>STOCKHOLMS LÄN</t>
        </is>
      </c>
      <c r="E338" t="inlineStr">
        <is>
          <t>NORRTÄLJE</t>
        </is>
      </c>
      <c r="G338" t="n">
        <v>2.3</v>
      </c>
      <c r="H338" t="n">
        <v>0</v>
      </c>
      <c r="I338" t="n">
        <v>0</v>
      </c>
      <c r="J338" t="n">
        <v>0</v>
      </c>
      <c r="K338" t="n">
        <v>0</v>
      </c>
      <c r="L338" t="n">
        <v>0</v>
      </c>
      <c r="M338" t="n">
        <v>0</v>
      </c>
      <c r="N338" t="n">
        <v>0</v>
      </c>
      <c r="O338" t="n">
        <v>0</v>
      </c>
      <c r="P338" t="n">
        <v>0</v>
      </c>
      <c r="Q338" t="n">
        <v>0</v>
      </c>
      <c r="R338" s="2" t="inlineStr"/>
    </row>
    <row r="339" ht="15" customHeight="1">
      <c r="A339" t="inlineStr">
        <is>
          <t>A 2182-2022</t>
        </is>
      </c>
      <c r="B339" s="1" t="n">
        <v>44578</v>
      </c>
      <c r="C339" s="1" t="n">
        <v>45927</v>
      </c>
      <c r="D339" t="inlineStr">
        <is>
          <t>STOCKHOLMS LÄN</t>
        </is>
      </c>
      <c r="E339" t="inlineStr">
        <is>
          <t>NORRTÄLJE</t>
        </is>
      </c>
      <c r="G339" t="n">
        <v>7.2</v>
      </c>
      <c r="H339" t="n">
        <v>0</v>
      </c>
      <c r="I339" t="n">
        <v>0</v>
      </c>
      <c r="J339" t="n">
        <v>0</v>
      </c>
      <c r="K339" t="n">
        <v>0</v>
      </c>
      <c r="L339" t="n">
        <v>0</v>
      </c>
      <c r="M339" t="n">
        <v>0</v>
      </c>
      <c r="N339" t="n">
        <v>0</v>
      </c>
      <c r="O339" t="n">
        <v>0</v>
      </c>
      <c r="P339" t="n">
        <v>0</v>
      </c>
      <c r="Q339" t="n">
        <v>0</v>
      </c>
      <c r="R339" s="2" t="inlineStr"/>
    </row>
    <row r="340" ht="15" customHeight="1">
      <c r="A340" t="inlineStr">
        <is>
          <t>A 50108-2021</t>
        </is>
      </c>
      <c r="B340" s="1" t="n">
        <v>44456</v>
      </c>
      <c r="C340" s="1" t="n">
        <v>45927</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13268-2025</t>
        </is>
      </c>
      <c r="B341" s="1" t="n">
        <v>45735</v>
      </c>
      <c r="C341" s="1" t="n">
        <v>45927</v>
      </c>
      <c r="D341" t="inlineStr">
        <is>
          <t>STOCKHOLMS LÄN</t>
        </is>
      </c>
      <c r="E341" t="inlineStr">
        <is>
          <t>NORRTÄLJE</t>
        </is>
      </c>
      <c r="G341" t="n">
        <v>11.4</v>
      </c>
      <c r="H341" t="n">
        <v>0</v>
      </c>
      <c r="I341" t="n">
        <v>0</v>
      </c>
      <c r="J341" t="n">
        <v>0</v>
      </c>
      <c r="K341" t="n">
        <v>0</v>
      </c>
      <c r="L341" t="n">
        <v>0</v>
      </c>
      <c r="M341" t="n">
        <v>0</v>
      </c>
      <c r="N341" t="n">
        <v>0</v>
      </c>
      <c r="O341" t="n">
        <v>0</v>
      </c>
      <c r="P341" t="n">
        <v>0</v>
      </c>
      <c r="Q341" t="n">
        <v>0</v>
      </c>
      <c r="R341" s="2" t="inlineStr"/>
    </row>
    <row r="342" ht="15" customHeight="1">
      <c r="A342" t="inlineStr">
        <is>
          <t>A 8414-2025</t>
        </is>
      </c>
      <c r="B342" s="1" t="n">
        <v>45709.39361111111</v>
      </c>
      <c r="C342" s="1" t="n">
        <v>45927</v>
      </c>
      <c r="D342" t="inlineStr">
        <is>
          <t>STOCKHOLMS LÄN</t>
        </is>
      </c>
      <c r="E342" t="inlineStr">
        <is>
          <t>NORRTÄLJE</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50355-2024</t>
        </is>
      </c>
      <c r="B343" s="1" t="n">
        <v>45600.86128472222</v>
      </c>
      <c r="C343" s="1" t="n">
        <v>45927</v>
      </c>
      <c r="D343" t="inlineStr">
        <is>
          <t>STOCKHOLMS LÄN</t>
        </is>
      </c>
      <c r="E343" t="inlineStr">
        <is>
          <t>NORRTÄLJE</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15226-2022</t>
        </is>
      </c>
      <c r="B344" s="1" t="n">
        <v>44658</v>
      </c>
      <c r="C344" s="1" t="n">
        <v>45927</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68081-2020</t>
        </is>
      </c>
      <c r="B345" s="1" t="n">
        <v>44183</v>
      </c>
      <c r="C345" s="1" t="n">
        <v>45927</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44917-2022</t>
        </is>
      </c>
      <c r="B346" s="1" t="n">
        <v>44841.52804398148</v>
      </c>
      <c r="C346" s="1" t="n">
        <v>45927</v>
      </c>
      <c r="D346" t="inlineStr">
        <is>
          <t>STOCKHOLMS LÄN</t>
        </is>
      </c>
      <c r="E346" t="inlineStr">
        <is>
          <t>NORRTÄLJE</t>
        </is>
      </c>
      <c r="F346" t="inlineStr">
        <is>
          <t>Holmen skog AB</t>
        </is>
      </c>
      <c r="G346" t="n">
        <v>3.3</v>
      </c>
      <c r="H346" t="n">
        <v>0</v>
      </c>
      <c r="I346" t="n">
        <v>0</v>
      </c>
      <c r="J346" t="n">
        <v>0</v>
      </c>
      <c r="K346" t="n">
        <v>0</v>
      </c>
      <c r="L346" t="n">
        <v>0</v>
      </c>
      <c r="M346" t="n">
        <v>0</v>
      </c>
      <c r="N346" t="n">
        <v>0</v>
      </c>
      <c r="O346" t="n">
        <v>0</v>
      </c>
      <c r="P346" t="n">
        <v>0</v>
      </c>
      <c r="Q346" t="n">
        <v>0</v>
      </c>
      <c r="R346" s="2" t="inlineStr"/>
    </row>
    <row r="347" ht="15" customHeight="1">
      <c r="A347" t="inlineStr">
        <is>
          <t>A 36625-2024</t>
        </is>
      </c>
      <c r="B347" s="1" t="n">
        <v>45537</v>
      </c>
      <c r="C347" s="1" t="n">
        <v>45927</v>
      </c>
      <c r="D347" t="inlineStr">
        <is>
          <t>STOCKHOLMS LÄN</t>
        </is>
      </c>
      <c r="E347" t="inlineStr">
        <is>
          <t>NORRTÄLJE</t>
        </is>
      </c>
      <c r="G347" t="n">
        <v>3.8</v>
      </c>
      <c r="H347" t="n">
        <v>0</v>
      </c>
      <c r="I347" t="n">
        <v>0</v>
      </c>
      <c r="J347" t="n">
        <v>0</v>
      </c>
      <c r="K347" t="n">
        <v>0</v>
      </c>
      <c r="L347" t="n">
        <v>0</v>
      </c>
      <c r="M347" t="n">
        <v>0</v>
      </c>
      <c r="N347" t="n">
        <v>0</v>
      </c>
      <c r="O347" t="n">
        <v>0</v>
      </c>
      <c r="P347" t="n">
        <v>0</v>
      </c>
      <c r="Q347" t="n">
        <v>0</v>
      </c>
      <c r="R347" s="2" t="inlineStr"/>
    </row>
    <row r="348" ht="15" customHeight="1">
      <c r="A348" t="inlineStr">
        <is>
          <t>A 44891-2023</t>
        </is>
      </c>
      <c r="B348" s="1" t="n">
        <v>45187</v>
      </c>
      <c r="C348" s="1" t="n">
        <v>45927</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12902-2024</t>
        </is>
      </c>
      <c r="B349" s="1" t="n">
        <v>45385.38146990741</v>
      </c>
      <c r="C349" s="1" t="n">
        <v>45927</v>
      </c>
      <c r="D349" t="inlineStr">
        <is>
          <t>STOCKHOLMS LÄN</t>
        </is>
      </c>
      <c r="E349" t="inlineStr">
        <is>
          <t>NORRTÄLJE</t>
        </is>
      </c>
      <c r="G349" t="n">
        <v>3.7</v>
      </c>
      <c r="H349" t="n">
        <v>0</v>
      </c>
      <c r="I349" t="n">
        <v>0</v>
      </c>
      <c r="J349" t="n">
        <v>0</v>
      </c>
      <c r="K349" t="n">
        <v>0</v>
      </c>
      <c r="L349" t="n">
        <v>0</v>
      </c>
      <c r="M349" t="n">
        <v>0</v>
      </c>
      <c r="N349" t="n">
        <v>0</v>
      </c>
      <c r="O349" t="n">
        <v>0</v>
      </c>
      <c r="P349" t="n">
        <v>0</v>
      </c>
      <c r="Q349" t="n">
        <v>0</v>
      </c>
      <c r="R349" s="2" t="inlineStr"/>
    </row>
    <row r="350" ht="15" customHeight="1">
      <c r="A350" t="inlineStr">
        <is>
          <t>A 44032-2024</t>
        </is>
      </c>
      <c r="B350" s="1" t="n">
        <v>45572.57828703704</v>
      </c>
      <c r="C350" s="1" t="n">
        <v>45927</v>
      </c>
      <c r="D350" t="inlineStr">
        <is>
          <t>STOCKHOLMS LÄN</t>
        </is>
      </c>
      <c r="E350" t="inlineStr">
        <is>
          <t>NORRTÄLJE</t>
        </is>
      </c>
      <c r="G350" t="n">
        <v>8.6</v>
      </c>
      <c r="H350" t="n">
        <v>0</v>
      </c>
      <c r="I350" t="n">
        <v>0</v>
      </c>
      <c r="J350" t="n">
        <v>0</v>
      </c>
      <c r="K350" t="n">
        <v>0</v>
      </c>
      <c r="L350" t="n">
        <v>0</v>
      </c>
      <c r="M350" t="n">
        <v>0</v>
      </c>
      <c r="N350" t="n">
        <v>0</v>
      </c>
      <c r="O350" t="n">
        <v>0</v>
      </c>
      <c r="P350" t="n">
        <v>0</v>
      </c>
      <c r="Q350" t="n">
        <v>0</v>
      </c>
      <c r="R350" s="2" t="inlineStr"/>
    </row>
    <row r="351" ht="15" customHeight="1">
      <c r="A351" t="inlineStr">
        <is>
          <t>A 24563-2024</t>
        </is>
      </c>
      <c r="B351" s="1" t="n">
        <v>45460.44347222222</v>
      </c>
      <c r="C351" s="1" t="n">
        <v>45927</v>
      </c>
      <c r="D351" t="inlineStr">
        <is>
          <t>STOCKHOLMS LÄN</t>
        </is>
      </c>
      <c r="E351" t="inlineStr">
        <is>
          <t>NORRTÄLJE</t>
        </is>
      </c>
      <c r="G351" t="n">
        <v>1.9</v>
      </c>
      <c r="H351" t="n">
        <v>0</v>
      </c>
      <c r="I351" t="n">
        <v>0</v>
      </c>
      <c r="J351" t="n">
        <v>0</v>
      </c>
      <c r="K351" t="n">
        <v>0</v>
      </c>
      <c r="L351" t="n">
        <v>0</v>
      </c>
      <c r="M351" t="n">
        <v>0</v>
      </c>
      <c r="N351" t="n">
        <v>0</v>
      </c>
      <c r="O351" t="n">
        <v>0</v>
      </c>
      <c r="P351" t="n">
        <v>0</v>
      </c>
      <c r="Q351" t="n">
        <v>0</v>
      </c>
      <c r="R351" s="2" t="inlineStr"/>
    </row>
    <row r="352" ht="15" customHeight="1">
      <c r="A352" t="inlineStr">
        <is>
          <t>A 39237-2024</t>
        </is>
      </c>
      <c r="B352" s="1" t="n">
        <v>45549</v>
      </c>
      <c r="C352" s="1" t="n">
        <v>45927</v>
      </c>
      <c r="D352" t="inlineStr">
        <is>
          <t>STOCKHOLMS LÄN</t>
        </is>
      </c>
      <c r="E352" t="inlineStr">
        <is>
          <t>NORRTÄLJE</t>
        </is>
      </c>
      <c r="G352" t="n">
        <v>13.3</v>
      </c>
      <c r="H352" t="n">
        <v>0</v>
      </c>
      <c r="I352" t="n">
        <v>0</v>
      </c>
      <c r="J352" t="n">
        <v>0</v>
      </c>
      <c r="K352" t="n">
        <v>0</v>
      </c>
      <c r="L352" t="n">
        <v>0</v>
      </c>
      <c r="M352" t="n">
        <v>0</v>
      </c>
      <c r="N352" t="n">
        <v>0</v>
      </c>
      <c r="O352" t="n">
        <v>0</v>
      </c>
      <c r="P352" t="n">
        <v>0</v>
      </c>
      <c r="Q352" t="n">
        <v>0</v>
      </c>
      <c r="R352" s="2" t="inlineStr"/>
    </row>
    <row r="353" ht="15" customHeight="1">
      <c r="A353" t="inlineStr">
        <is>
          <t>A 48071-2020</t>
        </is>
      </c>
      <c r="B353" s="1" t="n">
        <v>44100</v>
      </c>
      <c r="C353" s="1" t="n">
        <v>45927</v>
      </c>
      <c r="D353" t="inlineStr">
        <is>
          <t>STOCKHOLMS LÄN</t>
        </is>
      </c>
      <c r="E353" t="inlineStr">
        <is>
          <t>NORRTÄLJE</t>
        </is>
      </c>
      <c r="G353" t="n">
        <v>6.8</v>
      </c>
      <c r="H353" t="n">
        <v>0</v>
      </c>
      <c r="I353" t="n">
        <v>0</v>
      </c>
      <c r="J353" t="n">
        <v>0</v>
      </c>
      <c r="K353" t="n">
        <v>0</v>
      </c>
      <c r="L353" t="n">
        <v>0</v>
      </c>
      <c r="M353" t="n">
        <v>0</v>
      </c>
      <c r="N353" t="n">
        <v>0</v>
      </c>
      <c r="O353" t="n">
        <v>0</v>
      </c>
      <c r="P353" t="n">
        <v>0</v>
      </c>
      <c r="Q353" t="n">
        <v>0</v>
      </c>
      <c r="R353" s="2" t="inlineStr"/>
    </row>
    <row r="354" ht="15" customHeight="1">
      <c r="A354" t="inlineStr">
        <is>
          <t>A 55058-2021</t>
        </is>
      </c>
      <c r="B354" s="1" t="n">
        <v>44474.62141203704</v>
      </c>
      <c r="C354" s="1" t="n">
        <v>45927</v>
      </c>
      <c r="D354" t="inlineStr">
        <is>
          <t>STOCKHOLMS LÄN</t>
        </is>
      </c>
      <c r="E354" t="inlineStr">
        <is>
          <t>NORRTÄLJE</t>
        </is>
      </c>
      <c r="G354" t="n">
        <v>1.9</v>
      </c>
      <c r="H354" t="n">
        <v>0</v>
      </c>
      <c r="I354" t="n">
        <v>0</v>
      </c>
      <c r="J354" t="n">
        <v>0</v>
      </c>
      <c r="K354" t="n">
        <v>0</v>
      </c>
      <c r="L354" t="n">
        <v>0</v>
      </c>
      <c r="M354" t="n">
        <v>0</v>
      </c>
      <c r="N354" t="n">
        <v>0</v>
      </c>
      <c r="O354" t="n">
        <v>0</v>
      </c>
      <c r="P354" t="n">
        <v>0</v>
      </c>
      <c r="Q354" t="n">
        <v>0</v>
      </c>
      <c r="R354" s="2" t="inlineStr"/>
    </row>
    <row r="355" ht="15" customHeight="1">
      <c r="A355" t="inlineStr">
        <is>
          <t>A 13089-2022</t>
        </is>
      </c>
      <c r="B355" s="1" t="n">
        <v>44643</v>
      </c>
      <c r="C355" s="1" t="n">
        <v>45927</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45746-2024</t>
        </is>
      </c>
      <c r="B356" s="1" t="n">
        <v>45579</v>
      </c>
      <c r="C356" s="1" t="n">
        <v>45927</v>
      </c>
      <c r="D356" t="inlineStr">
        <is>
          <t>STOCKHOLMS LÄN</t>
        </is>
      </c>
      <c r="E356" t="inlineStr">
        <is>
          <t>NORRTÄLJE</t>
        </is>
      </c>
      <c r="G356" t="n">
        <v>3.3</v>
      </c>
      <c r="H356" t="n">
        <v>0</v>
      </c>
      <c r="I356" t="n">
        <v>0</v>
      </c>
      <c r="J356" t="n">
        <v>0</v>
      </c>
      <c r="K356" t="n">
        <v>0</v>
      </c>
      <c r="L356" t="n">
        <v>0</v>
      </c>
      <c r="M356" t="n">
        <v>0</v>
      </c>
      <c r="N356" t="n">
        <v>0</v>
      </c>
      <c r="O356" t="n">
        <v>0</v>
      </c>
      <c r="P356" t="n">
        <v>0</v>
      </c>
      <c r="Q356" t="n">
        <v>0</v>
      </c>
      <c r="R356" s="2" t="inlineStr"/>
    </row>
    <row r="357" ht="15" customHeight="1">
      <c r="A357" t="inlineStr">
        <is>
          <t>A 8400-2024</t>
        </is>
      </c>
      <c r="B357" s="1" t="n">
        <v>45352.74090277778</v>
      </c>
      <c r="C357" s="1" t="n">
        <v>45927</v>
      </c>
      <c r="D357" t="inlineStr">
        <is>
          <t>STOCKHOLMS LÄN</t>
        </is>
      </c>
      <c r="E357" t="inlineStr">
        <is>
          <t>NORRTÄLJE</t>
        </is>
      </c>
      <c r="G357" t="n">
        <v>4.7</v>
      </c>
      <c r="H357" t="n">
        <v>0</v>
      </c>
      <c r="I357" t="n">
        <v>0</v>
      </c>
      <c r="J357" t="n">
        <v>0</v>
      </c>
      <c r="K357" t="n">
        <v>0</v>
      </c>
      <c r="L357" t="n">
        <v>0</v>
      </c>
      <c r="M357" t="n">
        <v>0</v>
      </c>
      <c r="N357" t="n">
        <v>0</v>
      </c>
      <c r="O357" t="n">
        <v>0</v>
      </c>
      <c r="P357" t="n">
        <v>0</v>
      </c>
      <c r="Q357" t="n">
        <v>0</v>
      </c>
      <c r="R357" s="2" t="inlineStr"/>
    </row>
    <row r="358" ht="15" customHeight="1">
      <c r="A358" t="inlineStr">
        <is>
          <t>A 48145-2024</t>
        </is>
      </c>
      <c r="B358" s="1" t="n">
        <v>45589.6756712963</v>
      </c>
      <c r="C358" s="1" t="n">
        <v>45927</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23998-2024</t>
        </is>
      </c>
      <c r="B359" s="1" t="n">
        <v>45456</v>
      </c>
      <c r="C359" s="1" t="n">
        <v>45927</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3300-2022</t>
        </is>
      </c>
      <c r="B360" s="1" t="n">
        <v>44584.91538194445</v>
      </c>
      <c r="C360" s="1" t="n">
        <v>45927</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17388-2022</t>
        </is>
      </c>
      <c r="B361" s="1" t="n">
        <v>44678</v>
      </c>
      <c r="C361" s="1" t="n">
        <v>45927</v>
      </c>
      <c r="D361" t="inlineStr">
        <is>
          <t>STOCKHOLMS LÄN</t>
        </is>
      </c>
      <c r="E361" t="inlineStr">
        <is>
          <t>NORRTÄLJE</t>
        </is>
      </c>
      <c r="G361" t="n">
        <v>2.4</v>
      </c>
      <c r="H361" t="n">
        <v>0</v>
      </c>
      <c r="I361" t="n">
        <v>0</v>
      </c>
      <c r="J361" t="n">
        <v>0</v>
      </c>
      <c r="K361" t="n">
        <v>0</v>
      </c>
      <c r="L361" t="n">
        <v>0</v>
      </c>
      <c r="M361" t="n">
        <v>0</v>
      </c>
      <c r="N361" t="n">
        <v>0</v>
      </c>
      <c r="O361" t="n">
        <v>0</v>
      </c>
      <c r="P361" t="n">
        <v>0</v>
      </c>
      <c r="Q361" t="n">
        <v>0</v>
      </c>
      <c r="R361" s="2" t="inlineStr"/>
    </row>
    <row r="362" ht="15" customHeight="1">
      <c r="A362" t="inlineStr">
        <is>
          <t>A 55012-2024</t>
        </is>
      </c>
      <c r="B362" s="1" t="n">
        <v>45621.34813657407</v>
      </c>
      <c r="C362" s="1" t="n">
        <v>45927</v>
      </c>
      <c r="D362" t="inlineStr">
        <is>
          <t>STOCKHOLMS LÄN</t>
        </is>
      </c>
      <c r="E362" t="inlineStr">
        <is>
          <t>NORRTÄLJE</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15447-2023</t>
        </is>
      </c>
      <c r="B363" s="1" t="n">
        <v>45020</v>
      </c>
      <c r="C363" s="1" t="n">
        <v>45927</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38991-2022</t>
        </is>
      </c>
      <c r="B364" s="1" t="n">
        <v>44816.89569444444</v>
      </c>
      <c r="C364" s="1" t="n">
        <v>45927</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17771-2022</t>
        </is>
      </c>
      <c r="B365" s="1" t="n">
        <v>44682.75924768519</v>
      </c>
      <c r="C365" s="1" t="n">
        <v>45927</v>
      </c>
      <c r="D365" t="inlineStr">
        <is>
          <t>STOCKHOLMS LÄN</t>
        </is>
      </c>
      <c r="E365" t="inlineStr">
        <is>
          <t>NORRTÄLJE</t>
        </is>
      </c>
      <c r="G365" t="n">
        <v>13.3</v>
      </c>
      <c r="H365" t="n">
        <v>0</v>
      </c>
      <c r="I365" t="n">
        <v>0</v>
      </c>
      <c r="J365" t="n">
        <v>0</v>
      </c>
      <c r="K365" t="n">
        <v>0</v>
      </c>
      <c r="L365" t="n">
        <v>0</v>
      </c>
      <c r="M365" t="n">
        <v>0</v>
      </c>
      <c r="N365" t="n">
        <v>0</v>
      </c>
      <c r="O365" t="n">
        <v>0</v>
      </c>
      <c r="P365" t="n">
        <v>0</v>
      </c>
      <c r="Q365" t="n">
        <v>0</v>
      </c>
      <c r="R365" s="2" t="inlineStr"/>
    </row>
    <row r="366" ht="15" customHeight="1">
      <c r="A366" t="inlineStr">
        <is>
          <t>A 17773-2022</t>
        </is>
      </c>
      <c r="B366" s="1" t="n">
        <v>44682.77616898148</v>
      </c>
      <c r="C366" s="1" t="n">
        <v>45927</v>
      </c>
      <c r="D366" t="inlineStr">
        <is>
          <t>STOCKHOLMS LÄN</t>
        </is>
      </c>
      <c r="E366" t="inlineStr">
        <is>
          <t>NORRTÄLJE</t>
        </is>
      </c>
      <c r="G366" t="n">
        <v>10.8</v>
      </c>
      <c r="H366" t="n">
        <v>0</v>
      </c>
      <c r="I366" t="n">
        <v>0</v>
      </c>
      <c r="J366" t="n">
        <v>0</v>
      </c>
      <c r="K366" t="n">
        <v>0</v>
      </c>
      <c r="L366" t="n">
        <v>0</v>
      </c>
      <c r="M366" t="n">
        <v>0</v>
      </c>
      <c r="N366" t="n">
        <v>0</v>
      </c>
      <c r="O366" t="n">
        <v>0</v>
      </c>
      <c r="P366" t="n">
        <v>0</v>
      </c>
      <c r="Q366" t="n">
        <v>0</v>
      </c>
      <c r="R366" s="2" t="inlineStr"/>
    </row>
    <row r="367" ht="15" customHeight="1">
      <c r="A367" t="inlineStr">
        <is>
          <t>A 50497-2020</t>
        </is>
      </c>
      <c r="B367" s="1" t="n">
        <v>44110</v>
      </c>
      <c r="C367" s="1" t="n">
        <v>45927</v>
      </c>
      <c r="D367" t="inlineStr">
        <is>
          <t>STOCKHOLMS LÄN</t>
        </is>
      </c>
      <c r="E367" t="inlineStr">
        <is>
          <t>NORRTÄLJE</t>
        </is>
      </c>
      <c r="F367" t="inlineStr">
        <is>
          <t>Holmen skog AB</t>
        </is>
      </c>
      <c r="G367" t="n">
        <v>4.3</v>
      </c>
      <c r="H367" t="n">
        <v>0</v>
      </c>
      <c r="I367" t="n">
        <v>0</v>
      </c>
      <c r="J367" t="n">
        <v>0</v>
      </c>
      <c r="K367" t="n">
        <v>0</v>
      </c>
      <c r="L367" t="n">
        <v>0</v>
      </c>
      <c r="M367" t="n">
        <v>0</v>
      </c>
      <c r="N367" t="n">
        <v>0</v>
      </c>
      <c r="O367" t="n">
        <v>0</v>
      </c>
      <c r="P367" t="n">
        <v>0</v>
      </c>
      <c r="Q367" t="n">
        <v>0</v>
      </c>
      <c r="R367" s="2" t="inlineStr"/>
    </row>
    <row r="368" ht="15" customHeight="1">
      <c r="A368" t="inlineStr">
        <is>
          <t>A 10521-2022</t>
        </is>
      </c>
      <c r="B368" s="1" t="n">
        <v>44623</v>
      </c>
      <c r="C368" s="1" t="n">
        <v>45927</v>
      </c>
      <c r="D368" t="inlineStr">
        <is>
          <t>STOCKHOLMS LÄN</t>
        </is>
      </c>
      <c r="E368" t="inlineStr">
        <is>
          <t>NORRTÄLJE</t>
        </is>
      </c>
      <c r="G368" t="n">
        <v>2.9</v>
      </c>
      <c r="H368" t="n">
        <v>0</v>
      </c>
      <c r="I368" t="n">
        <v>0</v>
      </c>
      <c r="J368" t="n">
        <v>0</v>
      </c>
      <c r="K368" t="n">
        <v>0</v>
      </c>
      <c r="L368" t="n">
        <v>0</v>
      </c>
      <c r="M368" t="n">
        <v>0</v>
      </c>
      <c r="N368" t="n">
        <v>0</v>
      </c>
      <c r="O368" t="n">
        <v>0</v>
      </c>
      <c r="P368" t="n">
        <v>0</v>
      </c>
      <c r="Q368" t="n">
        <v>0</v>
      </c>
      <c r="R368" s="2" t="inlineStr"/>
    </row>
    <row r="369" ht="15" customHeight="1">
      <c r="A369" t="inlineStr">
        <is>
          <t>A 58493-2020</t>
        </is>
      </c>
      <c r="B369" s="1" t="n">
        <v>44145</v>
      </c>
      <c r="C369" s="1" t="n">
        <v>45927</v>
      </c>
      <c r="D369" t="inlineStr">
        <is>
          <t>STOCKHOLMS LÄN</t>
        </is>
      </c>
      <c r="E369" t="inlineStr">
        <is>
          <t>NORRTÄLJE</t>
        </is>
      </c>
      <c r="G369" t="n">
        <v>2.8</v>
      </c>
      <c r="H369" t="n">
        <v>0</v>
      </c>
      <c r="I369" t="n">
        <v>0</v>
      </c>
      <c r="J369" t="n">
        <v>0</v>
      </c>
      <c r="K369" t="n">
        <v>0</v>
      </c>
      <c r="L369" t="n">
        <v>0</v>
      </c>
      <c r="M369" t="n">
        <v>0</v>
      </c>
      <c r="N369" t="n">
        <v>0</v>
      </c>
      <c r="O369" t="n">
        <v>0</v>
      </c>
      <c r="P369" t="n">
        <v>0</v>
      </c>
      <c r="Q369" t="n">
        <v>0</v>
      </c>
      <c r="R369" s="2" t="inlineStr"/>
    </row>
    <row r="370" ht="15" customHeight="1">
      <c r="A370" t="inlineStr">
        <is>
          <t>A 54358-2022</t>
        </is>
      </c>
      <c r="B370" s="1" t="n">
        <v>44882</v>
      </c>
      <c r="C370" s="1" t="n">
        <v>45927</v>
      </c>
      <c r="D370" t="inlineStr">
        <is>
          <t>STOCKHOLMS LÄN</t>
        </is>
      </c>
      <c r="E370" t="inlineStr">
        <is>
          <t>NORRTÄLJE</t>
        </is>
      </c>
      <c r="G370" t="n">
        <v>3.3</v>
      </c>
      <c r="H370" t="n">
        <v>0</v>
      </c>
      <c r="I370" t="n">
        <v>0</v>
      </c>
      <c r="J370" t="n">
        <v>0</v>
      </c>
      <c r="K370" t="n">
        <v>0</v>
      </c>
      <c r="L370" t="n">
        <v>0</v>
      </c>
      <c r="M370" t="n">
        <v>0</v>
      </c>
      <c r="N370" t="n">
        <v>0</v>
      </c>
      <c r="O370" t="n">
        <v>0</v>
      </c>
      <c r="P370" t="n">
        <v>0</v>
      </c>
      <c r="Q370" t="n">
        <v>0</v>
      </c>
      <c r="R370" s="2" t="inlineStr"/>
    </row>
    <row r="371" ht="15" customHeight="1">
      <c r="A371" t="inlineStr">
        <is>
          <t>A 23263-2023</t>
        </is>
      </c>
      <c r="B371" s="1" t="n">
        <v>45075</v>
      </c>
      <c r="C371" s="1" t="n">
        <v>45927</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23264-2023</t>
        </is>
      </c>
      <c r="B372" s="1" t="n">
        <v>45075</v>
      </c>
      <c r="C372" s="1" t="n">
        <v>45927</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23267-2023</t>
        </is>
      </c>
      <c r="B373" s="1" t="n">
        <v>45075.90934027778</v>
      </c>
      <c r="C373" s="1" t="n">
        <v>45927</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23269-2023</t>
        </is>
      </c>
      <c r="B374" s="1" t="n">
        <v>45075.91148148148</v>
      </c>
      <c r="C374" s="1" t="n">
        <v>45927</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19911-2025</t>
        </is>
      </c>
      <c r="B375" s="1" t="n">
        <v>45771</v>
      </c>
      <c r="C375" s="1" t="n">
        <v>45927</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7413-2024</t>
        </is>
      </c>
      <c r="B376" s="1" t="n">
        <v>45345.6059837963</v>
      </c>
      <c r="C376" s="1" t="n">
        <v>45927</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12251-2025</t>
        </is>
      </c>
      <c r="B377" s="1" t="n">
        <v>45729.60859953704</v>
      </c>
      <c r="C377" s="1" t="n">
        <v>45927</v>
      </c>
      <c r="D377" t="inlineStr">
        <is>
          <t>STOCKHOLMS LÄN</t>
        </is>
      </c>
      <c r="E377" t="inlineStr">
        <is>
          <t>NORRTÄLJE</t>
        </is>
      </c>
      <c r="F377" t="inlineStr">
        <is>
          <t>Holmen skog AB</t>
        </is>
      </c>
      <c r="G377" t="n">
        <v>5.9</v>
      </c>
      <c r="H377" t="n">
        <v>0</v>
      </c>
      <c r="I377" t="n">
        <v>0</v>
      </c>
      <c r="J377" t="n">
        <v>0</v>
      </c>
      <c r="K377" t="n">
        <v>0</v>
      </c>
      <c r="L377" t="n">
        <v>0</v>
      </c>
      <c r="M377" t="n">
        <v>0</v>
      </c>
      <c r="N377" t="n">
        <v>0</v>
      </c>
      <c r="O377" t="n">
        <v>0</v>
      </c>
      <c r="P377" t="n">
        <v>0</v>
      </c>
      <c r="Q377" t="n">
        <v>0</v>
      </c>
      <c r="R377" s="2" t="inlineStr"/>
    </row>
    <row r="378" ht="15" customHeight="1">
      <c r="A378" t="inlineStr">
        <is>
          <t>A 58863-2024</t>
        </is>
      </c>
      <c r="B378" s="1" t="n">
        <v>45636.41572916666</v>
      </c>
      <c r="C378" s="1" t="n">
        <v>45927</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5831-2022</t>
        </is>
      </c>
      <c r="B379" s="1" t="n">
        <v>44596</v>
      </c>
      <c r="C379" s="1" t="n">
        <v>45927</v>
      </c>
      <c r="D379" t="inlineStr">
        <is>
          <t>STOCKHOLMS LÄN</t>
        </is>
      </c>
      <c r="E379" t="inlineStr">
        <is>
          <t>NORRTÄLJE</t>
        </is>
      </c>
      <c r="G379" t="n">
        <v>4.8</v>
      </c>
      <c r="H379" t="n">
        <v>0</v>
      </c>
      <c r="I379" t="n">
        <v>0</v>
      </c>
      <c r="J379" t="n">
        <v>0</v>
      </c>
      <c r="K379" t="n">
        <v>0</v>
      </c>
      <c r="L379" t="n">
        <v>0</v>
      </c>
      <c r="M379" t="n">
        <v>0</v>
      </c>
      <c r="N379" t="n">
        <v>0</v>
      </c>
      <c r="O379" t="n">
        <v>0</v>
      </c>
      <c r="P379" t="n">
        <v>0</v>
      </c>
      <c r="Q379" t="n">
        <v>0</v>
      </c>
      <c r="R379" s="2" t="inlineStr"/>
    </row>
    <row r="380" ht="15" customHeight="1">
      <c r="A380" t="inlineStr">
        <is>
          <t>A 5867-2022</t>
        </is>
      </c>
      <c r="B380" s="1" t="n">
        <v>44596.66335648148</v>
      </c>
      <c r="C380" s="1" t="n">
        <v>45927</v>
      </c>
      <c r="D380" t="inlineStr">
        <is>
          <t>STOCKHOLMS LÄN</t>
        </is>
      </c>
      <c r="E380" t="inlineStr">
        <is>
          <t>NORRTÄLJE</t>
        </is>
      </c>
      <c r="F380" t="inlineStr">
        <is>
          <t>Naturvårdsverket</t>
        </is>
      </c>
      <c r="G380" t="n">
        <v>1.6</v>
      </c>
      <c r="H380" t="n">
        <v>0</v>
      </c>
      <c r="I380" t="n">
        <v>0</v>
      </c>
      <c r="J380" t="n">
        <v>0</v>
      </c>
      <c r="K380" t="n">
        <v>0</v>
      </c>
      <c r="L380" t="n">
        <v>0</v>
      </c>
      <c r="M380" t="n">
        <v>0</v>
      </c>
      <c r="N380" t="n">
        <v>0</v>
      </c>
      <c r="O380" t="n">
        <v>0</v>
      </c>
      <c r="P380" t="n">
        <v>0</v>
      </c>
      <c r="Q380" t="n">
        <v>0</v>
      </c>
      <c r="R380" s="2" t="inlineStr"/>
    </row>
    <row r="381" ht="15" customHeight="1">
      <c r="A381" t="inlineStr">
        <is>
          <t>A 20244-2025</t>
        </is>
      </c>
      <c r="B381" s="1" t="n">
        <v>45772.71221064815</v>
      </c>
      <c r="C381" s="1" t="n">
        <v>45927</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50154-2024</t>
        </is>
      </c>
      <c r="B382" s="1" t="n">
        <v>45600.4558912037</v>
      </c>
      <c r="C382" s="1" t="n">
        <v>45927</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48633-2023</t>
        </is>
      </c>
      <c r="B383" s="1" t="n">
        <v>45208.58004629629</v>
      </c>
      <c r="C383" s="1" t="n">
        <v>45927</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49334-2020</t>
        </is>
      </c>
      <c r="B384" s="1" t="n">
        <v>44105</v>
      </c>
      <c r="C384" s="1" t="n">
        <v>45927</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11900-2024</t>
        </is>
      </c>
      <c r="B385" s="1" t="n">
        <v>45376.55484953704</v>
      </c>
      <c r="C385" s="1" t="n">
        <v>45927</v>
      </c>
      <c r="D385" t="inlineStr">
        <is>
          <t>STOCKHOLMS LÄN</t>
        </is>
      </c>
      <c r="E385" t="inlineStr">
        <is>
          <t>NORRTÄLJE</t>
        </is>
      </c>
      <c r="G385" t="n">
        <v>4.2</v>
      </c>
      <c r="H385" t="n">
        <v>0</v>
      </c>
      <c r="I385" t="n">
        <v>0</v>
      </c>
      <c r="J385" t="n">
        <v>0</v>
      </c>
      <c r="K385" t="n">
        <v>0</v>
      </c>
      <c r="L385" t="n">
        <v>0</v>
      </c>
      <c r="M385" t="n">
        <v>0</v>
      </c>
      <c r="N385" t="n">
        <v>0</v>
      </c>
      <c r="O385" t="n">
        <v>0</v>
      </c>
      <c r="P385" t="n">
        <v>0</v>
      </c>
      <c r="Q385" t="n">
        <v>0</v>
      </c>
      <c r="R385" s="2" t="inlineStr"/>
    </row>
    <row r="386" ht="15" customHeight="1">
      <c r="A386" t="inlineStr">
        <is>
          <t>A 16117-2022</t>
        </is>
      </c>
      <c r="B386" s="1" t="n">
        <v>44665.65474537037</v>
      </c>
      <c r="C386" s="1" t="n">
        <v>45927</v>
      </c>
      <c r="D386" t="inlineStr">
        <is>
          <t>STOCKHOLMS LÄN</t>
        </is>
      </c>
      <c r="E386" t="inlineStr">
        <is>
          <t>NORRTÄLJE</t>
        </is>
      </c>
      <c r="G386" t="n">
        <v>8.1</v>
      </c>
      <c r="H386" t="n">
        <v>0</v>
      </c>
      <c r="I386" t="n">
        <v>0</v>
      </c>
      <c r="J386" t="n">
        <v>0</v>
      </c>
      <c r="K386" t="n">
        <v>0</v>
      </c>
      <c r="L386" t="n">
        <v>0</v>
      </c>
      <c r="M386" t="n">
        <v>0</v>
      </c>
      <c r="N386" t="n">
        <v>0</v>
      </c>
      <c r="O386" t="n">
        <v>0</v>
      </c>
      <c r="P386" t="n">
        <v>0</v>
      </c>
      <c r="Q386" t="n">
        <v>0</v>
      </c>
      <c r="R386" s="2" t="inlineStr"/>
    </row>
    <row r="387" ht="15" customHeight="1">
      <c r="A387" t="inlineStr">
        <is>
          <t>A 16132-2022</t>
        </is>
      </c>
      <c r="B387" s="1" t="n">
        <v>44665.78351851852</v>
      </c>
      <c r="C387" s="1" t="n">
        <v>45927</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39669-2024</t>
        </is>
      </c>
      <c r="B388" s="1" t="n">
        <v>45552.52827546297</v>
      </c>
      <c r="C388" s="1" t="n">
        <v>45927</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70170-2021</t>
        </is>
      </c>
      <c r="B389" s="1" t="n">
        <v>44533</v>
      </c>
      <c r="C389" s="1" t="n">
        <v>45927</v>
      </c>
      <c r="D389" t="inlineStr">
        <is>
          <t>STOCKHOLMS LÄN</t>
        </is>
      </c>
      <c r="E389" t="inlineStr">
        <is>
          <t>NORRTÄLJE</t>
        </is>
      </c>
      <c r="G389" t="n">
        <v>2.7</v>
      </c>
      <c r="H389" t="n">
        <v>0</v>
      </c>
      <c r="I389" t="n">
        <v>0</v>
      </c>
      <c r="J389" t="n">
        <v>0</v>
      </c>
      <c r="K389" t="n">
        <v>0</v>
      </c>
      <c r="L389" t="n">
        <v>0</v>
      </c>
      <c r="M389" t="n">
        <v>0</v>
      </c>
      <c r="N389" t="n">
        <v>0</v>
      </c>
      <c r="O389" t="n">
        <v>0</v>
      </c>
      <c r="P389" t="n">
        <v>0</v>
      </c>
      <c r="Q389" t="n">
        <v>0</v>
      </c>
      <c r="R389" s="2" t="inlineStr"/>
    </row>
    <row r="390" ht="15" customHeight="1">
      <c r="A390" t="inlineStr">
        <is>
          <t>A 42867-2022</t>
        </is>
      </c>
      <c r="B390" s="1" t="n">
        <v>44832</v>
      </c>
      <c r="C390" s="1" t="n">
        <v>45927</v>
      </c>
      <c r="D390" t="inlineStr">
        <is>
          <t>STOCKHOLMS LÄN</t>
        </is>
      </c>
      <c r="E390" t="inlineStr">
        <is>
          <t>NORRTÄLJE</t>
        </is>
      </c>
      <c r="G390" t="n">
        <v>6.4</v>
      </c>
      <c r="H390" t="n">
        <v>0</v>
      </c>
      <c r="I390" t="n">
        <v>0</v>
      </c>
      <c r="J390" t="n">
        <v>0</v>
      </c>
      <c r="K390" t="n">
        <v>0</v>
      </c>
      <c r="L390" t="n">
        <v>0</v>
      </c>
      <c r="M390" t="n">
        <v>0</v>
      </c>
      <c r="N390" t="n">
        <v>0</v>
      </c>
      <c r="O390" t="n">
        <v>0</v>
      </c>
      <c r="P390" t="n">
        <v>0</v>
      </c>
      <c r="Q390" t="n">
        <v>0</v>
      </c>
      <c r="R390" s="2" t="inlineStr"/>
    </row>
    <row r="391" ht="15" customHeight="1">
      <c r="A391" t="inlineStr">
        <is>
          <t>A 25463-2021</t>
        </is>
      </c>
      <c r="B391" s="1" t="n">
        <v>44342</v>
      </c>
      <c r="C391" s="1" t="n">
        <v>45927</v>
      </c>
      <c r="D391" t="inlineStr">
        <is>
          <t>STOCKHOLMS LÄN</t>
        </is>
      </c>
      <c r="E391" t="inlineStr">
        <is>
          <t>NORRTÄLJE</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23749-2024</t>
        </is>
      </c>
      <c r="B392" s="1" t="n">
        <v>45455.33037037037</v>
      </c>
      <c r="C392" s="1" t="n">
        <v>45927</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43170-2023</t>
        </is>
      </c>
      <c r="B393" s="1" t="n">
        <v>45183</v>
      </c>
      <c r="C393" s="1" t="n">
        <v>45927</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9-2024</t>
        </is>
      </c>
      <c r="B394" s="1" t="n">
        <v>45293</v>
      </c>
      <c r="C394" s="1" t="n">
        <v>45927</v>
      </c>
      <c r="D394" t="inlineStr">
        <is>
          <t>STOCKHOLMS LÄN</t>
        </is>
      </c>
      <c r="E394" t="inlineStr">
        <is>
          <t>NORRTÄLJE</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22832-2021</t>
        </is>
      </c>
      <c r="B395" s="1" t="n">
        <v>44325</v>
      </c>
      <c r="C395" s="1" t="n">
        <v>45927</v>
      </c>
      <c r="D395" t="inlineStr">
        <is>
          <t>STOCKHOLMS LÄN</t>
        </is>
      </c>
      <c r="E395" t="inlineStr">
        <is>
          <t>NORRTÄLJE</t>
        </is>
      </c>
      <c r="G395" t="n">
        <v>6.8</v>
      </c>
      <c r="H395" t="n">
        <v>0</v>
      </c>
      <c r="I395" t="n">
        <v>0</v>
      </c>
      <c r="J395" t="n">
        <v>0</v>
      </c>
      <c r="K395" t="n">
        <v>0</v>
      </c>
      <c r="L395" t="n">
        <v>0</v>
      </c>
      <c r="M395" t="n">
        <v>0</v>
      </c>
      <c r="N395" t="n">
        <v>0</v>
      </c>
      <c r="O395" t="n">
        <v>0</v>
      </c>
      <c r="P395" t="n">
        <v>0</v>
      </c>
      <c r="Q395" t="n">
        <v>0</v>
      </c>
      <c r="R395" s="2" t="inlineStr"/>
    </row>
    <row r="396" ht="15" customHeight="1">
      <c r="A396" t="inlineStr">
        <is>
          <t>A 58277-2023</t>
        </is>
      </c>
      <c r="B396" s="1" t="n">
        <v>45245</v>
      </c>
      <c r="C396" s="1" t="n">
        <v>45927</v>
      </c>
      <c r="D396" t="inlineStr">
        <is>
          <t>STOCKHOLMS LÄN</t>
        </is>
      </c>
      <c r="E396" t="inlineStr">
        <is>
          <t>NORRTÄLJE</t>
        </is>
      </c>
      <c r="G396" t="n">
        <v>1.3</v>
      </c>
      <c r="H396" t="n">
        <v>0</v>
      </c>
      <c r="I396" t="n">
        <v>0</v>
      </c>
      <c r="J396" t="n">
        <v>0</v>
      </c>
      <c r="K396" t="n">
        <v>0</v>
      </c>
      <c r="L396" t="n">
        <v>0</v>
      </c>
      <c r="M396" t="n">
        <v>0</v>
      </c>
      <c r="N396" t="n">
        <v>0</v>
      </c>
      <c r="O396" t="n">
        <v>0</v>
      </c>
      <c r="P396" t="n">
        <v>0</v>
      </c>
      <c r="Q396" t="n">
        <v>0</v>
      </c>
      <c r="R396" s="2" t="inlineStr"/>
    </row>
    <row r="397" ht="15" customHeight="1">
      <c r="A397" t="inlineStr">
        <is>
          <t>A 16913-2025</t>
        </is>
      </c>
      <c r="B397" s="1" t="n">
        <v>45755.36583333334</v>
      </c>
      <c r="C397" s="1" t="n">
        <v>45927</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4035-2023</t>
        </is>
      </c>
      <c r="B398" s="1" t="n">
        <v>44952.57989583333</v>
      </c>
      <c r="C398" s="1" t="n">
        <v>45927</v>
      </c>
      <c r="D398" t="inlineStr">
        <is>
          <t>STOCKHOLMS LÄN</t>
        </is>
      </c>
      <c r="E398" t="inlineStr">
        <is>
          <t>NORRTÄLJE</t>
        </is>
      </c>
      <c r="F398" t="inlineStr">
        <is>
          <t>Holmen skog AB</t>
        </is>
      </c>
      <c r="G398" t="n">
        <v>1.5</v>
      </c>
      <c r="H398" t="n">
        <v>0</v>
      </c>
      <c r="I398" t="n">
        <v>0</v>
      </c>
      <c r="J398" t="n">
        <v>0</v>
      </c>
      <c r="K398" t="n">
        <v>0</v>
      </c>
      <c r="L398" t="n">
        <v>0</v>
      </c>
      <c r="M398" t="n">
        <v>0</v>
      </c>
      <c r="N398" t="n">
        <v>0</v>
      </c>
      <c r="O398" t="n">
        <v>0</v>
      </c>
      <c r="P398" t="n">
        <v>0</v>
      </c>
      <c r="Q398" t="n">
        <v>0</v>
      </c>
      <c r="R398" s="2" t="inlineStr"/>
    </row>
    <row r="399" ht="15" customHeight="1">
      <c r="A399" t="inlineStr">
        <is>
          <t>A 21102-2022</t>
        </is>
      </c>
      <c r="B399" s="1" t="n">
        <v>44704</v>
      </c>
      <c r="C399" s="1" t="n">
        <v>45927</v>
      </c>
      <c r="D399" t="inlineStr">
        <is>
          <t>STOCKHOLMS LÄN</t>
        </is>
      </c>
      <c r="E399" t="inlineStr">
        <is>
          <t>NORRTÄLJE</t>
        </is>
      </c>
      <c r="G399" t="n">
        <v>0.2</v>
      </c>
      <c r="H399" t="n">
        <v>0</v>
      </c>
      <c r="I399" t="n">
        <v>0</v>
      </c>
      <c r="J399" t="n">
        <v>0</v>
      </c>
      <c r="K399" t="n">
        <v>0</v>
      </c>
      <c r="L399" t="n">
        <v>0</v>
      </c>
      <c r="M399" t="n">
        <v>0</v>
      </c>
      <c r="N399" t="n">
        <v>0</v>
      </c>
      <c r="O399" t="n">
        <v>0</v>
      </c>
      <c r="P399" t="n">
        <v>0</v>
      </c>
      <c r="Q399" t="n">
        <v>0</v>
      </c>
      <c r="R399" s="2" t="inlineStr"/>
    </row>
    <row r="400" ht="15" customHeight="1">
      <c r="A400" t="inlineStr">
        <is>
          <t>A 32705-2022</t>
        </is>
      </c>
      <c r="B400" s="1" t="n">
        <v>44783</v>
      </c>
      <c r="C400" s="1" t="n">
        <v>45927</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71880-2021</t>
        </is>
      </c>
      <c r="B401" s="1" t="n">
        <v>44543</v>
      </c>
      <c r="C401" s="1" t="n">
        <v>45927</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62998-2023</t>
        </is>
      </c>
      <c r="B402" s="1" t="n">
        <v>45272.64479166667</v>
      </c>
      <c r="C402" s="1" t="n">
        <v>45927</v>
      </c>
      <c r="D402" t="inlineStr">
        <is>
          <t>STOCKHOLMS LÄN</t>
        </is>
      </c>
      <c r="E402" t="inlineStr">
        <is>
          <t>NORRTÄLJE</t>
        </is>
      </c>
      <c r="G402" t="n">
        <v>16.3</v>
      </c>
      <c r="H402" t="n">
        <v>0</v>
      </c>
      <c r="I402" t="n">
        <v>0</v>
      </c>
      <c r="J402" t="n">
        <v>0</v>
      </c>
      <c r="K402" t="n">
        <v>0</v>
      </c>
      <c r="L402" t="n">
        <v>0</v>
      </c>
      <c r="M402" t="n">
        <v>0</v>
      </c>
      <c r="N402" t="n">
        <v>0</v>
      </c>
      <c r="O402" t="n">
        <v>0</v>
      </c>
      <c r="P402" t="n">
        <v>0</v>
      </c>
      <c r="Q402" t="n">
        <v>0</v>
      </c>
      <c r="R402" s="2" t="inlineStr"/>
    </row>
    <row r="403" ht="15" customHeight="1">
      <c r="A403" t="inlineStr">
        <is>
          <t>A 63015-2023</t>
        </is>
      </c>
      <c r="B403" s="1" t="n">
        <v>45272</v>
      </c>
      <c r="C403" s="1" t="n">
        <v>45927</v>
      </c>
      <c r="D403" t="inlineStr">
        <is>
          <t>STOCKHOLMS LÄN</t>
        </is>
      </c>
      <c r="E403" t="inlineStr">
        <is>
          <t>NORRTÄLJE</t>
        </is>
      </c>
      <c r="G403" t="n">
        <v>13.1</v>
      </c>
      <c r="H403" t="n">
        <v>0</v>
      </c>
      <c r="I403" t="n">
        <v>0</v>
      </c>
      <c r="J403" t="n">
        <v>0</v>
      </c>
      <c r="K403" t="n">
        <v>0</v>
      </c>
      <c r="L403" t="n">
        <v>0</v>
      </c>
      <c r="M403" t="n">
        <v>0</v>
      </c>
      <c r="N403" t="n">
        <v>0</v>
      </c>
      <c r="O403" t="n">
        <v>0</v>
      </c>
      <c r="P403" t="n">
        <v>0</v>
      </c>
      <c r="Q403" t="n">
        <v>0</v>
      </c>
      <c r="R403" s="2" t="inlineStr"/>
    </row>
    <row r="404" ht="15" customHeight="1">
      <c r="A404" t="inlineStr">
        <is>
          <t>A 27831-2024</t>
        </is>
      </c>
      <c r="B404" s="1" t="n">
        <v>45475.61896990741</v>
      </c>
      <c r="C404" s="1" t="n">
        <v>45927</v>
      </c>
      <c r="D404" t="inlineStr">
        <is>
          <t>STOCKHOLMS LÄN</t>
        </is>
      </c>
      <c r="E404" t="inlineStr">
        <is>
          <t>NORRTÄLJE</t>
        </is>
      </c>
      <c r="G404" t="n">
        <v>3.8</v>
      </c>
      <c r="H404" t="n">
        <v>0</v>
      </c>
      <c r="I404" t="n">
        <v>0</v>
      </c>
      <c r="J404" t="n">
        <v>0</v>
      </c>
      <c r="K404" t="n">
        <v>0</v>
      </c>
      <c r="L404" t="n">
        <v>0</v>
      </c>
      <c r="M404" t="n">
        <v>0</v>
      </c>
      <c r="N404" t="n">
        <v>0</v>
      </c>
      <c r="O404" t="n">
        <v>0</v>
      </c>
      <c r="P404" t="n">
        <v>0</v>
      </c>
      <c r="Q404" t="n">
        <v>0</v>
      </c>
      <c r="R404" s="2" t="inlineStr"/>
    </row>
    <row r="405" ht="15" customHeight="1">
      <c r="A405" t="inlineStr">
        <is>
          <t>A 33793-2022</t>
        </is>
      </c>
      <c r="B405" s="1" t="n">
        <v>44790</v>
      </c>
      <c r="C405" s="1" t="n">
        <v>45927</v>
      </c>
      <c r="D405" t="inlineStr">
        <is>
          <t>STOCKHOLMS LÄN</t>
        </is>
      </c>
      <c r="E405" t="inlineStr">
        <is>
          <t>NORRTÄLJE</t>
        </is>
      </c>
      <c r="G405" t="n">
        <v>1.5</v>
      </c>
      <c r="H405" t="n">
        <v>0</v>
      </c>
      <c r="I405" t="n">
        <v>0</v>
      </c>
      <c r="J405" t="n">
        <v>0</v>
      </c>
      <c r="K405" t="n">
        <v>0</v>
      </c>
      <c r="L405" t="n">
        <v>0</v>
      </c>
      <c r="M405" t="n">
        <v>0</v>
      </c>
      <c r="N405" t="n">
        <v>0</v>
      </c>
      <c r="O405" t="n">
        <v>0</v>
      </c>
      <c r="P405" t="n">
        <v>0</v>
      </c>
      <c r="Q405" t="n">
        <v>0</v>
      </c>
      <c r="R405" s="2" t="inlineStr"/>
    </row>
    <row r="406" ht="15" customHeight="1">
      <c r="A406" t="inlineStr">
        <is>
          <t>A 47481-2024</t>
        </is>
      </c>
      <c r="B406" s="1" t="n">
        <v>45587</v>
      </c>
      <c r="C406" s="1" t="n">
        <v>45927</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57037-2022</t>
        </is>
      </c>
      <c r="B407" s="1" t="n">
        <v>44895</v>
      </c>
      <c r="C407" s="1" t="n">
        <v>45927</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53600-2022</t>
        </is>
      </c>
      <c r="B408" s="1" t="n">
        <v>44879.70518518519</v>
      </c>
      <c r="C408" s="1" t="n">
        <v>45927</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7697-2025</t>
        </is>
      </c>
      <c r="B409" s="1" t="n">
        <v>45706.40086805556</v>
      </c>
      <c r="C409" s="1" t="n">
        <v>45927</v>
      </c>
      <c r="D409" t="inlineStr">
        <is>
          <t>STOCKHOLMS LÄN</t>
        </is>
      </c>
      <c r="E409" t="inlineStr">
        <is>
          <t>NORRTÄLJE</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17772-2022</t>
        </is>
      </c>
      <c r="B410" s="1" t="n">
        <v>44682.76528935185</v>
      </c>
      <c r="C410" s="1" t="n">
        <v>45927</v>
      </c>
      <c r="D410" t="inlineStr">
        <is>
          <t>STOCKHOLMS LÄN</t>
        </is>
      </c>
      <c r="E410" t="inlineStr">
        <is>
          <t>NORRTÄLJE</t>
        </is>
      </c>
      <c r="G410" t="n">
        <v>4</v>
      </c>
      <c r="H410" t="n">
        <v>0</v>
      </c>
      <c r="I410" t="n">
        <v>0</v>
      </c>
      <c r="J410" t="n">
        <v>0</v>
      </c>
      <c r="K410" t="n">
        <v>0</v>
      </c>
      <c r="L410" t="n">
        <v>0</v>
      </c>
      <c r="M410" t="n">
        <v>0</v>
      </c>
      <c r="N410" t="n">
        <v>0</v>
      </c>
      <c r="O410" t="n">
        <v>0</v>
      </c>
      <c r="P410" t="n">
        <v>0</v>
      </c>
      <c r="Q410" t="n">
        <v>0</v>
      </c>
      <c r="R410" s="2" t="inlineStr"/>
    </row>
    <row r="411" ht="15" customHeight="1">
      <c r="A411" t="inlineStr">
        <is>
          <t>A 67285-2021</t>
        </is>
      </c>
      <c r="B411" s="1" t="n">
        <v>44523.61635416667</v>
      </c>
      <c r="C411" s="1" t="n">
        <v>45927</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30221-2024</t>
        </is>
      </c>
      <c r="B412" s="1" t="n">
        <v>45490.45342592592</v>
      </c>
      <c r="C412" s="1" t="n">
        <v>45927</v>
      </c>
      <c r="D412" t="inlineStr">
        <is>
          <t>STOCKHOLMS LÄN</t>
        </is>
      </c>
      <c r="E412" t="inlineStr">
        <is>
          <t>NORRTÄLJE</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11940-2023</t>
        </is>
      </c>
      <c r="B413" s="1" t="n">
        <v>44995</v>
      </c>
      <c r="C413" s="1" t="n">
        <v>45927</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33175-2024</t>
        </is>
      </c>
      <c r="B414" s="1" t="n">
        <v>45518</v>
      </c>
      <c r="C414" s="1" t="n">
        <v>45927</v>
      </c>
      <c r="D414" t="inlineStr">
        <is>
          <t>STOCKHOLMS LÄN</t>
        </is>
      </c>
      <c r="E414" t="inlineStr">
        <is>
          <t>NORRTÄLJE</t>
        </is>
      </c>
      <c r="G414" t="n">
        <v>2.1</v>
      </c>
      <c r="H414" t="n">
        <v>0</v>
      </c>
      <c r="I414" t="n">
        <v>0</v>
      </c>
      <c r="J414" t="n">
        <v>0</v>
      </c>
      <c r="K414" t="n">
        <v>0</v>
      </c>
      <c r="L414" t="n">
        <v>0</v>
      </c>
      <c r="M414" t="n">
        <v>0</v>
      </c>
      <c r="N414" t="n">
        <v>0</v>
      </c>
      <c r="O414" t="n">
        <v>0</v>
      </c>
      <c r="P414" t="n">
        <v>0</v>
      </c>
      <c r="Q414" t="n">
        <v>0</v>
      </c>
      <c r="R414" s="2" t="inlineStr"/>
    </row>
    <row r="415" ht="15" customHeight="1">
      <c r="A415" t="inlineStr">
        <is>
          <t>A 5611-2022</t>
        </is>
      </c>
      <c r="B415" s="1" t="n">
        <v>44595</v>
      </c>
      <c r="C415" s="1" t="n">
        <v>45927</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32055-2021</t>
        </is>
      </c>
      <c r="B416" s="1" t="n">
        <v>44370.72197916666</v>
      </c>
      <c r="C416" s="1" t="n">
        <v>45927</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24101-2022</t>
        </is>
      </c>
      <c r="B417" s="1" t="n">
        <v>44725</v>
      </c>
      <c r="C417" s="1" t="n">
        <v>45927</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21803-2022</t>
        </is>
      </c>
      <c r="B418" s="1" t="n">
        <v>44708.67822916667</v>
      </c>
      <c r="C418" s="1" t="n">
        <v>45927</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20730-2024</t>
        </is>
      </c>
      <c r="B419" s="1" t="n">
        <v>45436</v>
      </c>
      <c r="C419" s="1" t="n">
        <v>45927</v>
      </c>
      <c r="D419" t="inlineStr">
        <is>
          <t>STOCKHOLMS LÄN</t>
        </is>
      </c>
      <c r="E419" t="inlineStr">
        <is>
          <t>NORRTÄLJE</t>
        </is>
      </c>
      <c r="G419" t="n">
        <v>7.3</v>
      </c>
      <c r="H419" t="n">
        <v>0</v>
      </c>
      <c r="I419" t="n">
        <v>0</v>
      </c>
      <c r="J419" t="n">
        <v>0</v>
      </c>
      <c r="K419" t="n">
        <v>0</v>
      </c>
      <c r="L419" t="n">
        <v>0</v>
      </c>
      <c r="M419" t="n">
        <v>0</v>
      </c>
      <c r="N419" t="n">
        <v>0</v>
      </c>
      <c r="O419" t="n">
        <v>0</v>
      </c>
      <c r="P419" t="n">
        <v>0</v>
      </c>
      <c r="Q419" t="n">
        <v>0</v>
      </c>
      <c r="R419" s="2" t="inlineStr"/>
    </row>
    <row r="420" ht="15" customHeight="1">
      <c r="A420" t="inlineStr">
        <is>
          <t>A 2281-2024</t>
        </is>
      </c>
      <c r="B420" s="1" t="n">
        <v>45310.40628472222</v>
      </c>
      <c r="C420" s="1" t="n">
        <v>45927</v>
      </c>
      <c r="D420" t="inlineStr">
        <is>
          <t>STOCKHOLMS LÄN</t>
        </is>
      </c>
      <c r="E420" t="inlineStr">
        <is>
          <t>NORRTÄLJE</t>
        </is>
      </c>
      <c r="G420" t="n">
        <v>2.7</v>
      </c>
      <c r="H420" t="n">
        <v>0</v>
      </c>
      <c r="I420" t="n">
        <v>0</v>
      </c>
      <c r="J420" t="n">
        <v>0</v>
      </c>
      <c r="K420" t="n">
        <v>0</v>
      </c>
      <c r="L420" t="n">
        <v>0</v>
      </c>
      <c r="M420" t="n">
        <v>0</v>
      </c>
      <c r="N420" t="n">
        <v>0</v>
      </c>
      <c r="O420" t="n">
        <v>0</v>
      </c>
      <c r="P420" t="n">
        <v>0</v>
      </c>
      <c r="Q420" t="n">
        <v>0</v>
      </c>
      <c r="R420" s="2" t="inlineStr"/>
    </row>
    <row r="421" ht="15" customHeight="1">
      <c r="A421" t="inlineStr">
        <is>
          <t>A 13-2024</t>
        </is>
      </c>
      <c r="B421" s="1" t="n">
        <v>45293.37263888889</v>
      </c>
      <c r="C421" s="1" t="n">
        <v>45927</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19-2024</t>
        </is>
      </c>
      <c r="B422" s="1" t="n">
        <v>45293</v>
      </c>
      <c r="C422" s="1" t="n">
        <v>45927</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60525-2022</t>
        </is>
      </c>
      <c r="B423" s="1" t="n">
        <v>44904</v>
      </c>
      <c r="C423" s="1" t="n">
        <v>45927</v>
      </c>
      <c r="D423" t="inlineStr">
        <is>
          <t>STOCKHOLMS LÄN</t>
        </is>
      </c>
      <c r="E423" t="inlineStr">
        <is>
          <t>NORRTÄLJE</t>
        </is>
      </c>
      <c r="G423" t="n">
        <v>13.4</v>
      </c>
      <c r="H423" t="n">
        <v>0</v>
      </c>
      <c r="I423" t="n">
        <v>0</v>
      </c>
      <c r="J423" t="n">
        <v>0</v>
      </c>
      <c r="K423" t="n">
        <v>0</v>
      </c>
      <c r="L423" t="n">
        <v>0</v>
      </c>
      <c r="M423" t="n">
        <v>0</v>
      </c>
      <c r="N423" t="n">
        <v>0</v>
      </c>
      <c r="O423" t="n">
        <v>0</v>
      </c>
      <c r="P423" t="n">
        <v>0</v>
      </c>
      <c r="Q423" t="n">
        <v>0</v>
      </c>
      <c r="R423" s="2" t="inlineStr"/>
    </row>
    <row r="424" ht="15" customHeight="1">
      <c r="A424" t="inlineStr">
        <is>
          <t>A 31559-2022</t>
        </is>
      </c>
      <c r="B424" s="1" t="n">
        <v>44775</v>
      </c>
      <c r="C424" s="1" t="n">
        <v>45927</v>
      </c>
      <c r="D424" t="inlineStr">
        <is>
          <t>STOCKHOLMS LÄN</t>
        </is>
      </c>
      <c r="E424" t="inlineStr">
        <is>
          <t>NORRTÄLJE</t>
        </is>
      </c>
      <c r="G424" t="n">
        <v>5.6</v>
      </c>
      <c r="H424" t="n">
        <v>0</v>
      </c>
      <c r="I424" t="n">
        <v>0</v>
      </c>
      <c r="J424" t="n">
        <v>0</v>
      </c>
      <c r="K424" t="n">
        <v>0</v>
      </c>
      <c r="L424" t="n">
        <v>0</v>
      </c>
      <c r="M424" t="n">
        <v>0</v>
      </c>
      <c r="N424" t="n">
        <v>0</v>
      </c>
      <c r="O424" t="n">
        <v>0</v>
      </c>
      <c r="P424" t="n">
        <v>0</v>
      </c>
      <c r="Q424" t="n">
        <v>0</v>
      </c>
      <c r="R424" s="2" t="inlineStr"/>
    </row>
    <row r="425" ht="15" customHeight="1">
      <c r="A425" t="inlineStr">
        <is>
          <t>A 8419-2025</t>
        </is>
      </c>
      <c r="B425" s="1" t="n">
        <v>45709.40231481481</v>
      </c>
      <c r="C425" s="1" t="n">
        <v>45927</v>
      </c>
      <c r="D425" t="inlineStr">
        <is>
          <t>STOCKHOLMS LÄN</t>
        </is>
      </c>
      <c r="E425" t="inlineStr">
        <is>
          <t>NORRTÄLJE</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66662-2020</t>
        </is>
      </c>
      <c r="B426" s="1" t="n">
        <v>44179</v>
      </c>
      <c r="C426" s="1" t="n">
        <v>45927</v>
      </c>
      <c r="D426" t="inlineStr">
        <is>
          <t>STOCKHOLMS LÄN</t>
        </is>
      </c>
      <c r="E426" t="inlineStr">
        <is>
          <t>NORRTÄLJE</t>
        </is>
      </c>
      <c r="G426" t="n">
        <v>1.9</v>
      </c>
      <c r="H426" t="n">
        <v>0</v>
      </c>
      <c r="I426" t="n">
        <v>0</v>
      </c>
      <c r="J426" t="n">
        <v>0</v>
      </c>
      <c r="K426" t="n">
        <v>0</v>
      </c>
      <c r="L426" t="n">
        <v>0</v>
      </c>
      <c r="M426" t="n">
        <v>0</v>
      </c>
      <c r="N426" t="n">
        <v>0</v>
      </c>
      <c r="O426" t="n">
        <v>0</v>
      </c>
      <c r="P426" t="n">
        <v>0</v>
      </c>
      <c r="Q426" t="n">
        <v>0</v>
      </c>
      <c r="R426" s="2" t="inlineStr"/>
    </row>
    <row r="427" ht="15" customHeight="1">
      <c r="A427" t="inlineStr">
        <is>
          <t>A 35161-2022</t>
        </is>
      </c>
      <c r="B427" s="1" t="n">
        <v>44797</v>
      </c>
      <c r="C427" s="1" t="n">
        <v>45927</v>
      </c>
      <c r="D427" t="inlineStr">
        <is>
          <t>STOCKHOLMS LÄN</t>
        </is>
      </c>
      <c r="E427" t="inlineStr">
        <is>
          <t>NORRTÄLJE</t>
        </is>
      </c>
      <c r="G427" t="n">
        <v>6</v>
      </c>
      <c r="H427" t="n">
        <v>0</v>
      </c>
      <c r="I427" t="n">
        <v>0</v>
      </c>
      <c r="J427" t="n">
        <v>0</v>
      </c>
      <c r="K427" t="n">
        <v>0</v>
      </c>
      <c r="L427" t="n">
        <v>0</v>
      </c>
      <c r="M427" t="n">
        <v>0</v>
      </c>
      <c r="N427" t="n">
        <v>0</v>
      </c>
      <c r="O427" t="n">
        <v>0</v>
      </c>
      <c r="P427" t="n">
        <v>0</v>
      </c>
      <c r="Q427" t="n">
        <v>0</v>
      </c>
      <c r="R427" s="2" t="inlineStr"/>
    </row>
    <row r="428" ht="15" customHeight="1">
      <c r="A428" t="inlineStr">
        <is>
          <t>A 58989-2021</t>
        </is>
      </c>
      <c r="B428" s="1" t="n">
        <v>44490.02482638889</v>
      </c>
      <c r="C428" s="1" t="n">
        <v>45927</v>
      </c>
      <c r="D428" t="inlineStr">
        <is>
          <t>STOCKHOLMS LÄN</t>
        </is>
      </c>
      <c r="E428" t="inlineStr">
        <is>
          <t>NORRTÄLJE</t>
        </is>
      </c>
      <c r="G428" t="n">
        <v>0.3</v>
      </c>
      <c r="H428" t="n">
        <v>0</v>
      </c>
      <c r="I428" t="n">
        <v>0</v>
      </c>
      <c r="J428" t="n">
        <v>0</v>
      </c>
      <c r="K428" t="n">
        <v>0</v>
      </c>
      <c r="L428" t="n">
        <v>0</v>
      </c>
      <c r="M428" t="n">
        <v>0</v>
      </c>
      <c r="N428" t="n">
        <v>0</v>
      </c>
      <c r="O428" t="n">
        <v>0</v>
      </c>
      <c r="P428" t="n">
        <v>0</v>
      </c>
      <c r="Q428" t="n">
        <v>0</v>
      </c>
      <c r="R428" s="2" t="inlineStr"/>
    </row>
    <row r="429" ht="15" customHeight="1">
      <c r="A429" t="inlineStr">
        <is>
          <t>A 46988-2024</t>
        </is>
      </c>
      <c r="B429" s="1" t="n">
        <v>45586</v>
      </c>
      <c r="C429" s="1" t="n">
        <v>45927</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21529-2021</t>
        </is>
      </c>
      <c r="B430" s="1" t="n">
        <v>44321</v>
      </c>
      <c r="C430" s="1" t="n">
        <v>45927</v>
      </c>
      <c r="D430" t="inlineStr">
        <is>
          <t>STOCKHOLMS LÄN</t>
        </is>
      </c>
      <c r="E430" t="inlineStr">
        <is>
          <t>NORRTÄLJE</t>
        </is>
      </c>
      <c r="G430" t="n">
        <v>2.7</v>
      </c>
      <c r="H430" t="n">
        <v>0</v>
      </c>
      <c r="I430" t="n">
        <v>0</v>
      </c>
      <c r="J430" t="n">
        <v>0</v>
      </c>
      <c r="K430" t="n">
        <v>0</v>
      </c>
      <c r="L430" t="n">
        <v>0</v>
      </c>
      <c r="M430" t="n">
        <v>0</v>
      </c>
      <c r="N430" t="n">
        <v>0</v>
      </c>
      <c r="O430" t="n">
        <v>0</v>
      </c>
      <c r="P430" t="n">
        <v>0</v>
      </c>
      <c r="Q430" t="n">
        <v>0</v>
      </c>
      <c r="R430" s="2" t="inlineStr"/>
    </row>
    <row r="431" ht="15" customHeight="1">
      <c r="A431" t="inlineStr">
        <is>
          <t>A 13701-2022</t>
        </is>
      </c>
      <c r="B431" s="1" t="n">
        <v>44648</v>
      </c>
      <c r="C431" s="1" t="n">
        <v>45927</v>
      </c>
      <c r="D431" t="inlineStr">
        <is>
          <t>STOCKHOLMS LÄN</t>
        </is>
      </c>
      <c r="E431" t="inlineStr">
        <is>
          <t>NORRTÄLJE</t>
        </is>
      </c>
      <c r="G431" t="n">
        <v>1.6</v>
      </c>
      <c r="H431" t="n">
        <v>0</v>
      </c>
      <c r="I431" t="n">
        <v>0</v>
      </c>
      <c r="J431" t="n">
        <v>0</v>
      </c>
      <c r="K431" t="n">
        <v>0</v>
      </c>
      <c r="L431" t="n">
        <v>0</v>
      </c>
      <c r="M431" t="n">
        <v>0</v>
      </c>
      <c r="N431" t="n">
        <v>0</v>
      </c>
      <c r="O431" t="n">
        <v>0</v>
      </c>
      <c r="P431" t="n">
        <v>0</v>
      </c>
      <c r="Q431" t="n">
        <v>0</v>
      </c>
      <c r="R431" s="2" t="inlineStr"/>
    </row>
    <row r="432" ht="15" customHeight="1">
      <c r="A432" t="inlineStr">
        <is>
          <t>A 12901-2024</t>
        </is>
      </c>
      <c r="B432" s="1" t="n">
        <v>45385.37922453704</v>
      </c>
      <c r="C432" s="1" t="n">
        <v>45927</v>
      </c>
      <c r="D432" t="inlineStr">
        <is>
          <t>STOCKHOLMS LÄN</t>
        </is>
      </c>
      <c r="E432" t="inlineStr">
        <is>
          <t>NORRTÄLJE</t>
        </is>
      </c>
      <c r="G432" t="n">
        <v>2.7</v>
      </c>
      <c r="H432" t="n">
        <v>0</v>
      </c>
      <c r="I432" t="n">
        <v>0</v>
      </c>
      <c r="J432" t="n">
        <v>0</v>
      </c>
      <c r="K432" t="n">
        <v>0</v>
      </c>
      <c r="L432" t="n">
        <v>0</v>
      </c>
      <c r="M432" t="n">
        <v>0</v>
      </c>
      <c r="N432" t="n">
        <v>0</v>
      </c>
      <c r="O432" t="n">
        <v>0</v>
      </c>
      <c r="P432" t="n">
        <v>0</v>
      </c>
      <c r="Q432" t="n">
        <v>0</v>
      </c>
      <c r="R432" s="2" t="inlineStr"/>
    </row>
    <row r="433" ht="15" customHeight="1">
      <c r="A433" t="inlineStr">
        <is>
          <t>A 8950-2025</t>
        </is>
      </c>
      <c r="B433" s="1" t="n">
        <v>45713</v>
      </c>
      <c r="C433" s="1" t="n">
        <v>45927</v>
      </c>
      <c r="D433" t="inlineStr">
        <is>
          <t>STOCKHOLMS LÄN</t>
        </is>
      </c>
      <c r="E433" t="inlineStr">
        <is>
          <t>NORRTÄLJE</t>
        </is>
      </c>
      <c r="F433" t="inlineStr">
        <is>
          <t>Övriga Aktiebolag</t>
        </is>
      </c>
      <c r="G433" t="n">
        <v>3.6</v>
      </c>
      <c r="H433" t="n">
        <v>0</v>
      </c>
      <c r="I433" t="n">
        <v>0</v>
      </c>
      <c r="J433" t="n">
        <v>0</v>
      </c>
      <c r="K433" t="n">
        <v>0</v>
      </c>
      <c r="L433" t="n">
        <v>0</v>
      </c>
      <c r="M433" t="n">
        <v>0</v>
      </c>
      <c r="N433" t="n">
        <v>0</v>
      </c>
      <c r="O433" t="n">
        <v>0</v>
      </c>
      <c r="P433" t="n">
        <v>0</v>
      </c>
      <c r="Q433" t="n">
        <v>0</v>
      </c>
      <c r="R433" s="2" t="inlineStr"/>
    </row>
    <row r="434" ht="15" customHeight="1">
      <c r="A434" t="inlineStr">
        <is>
          <t>A 14132-2025</t>
        </is>
      </c>
      <c r="B434" s="1" t="n">
        <v>45740.47550925926</v>
      </c>
      <c r="C434" s="1" t="n">
        <v>45927</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14133-2025</t>
        </is>
      </c>
      <c r="B435" s="1" t="n">
        <v>45740.47724537037</v>
      </c>
      <c r="C435" s="1" t="n">
        <v>45927</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8792-2025</t>
        </is>
      </c>
      <c r="B436" s="1" t="n">
        <v>45712</v>
      </c>
      <c r="C436" s="1" t="n">
        <v>45927</v>
      </c>
      <c r="D436" t="inlineStr">
        <is>
          <t>STOCKHOLMS LÄN</t>
        </is>
      </c>
      <c r="E436" t="inlineStr">
        <is>
          <t>NORRTÄLJE</t>
        </is>
      </c>
      <c r="F436" t="inlineStr">
        <is>
          <t>Övriga Aktiebolag</t>
        </is>
      </c>
      <c r="G436" t="n">
        <v>6.6</v>
      </c>
      <c r="H436" t="n">
        <v>0</v>
      </c>
      <c r="I436" t="n">
        <v>0</v>
      </c>
      <c r="J436" t="n">
        <v>0</v>
      </c>
      <c r="K436" t="n">
        <v>0</v>
      </c>
      <c r="L436" t="n">
        <v>0</v>
      </c>
      <c r="M436" t="n">
        <v>0</v>
      </c>
      <c r="N436" t="n">
        <v>0</v>
      </c>
      <c r="O436" t="n">
        <v>0</v>
      </c>
      <c r="P436" t="n">
        <v>0</v>
      </c>
      <c r="Q436" t="n">
        <v>0</v>
      </c>
      <c r="R436" s="2" t="inlineStr"/>
    </row>
    <row r="437" ht="15" customHeight="1">
      <c r="A437" t="inlineStr">
        <is>
          <t>A 24887-2023</t>
        </is>
      </c>
      <c r="B437" s="1" t="n">
        <v>45085</v>
      </c>
      <c r="C437" s="1" t="n">
        <v>45927</v>
      </c>
      <c r="D437" t="inlineStr">
        <is>
          <t>STOCKHOLMS LÄN</t>
        </is>
      </c>
      <c r="E437" t="inlineStr">
        <is>
          <t>NORRTÄLJE</t>
        </is>
      </c>
      <c r="G437" t="n">
        <v>13.9</v>
      </c>
      <c r="H437" t="n">
        <v>0</v>
      </c>
      <c r="I437" t="n">
        <v>0</v>
      </c>
      <c r="J437" t="n">
        <v>0</v>
      </c>
      <c r="K437" t="n">
        <v>0</v>
      </c>
      <c r="L437" t="n">
        <v>0</v>
      </c>
      <c r="M437" t="n">
        <v>0</v>
      </c>
      <c r="N437" t="n">
        <v>0</v>
      </c>
      <c r="O437" t="n">
        <v>0</v>
      </c>
      <c r="P437" t="n">
        <v>0</v>
      </c>
      <c r="Q437" t="n">
        <v>0</v>
      </c>
      <c r="R437" s="2" t="inlineStr"/>
    </row>
    <row r="438" ht="15" customHeight="1">
      <c r="A438" t="inlineStr">
        <is>
          <t>A 38612-2022</t>
        </is>
      </c>
      <c r="B438" s="1" t="n">
        <v>44813</v>
      </c>
      <c r="C438" s="1" t="n">
        <v>45927</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4326-2023</t>
        </is>
      </c>
      <c r="B439" s="1" t="n">
        <v>44953.70481481482</v>
      </c>
      <c r="C439" s="1" t="n">
        <v>45927</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12301-2025</t>
        </is>
      </c>
      <c r="B440" s="1" t="n">
        <v>45729.7271875</v>
      </c>
      <c r="C440" s="1" t="n">
        <v>45927</v>
      </c>
      <c r="D440" t="inlineStr">
        <is>
          <t>STOCKHOLMS LÄN</t>
        </is>
      </c>
      <c r="E440" t="inlineStr">
        <is>
          <t>NORRTÄLJE</t>
        </is>
      </c>
      <c r="G440" t="n">
        <v>3.2</v>
      </c>
      <c r="H440" t="n">
        <v>0</v>
      </c>
      <c r="I440" t="n">
        <v>0</v>
      </c>
      <c r="J440" t="n">
        <v>0</v>
      </c>
      <c r="K440" t="n">
        <v>0</v>
      </c>
      <c r="L440" t="n">
        <v>0</v>
      </c>
      <c r="M440" t="n">
        <v>0</v>
      </c>
      <c r="N440" t="n">
        <v>0</v>
      </c>
      <c r="O440" t="n">
        <v>0</v>
      </c>
      <c r="P440" t="n">
        <v>0</v>
      </c>
      <c r="Q440" t="n">
        <v>0</v>
      </c>
      <c r="R440" s="2" t="inlineStr"/>
    </row>
    <row r="441" ht="15" customHeight="1">
      <c r="A441" t="inlineStr">
        <is>
          <t>A 54504-2024</t>
        </is>
      </c>
      <c r="B441" s="1" t="n">
        <v>45617.58453703704</v>
      </c>
      <c r="C441" s="1" t="n">
        <v>45927</v>
      </c>
      <c r="D441" t="inlineStr">
        <is>
          <t>STOCKHOLMS LÄN</t>
        </is>
      </c>
      <c r="E441" t="inlineStr">
        <is>
          <t>NORRTÄLJE</t>
        </is>
      </c>
      <c r="G441" t="n">
        <v>3.4</v>
      </c>
      <c r="H441" t="n">
        <v>0</v>
      </c>
      <c r="I441" t="n">
        <v>0</v>
      </c>
      <c r="J441" t="n">
        <v>0</v>
      </c>
      <c r="K441" t="n">
        <v>0</v>
      </c>
      <c r="L441" t="n">
        <v>0</v>
      </c>
      <c r="M441" t="n">
        <v>0</v>
      </c>
      <c r="N441" t="n">
        <v>0</v>
      </c>
      <c r="O441" t="n">
        <v>0</v>
      </c>
      <c r="P441" t="n">
        <v>0</v>
      </c>
      <c r="Q441" t="n">
        <v>0</v>
      </c>
      <c r="R441" s="2" t="inlineStr"/>
    </row>
    <row r="442" ht="15" customHeight="1">
      <c r="A442" t="inlineStr">
        <is>
          <t>A 24351-2025</t>
        </is>
      </c>
      <c r="B442" s="1" t="n">
        <v>45797.58399305555</v>
      </c>
      <c r="C442" s="1" t="n">
        <v>45927</v>
      </c>
      <c r="D442" t="inlineStr">
        <is>
          <t>STOCKHOLMS LÄN</t>
        </is>
      </c>
      <c r="E442" t="inlineStr">
        <is>
          <t>NORRTÄLJE</t>
        </is>
      </c>
      <c r="G442" t="n">
        <v>1.5</v>
      </c>
      <c r="H442" t="n">
        <v>0</v>
      </c>
      <c r="I442" t="n">
        <v>0</v>
      </c>
      <c r="J442" t="n">
        <v>0</v>
      </c>
      <c r="K442" t="n">
        <v>0</v>
      </c>
      <c r="L442" t="n">
        <v>0</v>
      </c>
      <c r="M442" t="n">
        <v>0</v>
      </c>
      <c r="N442" t="n">
        <v>0</v>
      </c>
      <c r="O442" t="n">
        <v>0</v>
      </c>
      <c r="P442" t="n">
        <v>0</v>
      </c>
      <c r="Q442" t="n">
        <v>0</v>
      </c>
      <c r="R442" s="2" t="inlineStr"/>
    </row>
    <row r="443" ht="15" customHeight="1">
      <c r="A443" t="inlineStr">
        <is>
          <t>A 13283-2025</t>
        </is>
      </c>
      <c r="B443" s="1" t="n">
        <v>45735</v>
      </c>
      <c r="C443" s="1" t="n">
        <v>45927</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7903-2021</t>
        </is>
      </c>
      <c r="B444" s="1" t="n">
        <v>44243.33587962963</v>
      </c>
      <c r="C444" s="1" t="n">
        <v>45927</v>
      </c>
      <c r="D444" t="inlineStr">
        <is>
          <t>STOCKHOLMS LÄN</t>
        </is>
      </c>
      <c r="E444" t="inlineStr">
        <is>
          <t>NORRTÄLJE</t>
        </is>
      </c>
      <c r="G444" t="n">
        <v>3.5</v>
      </c>
      <c r="H444" t="n">
        <v>0</v>
      </c>
      <c r="I444" t="n">
        <v>0</v>
      </c>
      <c r="J444" t="n">
        <v>0</v>
      </c>
      <c r="K444" t="n">
        <v>0</v>
      </c>
      <c r="L444" t="n">
        <v>0</v>
      </c>
      <c r="M444" t="n">
        <v>0</v>
      </c>
      <c r="N444" t="n">
        <v>0</v>
      </c>
      <c r="O444" t="n">
        <v>0</v>
      </c>
      <c r="P444" t="n">
        <v>0</v>
      </c>
      <c r="Q444" t="n">
        <v>0</v>
      </c>
      <c r="R444" s="2" t="inlineStr"/>
    </row>
    <row r="445" ht="15" customHeight="1">
      <c r="A445" t="inlineStr">
        <is>
          <t>A 39213-2022</t>
        </is>
      </c>
      <c r="B445" s="1" t="n">
        <v>44817.56120370371</v>
      </c>
      <c r="C445" s="1" t="n">
        <v>45927</v>
      </c>
      <c r="D445" t="inlineStr">
        <is>
          <t>STOCKHOLMS LÄN</t>
        </is>
      </c>
      <c r="E445" t="inlineStr">
        <is>
          <t>NORRTÄLJE</t>
        </is>
      </c>
      <c r="G445" t="n">
        <v>3.4</v>
      </c>
      <c r="H445" t="n">
        <v>0</v>
      </c>
      <c r="I445" t="n">
        <v>0</v>
      </c>
      <c r="J445" t="n">
        <v>0</v>
      </c>
      <c r="K445" t="n">
        <v>0</v>
      </c>
      <c r="L445" t="n">
        <v>0</v>
      </c>
      <c r="M445" t="n">
        <v>0</v>
      </c>
      <c r="N445" t="n">
        <v>0</v>
      </c>
      <c r="O445" t="n">
        <v>0</v>
      </c>
      <c r="P445" t="n">
        <v>0</v>
      </c>
      <c r="Q445" t="n">
        <v>0</v>
      </c>
      <c r="R445" s="2" t="inlineStr"/>
    </row>
    <row r="446" ht="15" customHeight="1">
      <c r="A446" t="inlineStr">
        <is>
          <t>A 41976-2024</t>
        </is>
      </c>
      <c r="B446" s="1" t="n">
        <v>45561.62141203704</v>
      </c>
      <c r="C446" s="1" t="n">
        <v>45927</v>
      </c>
      <c r="D446" t="inlineStr">
        <is>
          <t>STOCKHOLMS LÄN</t>
        </is>
      </c>
      <c r="E446" t="inlineStr">
        <is>
          <t>NORRTÄLJE</t>
        </is>
      </c>
      <c r="G446" t="n">
        <v>2.5</v>
      </c>
      <c r="H446" t="n">
        <v>0</v>
      </c>
      <c r="I446" t="n">
        <v>0</v>
      </c>
      <c r="J446" t="n">
        <v>0</v>
      </c>
      <c r="K446" t="n">
        <v>0</v>
      </c>
      <c r="L446" t="n">
        <v>0</v>
      </c>
      <c r="M446" t="n">
        <v>0</v>
      </c>
      <c r="N446" t="n">
        <v>0</v>
      </c>
      <c r="O446" t="n">
        <v>0</v>
      </c>
      <c r="P446" t="n">
        <v>0</v>
      </c>
      <c r="Q446" t="n">
        <v>0</v>
      </c>
      <c r="R446" s="2" t="inlineStr"/>
    </row>
    <row r="447" ht="15" customHeight="1">
      <c r="A447" t="inlineStr">
        <is>
          <t>A 21745-2023</t>
        </is>
      </c>
      <c r="B447" s="1" t="n">
        <v>45065.55917824074</v>
      </c>
      <c r="C447" s="1" t="n">
        <v>45927</v>
      </c>
      <c r="D447" t="inlineStr">
        <is>
          <t>STOCKHOLMS LÄN</t>
        </is>
      </c>
      <c r="E447" t="inlineStr">
        <is>
          <t>NORRTÄLJE</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51325-2023</t>
        </is>
      </c>
      <c r="B448" s="1" t="n">
        <v>45219</v>
      </c>
      <c r="C448" s="1" t="n">
        <v>45927</v>
      </c>
      <c r="D448" t="inlineStr">
        <is>
          <t>STOCKHOLMS LÄN</t>
        </is>
      </c>
      <c r="E448" t="inlineStr">
        <is>
          <t>NORRTÄLJE</t>
        </is>
      </c>
      <c r="G448" t="n">
        <v>2.2</v>
      </c>
      <c r="H448" t="n">
        <v>0</v>
      </c>
      <c r="I448" t="n">
        <v>0</v>
      </c>
      <c r="J448" t="n">
        <v>0</v>
      </c>
      <c r="K448" t="n">
        <v>0</v>
      </c>
      <c r="L448" t="n">
        <v>0</v>
      </c>
      <c r="M448" t="n">
        <v>0</v>
      </c>
      <c r="N448" t="n">
        <v>0</v>
      </c>
      <c r="O448" t="n">
        <v>0</v>
      </c>
      <c r="P448" t="n">
        <v>0</v>
      </c>
      <c r="Q448" t="n">
        <v>0</v>
      </c>
      <c r="R448" s="2" t="inlineStr"/>
    </row>
    <row r="449" ht="15" customHeight="1">
      <c r="A449" t="inlineStr">
        <is>
          <t>A 21894-2023</t>
        </is>
      </c>
      <c r="B449" s="1" t="n">
        <v>45068.51783564815</v>
      </c>
      <c r="C449" s="1" t="n">
        <v>45927</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59534-2024</t>
        </is>
      </c>
      <c r="B450" s="1" t="n">
        <v>45638.5987037037</v>
      </c>
      <c r="C450" s="1" t="n">
        <v>45927</v>
      </c>
      <c r="D450" t="inlineStr">
        <is>
          <t>STOCKHOLMS LÄN</t>
        </is>
      </c>
      <c r="E450" t="inlineStr">
        <is>
          <t>NORRTÄLJE</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31107-2022</t>
        </is>
      </c>
      <c r="B451" s="1" t="n">
        <v>44769.66864583334</v>
      </c>
      <c r="C451" s="1" t="n">
        <v>45927</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13860-2023</t>
        </is>
      </c>
      <c r="B452" s="1" t="n">
        <v>45007</v>
      </c>
      <c r="C452" s="1" t="n">
        <v>45927</v>
      </c>
      <c r="D452" t="inlineStr">
        <is>
          <t>STOCKHOLMS LÄN</t>
        </is>
      </c>
      <c r="E452" t="inlineStr">
        <is>
          <t>NORRTÄLJE</t>
        </is>
      </c>
      <c r="G452" t="n">
        <v>1.6</v>
      </c>
      <c r="H452" t="n">
        <v>0</v>
      </c>
      <c r="I452" t="n">
        <v>0</v>
      </c>
      <c r="J452" t="n">
        <v>0</v>
      </c>
      <c r="K452" t="n">
        <v>0</v>
      </c>
      <c r="L452" t="n">
        <v>0</v>
      </c>
      <c r="M452" t="n">
        <v>0</v>
      </c>
      <c r="N452" t="n">
        <v>0</v>
      </c>
      <c r="O452" t="n">
        <v>0</v>
      </c>
      <c r="P452" t="n">
        <v>0</v>
      </c>
      <c r="Q452" t="n">
        <v>0</v>
      </c>
      <c r="R452" s="2" t="inlineStr"/>
    </row>
    <row r="453" ht="15" customHeight="1">
      <c r="A453" t="inlineStr">
        <is>
          <t>A 6855-2025</t>
        </is>
      </c>
      <c r="B453" s="1" t="n">
        <v>45700</v>
      </c>
      <c r="C453" s="1" t="n">
        <v>45927</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13276-2022</t>
        </is>
      </c>
      <c r="B454" s="1" t="n">
        <v>44644</v>
      </c>
      <c r="C454" s="1" t="n">
        <v>45927</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13314-2025</t>
        </is>
      </c>
      <c r="B455" s="1" t="n">
        <v>45735.59287037037</v>
      </c>
      <c r="C455" s="1" t="n">
        <v>45927</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28182-2022</t>
        </is>
      </c>
      <c r="B456" s="1" t="n">
        <v>44746.58530092592</v>
      </c>
      <c r="C456" s="1" t="n">
        <v>45927</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38721-2022</t>
        </is>
      </c>
      <c r="B457" s="1" t="n">
        <v>44815</v>
      </c>
      <c r="C457" s="1" t="n">
        <v>45927</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34432-2021</t>
        </is>
      </c>
      <c r="B458" s="1" t="n">
        <v>44380.77346064815</v>
      </c>
      <c r="C458" s="1" t="n">
        <v>45927</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24687-2025</t>
        </is>
      </c>
      <c r="B459" s="1" t="n">
        <v>45798.66767361111</v>
      </c>
      <c r="C459" s="1" t="n">
        <v>45927</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34461-2023</t>
        </is>
      </c>
      <c r="B460" s="1" t="n">
        <v>45139</v>
      </c>
      <c r="C460" s="1" t="n">
        <v>45927</v>
      </c>
      <c r="D460" t="inlineStr">
        <is>
          <t>STOCKHOLMS LÄN</t>
        </is>
      </c>
      <c r="E460" t="inlineStr">
        <is>
          <t>NORRTÄLJE</t>
        </is>
      </c>
      <c r="G460" t="n">
        <v>1.4</v>
      </c>
      <c r="H460" t="n">
        <v>0</v>
      </c>
      <c r="I460" t="n">
        <v>0</v>
      </c>
      <c r="J460" t="n">
        <v>0</v>
      </c>
      <c r="K460" t="n">
        <v>0</v>
      </c>
      <c r="L460" t="n">
        <v>0</v>
      </c>
      <c r="M460" t="n">
        <v>0</v>
      </c>
      <c r="N460" t="n">
        <v>0</v>
      </c>
      <c r="O460" t="n">
        <v>0</v>
      </c>
      <c r="P460" t="n">
        <v>0</v>
      </c>
      <c r="Q460" t="n">
        <v>0</v>
      </c>
      <c r="R460" s="2" t="inlineStr"/>
    </row>
    <row r="461" ht="15" customHeight="1">
      <c r="A461" t="inlineStr">
        <is>
          <t>A 60184-2021</t>
        </is>
      </c>
      <c r="B461" s="1" t="n">
        <v>44495</v>
      </c>
      <c r="C461" s="1" t="n">
        <v>45927</v>
      </c>
      <c r="D461" t="inlineStr">
        <is>
          <t>STOCKHOLMS LÄN</t>
        </is>
      </c>
      <c r="E461" t="inlineStr">
        <is>
          <t>NORRTÄLJE</t>
        </is>
      </c>
      <c r="G461" t="n">
        <v>1.8</v>
      </c>
      <c r="H461" t="n">
        <v>0</v>
      </c>
      <c r="I461" t="n">
        <v>0</v>
      </c>
      <c r="J461" t="n">
        <v>0</v>
      </c>
      <c r="K461" t="n">
        <v>0</v>
      </c>
      <c r="L461" t="n">
        <v>0</v>
      </c>
      <c r="M461" t="n">
        <v>0</v>
      </c>
      <c r="N461" t="n">
        <v>0</v>
      </c>
      <c r="O461" t="n">
        <v>0</v>
      </c>
      <c r="P461" t="n">
        <v>0</v>
      </c>
      <c r="Q461" t="n">
        <v>0</v>
      </c>
      <c r="R461" s="2" t="inlineStr"/>
    </row>
    <row r="462" ht="15" customHeight="1">
      <c r="A462" t="inlineStr">
        <is>
          <t>A 51046-2023</t>
        </is>
      </c>
      <c r="B462" s="1" t="n">
        <v>45218</v>
      </c>
      <c r="C462" s="1" t="n">
        <v>45927</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24638-2025</t>
        </is>
      </c>
      <c r="B463" s="1" t="n">
        <v>45798</v>
      </c>
      <c r="C463" s="1" t="n">
        <v>45927</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23149-2024</t>
        </is>
      </c>
      <c r="B464" s="1" t="n">
        <v>45450.64208333333</v>
      </c>
      <c r="C464" s="1" t="n">
        <v>45927</v>
      </c>
      <c r="D464" t="inlineStr">
        <is>
          <t>STOCKHOLMS LÄN</t>
        </is>
      </c>
      <c r="E464" t="inlineStr">
        <is>
          <t>NORRTÄLJE</t>
        </is>
      </c>
      <c r="F464" t="inlineStr">
        <is>
          <t>Kommuner</t>
        </is>
      </c>
      <c r="G464" t="n">
        <v>1.3</v>
      </c>
      <c r="H464" t="n">
        <v>0</v>
      </c>
      <c r="I464" t="n">
        <v>0</v>
      </c>
      <c r="J464" t="n">
        <v>0</v>
      </c>
      <c r="K464" t="n">
        <v>0</v>
      </c>
      <c r="L464" t="n">
        <v>0</v>
      </c>
      <c r="M464" t="n">
        <v>0</v>
      </c>
      <c r="N464" t="n">
        <v>0</v>
      </c>
      <c r="O464" t="n">
        <v>0</v>
      </c>
      <c r="P464" t="n">
        <v>0</v>
      </c>
      <c r="Q464" t="n">
        <v>0</v>
      </c>
      <c r="R464" s="2" t="inlineStr"/>
    </row>
    <row r="465" ht="15" customHeight="1">
      <c r="A465" t="inlineStr">
        <is>
          <t>A 23151-2024</t>
        </is>
      </c>
      <c r="B465" s="1" t="n">
        <v>45450</v>
      </c>
      <c r="C465" s="1" t="n">
        <v>45927</v>
      </c>
      <c r="D465" t="inlineStr">
        <is>
          <t>STOCKHOLMS LÄN</t>
        </is>
      </c>
      <c r="E465" t="inlineStr">
        <is>
          <t>NORRTÄLJE</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52001-2023</t>
        </is>
      </c>
      <c r="B466" s="1" t="n">
        <v>45223</v>
      </c>
      <c r="C466" s="1" t="n">
        <v>45927</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28603-2024</t>
        </is>
      </c>
      <c r="B467" s="1" t="n">
        <v>45478.42887731481</v>
      </c>
      <c r="C467" s="1" t="n">
        <v>45927</v>
      </c>
      <c r="D467" t="inlineStr">
        <is>
          <t>STOCKHOLMS LÄN</t>
        </is>
      </c>
      <c r="E467" t="inlineStr">
        <is>
          <t>NORRTÄLJE</t>
        </is>
      </c>
      <c r="G467" t="n">
        <v>5.6</v>
      </c>
      <c r="H467" t="n">
        <v>0</v>
      </c>
      <c r="I467" t="n">
        <v>0</v>
      </c>
      <c r="J467" t="n">
        <v>0</v>
      </c>
      <c r="K467" t="n">
        <v>0</v>
      </c>
      <c r="L467" t="n">
        <v>0</v>
      </c>
      <c r="M467" t="n">
        <v>0</v>
      </c>
      <c r="N467" t="n">
        <v>0</v>
      </c>
      <c r="O467" t="n">
        <v>0</v>
      </c>
      <c r="P467" t="n">
        <v>0</v>
      </c>
      <c r="Q467" t="n">
        <v>0</v>
      </c>
      <c r="R467" s="2" t="inlineStr"/>
    </row>
    <row r="468" ht="15" customHeight="1">
      <c r="A468" t="inlineStr">
        <is>
          <t>A 60185-2024</t>
        </is>
      </c>
      <c r="B468" s="1" t="n">
        <v>45642.64634259259</v>
      </c>
      <c r="C468" s="1" t="n">
        <v>45927</v>
      </c>
      <c r="D468" t="inlineStr">
        <is>
          <t>STOCKHOLMS LÄN</t>
        </is>
      </c>
      <c r="E468" t="inlineStr">
        <is>
          <t>NORRTÄLJE</t>
        </is>
      </c>
      <c r="G468" t="n">
        <v>0.3</v>
      </c>
      <c r="H468" t="n">
        <v>0</v>
      </c>
      <c r="I468" t="n">
        <v>0</v>
      </c>
      <c r="J468" t="n">
        <v>0</v>
      </c>
      <c r="K468" t="n">
        <v>0</v>
      </c>
      <c r="L468" t="n">
        <v>0</v>
      </c>
      <c r="M468" t="n">
        <v>0</v>
      </c>
      <c r="N468" t="n">
        <v>0</v>
      </c>
      <c r="O468" t="n">
        <v>0</v>
      </c>
      <c r="P468" t="n">
        <v>0</v>
      </c>
      <c r="Q468" t="n">
        <v>0</v>
      </c>
      <c r="R468" s="2" t="inlineStr"/>
    </row>
    <row r="469" ht="15" customHeight="1">
      <c r="A469" t="inlineStr">
        <is>
          <t>A 48686-2023</t>
        </is>
      </c>
      <c r="B469" s="1" t="n">
        <v>45208</v>
      </c>
      <c r="C469" s="1" t="n">
        <v>45927</v>
      </c>
      <c r="D469" t="inlineStr">
        <is>
          <t>STOCKHOLMS LÄN</t>
        </is>
      </c>
      <c r="E469" t="inlineStr">
        <is>
          <t>NORRTÄLJE</t>
        </is>
      </c>
      <c r="G469" t="n">
        <v>6</v>
      </c>
      <c r="H469" t="n">
        <v>0</v>
      </c>
      <c r="I469" t="n">
        <v>0</v>
      </c>
      <c r="J469" t="n">
        <v>0</v>
      </c>
      <c r="K469" t="n">
        <v>0</v>
      </c>
      <c r="L469" t="n">
        <v>0</v>
      </c>
      <c r="M469" t="n">
        <v>0</v>
      </c>
      <c r="N469" t="n">
        <v>0</v>
      </c>
      <c r="O469" t="n">
        <v>0</v>
      </c>
      <c r="P469" t="n">
        <v>0</v>
      </c>
      <c r="Q469" t="n">
        <v>0</v>
      </c>
      <c r="R469" s="2" t="inlineStr"/>
    </row>
    <row r="470" ht="15" customHeight="1">
      <c r="A470" t="inlineStr">
        <is>
          <t>A 48691-2023</t>
        </is>
      </c>
      <c r="B470" s="1" t="n">
        <v>45208</v>
      </c>
      <c r="C470" s="1" t="n">
        <v>45927</v>
      </c>
      <c r="D470" t="inlineStr">
        <is>
          <t>STOCKHOLMS LÄN</t>
        </is>
      </c>
      <c r="E470" t="inlineStr">
        <is>
          <t>NORRTÄLJE</t>
        </is>
      </c>
      <c r="G470" t="n">
        <v>5.8</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45927</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17382-2024</t>
        </is>
      </c>
      <c r="B472" s="1" t="n">
        <v>45414.65855324074</v>
      </c>
      <c r="C472" s="1" t="n">
        <v>45927</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24835-2025</t>
        </is>
      </c>
      <c r="B473" s="1" t="n">
        <v>45799</v>
      </c>
      <c r="C473" s="1" t="n">
        <v>45927</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6070-2022</t>
        </is>
      </c>
      <c r="B474" s="1" t="n">
        <v>44599.58428240741</v>
      </c>
      <c r="C474" s="1" t="n">
        <v>45927</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17039-2024</t>
        </is>
      </c>
      <c r="B475" s="1" t="n">
        <v>45412.4104050926</v>
      </c>
      <c r="C475" s="1" t="n">
        <v>45927</v>
      </c>
      <c r="D475" t="inlineStr">
        <is>
          <t>STOCKHOLMS LÄN</t>
        </is>
      </c>
      <c r="E475" t="inlineStr">
        <is>
          <t>NORRTÄLJE</t>
        </is>
      </c>
      <c r="G475" t="n">
        <v>5.9</v>
      </c>
      <c r="H475" t="n">
        <v>0</v>
      </c>
      <c r="I475" t="n">
        <v>0</v>
      </c>
      <c r="J475" t="n">
        <v>0</v>
      </c>
      <c r="K475" t="n">
        <v>0</v>
      </c>
      <c r="L475" t="n">
        <v>0</v>
      </c>
      <c r="M475" t="n">
        <v>0</v>
      </c>
      <c r="N475" t="n">
        <v>0</v>
      </c>
      <c r="O475" t="n">
        <v>0</v>
      </c>
      <c r="P475" t="n">
        <v>0</v>
      </c>
      <c r="Q475" t="n">
        <v>0</v>
      </c>
      <c r="R475" s="2" t="inlineStr"/>
    </row>
    <row r="476" ht="15" customHeight="1">
      <c r="A476" t="inlineStr">
        <is>
          <t>A 48180-2023</t>
        </is>
      </c>
      <c r="B476" s="1" t="n">
        <v>45205</v>
      </c>
      <c r="C476" s="1" t="n">
        <v>45927</v>
      </c>
      <c r="D476" t="inlineStr">
        <is>
          <t>STOCKHOLMS LÄN</t>
        </is>
      </c>
      <c r="E476" t="inlineStr">
        <is>
          <t>NORRTÄLJE</t>
        </is>
      </c>
      <c r="G476" t="n">
        <v>1.5</v>
      </c>
      <c r="H476" t="n">
        <v>0</v>
      </c>
      <c r="I476" t="n">
        <v>0</v>
      </c>
      <c r="J476" t="n">
        <v>0</v>
      </c>
      <c r="K476" t="n">
        <v>0</v>
      </c>
      <c r="L476" t="n">
        <v>0</v>
      </c>
      <c r="M476" t="n">
        <v>0</v>
      </c>
      <c r="N476" t="n">
        <v>0</v>
      </c>
      <c r="O476" t="n">
        <v>0</v>
      </c>
      <c r="P476" t="n">
        <v>0</v>
      </c>
      <c r="Q476" t="n">
        <v>0</v>
      </c>
      <c r="R476" s="2" t="inlineStr"/>
    </row>
    <row r="477" ht="15" customHeight="1">
      <c r="A477" t="inlineStr">
        <is>
          <t>A 35695-2023</t>
        </is>
      </c>
      <c r="B477" s="1" t="n">
        <v>45147.65407407407</v>
      </c>
      <c r="C477" s="1" t="n">
        <v>45927</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45173-2023</t>
        </is>
      </c>
      <c r="B478" s="1" t="n">
        <v>45191</v>
      </c>
      <c r="C478" s="1" t="n">
        <v>45927</v>
      </c>
      <c r="D478" t="inlineStr">
        <is>
          <t>STOCKHOLMS LÄN</t>
        </is>
      </c>
      <c r="E478" t="inlineStr">
        <is>
          <t>NORRTÄLJE</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24690-2025</t>
        </is>
      </c>
      <c r="B479" s="1" t="n">
        <v>45798.67082175926</v>
      </c>
      <c r="C479" s="1" t="n">
        <v>45927</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33279-2025</t>
        </is>
      </c>
      <c r="B480" s="1" t="n">
        <v>45840.70885416667</v>
      </c>
      <c r="C480" s="1" t="n">
        <v>45927</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47259-2024</t>
        </is>
      </c>
      <c r="B481" s="1" t="n">
        <v>45586</v>
      </c>
      <c r="C481" s="1" t="n">
        <v>45927</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25702-2025</t>
        </is>
      </c>
      <c r="B482" s="1" t="n">
        <v>45800</v>
      </c>
      <c r="C482" s="1" t="n">
        <v>45927</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25712-2025</t>
        </is>
      </c>
      <c r="B483" s="1" t="n">
        <v>45803.69228009259</v>
      </c>
      <c r="C483" s="1" t="n">
        <v>45927</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25725-2025</t>
        </is>
      </c>
      <c r="B484" s="1" t="n">
        <v>45800</v>
      </c>
      <c r="C484" s="1" t="n">
        <v>45927</v>
      </c>
      <c r="D484" t="inlineStr">
        <is>
          <t>STOCKHOLMS LÄN</t>
        </is>
      </c>
      <c r="E484" t="inlineStr">
        <is>
          <t>NORRTÄLJE</t>
        </is>
      </c>
      <c r="G484" t="n">
        <v>5.2</v>
      </c>
      <c r="H484" t="n">
        <v>0</v>
      </c>
      <c r="I484" t="n">
        <v>0</v>
      </c>
      <c r="J484" t="n">
        <v>0</v>
      </c>
      <c r="K484" t="n">
        <v>0</v>
      </c>
      <c r="L484" t="n">
        <v>0</v>
      </c>
      <c r="M484" t="n">
        <v>0</v>
      </c>
      <c r="N484" t="n">
        <v>0</v>
      </c>
      <c r="O484" t="n">
        <v>0</v>
      </c>
      <c r="P484" t="n">
        <v>0</v>
      </c>
      <c r="Q484" t="n">
        <v>0</v>
      </c>
      <c r="R484" s="2" t="inlineStr"/>
    </row>
    <row r="485" ht="15" customHeight="1">
      <c r="A485" t="inlineStr">
        <is>
          <t>A 25733-2025</t>
        </is>
      </c>
      <c r="B485" s="1" t="n">
        <v>45800</v>
      </c>
      <c r="C485" s="1" t="n">
        <v>45927</v>
      </c>
      <c r="D485" t="inlineStr">
        <is>
          <t>STOCKHOLMS LÄN</t>
        </is>
      </c>
      <c r="E485" t="inlineStr">
        <is>
          <t>NORRTÄLJE</t>
        </is>
      </c>
      <c r="G485" t="n">
        <v>2.2</v>
      </c>
      <c r="H485" t="n">
        <v>0</v>
      </c>
      <c r="I485" t="n">
        <v>0</v>
      </c>
      <c r="J485" t="n">
        <v>0</v>
      </c>
      <c r="K485" t="n">
        <v>0</v>
      </c>
      <c r="L485" t="n">
        <v>0</v>
      </c>
      <c r="M485" t="n">
        <v>0</v>
      </c>
      <c r="N485" t="n">
        <v>0</v>
      </c>
      <c r="O485" t="n">
        <v>0</v>
      </c>
      <c r="P485" t="n">
        <v>0</v>
      </c>
      <c r="Q485" t="n">
        <v>0</v>
      </c>
      <c r="R485" s="2" t="inlineStr"/>
    </row>
    <row r="486" ht="15" customHeight="1">
      <c r="A486" t="inlineStr">
        <is>
          <t>A 39238-2024</t>
        </is>
      </c>
      <c r="B486" s="1" t="n">
        <v>45549</v>
      </c>
      <c r="C486" s="1" t="n">
        <v>45927</v>
      </c>
      <c r="D486" t="inlineStr">
        <is>
          <t>STOCKHOLMS LÄN</t>
        </is>
      </c>
      <c r="E486" t="inlineStr">
        <is>
          <t>NORRTÄLJE</t>
        </is>
      </c>
      <c r="G486" t="n">
        <v>3.6</v>
      </c>
      <c r="H486" t="n">
        <v>0</v>
      </c>
      <c r="I486" t="n">
        <v>0</v>
      </c>
      <c r="J486" t="n">
        <v>0</v>
      </c>
      <c r="K486" t="n">
        <v>0</v>
      </c>
      <c r="L486" t="n">
        <v>0</v>
      </c>
      <c r="M486" t="n">
        <v>0</v>
      </c>
      <c r="N486" t="n">
        <v>0</v>
      </c>
      <c r="O486" t="n">
        <v>0</v>
      </c>
      <c r="P486" t="n">
        <v>0</v>
      </c>
      <c r="Q486" t="n">
        <v>0</v>
      </c>
      <c r="R486" s="2" t="inlineStr"/>
    </row>
    <row r="487" ht="15" customHeight="1">
      <c r="A487" t="inlineStr">
        <is>
          <t>A 24705-2023</t>
        </is>
      </c>
      <c r="B487" s="1" t="n">
        <v>45084.54459490741</v>
      </c>
      <c r="C487" s="1" t="n">
        <v>45927</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25571-2025</t>
        </is>
      </c>
      <c r="B488" s="1" t="n">
        <v>45803.4675</v>
      </c>
      <c r="C488" s="1" t="n">
        <v>45927</v>
      </c>
      <c r="D488" t="inlineStr">
        <is>
          <t>STOCKHOLMS LÄN</t>
        </is>
      </c>
      <c r="E488" t="inlineStr">
        <is>
          <t>NORRTÄLJE</t>
        </is>
      </c>
      <c r="G488" t="n">
        <v>5.4</v>
      </c>
      <c r="H488" t="n">
        <v>0</v>
      </c>
      <c r="I488" t="n">
        <v>0</v>
      </c>
      <c r="J488" t="n">
        <v>0</v>
      </c>
      <c r="K488" t="n">
        <v>0</v>
      </c>
      <c r="L488" t="n">
        <v>0</v>
      </c>
      <c r="M488" t="n">
        <v>0</v>
      </c>
      <c r="N488" t="n">
        <v>0</v>
      </c>
      <c r="O488" t="n">
        <v>0</v>
      </c>
      <c r="P488" t="n">
        <v>0</v>
      </c>
      <c r="Q488" t="n">
        <v>0</v>
      </c>
      <c r="R488" s="2" t="inlineStr"/>
    </row>
    <row r="489" ht="15" customHeight="1">
      <c r="A489" t="inlineStr">
        <is>
          <t>A 25721-2025</t>
        </is>
      </c>
      <c r="B489" s="1" t="n">
        <v>45800</v>
      </c>
      <c r="C489" s="1" t="n">
        <v>45927</v>
      </c>
      <c r="D489" t="inlineStr">
        <is>
          <t>STOCKHOLMS LÄN</t>
        </is>
      </c>
      <c r="E489" t="inlineStr">
        <is>
          <t>NORRTÄLJE</t>
        </is>
      </c>
      <c r="G489" t="n">
        <v>6</v>
      </c>
      <c r="H489" t="n">
        <v>0</v>
      </c>
      <c r="I489" t="n">
        <v>0</v>
      </c>
      <c r="J489" t="n">
        <v>0</v>
      </c>
      <c r="K489" t="n">
        <v>0</v>
      </c>
      <c r="L489" t="n">
        <v>0</v>
      </c>
      <c r="M489" t="n">
        <v>0</v>
      </c>
      <c r="N489" t="n">
        <v>0</v>
      </c>
      <c r="O489" t="n">
        <v>0</v>
      </c>
      <c r="P489" t="n">
        <v>0</v>
      </c>
      <c r="Q489" t="n">
        <v>0</v>
      </c>
      <c r="R489" s="2" t="inlineStr"/>
    </row>
    <row r="490" ht="15" customHeight="1">
      <c r="A490" t="inlineStr">
        <is>
          <t>A 25697-2025</t>
        </is>
      </c>
      <c r="B490" s="1" t="n">
        <v>45803.66587962963</v>
      </c>
      <c r="C490" s="1" t="n">
        <v>45927</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41218-2024</t>
        </is>
      </c>
      <c r="B491" s="1" t="n">
        <v>45559.54706018518</v>
      </c>
      <c r="C491" s="1" t="n">
        <v>45927</v>
      </c>
      <c r="D491" t="inlineStr">
        <is>
          <t>STOCKHOLMS LÄN</t>
        </is>
      </c>
      <c r="E491" t="inlineStr">
        <is>
          <t>NORRTÄLJE</t>
        </is>
      </c>
      <c r="G491" t="n">
        <v>6</v>
      </c>
      <c r="H491" t="n">
        <v>0</v>
      </c>
      <c r="I491" t="n">
        <v>0</v>
      </c>
      <c r="J491" t="n">
        <v>0</v>
      </c>
      <c r="K491" t="n">
        <v>0</v>
      </c>
      <c r="L491" t="n">
        <v>0</v>
      </c>
      <c r="M491" t="n">
        <v>0</v>
      </c>
      <c r="N491" t="n">
        <v>0</v>
      </c>
      <c r="O491" t="n">
        <v>0</v>
      </c>
      <c r="P491" t="n">
        <v>0</v>
      </c>
      <c r="Q491" t="n">
        <v>0</v>
      </c>
      <c r="R491" s="2" t="inlineStr"/>
    </row>
    <row r="492" ht="15" customHeight="1">
      <c r="A492" t="inlineStr">
        <is>
          <t>A 25709-2025</t>
        </is>
      </c>
      <c r="B492" s="1" t="n">
        <v>45800</v>
      </c>
      <c r="C492" s="1" t="n">
        <v>45927</v>
      </c>
      <c r="D492" t="inlineStr">
        <is>
          <t>STOCKHOLMS LÄN</t>
        </is>
      </c>
      <c r="E492" t="inlineStr">
        <is>
          <t>NORRTÄLJE</t>
        </is>
      </c>
      <c r="G492" t="n">
        <v>4.6</v>
      </c>
      <c r="H492" t="n">
        <v>0</v>
      </c>
      <c r="I492" t="n">
        <v>0</v>
      </c>
      <c r="J492" t="n">
        <v>0</v>
      </c>
      <c r="K492" t="n">
        <v>0</v>
      </c>
      <c r="L492" t="n">
        <v>0</v>
      </c>
      <c r="M492" t="n">
        <v>0</v>
      </c>
      <c r="N492" t="n">
        <v>0</v>
      </c>
      <c r="O492" t="n">
        <v>0</v>
      </c>
      <c r="P492" t="n">
        <v>0</v>
      </c>
      <c r="Q492" t="n">
        <v>0</v>
      </c>
      <c r="R492" s="2" t="inlineStr"/>
    </row>
    <row r="493" ht="15" customHeight="1">
      <c r="A493" t="inlineStr">
        <is>
          <t>A 21726-2022</t>
        </is>
      </c>
      <c r="B493" s="1" t="n">
        <v>44708</v>
      </c>
      <c r="C493" s="1" t="n">
        <v>45927</v>
      </c>
      <c r="D493" t="inlineStr">
        <is>
          <t>STOCKHOLMS LÄN</t>
        </is>
      </c>
      <c r="E493" t="inlineStr">
        <is>
          <t>NORRTÄLJE</t>
        </is>
      </c>
      <c r="G493" t="n">
        <v>0.2</v>
      </c>
      <c r="H493" t="n">
        <v>0</v>
      </c>
      <c r="I493" t="n">
        <v>0</v>
      </c>
      <c r="J493" t="n">
        <v>0</v>
      </c>
      <c r="K493" t="n">
        <v>0</v>
      </c>
      <c r="L493" t="n">
        <v>0</v>
      </c>
      <c r="M493" t="n">
        <v>0</v>
      </c>
      <c r="N493" t="n">
        <v>0</v>
      </c>
      <c r="O493" t="n">
        <v>0</v>
      </c>
      <c r="P493" t="n">
        <v>0</v>
      </c>
      <c r="Q493" t="n">
        <v>0</v>
      </c>
      <c r="R493" s="2" t="inlineStr"/>
    </row>
    <row r="494" ht="15" customHeight="1">
      <c r="A494" t="inlineStr">
        <is>
          <t>A 21739-2022</t>
        </is>
      </c>
      <c r="B494" s="1" t="n">
        <v>44708.36708333333</v>
      </c>
      <c r="C494" s="1" t="n">
        <v>45927</v>
      </c>
      <c r="D494" t="inlineStr">
        <is>
          <t>STOCKHOLMS LÄN</t>
        </is>
      </c>
      <c r="E494" t="inlineStr">
        <is>
          <t>NORRTÄLJE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35210-2023</t>
        </is>
      </c>
      <c r="B495" s="1" t="n">
        <v>45145.63584490741</v>
      </c>
      <c r="C495" s="1" t="n">
        <v>45927</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21696-2024</t>
        </is>
      </c>
      <c r="B496" s="1" t="n">
        <v>45442.45686342593</v>
      </c>
      <c r="C496" s="1" t="n">
        <v>45927</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25270-2025</t>
        </is>
      </c>
      <c r="B497" s="1" t="n">
        <v>45800</v>
      </c>
      <c r="C497" s="1" t="n">
        <v>45927</v>
      </c>
      <c r="D497" t="inlineStr">
        <is>
          <t>STOCKHOLMS LÄN</t>
        </is>
      </c>
      <c r="E497" t="inlineStr">
        <is>
          <t>NORRTÄLJE</t>
        </is>
      </c>
      <c r="F497" t="inlineStr">
        <is>
          <t>Övriga Aktiebolag</t>
        </is>
      </c>
      <c r="G497" t="n">
        <v>30</v>
      </c>
      <c r="H497" t="n">
        <v>0</v>
      </c>
      <c r="I497" t="n">
        <v>0</v>
      </c>
      <c r="J497" t="n">
        <v>0</v>
      </c>
      <c r="K497" t="n">
        <v>0</v>
      </c>
      <c r="L497" t="n">
        <v>0</v>
      </c>
      <c r="M497" t="n">
        <v>0</v>
      </c>
      <c r="N497" t="n">
        <v>0</v>
      </c>
      <c r="O497" t="n">
        <v>0</v>
      </c>
      <c r="P497" t="n">
        <v>0</v>
      </c>
      <c r="Q497" t="n">
        <v>0</v>
      </c>
      <c r="R497" s="2" t="inlineStr"/>
    </row>
    <row r="498" ht="15" customHeight="1">
      <c r="A498" t="inlineStr">
        <is>
          <t>A 38449-2022</t>
        </is>
      </c>
      <c r="B498" s="1" t="n">
        <v>44813</v>
      </c>
      <c r="C498" s="1" t="n">
        <v>45927</v>
      </c>
      <c r="D498" t="inlineStr">
        <is>
          <t>STOCKHOLMS LÄN</t>
        </is>
      </c>
      <c r="E498" t="inlineStr">
        <is>
          <t>NORRTÄLJE</t>
        </is>
      </c>
      <c r="G498" t="n">
        <v>4.2</v>
      </c>
      <c r="H498" t="n">
        <v>0</v>
      </c>
      <c r="I498" t="n">
        <v>0</v>
      </c>
      <c r="J498" t="n">
        <v>0</v>
      </c>
      <c r="K498" t="n">
        <v>0</v>
      </c>
      <c r="L498" t="n">
        <v>0</v>
      </c>
      <c r="M498" t="n">
        <v>0</v>
      </c>
      <c r="N498" t="n">
        <v>0</v>
      </c>
      <c r="O498" t="n">
        <v>0</v>
      </c>
      <c r="P498" t="n">
        <v>0</v>
      </c>
      <c r="Q498" t="n">
        <v>0</v>
      </c>
      <c r="R498" s="2" t="inlineStr"/>
    </row>
    <row r="499" ht="15" customHeight="1">
      <c r="A499" t="inlineStr">
        <is>
          <t>A 56166-2020</t>
        </is>
      </c>
      <c r="B499" s="1" t="n">
        <v>44133</v>
      </c>
      <c r="C499" s="1" t="n">
        <v>45927</v>
      </c>
      <c r="D499" t="inlineStr">
        <is>
          <t>STOCKHOLMS LÄN</t>
        </is>
      </c>
      <c r="E499" t="inlineStr">
        <is>
          <t>NORRTÄLJE</t>
        </is>
      </c>
      <c r="G499" t="n">
        <v>4.4</v>
      </c>
      <c r="H499" t="n">
        <v>0</v>
      </c>
      <c r="I499" t="n">
        <v>0</v>
      </c>
      <c r="J499" t="n">
        <v>0</v>
      </c>
      <c r="K499" t="n">
        <v>0</v>
      </c>
      <c r="L499" t="n">
        <v>0</v>
      </c>
      <c r="M499" t="n">
        <v>0</v>
      </c>
      <c r="N499" t="n">
        <v>0</v>
      </c>
      <c r="O499" t="n">
        <v>0</v>
      </c>
      <c r="P499" t="n">
        <v>0</v>
      </c>
      <c r="Q499" t="n">
        <v>0</v>
      </c>
      <c r="R499" s="2" t="inlineStr"/>
    </row>
    <row r="500" ht="15" customHeight="1">
      <c r="A500" t="inlineStr">
        <is>
          <t>A 59767-2022</t>
        </is>
      </c>
      <c r="B500" s="1" t="n">
        <v>44900</v>
      </c>
      <c r="C500" s="1" t="n">
        <v>45927</v>
      </c>
      <c r="D500" t="inlineStr">
        <is>
          <t>STOCKHOLMS LÄN</t>
        </is>
      </c>
      <c r="E500" t="inlineStr">
        <is>
          <t>NORRTÄLJE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5823-2023</t>
        </is>
      </c>
      <c r="B501" s="1" t="n">
        <v>44963</v>
      </c>
      <c r="C501" s="1" t="n">
        <v>45927</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34478-2025</t>
        </is>
      </c>
      <c r="B502" s="1" t="n">
        <v>45847.37414351852</v>
      </c>
      <c r="C502" s="1" t="n">
        <v>45927</v>
      </c>
      <c r="D502" t="inlineStr">
        <is>
          <t>STOCKHOLMS LÄN</t>
        </is>
      </c>
      <c r="E502" t="inlineStr">
        <is>
          <t>NORRTÄLJE</t>
        </is>
      </c>
      <c r="F502" t="inlineStr">
        <is>
          <t>Övriga Aktiebolag</t>
        </is>
      </c>
      <c r="G502" t="n">
        <v>10.8</v>
      </c>
      <c r="H502" t="n">
        <v>0</v>
      </c>
      <c r="I502" t="n">
        <v>0</v>
      </c>
      <c r="J502" t="n">
        <v>0</v>
      </c>
      <c r="K502" t="n">
        <v>0</v>
      </c>
      <c r="L502" t="n">
        <v>0</v>
      </c>
      <c r="M502" t="n">
        <v>0</v>
      </c>
      <c r="N502" t="n">
        <v>0</v>
      </c>
      <c r="O502" t="n">
        <v>0</v>
      </c>
      <c r="P502" t="n">
        <v>0</v>
      </c>
      <c r="Q502" t="n">
        <v>0</v>
      </c>
      <c r="R502" s="2" t="inlineStr"/>
    </row>
    <row r="503" ht="15" customHeight="1">
      <c r="A503" t="inlineStr">
        <is>
          <t>A 19915-2024</t>
        </is>
      </c>
      <c r="B503" s="1" t="n">
        <v>45433.58431712963</v>
      </c>
      <c r="C503" s="1" t="n">
        <v>45927</v>
      </c>
      <c r="D503" t="inlineStr">
        <is>
          <t>STOCKHOLMS LÄN</t>
        </is>
      </c>
      <c r="E503" t="inlineStr">
        <is>
          <t>NORRTÄLJE</t>
        </is>
      </c>
      <c r="G503" t="n">
        <v>2</v>
      </c>
      <c r="H503" t="n">
        <v>0</v>
      </c>
      <c r="I503" t="n">
        <v>0</v>
      </c>
      <c r="J503" t="n">
        <v>0</v>
      </c>
      <c r="K503" t="n">
        <v>0</v>
      </c>
      <c r="L503" t="n">
        <v>0</v>
      </c>
      <c r="M503" t="n">
        <v>0</v>
      </c>
      <c r="N503" t="n">
        <v>0</v>
      </c>
      <c r="O503" t="n">
        <v>0</v>
      </c>
      <c r="P503" t="n">
        <v>0</v>
      </c>
      <c r="Q503" t="n">
        <v>0</v>
      </c>
      <c r="R503" s="2" t="inlineStr"/>
    </row>
    <row r="504" ht="15" customHeight="1">
      <c r="A504" t="inlineStr">
        <is>
          <t>A 15217-2023</t>
        </is>
      </c>
      <c r="B504" s="1" t="n">
        <v>45019.28847222222</v>
      </c>
      <c r="C504" s="1" t="n">
        <v>45927</v>
      </c>
      <c r="D504" t="inlineStr">
        <is>
          <t>STOCKHOLMS LÄN</t>
        </is>
      </c>
      <c r="E504" t="inlineStr">
        <is>
          <t>NORRTÄLJE</t>
        </is>
      </c>
      <c r="G504" t="n">
        <v>3.6</v>
      </c>
      <c r="H504" t="n">
        <v>0</v>
      </c>
      <c r="I504" t="n">
        <v>0</v>
      </c>
      <c r="J504" t="n">
        <v>0</v>
      </c>
      <c r="K504" t="n">
        <v>0</v>
      </c>
      <c r="L504" t="n">
        <v>0</v>
      </c>
      <c r="M504" t="n">
        <v>0</v>
      </c>
      <c r="N504" t="n">
        <v>0</v>
      </c>
      <c r="O504" t="n">
        <v>0</v>
      </c>
      <c r="P504" t="n">
        <v>0</v>
      </c>
      <c r="Q504" t="n">
        <v>0</v>
      </c>
      <c r="R504" s="2" t="inlineStr"/>
    </row>
    <row r="505" ht="15" customHeight="1">
      <c r="A505" t="inlineStr">
        <is>
          <t>A 67990-2021</t>
        </is>
      </c>
      <c r="B505" s="1" t="n">
        <v>44525</v>
      </c>
      <c r="C505" s="1" t="n">
        <v>45927</v>
      </c>
      <c r="D505" t="inlineStr">
        <is>
          <t>STOCKHOLMS LÄN</t>
        </is>
      </c>
      <c r="E505" t="inlineStr">
        <is>
          <t>NORRTÄLJE</t>
        </is>
      </c>
      <c r="F505" t="inlineStr">
        <is>
          <t>Sveaskog</t>
        </is>
      </c>
      <c r="G505" t="n">
        <v>7.8</v>
      </c>
      <c r="H505" t="n">
        <v>0</v>
      </c>
      <c r="I505" t="n">
        <v>0</v>
      </c>
      <c r="J505" t="n">
        <v>0</v>
      </c>
      <c r="K505" t="n">
        <v>0</v>
      </c>
      <c r="L505" t="n">
        <v>0</v>
      </c>
      <c r="M505" t="n">
        <v>0</v>
      </c>
      <c r="N505" t="n">
        <v>0</v>
      </c>
      <c r="O505" t="n">
        <v>0</v>
      </c>
      <c r="P505" t="n">
        <v>0</v>
      </c>
      <c r="Q505" t="n">
        <v>0</v>
      </c>
      <c r="R505" s="2" t="inlineStr"/>
    </row>
    <row r="506" ht="15" customHeight="1">
      <c r="A506" t="inlineStr">
        <is>
          <t>A 71552-2021</t>
        </is>
      </c>
      <c r="B506" s="1" t="n">
        <v>44540</v>
      </c>
      <c r="C506" s="1" t="n">
        <v>45927</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50143-2023</t>
        </is>
      </c>
      <c r="B507" s="1" t="n">
        <v>45215</v>
      </c>
      <c r="C507" s="1" t="n">
        <v>45927</v>
      </c>
      <c r="D507" t="inlineStr">
        <is>
          <t>STOCKHOLMS LÄN</t>
        </is>
      </c>
      <c r="E507" t="inlineStr">
        <is>
          <t>NORRTÄLJE</t>
        </is>
      </c>
      <c r="G507" t="n">
        <v>10.3</v>
      </c>
      <c r="H507" t="n">
        <v>0</v>
      </c>
      <c r="I507" t="n">
        <v>0</v>
      </c>
      <c r="J507" t="n">
        <v>0</v>
      </c>
      <c r="K507" t="n">
        <v>0</v>
      </c>
      <c r="L507" t="n">
        <v>0</v>
      </c>
      <c r="M507" t="n">
        <v>0</v>
      </c>
      <c r="N507" t="n">
        <v>0</v>
      </c>
      <c r="O507" t="n">
        <v>0</v>
      </c>
      <c r="P507" t="n">
        <v>0</v>
      </c>
      <c r="Q507" t="n">
        <v>0</v>
      </c>
      <c r="R507" s="2" t="inlineStr"/>
    </row>
    <row r="508" ht="15" customHeight="1">
      <c r="A508" t="inlineStr">
        <is>
          <t>A 29176-2024</t>
        </is>
      </c>
      <c r="B508" s="1" t="n">
        <v>45482.53388888889</v>
      </c>
      <c r="C508" s="1" t="n">
        <v>45927</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73992-2021</t>
        </is>
      </c>
      <c r="B509" s="1" t="n">
        <v>44556</v>
      </c>
      <c r="C509" s="1" t="n">
        <v>45927</v>
      </c>
      <c r="D509" t="inlineStr">
        <is>
          <t>STOCKHOLMS LÄN</t>
        </is>
      </c>
      <c r="E509" t="inlineStr">
        <is>
          <t>NORRTÄLJE</t>
        </is>
      </c>
      <c r="G509" t="n">
        <v>12.5</v>
      </c>
      <c r="H509" t="n">
        <v>0</v>
      </c>
      <c r="I509" t="n">
        <v>0</v>
      </c>
      <c r="J509" t="n">
        <v>0</v>
      </c>
      <c r="K509" t="n">
        <v>0</v>
      </c>
      <c r="L509" t="n">
        <v>0</v>
      </c>
      <c r="M509" t="n">
        <v>0</v>
      </c>
      <c r="N509" t="n">
        <v>0</v>
      </c>
      <c r="O509" t="n">
        <v>0</v>
      </c>
      <c r="P509" t="n">
        <v>0</v>
      </c>
      <c r="Q509" t="n">
        <v>0</v>
      </c>
      <c r="R509" s="2" t="inlineStr"/>
    </row>
    <row r="510" ht="15" customHeight="1">
      <c r="A510" t="inlineStr">
        <is>
          <t>A 36430-2024</t>
        </is>
      </c>
      <c r="B510" s="1" t="n">
        <v>45536</v>
      </c>
      <c r="C510" s="1" t="n">
        <v>45927</v>
      </c>
      <c r="D510" t="inlineStr">
        <is>
          <t>STOCKHOLMS LÄN</t>
        </is>
      </c>
      <c r="E510" t="inlineStr">
        <is>
          <t>NORRTÄLJE</t>
        </is>
      </c>
      <c r="G510" t="n">
        <v>1</v>
      </c>
      <c r="H510" t="n">
        <v>0</v>
      </c>
      <c r="I510" t="n">
        <v>0</v>
      </c>
      <c r="J510" t="n">
        <v>0</v>
      </c>
      <c r="K510" t="n">
        <v>0</v>
      </c>
      <c r="L510" t="n">
        <v>0</v>
      </c>
      <c r="M510" t="n">
        <v>0</v>
      </c>
      <c r="N510" t="n">
        <v>0</v>
      </c>
      <c r="O510" t="n">
        <v>0</v>
      </c>
      <c r="P510" t="n">
        <v>0</v>
      </c>
      <c r="Q510" t="n">
        <v>0</v>
      </c>
      <c r="R510" s="2" t="inlineStr"/>
    </row>
    <row r="511" ht="15" customHeight="1">
      <c r="A511" t="inlineStr">
        <is>
          <t>A 48066-2020</t>
        </is>
      </c>
      <c r="B511" s="1" t="n">
        <v>44100</v>
      </c>
      <c r="C511" s="1" t="n">
        <v>45927</v>
      </c>
      <c r="D511" t="inlineStr">
        <is>
          <t>STOCKHOLMS LÄN</t>
        </is>
      </c>
      <c r="E511" t="inlineStr">
        <is>
          <t>NORRTÄLJE</t>
        </is>
      </c>
      <c r="G511" t="n">
        <v>3.7</v>
      </c>
      <c r="H511" t="n">
        <v>0</v>
      </c>
      <c r="I511" t="n">
        <v>0</v>
      </c>
      <c r="J511" t="n">
        <v>0</v>
      </c>
      <c r="K511" t="n">
        <v>0</v>
      </c>
      <c r="L511" t="n">
        <v>0</v>
      </c>
      <c r="M511" t="n">
        <v>0</v>
      </c>
      <c r="N511" t="n">
        <v>0</v>
      </c>
      <c r="O511" t="n">
        <v>0</v>
      </c>
      <c r="P511" t="n">
        <v>0</v>
      </c>
      <c r="Q511" t="n">
        <v>0</v>
      </c>
      <c r="R511" s="2" t="inlineStr"/>
    </row>
    <row r="512" ht="15" customHeight="1">
      <c r="A512" t="inlineStr">
        <is>
          <t>A 51312-2023</t>
        </is>
      </c>
      <c r="B512" s="1" t="n">
        <v>45219.56697916667</v>
      </c>
      <c r="C512" s="1" t="n">
        <v>45927</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53561-2023</t>
        </is>
      </c>
      <c r="B513" s="1" t="n">
        <v>45224</v>
      </c>
      <c r="C513" s="1" t="n">
        <v>45927</v>
      </c>
      <c r="D513" t="inlineStr">
        <is>
          <t>STOCKHOLMS LÄN</t>
        </is>
      </c>
      <c r="E513" t="inlineStr">
        <is>
          <t>NORRTÄLJE</t>
        </is>
      </c>
      <c r="G513" t="n">
        <v>0.7</v>
      </c>
      <c r="H513" t="n">
        <v>0</v>
      </c>
      <c r="I513" t="n">
        <v>0</v>
      </c>
      <c r="J513" t="n">
        <v>0</v>
      </c>
      <c r="K513" t="n">
        <v>0</v>
      </c>
      <c r="L513" t="n">
        <v>0</v>
      </c>
      <c r="M513" t="n">
        <v>0</v>
      </c>
      <c r="N513" t="n">
        <v>0</v>
      </c>
      <c r="O513" t="n">
        <v>0</v>
      </c>
      <c r="P513" t="n">
        <v>0</v>
      </c>
      <c r="Q513" t="n">
        <v>0</v>
      </c>
      <c r="R513" s="2" t="inlineStr"/>
    </row>
    <row r="514" ht="15" customHeight="1">
      <c r="A514" t="inlineStr">
        <is>
          <t>A 35640-2024</t>
        </is>
      </c>
      <c r="B514" s="1" t="n">
        <v>45531</v>
      </c>
      <c r="C514" s="1" t="n">
        <v>45927</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27828-2022</t>
        </is>
      </c>
      <c r="B515" s="1" t="n">
        <v>44743.59765046297</v>
      </c>
      <c r="C515" s="1" t="n">
        <v>45927</v>
      </c>
      <c r="D515" t="inlineStr">
        <is>
          <t>STOCKHOLMS LÄN</t>
        </is>
      </c>
      <c r="E515" t="inlineStr">
        <is>
          <t>NORRTÄLJE</t>
        </is>
      </c>
      <c r="F515" t="inlineStr">
        <is>
          <t>Kommuner</t>
        </is>
      </c>
      <c r="G515" t="n">
        <v>1.6</v>
      </c>
      <c r="H515" t="n">
        <v>0</v>
      </c>
      <c r="I515" t="n">
        <v>0</v>
      </c>
      <c r="J515" t="n">
        <v>0</v>
      </c>
      <c r="K515" t="n">
        <v>0</v>
      </c>
      <c r="L515" t="n">
        <v>0</v>
      </c>
      <c r="M515" t="n">
        <v>0</v>
      </c>
      <c r="N515" t="n">
        <v>0</v>
      </c>
      <c r="O515" t="n">
        <v>0</v>
      </c>
      <c r="P515" t="n">
        <v>0</v>
      </c>
      <c r="Q515" t="n">
        <v>0</v>
      </c>
      <c r="R515" s="2" t="inlineStr"/>
    </row>
    <row r="516" ht="15" customHeight="1">
      <c r="A516" t="inlineStr">
        <is>
          <t>A 16229-2022</t>
        </is>
      </c>
      <c r="B516" s="1" t="n">
        <v>44670.4190162037</v>
      </c>
      <c r="C516" s="1" t="n">
        <v>45927</v>
      </c>
      <c r="D516" t="inlineStr">
        <is>
          <t>STOCKHOLMS LÄN</t>
        </is>
      </c>
      <c r="E516" t="inlineStr">
        <is>
          <t>NORRTÄLJE</t>
        </is>
      </c>
      <c r="G516" t="n">
        <v>7.4</v>
      </c>
      <c r="H516" t="n">
        <v>0</v>
      </c>
      <c r="I516" t="n">
        <v>0</v>
      </c>
      <c r="J516" t="n">
        <v>0</v>
      </c>
      <c r="K516" t="n">
        <v>0</v>
      </c>
      <c r="L516" t="n">
        <v>0</v>
      </c>
      <c r="M516" t="n">
        <v>0</v>
      </c>
      <c r="N516" t="n">
        <v>0</v>
      </c>
      <c r="O516" t="n">
        <v>0</v>
      </c>
      <c r="P516" t="n">
        <v>0</v>
      </c>
      <c r="Q516" t="n">
        <v>0</v>
      </c>
      <c r="R516" s="2" t="inlineStr"/>
    </row>
    <row r="517" ht="15" customHeight="1">
      <c r="A517" t="inlineStr">
        <is>
          <t>A 43212-2022</t>
        </is>
      </c>
      <c r="B517" s="1" t="n">
        <v>44834.38636574074</v>
      </c>
      <c r="C517" s="1" t="n">
        <v>45927</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51653-2022</t>
        </is>
      </c>
      <c r="B518" s="1" t="n">
        <v>44867</v>
      </c>
      <c r="C518" s="1" t="n">
        <v>45927</v>
      </c>
      <c r="D518" t="inlineStr">
        <is>
          <t>STOCKHOLMS LÄN</t>
        </is>
      </c>
      <c r="E518" t="inlineStr">
        <is>
          <t>NORRTÄLJE</t>
        </is>
      </c>
      <c r="G518" t="n">
        <v>6.6</v>
      </c>
      <c r="H518" t="n">
        <v>0</v>
      </c>
      <c r="I518" t="n">
        <v>0</v>
      </c>
      <c r="J518" t="n">
        <v>0</v>
      </c>
      <c r="K518" t="n">
        <v>0</v>
      </c>
      <c r="L518" t="n">
        <v>0</v>
      </c>
      <c r="M518" t="n">
        <v>0</v>
      </c>
      <c r="N518" t="n">
        <v>0</v>
      </c>
      <c r="O518" t="n">
        <v>0</v>
      </c>
      <c r="P518" t="n">
        <v>0</v>
      </c>
      <c r="Q518" t="n">
        <v>0</v>
      </c>
      <c r="R518" s="2" t="inlineStr"/>
    </row>
    <row r="519" ht="15" customHeight="1">
      <c r="A519" t="inlineStr">
        <is>
          <t>A 26113-2024</t>
        </is>
      </c>
      <c r="B519" s="1" t="n">
        <v>45468.45541666666</v>
      </c>
      <c r="C519" s="1" t="n">
        <v>45927</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26116-2024</t>
        </is>
      </c>
      <c r="B520" s="1" t="n">
        <v>45468.45747685185</v>
      </c>
      <c r="C520" s="1" t="n">
        <v>45927</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4322-2023</t>
        </is>
      </c>
      <c r="B521" s="1" t="n">
        <v>44953.69298611111</v>
      </c>
      <c r="C521" s="1" t="n">
        <v>45927</v>
      </c>
      <c r="D521" t="inlineStr">
        <is>
          <t>STOCKHOLMS LÄN</t>
        </is>
      </c>
      <c r="E521" t="inlineStr">
        <is>
          <t>NORRTÄLJE</t>
        </is>
      </c>
      <c r="G521" t="n">
        <v>1.3</v>
      </c>
      <c r="H521" t="n">
        <v>0</v>
      </c>
      <c r="I521" t="n">
        <v>0</v>
      </c>
      <c r="J521" t="n">
        <v>0</v>
      </c>
      <c r="K521" t="n">
        <v>0</v>
      </c>
      <c r="L521" t="n">
        <v>0</v>
      </c>
      <c r="M521" t="n">
        <v>0</v>
      </c>
      <c r="N521" t="n">
        <v>0</v>
      </c>
      <c r="O521" t="n">
        <v>0</v>
      </c>
      <c r="P521" t="n">
        <v>0</v>
      </c>
      <c r="Q521" t="n">
        <v>0</v>
      </c>
      <c r="R521" s="2" t="inlineStr"/>
    </row>
    <row r="522" ht="15" customHeight="1">
      <c r="A522" t="inlineStr">
        <is>
          <t>A 26051-2025</t>
        </is>
      </c>
      <c r="B522" s="1" t="n">
        <v>45804.74479166666</v>
      </c>
      <c r="C522" s="1" t="n">
        <v>45927</v>
      </c>
      <c r="D522" t="inlineStr">
        <is>
          <t>STOCKHOLMS LÄN</t>
        </is>
      </c>
      <c r="E522" t="inlineStr">
        <is>
          <t>NORRTÄLJE</t>
        </is>
      </c>
      <c r="G522" t="n">
        <v>3.2</v>
      </c>
      <c r="H522" t="n">
        <v>0</v>
      </c>
      <c r="I522" t="n">
        <v>0</v>
      </c>
      <c r="J522" t="n">
        <v>0</v>
      </c>
      <c r="K522" t="n">
        <v>0</v>
      </c>
      <c r="L522" t="n">
        <v>0</v>
      </c>
      <c r="M522" t="n">
        <v>0</v>
      </c>
      <c r="N522" t="n">
        <v>0</v>
      </c>
      <c r="O522" t="n">
        <v>0</v>
      </c>
      <c r="P522" t="n">
        <v>0</v>
      </c>
      <c r="Q522" t="n">
        <v>0</v>
      </c>
      <c r="R522" s="2" t="inlineStr"/>
    </row>
    <row r="523" ht="15" customHeight="1">
      <c r="A523" t="inlineStr">
        <is>
          <t>A 15978-2024</t>
        </is>
      </c>
      <c r="B523" s="1" t="n">
        <v>45405.57927083333</v>
      </c>
      <c r="C523" s="1" t="n">
        <v>45927</v>
      </c>
      <c r="D523" t="inlineStr">
        <is>
          <t>STOCKHOLMS LÄN</t>
        </is>
      </c>
      <c r="E523" t="inlineStr">
        <is>
          <t>NORRTÄLJE</t>
        </is>
      </c>
      <c r="G523" t="n">
        <v>1.5</v>
      </c>
      <c r="H523" t="n">
        <v>0</v>
      </c>
      <c r="I523" t="n">
        <v>0</v>
      </c>
      <c r="J523" t="n">
        <v>0</v>
      </c>
      <c r="K523" t="n">
        <v>0</v>
      </c>
      <c r="L523" t="n">
        <v>0</v>
      </c>
      <c r="M523" t="n">
        <v>0</v>
      </c>
      <c r="N523" t="n">
        <v>0</v>
      </c>
      <c r="O523" t="n">
        <v>0</v>
      </c>
      <c r="P523" t="n">
        <v>0</v>
      </c>
      <c r="Q523" t="n">
        <v>0</v>
      </c>
      <c r="R523" s="2" t="inlineStr"/>
    </row>
    <row r="524" ht="15" customHeight="1">
      <c r="A524" t="inlineStr">
        <is>
          <t>A 11333-2025</t>
        </is>
      </c>
      <c r="B524" s="1" t="n">
        <v>45726.48377314815</v>
      </c>
      <c r="C524" s="1" t="n">
        <v>45927</v>
      </c>
      <c r="D524" t="inlineStr">
        <is>
          <t>STOCKHOLMS LÄN</t>
        </is>
      </c>
      <c r="E524" t="inlineStr">
        <is>
          <t>NORRTÄLJE</t>
        </is>
      </c>
      <c r="G524" t="n">
        <v>1.4</v>
      </c>
      <c r="H524" t="n">
        <v>0</v>
      </c>
      <c r="I524" t="n">
        <v>0</v>
      </c>
      <c r="J524" t="n">
        <v>0</v>
      </c>
      <c r="K524" t="n">
        <v>0</v>
      </c>
      <c r="L524" t="n">
        <v>0</v>
      </c>
      <c r="M524" t="n">
        <v>0</v>
      </c>
      <c r="N524" t="n">
        <v>0</v>
      </c>
      <c r="O524" t="n">
        <v>0</v>
      </c>
      <c r="P524" t="n">
        <v>0</v>
      </c>
      <c r="Q524" t="n">
        <v>0</v>
      </c>
      <c r="R524" s="2" t="inlineStr"/>
    </row>
    <row r="525" ht="15" customHeight="1">
      <c r="A525" t="inlineStr">
        <is>
          <t>A 38990-2022</t>
        </is>
      </c>
      <c r="B525" s="1" t="n">
        <v>44816</v>
      </c>
      <c r="C525" s="1" t="n">
        <v>45927</v>
      </c>
      <c r="D525" t="inlineStr">
        <is>
          <t>STOCKHOLMS LÄN</t>
        </is>
      </c>
      <c r="E525" t="inlineStr">
        <is>
          <t>NORRTÄLJE</t>
        </is>
      </c>
      <c r="G525" t="n">
        <v>5.7</v>
      </c>
      <c r="H525" t="n">
        <v>0</v>
      </c>
      <c r="I525" t="n">
        <v>0</v>
      </c>
      <c r="J525" t="n">
        <v>0</v>
      </c>
      <c r="K525" t="n">
        <v>0</v>
      </c>
      <c r="L525" t="n">
        <v>0</v>
      </c>
      <c r="M525" t="n">
        <v>0</v>
      </c>
      <c r="N525" t="n">
        <v>0</v>
      </c>
      <c r="O525" t="n">
        <v>0</v>
      </c>
      <c r="P525" t="n">
        <v>0</v>
      </c>
      <c r="Q525" t="n">
        <v>0</v>
      </c>
      <c r="R525" s="2" t="inlineStr"/>
    </row>
    <row r="526" ht="15" customHeight="1">
      <c r="A526" t="inlineStr">
        <is>
          <t>A 17956-2025</t>
        </is>
      </c>
      <c r="B526" s="1" t="n">
        <v>45760.91174768518</v>
      </c>
      <c r="C526" s="1" t="n">
        <v>45927</v>
      </c>
      <c r="D526" t="inlineStr">
        <is>
          <t>STOCKHOLMS LÄN</t>
        </is>
      </c>
      <c r="E526" t="inlineStr">
        <is>
          <t>NORRTÄLJE</t>
        </is>
      </c>
      <c r="G526" t="n">
        <v>4.3</v>
      </c>
      <c r="H526" t="n">
        <v>0</v>
      </c>
      <c r="I526" t="n">
        <v>0</v>
      </c>
      <c r="J526" t="n">
        <v>0</v>
      </c>
      <c r="K526" t="n">
        <v>0</v>
      </c>
      <c r="L526" t="n">
        <v>0</v>
      </c>
      <c r="M526" t="n">
        <v>0</v>
      </c>
      <c r="N526" t="n">
        <v>0</v>
      </c>
      <c r="O526" t="n">
        <v>0</v>
      </c>
      <c r="P526" t="n">
        <v>0</v>
      </c>
      <c r="Q526" t="n">
        <v>0</v>
      </c>
      <c r="R526" s="2" t="inlineStr"/>
    </row>
    <row r="527" ht="15" customHeight="1">
      <c r="A527" t="inlineStr">
        <is>
          <t>A 875-2023</t>
        </is>
      </c>
      <c r="B527" s="1" t="n">
        <v>44931.65626157408</v>
      </c>
      <c r="C527" s="1" t="n">
        <v>45927</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34391-2023</t>
        </is>
      </c>
      <c r="B528" s="1" t="n">
        <v>45139.51457175926</v>
      </c>
      <c r="C528" s="1" t="n">
        <v>45927</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31236-2022</t>
        </is>
      </c>
      <c r="B529" s="1" t="n">
        <v>44771</v>
      </c>
      <c r="C529" s="1" t="n">
        <v>45927</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8315-2025</t>
        </is>
      </c>
      <c r="B530" s="1" t="n">
        <v>45708.61761574074</v>
      </c>
      <c r="C530" s="1" t="n">
        <v>45927</v>
      </c>
      <c r="D530" t="inlineStr">
        <is>
          <t>STOCKHOLMS LÄN</t>
        </is>
      </c>
      <c r="E530" t="inlineStr">
        <is>
          <t>NORRTÄLJE</t>
        </is>
      </c>
      <c r="G530" t="n">
        <v>3.9</v>
      </c>
      <c r="H530" t="n">
        <v>0</v>
      </c>
      <c r="I530" t="n">
        <v>0</v>
      </c>
      <c r="J530" t="n">
        <v>0</v>
      </c>
      <c r="K530" t="n">
        <v>0</v>
      </c>
      <c r="L530" t="n">
        <v>0</v>
      </c>
      <c r="M530" t="n">
        <v>0</v>
      </c>
      <c r="N530" t="n">
        <v>0</v>
      </c>
      <c r="O530" t="n">
        <v>0</v>
      </c>
      <c r="P530" t="n">
        <v>0</v>
      </c>
      <c r="Q530" t="n">
        <v>0</v>
      </c>
      <c r="R530" s="2" t="inlineStr"/>
    </row>
    <row r="531" ht="15" customHeight="1">
      <c r="A531" t="inlineStr">
        <is>
          <t>A 31281-2022</t>
        </is>
      </c>
      <c r="B531" s="1" t="n">
        <v>44771</v>
      </c>
      <c r="C531" s="1" t="n">
        <v>45927</v>
      </c>
      <c r="D531" t="inlineStr">
        <is>
          <t>STOCKHOLMS LÄN</t>
        </is>
      </c>
      <c r="E531" t="inlineStr">
        <is>
          <t>NORRTÄLJE</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26708-2025</t>
        </is>
      </c>
      <c r="B532" s="1" t="n">
        <v>45810.45633101852</v>
      </c>
      <c r="C532" s="1" t="n">
        <v>45927</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18665-2022</t>
        </is>
      </c>
      <c r="B533" s="1" t="n">
        <v>44687</v>
      </c>
      <c r="C533" s="1" t="n">
        <v>45927</v>
      </c>
      <c r="D533" t="inlineStr">
        <is>
          <t>STOCKHOLMS LÄN</t>
        </is>
      </c>
      <c r="E533" t="inlineStr">
        <is>
          <t>NORRTÄLJE</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67921-2021</t>
        </is>
      </c>
      <c r="B534" s="1" t="n">
        <v>44525</v>
      </c>
      <c r="C534" s="1" t="n">
        <v>45927</v>
      </c>
      <c r="D534" t="inlineStr">
        <is>
          <t>STOCKHOLMS LÄN</t>
        </is>
      </c>
      <c r="E534" t="inlineStr">
        <is>
          <t>NORRTÄLJE</t>
        </is>
      </c>
      <c r="G534" t="n">
        <v>6.3</v>
      </c>
      <c r="H534" t="n">
        <v>0</v>
      </c>
      <c r="I534" t="n">
        <v>0</v>
      </c>
      <c r="J534" t="n">
        <v>0</v>
      </c>
      <c r="K534" t="n">
        <v>0</v>
      </c>
      <c r="L534" t="n">
        <v>0</v>
      </c>
      <c r="M534" t="n">
        <v>0</v>
      </c>
      <c r="N534" t="n">
        <v>0</v>
      </c>
      <c r="O534" t="n">
        <v>0</v>
      </c>
      <c r="P534" t="n">
        <v>0</v>
      </c>
      <c r="Q534" t="n">
        <v>0</v>
      </c>
      <c r="R534" s="2" t="inlineStr"/>
    </row>
    <row r="535" ht="15" customHeight="1">
      <c r="A535" t="inlineStr">
        <is>
          <t>A 25681-2024</t>
        </is>
      </c>
      <c r="B535" s="1" t="n">
        <v>45463.80486111111</v>
      </c>
      <c r="C535" s="1" t="n">
        <v>45927</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26702-2025</t>
        </is>
      </c>
      <c r="B536" s="1" t="n">
        <v>45810.45236111111</v>
      </c>
      <c r="C536" s="1" t="n">
        <v>45927</v>
      </c>
      <c r="D536" t="inlineStr">
        <is>
          <t>STOCKHOLMS LÄN</t>
        </is>
      </c>
      <c r="E536" t="inlineStr">
        <is>
          <t>NORRTÄLJE</t>
        </is>
      </c>
      <c r="G536" t="n">
        <v>7.3</v>
      </c>
      <c r="H536" t="n">
        <v>0</v>
      </c>
      <c r="I536" t="n">
        <v>0</v>
      </c>
      <c r="J536" t="n">
        <v>0</v>
      </c>
      <c r="K536" t="n">
        <v>0</v>
      </c>
      <c r="L536" t="n">
        <v>0</v>
      </c>
      <c r="M536" t="n">
        <v>0</v>
      </c>
      <c r="N536" t="n">
        <v>0</v>
      </c>
      <c r="O536" t="n">
        <v>0</v>
      </c>
      <c r="P536" t="n">
        <v>0</v>
      </c>
      <c r="Q536" t="n">
        <v>0</v>
      </c>
      <c r="R536" s="2" t="inlineStr"/>
    </row>
    <row r="537" ht="15" customHeight="1">
      <c r="A537" t="inlineStr">
        <is>
          <t>A 58302-2022</t>
        </is>
      </c>
      <c r="B537" s="1" t="n">
        <v>44901</v>
      </c>
      <c r="C537" s="1" t="n">
        <v>45927</v>
      </c>
      <c r="D537" t="inlineStr">
        <is>
          <t>STOCKHOLMS LÄN</t>
        </is>
      </c>
      <c r="E537" t="inlineStr">
        <is>
          <t>NORRTÄLJE</t>
        </is>
      </c>
      <c r="G537" t="n">
        <v>3.9</v>
      </c>
      <c r="H537" t="n">
        <v>0</v>
      </c>
      <c r="I537" t="n">
        <v>0</v>
      </c>
      <c r="J537" t="n">
        <v>0</v>
      </c>
      <c r="K537" t="n">
        <v>0</v>
      </c>
      <c r="L537" t="n">
        <v>0</v>
      </c>
      <c r="M537" t="n">
        <v>0</v>
      </c>
      <c r="N537" t="n">
        <v>0</v>
      </c>
      <c r="O537" t="n">
        <v>0</v>
      </c>
      <c r="P537" t="n">
        <v>0</v>
      </c>
      <c r="Q537" t="n">
        <v>0</v>
      </c>
      <c r="R537" s="2" t="inlineStr"/>
    </row>
    <row r="538" ht="15" customHeight="1">
      <c r="A538" t="inlineStr">
        <is>
          <t>A 23061-2025</t>
        </is>
      </c>
      <c r="B538" s="1" t="n">
        <v>45790.81410879629</v>
      </c>
      <c r="C538" s="1" t="n">
        <v>45927</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57987-2020</t>
        </is>
      </c>
      <c r="B539" s="1" t="n">
        <v>44143</v>
      </c>
      <c r="C539" s="1" t="n">
        <v>45927</v>
      </c>
      <c r="D539" t="inlineStr">
        <is>
          <t>STOCKHOLMS LÄN</t>
        </is>
      </c>
      <c r="E539" t="inlineStr">
        <is>
          <t>NORRTÄLJE</t>
        </is>
      </c>
      <c r="G539" t="n">
        <v>1.3</v>
      </c>
      <c r="H539" t="n">
        <v>0</v>
      </c>
      <c r="I539" t="n">
        <v>0</v>
      </c>
      <c r="J539" t="n">
        <v>0</v>
      </c>
      <c r="K539" t="n">
        <v>0</v>
      </c>
      <c r="L539" t="n">
        <v>0</v>
      </c>
      <c r="M539" t="n">
        <v>0</v>
      </c>
      <c r="N539" t="n">
        <v>0</v>
      </c>
      <c r="O539" t="n">
        <v>0</v>
      </c>
      <c r="P539" t="n">
        <v>0</v>
      </c>
      <c r="Q539" t="n">
        <v>0</v>
      </c>
      <c r="R539" s="2" t="inlineStr"/>
    </row>
    <row r="540" ht="15" customHeight="1">
      <c r="A540" t="inlineStr">
        <is>
          <t>A 33226-2024</t>
        </is>
      </c>
      <c r="B540" s="1" t="n">
        <v>45518</v>
      </c>
      <c r="C540" s="1" t="n">
        <v>45927</v>
      </c>
      <c r="D540" t="inlineStr">
        <is>
          <t>STOCKHOLMS LÄN</t>
        </is>
      </c>
      <c r="E540" t="inlineStr">
        <is>
          <t>NORRTÄLJE</t>
        </is>
      </c>
      <c r="G540" t="n">
        <v>13.8</v>
      </c>
      <c r="H540" t="n">
        <v>0</v>
      </c>
      <c r="I540" t="n">
        <v>0</v>
      </c>
      <c r="J540" t="n">
        <v>0</v>
      </c>
      <c r="K540" t="n">
        <v>0</v>
      </c>
      <c r="L540" t="n">
        <v>0</v>
      </c>
      <c r="M540" t="n">
        <v>0</v>
      </c>
      <c r="N540" t="n">
        <v>0</v>
      </c>
      <c r="O540" t="n">
        <v>0</v>
      </c>
      <c r="P540" t="n">
        <v>0</v>
      </c>
      <c r="Q540" t="n">
        <v>0</v>
      </c>
      <c r="R540" s="2" t="inlineStr"/>
    </row>
    <row r="541" ht="15" customHeight="1">
      <c r="A541" t="inlineStr">
        <is>
          <t>A 27040-2025</t>
        </is>
      </c>
      <c r="B541" s="1" t="n">
        <v>45811.60451388889</v>
      </c>
      <c r="C541" s="1" t="n">
        <v>45927</v>
      </c>
      <c r="D541" t="inlineStr">
        <is>
          <t>STOCKHOLMS LÄN</t>
        </is>
      </c>
      <c r="E541" t="inlineStr">
        <is>
          <t>NORRTÄLJE</t>
        </is>
      </c>
      <c r="G541" t="n">
        <v>4.3</v>
      </c>
      <c r="H541" t="n">
        <v>0</v>
      </c>
      <c r="I541" t="n">
        <v>0</v>
      </c>
      <c r="J541" t="n">
        <v>0</v>
      </c>
      <c r="K541" t="n">
        <v>0</v>
      </c>
      <c r="L541" t="n">
        <v>0</v>
      </c>
      <c r="M541" t="n">
        <v>0</v>
      </c>
      <c r="N541" t="n">
        <v>0</v>
      </c>
      <c r="O541" t="n">
        <v>0</v>
      </c>
      <c r="P541" t="n">
        <v>0</v>
      </c>
      <c r="Q541" t="n">
        <v>0</v>
      </c>
      <c r="R541" s="2" t="inlineStr"/>
    </row>
    <row r="542" ht="15" customHeight="1">
      <c r="A542" t="inlineStr">
        <is>
          <t>A 26747-2025</t>
        </is>
      </c>
      <c r="B542" s="1" t="n">
        <v>45810.5333912037</v>
      </c>
      <c r="C542" s="1" t="n">
        <v>45927</v>
      </c>
      <c r="D542" t="inlineStr">
        <is>
          <t>STOCKHOLMS LÄN</t>
        </is>
      </c>
      <c r="E542" t="inlineStr">
        <is>
          <t>NORRTÄLJE</t>
        </is>
      </c>
      <c r="G542" t="n">
        <v>1.9</v>
      </c>
      <c r="H542" t="n">
        <v>0</v>
      </c>
      <c r="I542" t="n">
        <v>0</v>
      </c>
      <c r="J542" t="n">
        <v>0</v>
      </c>
      <c r="K542" t="n">
        <v>0</v>
      </c>
      <c r="L542" t="n">
        <v>0</v>
      </c>
      <c r="M542" t="n">
        <v>0</v>
      </c>
      <c r="N542" t="n">
        <v>0</v>
      </c>
      <c r="O542" t="n">
        <v>0</v>
      </c>
      <c r="P542" t="n">
        <v>0</v>
      </c>
      <c r="Q542" t="n">
        <v>0</v>
      </c>
      <c r="R542" s="2" t="inlineStr"/>
    </row>
    <row r="543" ht="15" customHeight="1">
      <c r="A543" t="inlineStr">
        <is>
          <t>A 38591-2023</t>
        </is>
      </c>
      <c r="B543" s="1" t="n">
        <v>45162</v>
      </c>
      <c r="C543" s="1" t="n">
        <v>45927</v>
      </c>
      <c r="D543" t="inlineStr">
        <is>
          <t>STOCKHOLMS LÄN</t>
        </is>
      </c>
      <c r="E543" t="inlineStr">
        <is>
          <t>NORRTÄLJE</t>
        </is>
      </c>
      <c r="F543" t="inlineStr">
        <is>
          <t>Övriga Aktiebolag</t>
        </is>
      </c>
      <c r="G543" t="n">
        <v>3.1</v>
      </c>
      <c r="H543" t="n">
        <v>0</v>
      </c>
      <c r="I543" t="n">
        <v>0</v>
      </c>
      <c r="J543" t="n">
        <v>0</v>
      </c>
      <c r="K543" t="n">
        <v>0</v>
      </c>
      <c r="L543" t="n">
        <v>0</v>
      </c>
      <c r="M543" t="n">
        <v>0</v>
      </c>
      <c r="N543" t="n">
        <v>0</v>
      </c>
      <c r="O543" t="n">
        <v>0</v>
      </c>
      <c r="P543" t="n">
        <v>0</v>
      </c>
      <c r="Q543" t="n">
        <v>0</v>
      </c>
      <c r="R543" s="2" t="inlineStr"/>
    </row>
    <row r="544" ht="15" customHeight="1">
      <c r="A544" t="inlineStr">
        <is>
          <t>A 30338-2022</t>
        </is>
      </c>
      <c r="B544" s="1" t="n">
        <v>44760</v>
      </c>
      <c r="C544" s="1" t="n">
        <v>45927</v>
      </c>
      <c r="D544" t="inlineStr">
        <is>
          <t>STOCKHOLMS LÄN</t>
        </is>
      </c>
      <c r="E544" t="inlineStr">
        <is>
          <t>NORRTÄLJE</t>
        </is>
      </c>
      <c r="G544" t="n">
        <v>0.3</v>
      </c>
      <c r="H544" t="n">
        <v>0</v>
      </c>
      <c r="I544" t="n">
        <v>0</v>
      </c>
      <c r="J544" t="n">
        <v>0</v>
      </c>
      <c r="K544" t="n">
        <v>0</v>
      </c>
      <c r="L544" t="n">
        <v>0</v>
      </c>
      <c r="M544" t="n">
        <v>0</v>
      </c>
      <c r="N544" t="n">
        <v>0</v>
      </c>
      <c r="O544" t="n">
        <v>0</v>
      </c>
      <c r="P544" t="n">
        <v>0</v>
      </c>
      <c r="Q544" t="n">
        <v>0</v>
      </c>
      <c r="R544" s="2" t="inlineStr"/>
    </row>
    <row r="545" ht="15" customHeight="1">
      <c r="A545" t="inlineStr">
        <is>
          <t>A 55890-2020</t>
        </is>
      </c>
      <c r="B545" s="1" t="n">
        <v>44132</v>
      </c>
      <c r="C545" s="1" t="n">
        <v>45927</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2888-2022</t>
        </is>
      </c>
      <c r="B546" s="1" t="n">
        <v>44581</v>
      </c>
      <c r="C546" s="1" t="n">
        <v>45927</v>
      </c>
      <c r="D546" t="inlineStr">
        <is>
          <t>STOCKHOLMS LÄN</t>
        </is>
      </c>
      <c r="E546" t="inlineStr">
        <is>
          <t>NORRTÄLJE</t>
        </is>
      </c>
      <c r="G546" t="n">
        <v>2.4</v>
      </c>
      <c r="H546" t="n">
        <v>0</v>
      </c>
      <c r="I546" t="n">
        <v>0</v>
      </c>
      <c r="J546" t="n">
        <v>0</v>
      </c>
      <c r="K546" t="n">
        <v>0</v>
      </c>
      <c r="L546" t="n">
        <v>0</v>
      </c>
      <c r="M546" t="n">
        <v>0</v>
      </c>
      <c r="N546" t="n">
        <v>0</v>
      </c>
      <c r="O546" t="n">
        <v>0</v>
      </c>
      <c r="P546" t="n">
        <v>0</v>
      </c>
      <c r="Q546" t="n">
        <v>0</v>
      </c>
      <c r="R546" s="2" t="inlineStr"/>
    </row>
    <row r="547" ht="15" customHeight="1">
      <c r="A547" t="inlineStr">
        <is>
          <t>A 58853-2024</t>
        </is>
      </c>
      <c r="B547" s="1" t="n">
        <v>45636.38974537037</v>
      </c>
      <c r="C547" s="1" t="n">
        <v>45927</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52686-2024</t>
        </is>
      </c>
      <c r="B548" s="1" t="n">
        <v>45610.39271990741</v>
      </c>
      <c r="C548" s="1" t="n">
        <v>45927</v>
      </c>
      <c r="D548" t="inlineStr">
        <is>
          <t>STOCKHOLMS LÄN</t>
        </is>
      </c>
      <c r="E548" t="inlineStr">
        <is>
          <t>NORRTÄLJE</t>
        </is>
      </c>
      <c r="G548" t="n">
        <v>5.7</v>
      </c>
      <c r="H548" t="n">
        <v>0</v>
      </c>
      <c r="I548" t="n">
        <v>0</v>
      </c>
      <c r="J548" t="n">
        <v>0</v>
      </c>
      <c r="K548" t="n">
        <v>0</v>
      </c>
      <c r="L548" t="n">
        <v>0</v>
      </c>
      <c r="M548" t="n">
        <v>0</v>
      </c>
      <c r="N548" t="n">
        <v>0</v>
      </c>
      <c r="O548" t="n">
        <v>0</v>
      </c>
      <c r="P548" t="n">
        <v>0</v>
      </c>
      <c r="Q548" t="n">
        <v>0</v>
      </c>
      <c r="R548" s="2" t="inlineStr"/>
    </row>
    <row r="549" ht="15" customHeight="1">
      <c r="A549" t="inlineStr">
        <is>
          <t>A 20343-2024</t>
        </is>
      </c>
      <c r="B549" s="1" t="n">
        <v>45435.43466435185</v>
      </c>
      <c r="C549" s="1" t="n">
        <v>45927</v>
      </c>
      <c r="D549" t="inlineStr">
        <is>
          <t>STOCKHOLMS LÄN</t>
        </is>
      </c>
      <c r="E549" t="inlineStr">
        <is>
          <t>NORRTÄLJE</t>
        </is>
      </c>
      <c r="G549" t="n">
        <v>2.8</v>
      </c>
      <c r="H549" t="n">
        <v>0</v>
      </c>
      <c r="I549" t="n">
        <v>0</v>
      </c>
      <c r="J549" t="n">
        <v>0</v>
      </c>
      <c r="K549" t="n">
        <v>0</v>
      </c>
      <c r="L549" t="n">
        <v>0</v>
      </c>
      <c r="M549" t="n">
        <v>0</v>
      </c>
      <c r="N549" t="n">
        <v>0</v>
      </c>
      <c r="O549" t="n">
        <v>0</v>
      </c>
      <c r="P549" t="n">
        <v>0</v>
      </c>
      <c r="Q549" t="n">
        <v>0</v>
      </c>
      <c r="R549" s="2" t="inlineStr"/>
    </row>
    <row r="550" ht="15" customHeight="1">
      <c r="A550" t="inlineStr">
        <is>
          <t>A 20345-2024</t>
        </is>
      </c>
      <c r="B550" s="1" t="n">
        <v>45435.43820601852</v>
      </c>
      <c r="C550" s="1" t="n">
        <v>45927</v>
      </c>
      <c r="D550" t="inlineStr">
        <is>
          <t>STOCKHOLMS LÄN</t>
        </is>
      </c>
      <c r="E550" t="inlineStr">
        <is>
          <t>NORRTÄLJE</t>
        </is>
      </c>
      <c r="G550" t="n">
        <v>3.8</v>
      </c>
      <c r="H550" t="n">
        <v>0</v>
      </c>
      <c r="I550" t="n">
        <v>0</v>
      </c>
      <c r="J550" t="n">
        <v>0</v>
      </c>
      <c r="K550" t="n">
        <v>0</v>
      </c>
      <c r="L550" t="n">
        <v>0</v>
      </c>
      <c r="M550" t="n">
        <v>0</v>
      </c>
      <c r="N550" t="n">
        <v>0</v>
      </c>
      <c r="O550" t="n">
        <v>0</v>
      </c>
      <c r="P550" t="n">
        <v>0</v>
      </c>
      <c r="Q550" t="n">
        <v>0</v>
      </c>
      <c r="R550" s="2" t="inlineStr"/>
    </row>
    <row r="551" ht="15" customHeight="1">
      <c r="A551" t="inlineStr">
        <is>
          <t>A 9765-2024</t>
        </is>
      </c>
      <c r="B551" s="1" t="n">
        <v>45362.62811342593</v>
      </c>
      <c r="C551" s="1" t="n">
        <v>45927</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35691-2023</t>
        </is>
      </c>
      <c r="B552" s="1" t="n">
        <v>45147.65222222222</v>
      </c>
      <c r="C552" s="1" t="n">
        <v>45927</v>
      </c>
      <c r="D552" t="inlineStr">
        <is>
          <t>STOCKHOLMS LÄN</t>
        </is>
      </c>
      <c r="E552" t="inlineStr">
        <is>
          <t>NORRTÄLJE</t>
        </is>
      </c>
      <c r="G552" t="n">
        <v>2.3</v>
      </c>
      <c r="H552" t="n">
        <v>0</v>
      </c>
      <c r="I552" t="n">
        <v>0</v>
      </c>
      <c r="J552" t="n">
        <v>0</v>
      </c>
      <c r="K552" t="n">
        <v>0</v>
      </c>
      <c r="L552" t="n">
        <v>0</v>
      </c>
      <c r="M552" t="n">
        <v>0</v>
      </c>
      <c r="N552" t="n">
        <v>0</v>
      </c>
      <c r="O552" t="n">
        <v>0</v>
      </c>
      <c r="P552" t="n">
        <v>0</v>
      </c>
      <c r="Q552" t="n">
        <v>0</v>
      </c>
      <c r="R552" s="2" t="inlineStr"/>
    </row>
    <row r="553" ht="15" customHeight="1">
      <c r="A553" t="inlineStr">
        <is>
          <t>A 35693-2023</t>
        </is>
      </c>
      <c r="B553" s="1" t="n">
        <v>45147.65311342593</v>
      </c>
      <c r="C553" s="1" t="n">
        <v>45927</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59875-2024</t>
        </is>
      </c>
      <c r="B554" s="1" t="n">
        <v>45640.58716435185</v>
      </c>
      <c r="C554" s="1" t="n">
        <v>45927</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57216-2020</t>
        </is>
      </c>
      <c r="B555" s="1" t="n">
        <v>44139.54078703704</v>
      </c>
      <c r="C555" s="1" t="n">
        <v>45927</v>
      </c>
      <c r="D555" t="inlineStr">
        <is>
          <t>STOCKHOLMS LÄN</t>
        </is>
      </c>
      <c r="E555" t="inlineStr">
        <is>
          <t>NORRTÄLJE</t>
        </is>
      </c>
      <c r="G555" t="n">
        <v>0.8</v>
      </c>
      <c r="H555" t="n">
        <v>0</v>
      </c>
      <c r="I555" t="n">
        <v>0</v>
      </c>
      <c r="J555" t="n">
        <v>0</v>
      </c>
      <c r="K555" t="n">
        <v>0</v>
      </c>
      <c r="L555" t="n">
        <v>0</v>
      </c>
      <c r="M555" t="n">
        <v>0</v>
      </c>
      <c r="N555" t="n">
        <v>0</v>
      </c>
      <c r="O555" t="n">
        <v>0</v>
      </c>
      <c r="P555" t="n">
        <v>0</v>
      </c>
      <c r="Q555" t="n">
        <v>0</v>
      </c>
      <c r="R555" s="2" t="inlineStr"/>
    </row>
    <row r="556" ht="15" customHeight="1">
      <c r="A556" t="inlineStr">
        <is>
          <t>A 35438-2023</t>
        </is>
      </c>
      <c r="B556" s="1" t="n">
        <v>45146</v>
      </c>
      <c r="C556" s="1" t="n">
        <v>45927</v>
      </c>
      <c r="D556" t="inlineStr">
        <is>
          <t>STOCKHOLMS LÄN</t>
        </is>
      </c>
      <c r="E556" t="inlineStr">
        <is>
          <t>NORRTÄLJE</t>
        </is>
      </c>
      <c r="F556" t="inlineStr">
        <is>
          <t>Kommuner</t>
        </is>
      </c>
      <c r="G556" t="n">
        <v>1.9</v>
      </c>
      <c r="H556" t="n">
        <v>0</v>
      </c>
      <c r="I556" t="n">
        <v>0</v>
      </c>
      <c r="J556" t="n">
        <v>0</v>
      </c>
      <c r="K556" t="n">
        <v>0</v>
      </c>
      <c r="L556" t="n">
        <v>0</v>
      </c>
      <c r="M556" t="n">
        <v>0</v>
      </c>
      <c r="N556" t="n">
        <v>0</v>
      </c>
      <c r="O556" t="n">
        <v>0</v>
      </c>
      <c r="P556" t="n">
        <v>0</v>
      </c>
      <c r="Q556" t="n">
        <v>0</v>
      </c>
      <c r="R556" s="2" t="inlineStr"/>
    </row>
    <row r="557" ht="15" customHeight="1">
      <c r="A557" t="inlineStr">
        <is>
          <t>A 11-2024</t>
        </is>
      </c>
      <c r="B557" s="1" t="n">
        <v>45293</v>
      </c>
      <c r="C557" s="1" t="n">
        <v>45927</v>
      </c>
      <c r="D557" t="inlineStr">
        <is>
          <t>STOCKHOLMS LÄN</t>
        </is>
      </c>
      <c r="E557" t="inlineStr">
        <is>
          <t>NORRTÄLJE</t>
        </is>
      </c>
      <c r="F557" t="inlineStr">
        <is>
          <t>Sveaskog</t>
        </is>
      </c>
      <c r="G557" t="n">
        <v>3.2</v>
      </c>
      <c r="H557" t="n">
        <v>0</v>
      </c>
      <c r="I557" t="n">
        <v>0</v>
      </c>
      <c r="J557" t="n">
        <v>0</v>
      </c>
      <c r="K557" t="n">
        <v>0</v>
      </c>
      <c r="L557" t="n">
        <v>0</v>
      </c>
      <c r="M557" t="n">
        <v>0</v>
      </c>
      <c r="N557" t="n">
        <v>0</v>
      </c>
      <c r="O557" t="n">
        <v>0</v>
      </c>
      <c r="P557" t="n">
        <v>0</v>
      </c>
      <c r="Q557" t="n">
        <v>0</v>
      </c>
      <c r="R557" s="2" t="inlineStr"/>
    </row>
    <row r="558" ht="15" customHeight="1">
      <c r="A558" t="inlineStr">
        <is>
          <t>A 14559-2024</t>
        </is>
      </c>
      <c r="B558" s="1" t="n">
        <v>45394.72869212963</v>
      </c>
      <c r="C558" s="1" t="n">
        <v>45927</v>
      </c>
      <c r="D558" t="inlineStr">
        <is>
          <t>STOCKHOLMS LÄN</t>
        </is>
      </c>
      <c r="E558" t="inlineStr">
        <is>
          <t>NORRTÄLJE</t>
        </is>
      </c>
      <c r="G558" t="n">
        <v>4.2</v>
      </c>
      <c r="H558" t="n">
        <v>0</v>
      </c>
      <c r="I558" t="n">
        <v>0</v>
      </c>
      <c r="J558" t="n">
        <v>0</v>
      </c>
      <c r="K558" t="n">
        <v>0</v>
      </c>
      <c r="L558" t="n">
        <v>0</v>
      </c>
      <c r="M558" t="n">
        <v>0</v>
      </c>
      <c r="N558" t="n">
        <v>0</v>
      </c>
      <c r="O558" t="n">
        <v>0</v>
      </c>
      <c r="P558" t="n">
        <v>0</v>
      </c>
      <c r="Q558" t="n">
        <v>0</v>
      </c>
      <c r="R558" s="2" t="inlineStr"/>
    </row>
    <row r="559" ht="15" customHeight="1">
      <c r="A559" t="inlineStr">
        <is>
          <t>A 26675-2025</t>
        </is>
      </c>
      <c r="B559" s="1" t="n">
        <v>45810.42393518519</v>
      </c>
      <c r="C559" s="1" t="n">
        <v>45927</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8433-2022</t>
        </is>
      </c>
      <c r="B560" s="1" t="n">
        <v>44611</v>
      </c>
      <c r="C560" s="1" t="n">
        <v>45927</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20291-2022</t>
        </is>
      </c>
      <c r="B561" s="1" t="n">
        <v>44698</v>
      </c>
      <c r="C561" s="1" t="n">
        <v>45927</v>
      </c>
      <c r="D561" t="inlineStr">
        <is>
          <t>STOCKHOLMS LÄN</t>
        </is>
      </c>
      <c r="E561" t="inlineStr">
        <is>
          <t>NORRTÄLJE</t>
        </is>
      </c>
      <c r="F561" t="inlineStr">
        <is>
          <t>Naturvårdsverket</t>
        </is>
      </c>
      <c r="G561" t="n">
        <v>2</v>
      </c>
      <c r="H561" t="n">
        <v>0</v>
      </c>
      <c r="I561" t="n">
        <v>0</v>
      </c>
      <c r="J561" t="n">
        <v>0</v>
      </c>
      <c r="K561" t="n">
        <v>0</v>
      </c>
      <c r="L561" t="n">
        <v>0</v>
      </c>
      <c r="M561" t="n">
        <v>0</v>
      </c>
      <c r="N561" t="n">
        <v>0</v>
      </c>
      <c r="O561" t="n">
        <v>0</v>
      </c>
      <c r="P561" t="n">
        <v>0</v>
      </c>
      <c r="Q561" t="n">
        <v>0</v>
      </c>
      <c r="R561" s="2" t="inlineStr"/>
    </row>
    <row r="562" ht="15" customHeight="1">
      <c r="A562" t="inlineStr">
        <is>
          <t>A 26115-2024</t>
        </is>
      </c>
      <c r="B562" s="1" t="n">
        <v>45468.45628472222</v>
      </c>
      <c r="C562" s="1" t="n">
        <v>45927</v>
      </c>
      <c r="D562" t="inlineStr">
        <is>
          <t>STOCKHOLMS LÄN</t>
        </is>
      </c>
      <c r="E562" t="inlineStr">
        <is>
          <t>NORRTÄLJE</t>
        </is>
      </c>
      <c r="G562" t="n">
        <v>0.3</v>
      </c>
      <c r="H562" t="n">
        <v>0</v>
      </c>
      <c r="I562" t="n">
        <v>0</v>
      </c>
      <c r="J562" t="n">
        <v>0</v>
      </c>
      <c r="K562" t="n">
        <v>0</v>
      </c>
      <c r="L562" t="n">
        <v>0</v>
      </c>
      <c r="M562" t="n">
        <v>0</v>
      </c>
      <c r="N562" t="n">
        <v>0</v>
      </c>
      <c r="O562" t="n">
        <v>0</v>
      </c>
      <c r="P562" t="n">
        <v>0</v>
      </c>
      <c r="Q562" t="n">
        <v>0</v>
      </c>
      <c r="R562" s="2" t="inlineStr"/>
    </row>
    <row r="563" ht="15" customHeight="1">
      <c r="A563" t="inlineStr">
        <is>
          <t>A 27554-2025</t>
        </is>
      </c>
      <c r="B563" s="1" t="n">
        <v>45813.4709375</v>
      </c>
      <c r="C563" s="1" t="n">
        <v>45927</v>
      </c>
      <c r="D563" t="inlineStr">
        <is>
          <t>STOCKHOLMS LÄN</t>
        </is>
      </c>
      <c r="E563" t="inlineStr">
        <is>
          <t>NORRTÄLJE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27677-2025</t>
        </is>
      </c>
      <c r="B564" s="1" t="n">
        <v>45813.63650462963</v>
      </c>
      <c r="C564" s="1" t="n">
        <v>45927</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25525-2022</t>
        </is>
      </c>
      <c r="B565" s="1" t="n">
        <v>44732</v>
      </c>
      <c r="C565" s="1" t="n">
        <v>45927</v>
      </c>
      <c r="D565" t="inlineStr">
        <is>
          <t>STOCKHOLMS LÄN</t>
        </is>
      </c>
      <c r="E565" t="inlineStr">
        <is>
          <t>NORRTÄLJE</t>
        </is>
      </c>
      <c r="G565" t="n">
        <v>2.2</v>
      </c>
      <c r="H565" t="n">
        <v>0</v>
      </c>
      <c r="I565" t="n">
        <v>0</v>
      </c>
      <c r="J565" t="n">
        <v>0</v>
      </c>
      <c r="K565" t="n">
        <v>0</v>
      </c>
      <c r="L565" t="n">
        <v>0</v>
      </c>
      <c r="M565" t="n">
        <v>0</v>
      </c>
      <c r="N565" t="n">
        <v>0</v>
      </c>
      <c r="O565" t="n">
        <v>0</v>
      </c>
      <c r="P565" t="n">
        <v>0</v>
      </c>
      <c r="Q565" t="n">
        <v>0</v>
      </c>
      <c r="R565" s="2" t="inlineStr"/>
    </row>
    <row r="566" ht="15" customHeight="1">
      <c r="A566" t="inlineStr">
        <is>
          <t>A 12302-2025</t>
        </is>
      </c>
      <c r="B566" s="1" t="n">
        <v>45729.72851851852</v>
      </c>
      <c r="C566" s="1" t="n">
        <v>45927</v>
      </c>
      <c r="D566" t="inlineStr">
        <is>
          <t>STOCKHOLMS LÄN</t>
        </is>
      </c>
      <c r="E566" t="inlineStr">
        <is>
          <t>NORRTÄLJE</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27700-2025</t>
        </is>
      </c>
      <c r="B567" s="1" t="n">
        <v>45813.6799537037</v>
      </c>
      <c r="C567" s="1" t="n">
        <v>45927</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28816-2023</t>
        </is>
      </c>
      <c r="B568" s="1" t="n">
        <v>45104</v>
      </c>
      <c r="C568" s="1" t="n">
        <v>45927</v>
      </c>
      <c r="D568" t="inlineStr">
        <is>
          <t>STOCKHOLMS LÄN</t>
        </is>
      </c>
      <c r="E568" t="inlineStr">
        <is>
          <t>NORRTÄLJE</t>
        </is>
      </c>
      <c r="F568" t="inlineStr">
        <is>
          <t>Kommuner</t>
        </is>
      </c>
      <c r="G568" t="n">
        <v>0.5</v>
      </c>
      <c r="H568" t="n">
        <v>0</v>
      </c>
      <c r="I568" t="n">
        <v>0</v>
      </c>
      <c r="J568" t="n">
        <v>0</v>
      </c>
      <c r="K568" t="n">
        <v>0</v>
      </c>
      <c r="L568" t="n">
        <v>0</v>
      </c>
      <c r="M568" t="n">
        <v>0</v>
      </c>
      <c r="N568" t="n">
        <v>0</v>
      </c>
      <c r="O568" t="n">
        <v>0</v>
      </c>
      <c r="P568" t="n">
        <v>0</v>
      </c>
      <c r="Q568" t="n">
        <v>0</v>
      </c>
      <c r="R568" s="2" t="inlineStr"/>
    </row>
    <row r="569" ht="15" customHeight="1">
      <c r="A569" t="inlineStr">
        <is>
          <t>A 27697-2025</t>
        </is>
      </c>
      <c r="B569" s="1" t="n">
        <v>45813.66961805556</v>
      </c>
      <c r="C569" s="1" t="n">
        <v>45927</v>
      </c>
      <c r="D569" t="inlineStr">
        <is>
          <t>STOCKHOLMS LÄN</t>
        </is>
      </c>
      <c r="E569" t="inlineStr">
        <is>
          <t>NORRTÄLJE</t>
        </is>
      </c>
      <c r="G569" t="n">
        <v>6.2</v>
      </c>
      <c r="H569" t="n">
        <v>0</v>
      </c>
      <c r="I569" t="n">
        <v>0</v>
      </c>
      <c r="J569" t="n">
        <v>0</v>
      </c>
      <c r="K569" t="n">
        <v>0</v>
      </c>
      <c r="L569" t="n">
        <v>0</v>
      </c>
      <c r="M569" t="n">
        <v>0</v>
      </c>
      <c r="N569" t="n">
        <v>0</v>
      </c>
      <c r="O569" t="n">
        <v>0</v>
      </c>
      <c r="P569" t="n">
        <v>0</v>
      </c>
      <c r="Q569" t="n">
        <v>0</v>
      </c>
      <c r="R569" s="2" t="inlineStr"/>
    </row>
    <row r="570" ht="15" customHeight="1">
      <c r="A570" t="inlineStr">
        <is>
          <t>A 38889-2024</t>
        </is>
      </c>
      <c r="B570" s="1" t="n">
        <v>45547</v>
      </c>
      <c r="C570" s="1" t="n">
        <v>45927</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45451-2024</t>
        </is>
      </c>
      <c r="B571" s="1" t="n">
        <v>45576</v>
      </c>
      <c r="C571" s="1" t="n">
        <v>45927</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19118-2022</t>
        </is>
      </c>
      <c r="B572" s="1" t="n">
        <v>44691.5652662037</v>
      </c>
      <c r="C572" s="1" t="n">
        <v>45927</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22008-2024</t>
        </is>
      </c>
      <c r="B573" s="1" t="n">
        <v>45443</v>
      </c>
      <c r="C573" s="1" t="n">
        <v>45927</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27802-2025</t>
        </is>
      </c>
      <c r="B574" s="1" t="n">
        <v>45817.2565625</v>
      </c>
      <c r="C574" s="1" t="n">
        <v>45927</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27806-2025</t>
        </is>
      </c>
      <c r="B575" s="1" t="n">
        <v>45817.30329861111</v>
      </c>
      <c r="C575" s="1" t="n">
        <v>45927</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27808-2025</t>
        </is>
      </c>
      <c r="B576" s="1" t="n">
        <v>45817.31085648148</v>
      </c>
      <c r="C576" s="1" t="n">
        <v>45927</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27810-2025</t>
        </is>
      </c>
      <c r="B577" s="1" t="n">
        <v>45817.31708333334</v>
      </c>
      <c r="C577" s="1" t="n">
        <v>45927</v>
      </c>
      <c r="D577" t="inlineStr">
        <is>
          <t>STOCKHOLMS LÄN</t>
        </is>
      </c>
      <c r="E577" t="inlineStr">
        <is>
          <t>NORRTÄLJE</t>
        </is>
      </c>
      <c r="G577" t="n">
        <v>3.9</v>
      </c>
      <c r="H577" t="n">
        <v>0</v>
      </c>
      <c r="I577" t="n">
        <v>0</v>
      </c>
      <c r="J577" t="n">
        <v>0</v>
      </c>
      <c r="K577" t="n">
        <v>0</v>
      </c>
      <c r="L577" t="n">
        <v>0</v>
      </c>
      <c r="M577" t="n">
        <v>0</v>
      </c>
      <c r="N577" t="n">
        <v>0</v>
      </c>
      <c r="O577" t="n">
        <v>0</v>
      </c>
      <c r="P577" t="n">
        <v>0</v>
      </c>
      <c r="Q577" t="n">
        <v>0</v>
      </c>
      <c r="R577" s="2" t="inlineStr"/>
    </row>
    <row r="578" ht="15" customHeight="1">
      <c r="A578" t="inlineStr">
        <is>
          <t>A 27811-2025</t>
        </is>
      </c>
      <c r="B578" s="1" t="n">
        <v>45817.31986111111</v>
      </c>
      <c r="C578" s="1" t="n">
        <v>45927</v>
      </c>
      <c r="D578" t="inlineStr">
        <is>
          <t>STOCKHOLMS LÄN</t>
        </is>
      </c>
      <c r="E578" t="inlineStr">
        <is>
          <t>NORRTÄLJE</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27818-2025</t>
        </is>
      </c>
      <c r="B579" s="1" t="n">
        <v>45817.33503472222</v>
      </c>
      <c r="C579" s="1" t="n">
        <v>45927</v>
      </c>
      <c r="D579" t="inlineStr">
        <is>
          <t>STOCKHOLMS LÄN</t>
        </is>
      </c>
      <c r="E579" t="inlineStr">
        <is>
          <t>NORRTÄLJE</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58888-2020</t>
        </is>
      </c>
      <c r="B580" s="1" t="n">
        <v>44146</v>
      </c>
      <c r="C580" s="1" t="n">
        <v>45927</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50738-2020</t>
        </is>
      </c>
      <c r="B581" s="1" t="n">
        <v>44111.44373842593</v>
      </c>
      <c r="C581" s="1" t="n">
        <v>45927</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27801-2025</t>
        </is>
      </c>
      <c r="B582" s="1" t="n">
        <v>45817.25471064815</v>
      </c>
      <c r="C582" s="1" t="n">
        <v>45927</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8739-2024</t>
        </is>
      </c>
      <c r="B583" s="1" t="n">
        <v>45356.47784722222</v>
      </c>
      <c r="C583" s="1" t="n">
        <v>45927</v>
      </c>
      <c r="D583" t="inlineStr">
        <is>
          <t>STOCKHOLMS LÄN</t>
        </is>
      </c>
      <c r="E583" t="inlineStr">
        <is>
          <t>NORRTÄLJE</t>
        </is>
      </c>
      <c r="G583" t="n">
        <v>1.2</v>
      </c>
      <c r="H583" t="n">
        <v>0</v>
      </c>
      <c r="I583" t="n">
        <v>0</v>
      </c>
      <c r="J583" t="n">
        <v>0</v>
      </c>
      <c r="K583" t="n">
        <v>0</v>
      </c>
      <c r="L583" t="n">
        <v>0</v>
      </c>
      <c r="M583" t="n">
        <v>0</v>
      </c>
      <c r="N583" t="n">
        <v>0</v>
      </c>
      <c r="O583" t="n">
        <v>0</v>
      </c>
      <c r="P583" t="n">
        <v>0</v>
      </c>
      <c r="Q583" t="n">
        <v>0</v>
      </c>
      <c r="R583" s="2" t="inlineStr"/>
    </row>
    <row r="584" ht="15" customHeight="1">
      <c r="A584" t="inlineStr">
        <is>
          <t>A 38759-2022</t>
        </is>
      </c>
      <c r="B584" s="1" t="n">
        <v>44816</v>
      </c>
      <c r="C584" s="1" t="n">
        <v>45927</v>
      </c>
      <c r="D584" t="inlineStr">
        <is>
          <t>STOCKHOLMS LÄN</t>
        </is>
      </c>
      <c r="E584" t="inlineStr">
        <is>
          <t>NORRTÄLJE</t>
        </is>
      </c>
      <c r="G584" t="n">
        <v>2.8</v>
      </c>
      <c r="H584" t="n">
        <v>0</v>
      </c>
      <c r="I584" t="n">
        <v>0</v>
      </c>
      <c r="J584" t="n">
        <v>0</v>
      </c>
      <c r="K584" t="n">
        <v>0</v>
      </c>
      <c r="L584" t="n">
        <v>0</v>
      </c>
      <c r="M584" t="n">
        <v>0</v>
      </c>
      <c r="N584" t="n">
        <v>0</v>
      </c>
      <c r="O584" t="n">
        <v>0</v>
      </c>
      <c r="P584" t="n">
        <v>0</v>
      </c>
      <c r="Q584" t="n">
        <v>0</v>
      </c>
      <c r="R584" s="2" t="inlineStr"/>
    </row>
    <row r="585" ht="15" customHeight="1">
      <c r="A585" t="inlineStr">
        <is>
          <t>A 27803-2025</t>
        </is>
      </c>
      <c r="B585" s="1" t="n">
        <v>45817.291875</v>
      </c>
      <c r="C585" s="1" t="n">
        <v>45927</v>
      </c>
      <c r="D585" t="inlineStr">
        <is>
          <t>STOCKHOLMS LÄN</t>
        </is>
      </c>
      <c r="E585" t="inlineStr">
        <is>
          <t>NORRTÄLJE</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27813-2025</t>
        </is>
      </c>
      <c r="B586" s="1" t="n">
        <v>45817.32538194444</v>
      </c>
      <c r="C586" s="1" t="n">
        <v>45927</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27821-2025</t>
        </is>
      </c>
      <c r="B587" s="1" t="n">
        <v>45817.34083333334</v>
      </c>
      <c r="C587" s="1" t="n">
        <v>45927</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26644-2024</t>
        </is>
      </c>
      <c r="B588" s="1" t="n">
        <v>45469</v>
      </c>
      <c r="C588" s="1" t="n">
        <v>45927</v>
      </c>
      <c r="D588" t="inlineStr">
        <is>
          <t>STOCKHOLMS LÄN</t>
        </is>
      </c>
      <c r="E588" t="inlineStr">
        <is>
          <t>NORRTÄLJE</t>
        </is>
      </c>
      <c r="G588" t="n">
        <v>4.3</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45927</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29714-2023</t>
        </is>
      </c>
      <c r="B590" s="1" t="n">
        <v>45107.42538194444</v>
      </c>
      <c r="C590" s="1" t="n">
        <v>45927</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23271-2023</t>
        </is>
      </c>
      <c r="B591" s="1" t="n">
        <v>45075.91362268518</v>
      </c>
      <c r="C591" s="1" t="n">
        <v>45927</v>
      </c>
      <c r="D591" t="inlineStr">
        <is>
          <t>STOCKHOLMS LÄN</t>
        </is>
      </c>
      <c r="E591" t="inlineStr">
        <is>
          <t>NORRTÄLJE</t>
        </is>
      </c>
      <c r="G591" t="n">
        <v>5.1</v>
      </c>
      <c r="H591" t="n">
        <v>0</v>
      </c>
      <c r="I591" t="n">
        <v>0</v>
      </c>
      <c r="J591" t="n">
        <v>0</v>
      </c>
      <c r="K591" t="n">
        <v>0</v>
      </c>
      <c r="L591" t="n">
        <v>0</v>
      </c>
      <c r="M591" t="n">
        <v>0</v>
      </c>
      <c r="N591" t="n">
        <v>0</v>
      </c>
      <c r="O591" t="n">
        <v>0</v>
      </c>
      <c r="P591" t="n">
        <v>0</v>
      </c>
      <c r="Q591" t="n">
        <v>0</v>
      </c>
      <c r="R591" s="2" t="inlineStr"/>
    </row>
    <row r="592" ht="15" customHeight="1">
      <c r="A592" t="inlineStr">
        <is>
          <t>A 23273-2023</t>
        </is>
      </c>
      <c r="B592" s="1" t="n">
        <v>45075.91971064815</v>
      </c>
      <c r="C592" s="1" t="n">
        <v>45927</v>
      </c>
      <c r="D592" t="inlineStr">
        <is>
          <t>STOCKHOLMS LÄN</t>
        </is>
      </c>
      <c r="E592" t="inlineStr">
        <is>
          <t>NORRTÄLJE</t>
        </is>
      </c>
      <c r="G592" t="n">
        <v>7.5</v>
      </c>
      <c r="H592" t="n">
        <v>0</v>
      </c>
      <c r="I592" t="n">
        <v>0</v>
      </c>
      <c r="J592" t="n">
        <v>0</v>
      </c>
      <c r="K592" t="n">
        <v>0</v>
      </c>
      <c r="L592" t="n">
        <v>0</v>
      </c>
      <c r="M592" t="n">
        <v>0</v>
      </c>
      <c r="N592" t="n">
        <v>0</v>
      </c>
      <c r="O592" t="n">
        <v>0</v>
      </c>
      <c r="P592" t="n">
        <v>0</v>
      </c>
      <c r="Q592" t="n">
        <v>0</v>
      </c>
      <c r="R592" s="2" t="inlineStr"/>
    </row>
    <row r="593" ht="15" customHeight="1">
      <c r="A593" t="inlineStr">
        <is>
          <t>A 55243-2023</t>
        </is>
      </c>
      <c r="B593" s="1" t="n">
        <v>45237</v>
      </c>
      <c r="C593" s="1" t="n">
        <v>45927</v>
      </c>
      <c r="D593" t="inlineStr">
        <is>
          <t>STOCKHOLMS LÄN</t>
        </is>
      </c>
      <c r="E593" t="inlineStr">
        <is>
          <t>NORRTÄLJE</t>
        </is>
      </c>
      <c r="G593" t="n">
        <v>6.5</v>
      </c>
      <c r="H593" t="n">
        <v>0</v>
      </c>
      <c r="I593" t="n">
        <v>0</v>
      </c>
      <c r="J593" t="n">
        <v>0</v>
      </c>
      <c r="K593" t="n">
        <v>0</v>
      </c>
      <c r="L593" t="n">
        <v>0</v>
      </c>
      <c r="M593" t="n">
        <v>0</v>
      </c>
      <c r="N593" t="n">
        <v>0</v>
      </c>
      <c r="O593" t="n">
        <v>0</v>
      </c>
      <c r="P593" t="n">
        <v>0</v>
      </c>
      <c r="Q593" t="n">
        <v>0</v>
      </c>
      <c r="R593" s="2" t="inlineStr"/>
    </row>
    <row r="594" ht="15" customHeight="1">
      <c r="A594" t="inlineStr">
        <is>
          <t>A 2982-2023</t>
        </is>
      </c>
      <c r="B594" s="1" t="n">
        <v>44945.67409722223</v>
      </c>
      <c r="C594" s="1" t="n">
        <v>45927</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15528-2025</t>
        </is>
      </c>
      <c r="B595" s="1" t="n">
        <v>45747.63471064815</v>
      </c>
      <c r="C595" s="1" t="n">
        <v>45927</v>
      </c>
      <c r="D595" t="inlineStr">
        <is>
          <t>STOCKHOLMS LÄN</t>
        </is>
      </c>
      <c r="E595" t="inlineStr">
        <is>
          <t>NORRTÄLJE</t>
        </is>
      </c>
      <c r="G595" t="n">
        <v>10</v>
      </c>
      <c r="H595" t="n">
        <v>0</v>
      </c>
      <c r="I595" t="n">
        <v>0</v>
      </c>
      <c r="J595" t="n">
        <v>0</v>
      </c>
      <c r="K595" t="n">
        <v>0</v>
      </c>
      <c r="L595" t="n">
        <v>0</v>
      </c>
      <c r="M595" t="n">
        <v>0</v>
      </c>
      <c r="N595" t="n">
        <v>0</v>
      </c>
      <c r="O595" t="n">
        <v>0</v>
      </c>
      <c r="P595" t="n">
        <v>0</v>
      </c>
      <c r="Q595" t="n">
        <v>0</v>
      </c>
      <c r="R595" s="2" t="inlineStr"/>
    </row>
    <row r="596" ht="15" customHeight="1">
      <c r="A596" t="inlineStr">
        <is>
          <t>A 11901-2024</t>
        </is>
      </c>
      <c r="B596" s="1" t="n">
        <v>45376.55638888889</v>
      </c>
      <c r="C596" s="1" t="n">
        <v>45927</v>
      </c>
      <c r="D596" t="inlineStr">
        <is>
          <t>STOCKHOLMS LÄN</t>
        </is>
      </c>
      <c r="E596" t="inlineStr">
        <is>
          <t>NORRTÄLJE</t>
        </is>
      </c>
      <c r="F596" t="inlineStr">
        <is>
          <t>Holmen skog AB</t>
        </is>
      </c>
      <c r="G596" t="n">
        <v>3.5</v>
      </c>
      <c r="H596" t="n">
        <v>0</v>
      </c>
      <c r="I596" t="n">
        <v>0</v>
      </c>
      <c r="J596" t="n">
        <v>0</v>
      </c>
      <c r="K596" t="n">
        <v>0</v>
      </c>
      <c r="L596" t="n">
        <v>0</v>
      </c>
      <c r="M596" t="n">
        <v>0</v>
      </c>
      <c r="N596" t="n">
        <v>0</v>
      </c>
      <c r="O596" t="n">
        <v>0</v>
      </c>
      <c r="P596" t="n">
        <v>0</v>
      </c>
      <c r="Q596" t="n">
        <v>0</v>
      </c>
      <c r="R596" s="2" t="inlineStr"/>
    </row>
    <row r="597" ht="15" customHeight="1">
      <c r="A597" t="inlineStr">
        <is>
          <t>A 12535-2025</t>
        </is>
      </c>
      <c r="B597" s="1" t="n">
        <v>45730.69502314815</v>
      </c>
      <c r="C597" s="1" t="n">
        <v>45927</v>
      </c>
      <c r="D597" t="inlineStr">
        <is>
          <t>STOCKHOLMS LÄN</t>
        </is>
      </c>
      <c r="E597" t="inlineStr">
        <is>
          <t>NORRTÄLJE</t>
        </is>
      </c>
      <c r="G597" t="n">
        <v>7.1</v>
      </c>
      <c r="H597" t="n">
        <v>0</v>
      </c>
      <c r="I597" t="n">
        <v>0</v>
      </c>
      <c r="J597" t="n">
        <v>0</v>
      </c>
      <c r="K597" t="n">
        <v>0</v>
      </c>
      <c r="L597" t="n">
        <v>0</v>
      </c>
      <c r="M597" t="n">
        <v>0</v>
      </c>
      <c r="N597" t="n">
        <v>0</v>
      </c>
      <c r="O597" t="n">
        <v>0</v>
      </c>
      <c r="P597" t="n">
        <v>0</v>
      </c>
      <c r="Q597" t="n">
        <v>0</v>
      </c>
      <c r="R597" s="2" t="inlineStr"/>
    </row>
    <row r="598" ht="15" customHeight="1">
      <c r="A598" t="inlineStr">
        <is>
          <t>A 37136-2023</t>
        </is>
      </c>
      <c r="B598" s="1" t="n">
        <v>45155</v>
      </c>
      <c r="C598" s="1" t="n">
        <v>45927</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44075-2023</t>
        </is>
      </c>
      <c r="B599" s="1" t="n">
        <v>45188.41637731482</v>
      </c>
      <c r="C599" s="1" t="n">
        <v>45927</v>
      </c>
      <c r="D599" t="inlineStr">
        <is>
          <t>STOCKHOLMS LÄN</t>
        </is>
      </c>
      <c r="E599" t="inlineStr">
        <is>
          <t>NORRTÄLJE</t>
        </is>
      </c>
      <c r="F599" t="inlineStr">
        <is>
          <t>Holmen skog AB</t>
        </is>
      </c>
      <c r="G599" t="n">
        <v>2.4</v>
      </c>
      <c r="H599" t="n">
        <v>0</v>
      </c>
      <c r="I599" t="n">
        <v>0</v>
      </c>
      <c r="J599" t="n">
        <v>0</v>
      </c>
      <c r="K599" t="n">
        <v>0</v>
      </c>
      <c r="L599" t="n">
        <v>0</v>
      </c>
      <c r="M599" t="n">
        <v>0</v>
      </c>
      <c r="N599" t="n">
        <v>0</v>
      </c>
      <c r="O599" t="n">
        <v>0</v>
      </c>
      <c r="P599" t="n">
        <v>0</v>
      </c>
      <c r="Q599" t="n">
        <v>0</v>
      </c>
      <c r="R599" s="2" t="inlineStr"/>
    </row>
    <row r="600" ht="15" customHeight="1">
      <c r="A600" t="inlineStr">
        <is>
          <t>A 18787-2022</t>
        </is>
      </c>
      <c r="B600" s="1" t="n">
        <v>44687</v>
      </c>
      <c r="C600" s="1" t="n">
        <v>45927</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13718-2022</t>
        </is>
      </c>
      <c r="B601" s="1" t="n">
        <v>44649</v>
      </c>
      <c r="C601" s="1" t="n">
        <v>45927</v>
      </c>
      <c r="D601" t="inlineStr">
        <is>
          <t>STOCKHOLMS LÄN</t>
        </is>
      </c>
      <c r="E601" t="inlineStr">
        <is>
          <t>NORRTÄLJE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25621-2022</t>
        </is>
      </c>
      <c r="B602" s="1" t="n">
        <v>44732</v>
      </c>
      <c r="C602" s="1" t="n">
        <v>45927</v>
      </c>
      <c r="D602" t="inlineStr">
        <is>
          <t>STOCKHOLMS LÄN</t>
        </is>
      </c>
      <c r="E602" t="inlineStr">
        <is>
          <t>NORRTÄLJE</t>
        </is>
      </c>
      <c r="G602" t="n">
        <v>3.1</v>
      </c>
      <c r="H602" t="n">
        <v>0</v>
      </c>
      <c r="I602" t="n">
        <v>0</v>
      </c>
      <c r="J602" t="n">
        <v>0</v>
      </c>
      <c r="K602" t="n">
        <v>0</v>
      </c>
      <c r="L602" t="n">
        <v>0</v>
      </c>
      <c r="M602" t="n">
        <v>0</v>
      </c>
      <c r="N602" t="n">
        <v>0</v>
      </c>
      <c r="O602" t="n">
        <v>0</v>
      </c>
      <c r="P602" t="n">
        <v>0</v>
      </c>
      <c r="Q602" t="n">
        <v>0</v>
      </c>
      <c r="R602" s="2" t="inlineStr"/>
    </row>
    <row r="603" ht="15" customHeight="1">
      <c r="A603" t="inlineStr">
        <is>
          <t>A 36269-2022</t>
        </is>
      </c>
      <c r="B603" s="1" t="n">
        <v>44803</v>
      </c>
      <c r="C603" s="1" t="n">
        <v>45927</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36308-2022</t>
        </is>
      </c>
      <c r="B604" s="1" t="n">
        <v>44803</v>
      </c>
      <c r="C604" s="1" t="n">
        <v>45927</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52260-2022</t>
        </is>
      </c>
      <c r="B605" s="1" t="n">
        <v>44869</v>
      </c>
      <c r="C605" s="1" t="n">
        <v>45927</v>
      </c>
      <c r="D605" t="inlineStr">
        <is>
          <t>STOCKHOLMS LÄN</t>
        </is>
      </c>
      <c r="E605" t="inlineStr">
        <is>
          <t>NORRTÄLJE</t>
        </is>
      </c>
      <c r="G605" t="n">
        <v>3.1</v>
      </c>
      <c r="H605" t="n">
        <v>0</v>
      </c>
      <c r="I605" t="n">
        <v>0</v>
      </c>
      <c r="J605" t="n">
        <v>0</v>
      </c>
      <c r="K605" t="n">
        <v>0</v>
      </c>
      <c r="L605" t="n">
        <v>0</v>
      </c>
      <c r="M605" t="n">
        <v>0</v>
      </c>
      <c r="N605" t="n">
        <v>0</v>
      </c>
      <c r="O605" t="n">
        <v>0</v>
      </c>
      <c r="P605" t="n">
        <v>0</v>
      </c>
      <c r="Q605" t="n">
        <v>0</v>
      </c>
      <c r="R605" s="2" t="inlineStr"/>
    </row>
    <row r="606" ht="15" customHeight="1">
      <c r="A606" t="inlineStr">
        <is>
          <t>A 25557-2023</t>
        </is>
      </c>
      <c r="B606" s="1" t="n">
        <v>45089</v>
      </c>
      <c r="C606" s="1" t="n">
        <v>45927</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27715-2022</t>
        </is>
      </c>
      <c r="B607" s="1" t="n">
        <v>44743.47407407407</v>
      </c>
      <c r="C607" s="1" t="n">
        <v>45927</v>
      </c>
      <c r="D607" t="inlineStr">
        <is>
          <t>STOCKHOLMS LÄN</t>
        </is>
      </c>
      <c r="E607" t="inlineStr">
        <is>
          <t>NORRTÄLJE</t>
        </is>
      </c>
      <c r="G607" t="n">
        <v>2.2</v>
      </c>
      <c r="H607" t="n">
        <v>0</v>
      </c>
      <c r="I607" t="n">
        <v>0</v>
      </c>
      <c r="J607" t="n">
        <v>0</v>
      </c>
      <c r="K607" t="n">
        <v>0</v>
      </c>
      <c r="L607" t="n">
        <v>0</v>
      </c>
      <c r="M607" t="n">
        <v>0</v>
      </c>
      <c r="N607" t="n">
        <v>0</v>
      </c>
      <c r="O607" t="n">
        <v>0</v>
      </c>
      <c r="P607" t="n">
        <v>0</v>
      </c>
      <c r="Q607" t="n">
        <v>0</v>
      </c>
      <c r="R607" s="2" t="inlineStr"/>
    </row>
    <row r="608" ht="15" customHeight="1">
      <c r="A608" t="inlineStr">
        <is>
          <t>A 6919-2025</t>
        </is>
      </c>
      <c r="B608" s="1" t="n">
        <v>45701.44372685185</v>
      </c>
      <c r="C608" s="1" t="n">
        <v>45927</v>
      </c>
      <c r="D608" t="inlineStr">
        <is>
          <t>STOCKHOLMS LÄN</t>
        </is>
      </c>
      <c r="E608" t="inlineStr">
        <is>
          <t>NORRTÄLJE</t>
        </is>
      </c>
      <c r="G608" t="n">
        <v>3.5</v>
      </c>
      <c r="H608" t="n">
        <v>0</v>
      </c>
      <c r="I608" t="n">
        <v>0</v>
      </c>
      <c r="J608" t="n">
        <v>0</v>
      </c>
      <c r="K608" t="n">
        <v>0</v>
      </c>
      <c r="L608" t="n">
        <v>0</v>
      </c>
      <c r="M608" t="n">
        <v>0</v>
      </c>
      <c r="N608" t="n">
        <v>0</v>
      </c>
      <c r="O608" t="n">
        <v>0</v>
      </c>
      <c r="P608" t="n">
        <v>0</v>
      </c>
      <c r="Q608" t="n">
        <v>0</v>
      </c>
      <c r="R608" s="2" t="inlineStr"/>
    </row>
    <row r="609" ht="15" customHeight="1">
      <c r="A609" t="inlineStr">
        <is>
          <t>A 32100-2022</t>
        </is>
      </c>
      <c r="B609" s="1" t="n">
        <v>44778</v>
      </c>
      <c r="C609" s="1" t="n">
        <v>45927</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55696-2022</t>
        </is>
      </c>
      <c r="B610" s="1" t="n">
        <v>44888</v>
      </c>
      <c r="C610" s="1" t="n">
        <v>45927</v>
      </c>
      <c r="D610" t="inlineStr">
        <is>
          <t>STOCKHOLMS LÄN</t>
        </is>
      </c>
      <c r="E610" t="inlineStr">
        <is>
          <t>NORRTÄLJE</t>
        </is>
      </c>
      <c r="G610" t="n">
        <v>2.2</v>
      </c>
      <c r="H610" t="n">
        <v>0</v>
      </c>
      <c r="I610" t="n">
        <v>0</v>
      </c>
      <c r="J610" t="n">
        <v>0</v>
      </c>
      <c r="K610" t="n">
        <v>0</v>
      </c>
      <c r="L610" t="n">
        <v>0</v>
      </c>
      <c r="M610" t="n">
        <v>0</v>
      </c>
      <c r="N610" t="n">
        <v>0</v>
      </c>
      <c r="O610" t="n">
        <v>0</v>
      </c>
      <c r="P610" t="n">
        <v>0</v>
      </c>
      <c r="Q610" t="n">
        <v>0</v>
      </c>
      <c r="R610" s="2" t="inlineStr"/>
    </row>
    <row r="611" ht="15" customHeight="1">
      <c r="A611" t="inlineStr">
        <is>
          <t>A 22412-2021</t>
        </is>
      </c>
      <c r="B611" s="1" t="n">
        <v>44326.61967592593</v>
      </c>
      <c r="C611" s="1" t="n">
        <v>45927</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11332-2025</t>
        </is>
      </c>
      <c r="B612" s="1" t="n">
        <v>45726.48152777777</v>
      </c>
      <c r="C612" s="1" t="n">
        <v>45927</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13053-2022</t>
        </is>
      </c>
      <c r="B613" s="1" t="n">
        <v>44643</v>
      </c>
      <c r="C613" s="1" t="n">
        <v>45927</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45927</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30886-2022</t>
        </is>
      </c>
      <c r="B615" s="1" t="n">
        <v>44767.60601851852</v>
      </c>
      <c r="C615" s="1" t="n">
        <v>45927</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15915-2023</t>
        </is>
      </c>
      <c r="B616" s="1" t="n">
        <v>45022</v>
      </c>
      <c r="C616" s="1" t="n">
        <v>45927</v>
      </c>
      <c r="D616" t="inlineStr">
        <is>
          <t>STOCKHOLMS LÄN</t>
        </is>
      </c>
      <c r="E616" t="inlineStr">
        <is>
          <t>NORRTÄLJE</t>
        </is>
      </c>
      <c r="G616" t="n">
        <v>2.9</v>
      </c>
      <c r="H616" t="n">
        <v>0</v>
      </c>
      <c r="I616" t="n">
        <v>0</v>
      </c>
      <c r="J616" t="n">
        <v>0</v>
      </c>
      <c r="K616" t="n">
        <v>0</v>
      </c>
      <c r="L616" t="n">
        <v>0</v>
      </c>
      <c r="M616" t="n">
        <v>0</v>
      </c>
      <c r="N616" t="n">
        <v>0</v>
      </c>
      <c r="O616" t="n">
        <v>0</v>
      </c>
      <c r="P616" t="n">
        <v>0</v>
      </c>
      <c r="Q616" t="n">
        <v>0</v>
      </c>
      <c r="R616" s="2" t="inlineStr"/>
    </row>
    <row r="617" ht="15" customHeight="1">
      <c r="A617" t="inlineStr">
        <is>
          <t>A 9654-2022</t>
        </is>
      </c>
      <c r="B617" s="1" t="n">
        <v>44617</v>
      </c>
      <c r="C617" s="1" t="n">
        <v>45927</v>
      </c>
      <c r="D617" t="inlineStr">
        <is>
          <t>STOCKHOLMS LÄN</t>
        </is>
      </c>
      <c r="E617" t="inlineStr">
        <is>
          <t>NORRTÄLJE</t>
        </is>
      </c>
      <c r="G617" t="n">
        <v>6.4</v>
      </c>
      <c r="H617" t="n">
        <v>0</v>
      </c>
      <c r="I617" t="n">
        <v>0</v>
      </c>
      <c r="J617" t="n">
        <v>0</v>
      </c>
      <c r="K617" t="n">
        <v>0</v>
      </c>
      <c r="L617" t="n">
        <v>0</v>
      </c>
      <c r="M617" t="n">
        <v>0</v>
      </c>
      <c r="N617" t="n">
        <v>0</v>
      </c>
      <c r="O617" t="n">
        <v>0</v>
      </c>
      <c r="P617" t="n">
        <v>0</v>
      </c>
      <c r="Q617" t="n">
        <v>0</v>
      </c>
      <c r="R617" s="2" t="inlineStr"/>
    </row>
    <row r="618" ht="15" customHeight="1">
      <c r="A618" t="inlineStr">
        <is>
          <t>A 1453-2025</t>
        </is>
      </c>
      <c r="B618" s="1" t="n">
        <v>45670.3079050926</v>
      </c>
      <c r="C618" s="1" t="n">
        <v>45927</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7603-2025</t>
        </is>
      </c>
      <c r="B619" s="1" t="n">
        <v>45705.66126157407</v>
      </c>
      <c r="C619" s="1" t="n">
        <v>45927</v>
      </c>
      <c r="D619" t="inlineStr">
        <is>
          <t>STOCKHOLMS LÄN</t>
        </is>
      </c>
      <c r="E619" t="inlineStr">
        <is>
          <t>NORRTÄLJE</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5804-2025</t>
        </is>
      </c>
      <c r="B620" s="1" t="n">
        <v>45694.68207175926</v>
      </c>
      <c r="C620" s="1" t="n">
        <v>45927</v>
      </c>
      <c r="D620" t="inlineStr">
        <is>
          <t>STOCKHOLMS LÄN</t>
        </is>
      </c>
      <c r="E620" t="inlineStr">
        <is>
          <t>NORRTÄLJE</t>
        </is>
      </c>
      <c r="F620" t="inlineStr">
        <is>
          <t>Holmen skog AB</t>
        </is>
      </c>
      <c r="G620" t="n">
        <v>2.6</v>
      </c>
      <c r="H620" t="n">
        <v>0</v>
      </c>
      <c r="I620" t="n">
        <v>0</v>
      </c>
      <c r="J620" t="n">
        <v>0</v>
      </c>
      <c r="K620" t="n">
        <v>0</v>
      </c>
      <c r="L620" t="n">
        <v>0</v>
      </c>
      <c r="M620" t="n">
        <v>0</v>
      </c>
      <c r="N620" t="n">
        <v>0</v>
      </c>
      <c r="O620" t="n">
        <v>0</v>
      </c>
      <c r="P620" t="n">
        <v>0</v>
      </c>
      <c r="Q620" t="n">
        <v>0</v>
      </c>
      <c r="R620" s="2" t="inlineStr"/>
    </row>
    <row r="621" ht="15" customHeight="1">
      <c r="A621" t="inlineStr">
        <is>
          <t>A 50907-2022</t>
        </is>
      </c>
      <c r="B621" s="1" t="n">
        <v>44867.62090277778</v>
      </c>
      <c r="C621" s="1" t="n">
        <v>45927</v>
      </c>
      <c r="D621" t="inlineStr">
        <is>
          <t>STOCKHOLMS LÄN</t>
        </is>
      </c>
      <c r="E621" t="inlineStr">
        <is>
          <t>NORRTÄLJE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29003-2023</t>
        </is>
      </c>
      <c r="B622" s="1" t="n">
        <v>45104</v>
      </c>
      <c r="C622" s="1" t="n">
        <v>45927</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30802-2022</t>
        </is>
      </c>
      <c r="B623" s="1" t="n">
        <v>44764</v>
      </c>
      <c r="C623" s="1" t="n">
        <v>45927</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55369-2023</t>
        </is>
      </c>
      <c r="B624" s="1" t="n">
        <v>45238</v>
      </c>
      <c r="C624" s="1" t="n">
        <v>45927</v>
      </c>
      <c r="D624" t="inlineStr">
        <is>
          <t>STOCKHOLMS LÄN</t>
        </is>
      </c>
      <c r="E624" t="inlineStr">
        <is>
          <t>NORRTÄLJE</t>
        </is>
      </c>
      <c r="G624" t="n">
        <v>0.4</v>
      </c>
      <c r="H624" t="n">
        <v>0</v>
      </c>
      <c r="I624" t="n">
        <v>0</v>
      </c>
      <c r="J624" t="n">
        <v>0</v>
      </c>
      <c r="K624" t="n">
        <v>0</v>
      </c>
      <c r="L624" t="n">
        <v>0</v>
      </c>
      <c r="M624" t="n">
        <v>0</v>
      </c>
      <c r="N624" t="n">
        <v>0</v>
      </c>
      <c r="O624" t="n">
        <v>0</v>
      </c>
      <c r="P624" t="n">
        <v>0</v>
      </c>
      <c r="Q624" t="n">
        <v>0</v>
      </c>
      <c r="R624" s="2" t="inlineStr"/>
    </row>
    <row r="625" ht="15" customHeight="1">
      <c r="A625" t="inlineStr">
        <is>
          <t>A 61113-2023</t>
        </is>
      </c>
      <c r="B625" s="1" t="n">
        <v>45261</v>
      </c>
      <c r="C625" s="1" t="n">
        <v>45927</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3283-2025</t>
        </is>
      </c>
      <c r="B626" s="1" t="n">
        <v>45679</v>
      </c>
      <c r="C626" s="1" t="n">
        <v>45927</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34295-2024</t>
        </is>
      </c>
      <c r="B627" s="1" t="n">
        <v>45524</v>
      </c>
      <c r="C627" s="1" t="n">
        <v>45927</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58311-2023</t>
        </is>
      </c>
      <c r="B628" s="1" t="n">
        <v>45245</v>
      </c>
      <c r="C628" s="1" t="n">
        <v>45927</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23692-2024</t>
        </is>
      </c>
      <c r="B629" s="1" t="n">
        <v>45454.65774305556</v>
      </c>
      <c r="C629" s="1" t="n">
        <v>45927</v>
      </c>
      <c r="D629" t="inlineStr">
        <is>
          <t>STOCKHOLMS LÄN</t>
        </is>
      </c>
      <c r="E629" t="inlineStr">
        <is>
          <t>NORRTÄLJE</t>
        </is>
      </c>
      <c r="G629" t="n">
        <v>3.7</v>
      </c>
      <c r="H629" t="n">
        <v>0</v>
      </c>
      <c r="I629" t="n">
        <v>0</v>
      </c>
      <c r="J629" t="n">
        <v>0</v>
      </c>
      <c r="K629" t="n">
        <v>0</v>
      </c>
      <c r="L629" t="n">
        <v>0</v>
      </c>
      <c r="M629" t="n">
        <v>0</v>
      </c>
      <c r="N629" t="n">
        <v>0</v>
      </c>
      <c r="O629" t="n">
        <v>0</v>
      </c>
      <c r="P629" t="n">
        <v>0</v>
      </c>
      <c r="Q629" t="n">
        <v>0</v>
      </c>
      <c r="R629" s="2" t="inlineStr"/>
    </row>
    <row r="630" ht="15" customHeight="1">
      <c r="A630" t="inlineStr">
        <is>
          <t>A 20473-2021</t>
        </is>
      </c>
      <c r="B630" s="1" t="n">
        <v>44315</v>
      </c>
      <c r="C630" s="1" t="n">
        <v>45927</v>
      </c>
      <c r="D630" t="inlineStr">
        <is>
          <t>STOCKHOLMS LÄN</t>
        </is>
      </c>
      <c r="E630" t="inlineStr">
        <is>
          <t>NORRTÄLJE</t>
        </is>
      </c>
      <c r="F630" t="inlineStr">
        <is>
          <t>Övriga Aktiebolag</t>
        </is>
      </c>
      <c r="G630" t="n">
        <v>3.6</v>
      </c>
      <c r="H630" t="n">
        <v>0</v>
      </c>
      <c r="I630" t="n">
        <v>0</v>
      </c>
      <c r="J630" t="n">
        <v>0</v>
      </c>
      <c r="K630" t="n">
        <v>0</v>
      </c>
      <c r="L630" t="n">
        <v>0</v>
      </c>
      <c r="M630" t="n">
        <v>0</v>
      </c>
      <c r="N630" t="n">
        <v>0</v>
      </c>
      <c r="O630" t="n">
        <v>0</v>
      </c>
      <c r="P630" t="n">
        <v>0</v>
      </c>
      <c r="Q630" t="n">
        <v>0</v>
      </c>
      <c r="R630" s="2" t="inlineStr"/>
    </row>
    <row r="631" ht="15" customHeight="1">
      <c r="A631" t="inlineStr">
        <is>
          <t>A 33295-2023</t>
        </is>
      </c>
      <c r="B631" s="1" t="n">
        <v>45127.69371527778</v>
      </c>
      <c r="C631" s="1" t="n">
        <v>45927</v>
      </c>
      <c r="D631" t="inlineStr">
        <is>
          <t>STOCKHOLMS LÄN</t>
        </is>
      </c>
      <c r="E631" t="inlineStr">
        <is>
          <t>NORRTÄLJE</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14127-2025</t>
        </is>
      </c>
      <c r="B632" s="1" t="n">
        <v>45740.47055555556</v>
      </c>
      <c r="C632" s="1" t="n">
        <v>45927</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16980-2023</t>
        </is>
      </c>
      <c r="B633" s="1" t="n">
        <v>45033</v>
      </c>
      <c r="C633" s="1" t="n">
        <v>45927</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53652-2020</t>
        </is>
      </c>
      <c r="B634" s="1" t="n">
        <v>44124</v>
      </c>
      <c r="C634" s="1" t="n">
        <v>45927</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32595-2023</t>
        </is>
      </c>
      <c r="B635" s="1" t="n">
        <v>45121</v>
      </c>
      <c r="C635" s="1" t="n">
        <v>45927</v>
      </c>
      <c r="D635" t="inlineStr">
        <is>
          <t>STOCKHOLMS LÄN</t>
        </is>
      </c>
      <c r="E635" t="inlineStr">
        <is>
          <t>NORRTÄLJE</t>
        </is>
      </c>
      <c r="G635" t="n">
        <v>2.4</v>
      </c>
      <c r="H635" t="n">
        <v>0</v>
      </c>
      <c r="I635" t="n">
        <v>0</v>
      </c>
      <c r="J635" t="n">
        <v>0</v>
      </c>
      <c r="K635" t="n">
        <v>0</v>
      </c>
      <c r="L635" t="n">
        <v>0</v>
      </c>
      <c r="M635" t="n">
        <v>0</v>
      </c>
      <c r="N635" t="n">
        <v>0</v>
      </c>
      <c r="O635" t="n">
        <v>0</v>
      </c>
      <c r="P635" t="n">
        <v>0</v>
      </c>
      <c r="Q635" t="n">
        <v>0</v>
      </c>
      <c r="R635" s="2" t="inlineStr"/>
    </row>
    <row r="636" ht="15" customHeight="1">
      <c r="A636" t="inlineStr">
        <is>
          <t>A 54273-2021</t>
        </is>
      </c>
      <c r="B636" s="1" t="n">
        <v>44470.72987268519</v>
      </c>
      <c r="C636" s="1" t="n">
        <v>45927</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37550-2022</t>
        </is>
      </c>
      <c r="B637" s="1" t="n">
        <v>44809</v>
      </c>
      <c r="C637" s="1" t="n">
        <v>45927</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48161-2022</t>
        </is>
      </c>
      <c r="B638" s="1" t="n">
        <v>44858</v>
      </c>
      <c r="C638" s="1" t="n">
        <v>45927</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48798-2021</t>
        </is>
      </c>
      <c r="B639" s="1" t="n">
        <v>44452</v>
      </c>
      <c r="C639" s="1" t="n">
        <v>45927</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12111-2021</t>
        </is>
      </c>
      <c r="B640" s="1" t="n">
        <v>44266</v>
      </c>
      <c r="C640" s="1" t="n">
        <v>45927</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54776-2023</t>
        </is>
      </c>
      <c r="B641" s="1" t="n">
        <v>45236.46369212963</v>
      </c>
      <c r="C641" s="1" t="n">
        <v>45927</v>
      </c>
      <c r="D641" t="inlineStr">
        <is>
          <t>STOCKHOLMS LÄN</t>
        </is>
      </c>
      <c r="E641" t="inlineStr">
        <is>
          <t>NORRTÄLJE</t>
        </is>
      </c>
      <c r="G641" t="n">
        <v>0.3</v>
      </c>
      <c r="H641" t="n">
        <v>0</v>
      </c>
      <c r="I641" t="n">
        <v>0</v>
      </c>
      <c r="J641" t="n">
        <v>0</v>
      </c>
      <c r="K641" t="n">
        <v>0</v>
      </c>
      <c r="L641" t="n">
        <v>0</v>
      </c>
      <c r="M641" t="n">
        <v>0</v>
      </c>
      <c r="N641" t="n">
        <v>0</v>
      </c>
      <c r="O641" t="n">
        <v>0</v>
      </c>
      <c r="P641" t="n">
        <v>0</v>
      </c>
      <c r="Q641" t="n">
        <v>0</v>
      </c>
      <c r="R641" s="2" t="inlineStr"/>
    </row>
    <row r="642" ht="15" customHeight="1">
      <c r="A642" t="inlineStr">
        <is>
          <t>A 7806-2025</t>
        </is>
      </c>
      <c r="B642" s="1" t="n">
        <v>45706.61178240741</v>
      </c>
      <c r="C642" s="1" t="n">
        <v>45927</v>
      </c>
      <c r="D642" t="inlineStr">
        <is>
          <t>STOCKHOLMS LÄN</t>
        </is>
      </c>
      <c r="E642" t="inlineStr">
        <is>
          <t>NORRTÄLJE</t>
        </is>
      </c>
      <c r="F642" t="inlineStr">
        <is>
          <t>Holmen skog AB</t>
        </is>
      </c>
      <c r="G642" t="n">
        <v>3.5</v>
      </c>
      <c r="H642" t="n">
        <v>0</v>
      </c>
      <c r="I642" t="n">
        <v>0</v>
      </c>
      <c r="J642" t="n">
        <v>0</v>
      </c>
      <c r="K642" t="n">
        <v>0</v>
      </c>
      <c r="L642" t="n">
        <v>0</v>
      </c>
      <c r="M642" t="n">
        <v>0</v>
      </c>
      <c r="N642" t="n">
        <v>0</v>
      </c>
      <c r="O642" t="n">
        <v>0</v>
      </c>
      <c r="P642" t="n">
        <v>0</v>
      </c>
      <c r="Q642" t="n">
        <v>0</v>
      </c>
      <c r="R642" s="2" t="inlineStr"/>
    </row>
    <row r="643" ht="15" customHeight="1">
      <c r="A643" t="inlineStr">
        <is>
          <t>A 57442-2021</t>
        </is>
      </c>
      <c r="B643" s="1" t="n">
        <v>44483</v>
      </c>
      <c r="C643" s="1" t="n">
        <v>45927</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55952-2024</t>
        </is>
      </c>
      <c r="B644" s="1" t="n">
        <v>45623.62563657408</v>
      </c>
      <c r="C644" s="1" t="n">
        <v>45927</v>
      </c>
      <c r="D644" t="inlineStr">
        <is>
          <t>STOCKHOLMS LÄN</t>
        </is>
      </c>
      <c r="E644" t="inlineStr">
        <is>
          <t>NORRTÄLJE</t>
        </is>
      </c>
      <c r="F644" t="inlineStr">
        <is>
          <t>Holmen skog AB</t>
        </is>
      </c>
      <c r="G644" t="n">
        <v>2.8</v>
      </c>
      <c r="H644" t="n">
        <v>0</v>
      </c>
      <c r="I644" t="n">
        <v>0</v>
      </c>
      <c r="J644" t="n">
        <v>0</v>
      </c>
      <c r="K644" t="n">
        <v>0</v>
      </c>
      <c r="L644" t="n">
        <v>0</v>
      </c>
      <c r="M644" t="n">
        <v>0</v>
      </c>
      <c r="N644" t="n">
        <v>0</v>
      </c>
      <c r="O644" t="n">
        <v>0</v>
      </c>
      <c r="P644" t="n">
        <v>0</v>
      </c>
      <c r="Q644" t="n">
        <v>0</v>
      </c>
      <c r="R644" s="2" t="inlineStr"/>
    </row>
    <row r="645" ht="15" customHeight="1">
      <c r="A645" t="inlineStr">
        <is>
          <t>A 8135-2025</t>
        </is>
      </c>
      <c r="B645" s="1" t="n">
        <v>45707.84997685185</v>
      </c>
      <c r="C645" s="1" t="n">
        <v>45927</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3383-2023</t>
        </is>
      </c>
      <c r="B646" s="1" t="n">
        <v>44949</v>
      </c>
      <c r="C646" s="1" t="n">
        <v>45927</v>
      </c>
      <c r="D646" t="inlineStr">
        <is>
          <t>STOCKHOLMS LÄN</t>
        </is>
      </c>
      <c r="E646" t="inlineStr">
        <is>
          <t>NORRTÄLJE</t>
        </is>
      </c>
      <c r="G646" t="n">
        <v>14.6</v>
      </c>
      <c r="H646" t="n">
        <v>0</v>
      </c>
      <c r="I646" t="n">
        <v>0</v>
      </c>
      <c r="J646" t="n">
        <v>0</v>
      </c>
      <c r="K646" t="n">
        <v>0</v>
      </c>
      <c r="L646" t="n">
        <v>0</v>
      </c>
      <c r="M646" t="n">
        <v>0</v>
      </c>
      <c r="N646" t="n">
        <v>0</v>
      </c>
      <c r="O646" t="n">
        <v>0</v>
      </c>
      <c r="P646" t="n">
        <v>0</v>
      </c>
      <c r="Q646" t="n">
        <v>0</v>
      </c>
      <c r="R646" s="2" t="inlineStr"/>
    </row>
    <row r="647" ht="15" customHeight="1">
      <c r="A647" t="inlineStr">
        <is>
          <t>A 3444-2023</t>
        </is>
      </c>
      <c r="B647" s="1" t="n">
        <v>44949</v>
      </c>
      <c r="C647" s="1" t="n">
        <v>45927</v>
      </c>
      <c r="D647" t="inlineStr">
        <is>
          <t>STOCKHOLMS LÄN</t>
        </is>
      </c>
      <c r="E647" t="inlineStr">
        <is>
          <t>NORRTÄLJE</t>
        </is>
      </c>
      <c r="G647" t="n">
        <v>5.1</v>
      </c>
      <c r="H647" t="n">
        <v>0</v>
      </c>
      <c r="I647" t="n">
        <v>0</v>
      </c>
      <c r="J647" t="n">
        <v>0</v>
      </c>
      <c r="K647" t="n">
        <v>0</v>
      </c>
      <c r="L647" t="n">
        <v>0</v>
      </c>
      <c r="M647" t="n">
        <v>0</v>
      </c>
      <c r="N647" t="n">
        <v>0</v>
      </c>
      <c r="O647" t="n">
        <v>0</v>
      </c>
      <c r="P647" t="n">
        <v>0</v>
      </c>
      <c r="Q647" t="n">
        <v>0</v>
      </c>
      <c r="R647" s="2" t="inlineStr"/>
    </row>
    <row r="648" ht="15" customHeight="1">
      <c r="A648" t="inlineStr">
        <is>
          <t>A 13148-2021</t>
        </is>
      </c>
      <c r="B648" s="1" t="n">
        <v>44272</v>
      </c>
      <c r="C648" s="1" t="n">
        <v>45927</v>
      </c>
      <c r="D648" t="inlineStr">
        <is>
          <t>STOCKHOLMS LÄN</t>
        </is>
      </c>
      <c r="E648" t="inlineStr">
        <is>
          <t>NORRTÄLJE</t>
        </is>
      </c>
      <c r="G648" t="n">
        <v>12.4</v>
      </c>
      <c r="H648" t="n">
        <v>0</v>
      </c>
      <c r="I648" t="n">
        <v>0</v>
      </c>
      <c r="J648" t="n">
        <v>0</v>
      </c>
      <c r="K648" t="n">
        <v>0</v>
      </c>
      <c r="L648" t="n">
        <v>0</v>
      </c>
      <c r="M648" t="n">
        <v>0</v>
      </c>
      <c r="N648" t="n">
        <v>0</v>
      </c>
      <c r="O648" t="n">
        <v>0</v>
      </c>
      <c r="P648" t="n">
        <v>0</v>
      </c>
      <c r="Q648" t="n">
        <v>0</v>
      </c>
      <c r="R648" s="2" t="inlineStr"/>
    </row>
    <row r="649" ht="15" customHeight="1">
      <c r="A649" t="inlineStr">
        <is>
          <t>A 21732-2023</t>
        </is>
      </c>
      <c r="B649" s="1" t="n">
        <v>45063</v>
      </c>
      <c r="C649" s="1" t="n">
        <v>45927</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23307-2024</t>
        </is>
      </c>
      <c r="B650" s="1" t="n">
        <v>45453</v>
      </c>
      <c r="C650" s="1" t="n">
        <v>45927</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49327-2020</t>
        </is>
      </c>
      <c r="B651" s="1" t="n">
        <v>44105</v>
      </c>
      <c r="C651" s="1" t="n">
        <v>45927</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53792-2023</t>
        </is>
      </c>
      <c r="B652" s="1" t="n">
        <v>45231.34144675926</v>
      </c>
      <c r="C652" s="1" t="n">
        <v>45927</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21329-2022</t>
        </is>
      </c>
      <c r="B653" s="1" t="n">
        <v>44705.60626157407</v>
      </c>
      <c r="C653" s="1" t="n">
        <v>45927</v>
      </c>
      <c r="D653" t="inlineStr">
        <is>
          <t>STOCKHOLMS LÄN</t>
        </is>
      </c>
      <c r="E653" t="inlineStr">
        <is>
          <t>NORRTÄLJE</t>
        </is>
      </c>
      <c r="G653" t="n">
        <v>4.1</v>
      </c>
      <c r="H653" t="n">
        <v>0</v>
      </c>
      <c r="I653" t="n">
        <v>0</v>
      </c>
      <c r="J653" t="n">
        <v>0</v>
      </c>
      <c r="K653" t="n">
        <v>0</v>
      </c>
      <c r="L653" t="n">
        <v>0</v>
      </c>
      <c r="M653" t="n">
        <v>0</v>
      </c>
      <c r="N653" t="n">
        <v>0</v>
      </c>
      <c r="O653" t="n">
        <v>0</v>
      </c>
      <c r="P653" t="n">
        <v>0</v>
      </c>
      <c r="Q653" t="n">
        <v>0</v>
      </c>
      <c r="R653" s="2" t="inlineStr"/>
    </row>
    <row r="654" ht="15" customHeight="1">
      <c r="A654" t="inlineStr">
        <is>
          <t>A 50569-2022</t>
        </is>
      </c>
      <c r="B654" s="1" t="n">
        <v>44866.63775462963</v>
      </c>
      <c r="C654" s="1" t="n">
        <v>45927</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3386-2021</t>
        </is>
      </c>
      <c r="B655" s="1" t="n">
        <v>44218</v>
      </c>
      <c r="C655" s="1" t="n">
        <v>45927</v>
      </c>
      <c r="D655" t="inlineStr">
        <is>
          <t>STOCKHOLMS LÄN</t>
        </is>
      </c>
      <c r="E655" t="inlineStr">
        <is>
          <t>NORRTÄLJE</t>
        </is>
      </c>
      <c r="G655" t="n">
        <v>8</v>
      </c>
      <c r="H655" t="n">
        <v>0</v>
      </c>
      <c r="I655" t="n">
        <v>0</v>
      </c>
      <c r="J655" t="n">
        <v>0</v>
      </c>
      <c r="K655" t="n">
        <v>0</v>
      </c>
      <c r="L655" t="n">
        <v>0</v>
      </c>
      <c r="M655" t="n">
        <v>0</v>
      </c>
      <c r="N655" t="n">
        <v>0</v>
      </c>
      <c r="O655" t="n">
        <v>0</v>
      </c>
      <c r="P655" t="n">
        <v>0</v>
      </c>
      <c r="Q655" t="n">
        <v>0</v>
      </c>
      <c r="R655" s="2" t="inlineStr"/>
    </row>
    <row r="656" ht="15" customHeight="1">
      <c r="A656" t="inlineStr">
        <is>
          <t>A 24501-2023</t>
        </is>
      </c>
      <c r="B656" s="1" t="n">
        <v>45082</v>
      </c>
      <c r="C656" s="1" t="n">
        <v>45927</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24520-2023</t>
        </is>
      </c>
      <c r="B657" s="1" t="n">
        <v>45082.68922453704</v>
      </c>
      <c r="C657" s="1" t="n">
        <v>45927</v>
      </c>
      <c r="D657" t="inlineStr">
        <is>
          <t>STOCKHOLMS LÄN</t>
        </is>
      </c>
      <c r="E657" t="inlineStr">
        <is>
          <t>NORRTÄLJE</t>
        </is>
      </c>
      <c r="G657" t="n">
        <v>4.3</v>
      </c>
      <c r="H657" t="n">
        <v>0</v>
      </c>
      <c r="I657" t="n">
        <v>0</v>
      </c>
      <c r="J657" t="n">
        <v>0</v>
      </c>
      <c r="K657" t="n">
        <v>0</v>
      </c>
      <c r="L657" t="n">
        <v>0</v>
      </c>
      <c r="M657" t="n">
        <v>0</v>
      </c>
      <c r="N657" t="n">
        <v>0</v>
      </c>
      <c r="O657" t="n">
        <v>0</v>
      </c>
      <c r="P657" t="n">
        <v>0</v>
      </c>
      <c r="Q657" t="n">
        <v>0</v>
      </c>
      <c r="R657" s="2" t="inlineStr"/>
    </row>
    <row r="658" ht="15" customHeight="1">
      <c r="A658" t="inlineStr">
        <is>
          <t>A 37085-2021</t>
        </is>
      </c>
      <c r="B658" s="1" t="n">
        <v>44395</v>
      </c>
      <c r="C658" s="1" t="n">
        <v>45927</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56428-2023</t>
        </is>
      </c>
      <c r="B659" s="1" t="n">
        <v>45243.45289351852</v>
      </c>
      <c r="C659" s="1" t="n">
        <v>45927</v>
      </c>
      <c r="D659" t="inlineStr">
        <is>
          <t>STOCKHOLMS LÄN</t>
        </is>
      </c>
      <c r="E659" t="inlineStr">
        <is>
          <t>NORRTÄLJE</t>
        </is>
      </c>
      <c r="F659" t="inlineStr">
        <is>
          <t>Kyrkan</t>
        </is>
      </c>
      <c r="G659" t="n">
        <v>1.3</v>
      </c>
      <c r="H659" t="n">
        <v>0</v>
      </c>
      <c r="I659" t="n">
        <v>0</v>
      </c>
      <c r="J659" t="n">
        <v>0</v>
      </c>
      <c r="K659" t="n">
        <v>0</v>
      </c>
      <c r="L659" t="n">
        <v>0</v>
      </c>
      <c r="M659" t="n">
        <v>0</v>
      </c>
      <c r="N659" t="n">
        <v>0</v>
      </c>
      <c r="O659" t="n">
        <v>0</v>
      </c>
      <c r="P659" t="n">
        <v>0</v>
      </c>
      <c r="Q659" t="n">
        <v>0</v>
      </c>
      <c r="R659" s="2" t="inlineStr"/>
    </row>
    <row r="660" ht="15" customHeight="1">
      <c r="A660" t="inlineStr">
        <is>
          <t>A 60654-2023</t>
        </is>
      </c>
      <c r="B660" s="1" t="n">
        <v>45260.43225694444</v>
      </c>
      <c r="C660" s="1" t="n">
        <v>45927</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60656-2023</t>
        </is>
      </c>
      <c r="B661" s="1" t="n">
        <v>45260.4333449074</v>
      </c>
      <c r="C661" s="1" t="n">
        <v>45927</v>
      </c>
      <c r="D661" t="inlineStr">
        <is>
          <t>STOCKHOLMS LÄN</t>
        </is>
      </c>
      <c r="E661" t="inlineStr">
        <is>
          <t>NORRTÄLJE</t>
        </is>
      </c>
      <c r="G661" t="n">
        <v>4.8</v>
      </c>
      <c r="H661" t="n">
        <v>0</v>
      </c>
      <c r="I661" t="n">
        <v>0</v>
      </c>
      <c r="J661" t="n">
        <v>0</v>
      </c>
      <c r="K661" t="n">
        <v>0</v>
      </c>
      <c r="L661" t="n">
        <v>0</v>
      </c>
      <c r="M661" t="n">
        <v>0</v>
      </c>
      <c r="N661" t="n">
        <v>0</v>
      </c>
      <c r="O661" t="n">
        <v>0</v>
      </c>
      <c r="P661" t="n">
        <v>0</v>
      </c>
      <c r="Q661" t="n">
        <v>0</v>
      </c>
      <c r="R661" s="2" t="inlineStr"/>
    </row>
    <row r="662" ht="15" customHeight="1">
      <c r="A662" t="inlineStr">
        <is>
          <t>A 54496-2024</t>
        </is>
      </c>
      <c r="B662" s="1" t="n">
        <v>45617.57439814815</v>
      </c>
      <c r="C662" s="1" t="n">
        <v>45927</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17556-2025</t>
        </is>
      </c>
      <c r="B663" s="1" t="n">
        <v>45757.62482638889</v>
      </c>
      <c r="C663" s="1" t="n">
        <v>45927</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21386-2023</t>
        </is>
      </c>
      <c r="B664" s="1" t="n">
        <v>45063.35880787037</v>
      </c>
      <c r="C664" s="1" t="n">
        <v>45927</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42094-2023</t>
        </is>
      </c>
      <c r="B665" s="1" t="n">
        <v>45177.61498842593</v>
      </c>
      <c r="C665" s="1" t="n">
        <v>45927</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10642-2025</t>
        </is>
      </c>
      <c r="B666" s="1" t="n">
        <v>45721.65858796296</v>
      </c>
      <c r="C666" s="1" t="n">
        <v>45927</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20144-2023</t>
        </is>
      </c>
      <c r="B667" s="1" t="n">
        <v>45055.43509259259</v>
      </c>
      <c r="C667" s="1" t="n">
        <v>45927</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53312-2024</t>
        </is>
      </c>
      <c r="B668" s="1" t="n">
        <v>45614.39627314815</v>
      </c>
      <c r="C668" s="1" t="n">
        <v>45927</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39202-2024</t>
        </is>
      </c>
      <c r="B669" s="1" t="n">
        <v>45548.72306712963</v>
      </c>
      <c r="C669" s="1" t="n">
        <v>45927</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8370-2025</t>
        </is>
      </c>
      <c r="B670" s="1" t="n">
        <v>45708</v>
      </c>
      <c r="C670" s="1" t="n">
        <v>45927</v>
      </c>
      <c r="D670" t="inlineStr">
        <is>
          <t>STOCKHOLMS LÄN</t>
        </is>
      </c>
      <c r="E670" t="inlineStr">
        <is>
          <t>NORRTÄLJE</t>
        </is>
      </c>
      <c r="F670" t="inlineStr">
        <is>
          <t>Övriga Aktiebolag</t>
        </is>
      </c>
      <c r="G670" t="n">
        <v>5.6</v>
      </c>
      <c r="H670" t="n">
        <v>0</v>
      </c>
      <c r="I670" t="n">
        <v>0</v>
      </c>
      <c r="J670" t="n">
        <v>0</v>
      </c>
      <c r="K670" t="n">
        <v>0</v>
      </c>
      <c r="L670" t="n">
        <v>0</v>
      </c>
      <c r="M670" t="n">
        <v>0</v>
      </c>
      <c r="N670" t="n">
        <v>0</v>
      </c>
      <c r="O670" t="n">
        <v>0</v>
      </c>
      <c r="P670" t="n">
        <v>0</v>
      </c>
      <c r="Q670" t="n">
        <v>0</v>
      </c>
      <c r="R670" s="2" t="inlineStr"/>
    </row>
    <row r="671" ht="15" customHeight="1">
      <c r="A671" t="inlineStr">
        <is>
          <t>A 3299-2022</t>
        </is>
      </c>
      <c r="B671" s="1" t="n">
        <v>44584.91001157407</v>
      </c>
      <c r="C671" s="1" t="n">
        <v>45927</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12348-2025</t>
        </is>
      </c>
      <c r="B672" s="1" t="n">
        <v>45730.35026620371</v>
      </c>
      <c r="C672" s="1" t="n">
        <v>45927</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22756-2022</t>
        </is>
      </c>
      <c r="B673" s="1" t="n">
        <v>44714.92253472222</v>
      </c>
      <c r="C673" s="1" t="n">
        <v>45927</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4581-2025</t>
        </is>
      </c>
      <c r="B674" s="1" t="n">
        <v>45687</v>
      </c>
      <c r="C674" s="1" t="n">
        <v>45927</v>
      </c>
      <c r="D674" t="inlineStr">
        <is>
          <t>STOCKHOLMS LÄN</t>
        </is>
      </c>
      <c r="E674" t="inlineStr">
        <is>
          <t>NORRTÄLJE</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17545-2025</t>
        </is>
      </c>
      <c r="B675" s="1" t="n">
        <v>45757.60658564815</v>
      </c>
      <c r="C675" s="1" t="n">
        <v>45927</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25094-2023</t>
        </is>
      </c>
      <c r="B676" s="1" t="n">
        <v>45086.3629050926</v>
      </c>
      <c r="C676" s="1" t="n">
        <v>45927</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36157-2024</t>
        </is>
      </c>
      <c r="B677" s="1" t="n">
        <v>45534.38240740741</v>
      </c>
      <c r="C677" s="1" t="n">
        <v>45927</v>
      </c>
      <c r="D677" t="inlineStr">
        <is>
          <t>STOCKHOLMS LÄN</t>
        </is>
      </c>
      <c r="E677" t="inlineStr">
        <is>
          <t>NORRTÄLJE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47694-2023</t>
        </is>
      </c>
      <c r="B678" s="1" t="n">
        <v>45203.63303240741</v>
      </c>
      <c r="C678" s="1" t="n">
        <v>45927</v>
      </c>
      <c r="D678" t="inlineStr">
        <is>
          <t>STOCKHOLMS LÄN</t>
        </is>
      </c>
      <c r="E678" t="inlineStr">
        <is>
          <t>NORRTÄLJE</t>
        </is>
      </c>
      <c r="G678" t="n">
        <v>5.2</v>
      </c>
      <c r="H678" t="n">
        <v>0</v>
      </c>
      <c r="I678" t="n">
        <v>0</v>
      </c>
      <c r="J678" t="n">
        <v>0</v>
      </c>
      <c r="K678" t="n">
        <v>0</v>
      </c>
      <c r="L678" t="n">
        <v>0</v>
      </c>
      <c r="M678" t="n">
        <v>0</v>
      </c>
      <c r="N678" t="n">
        <v>0</v>
      </c>
      <c r="O678" t="n">
        <v>0</v>
      </c>
      <c r="P678" t="n">
        <v>0</v>
      </c>
      <c r="Q678" t="n">
        <v>0</v>
      </c>
      <c r="R678" s="2" t="inlineStr"/>
    </row>
    <row r="679" ht="15" customHeight="1">
      <c r="A679" t="inlineStr">
        <is>
          <t>A 35532-2024</t>
        </is>
      </c>
      <c r="B679" s="1" t="n">
        <v>45531</v>
      </c>
      <c r="C679" s="1" t="n">
        <v>45927</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60765-2023</t>
        </is>
      </c>
      <c r="B680" s="1" t="n">
        <v>45260</v>
      </c>
      <c r="C680" s="1" t="n">
        <v>45927</v>
      </c>
      <c r="D680" t="inlineStr">
        <is>
          <t>STOCKHOLMS LÄN</t>
        </is>
      </c>
      <c r="E680" t="inlineStr">
        <is>
          <t>NORRTÄLJE</t>
        </is>
      </c>
      <c r="G680" t="n">
        <v>3.7</v>
      </c>
      <c r="H680" t="n">
        <v>0</v>
      </c>
      <c r="I680" t="n">
        <v>0</v>
      </c>
      <c r="J680" t="n">
        <v>0</v>
      </c>
      <c r="K680" t="n">
        <v>0</v>
      </c>
      <c r="L680" t="n">
        <v>0</v>
      </c>
      <c r="M680" t="n">
        <v>0</v>
      </c>
      <c r="N680" t="n">
        <v>0</v>
      </c>
      <c r="O680" t="n">
        <v>0</v>
      </c>
      <c r="P680" t="n">
        <v>0</v>
      </c>
      <c r="Q680" t="n">
        <v>0</v>
      </c>
      <c r="R680" s="2" t="inlineStr"/>
    </row>
    <row r="681" ht="15" customHeight="1">
      <c r="A681" t="inlineStr">
        <is>
          <t>A 1654-2025</t>
        </is>
      </c>
      <c r="B681" s="1" t="n">
        <v>45670.65921296296</v>
      </c>
      <c r="C681" s="1" t="n">
        <v>45927</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62644-2023</t>
        </is>
      </c>
      <c r="B682" s="1" t="n">
        <v>45271</v>
      </c>
      <c r="C682" s="1" t="n">
        <v>45927</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23801-2022</t>
        </is>
      </c>
      <c r="B683" s="1" t="n">
        <v>44722</v>
      </c>
      <c r="C683" s="1" t="n">
        <v>45927</v>
      </c>
      <c r="D683" t="inlineStr">
        <is>
          <t>STOCKHOLMS LÄN</t>
        </is>
      </c>
      <c r="E683" t="inlineStr">
        <is>
          <t>NORRTÄLJE</t>
        </is>
      </c>
      <c r="G683" t="n">
        <v>6.8</v>
      </c>
      <c r="H683" t="n">
        <v>0</v>
      </c>
      <c r="I683" t="n">
        <v>0</v>
      </c>
      <c r="J683" t="n">
        <v>0</v>
      </c>
      <c r="K683" t="n">
        <v>0</v>
      </c>
      <c r="L683" t="n">
        <v>0</v>
      </c>
      <c r="M683" t="n">
        <v>0</v>
      </c>
      <c r="N683" t="n">
        <v>0</v>
      </c>
      <c r="O683" t="n">
        <v>0</v>
      </c>
      <c r="P683" t="n">
        <v>0</v>
      </c>
      <c r="Q683" t="n">
        <v>0</v>
      </c>
      <c r="R683" s="2" t="inlineStr"/>
    </row>
    <row r="684" ht="15" customHeight="1">
      <c r="A684" t="inlineStr">
        <is>
          <t>A 11229-2022</t>
        </is>
      </c>
      <c r="B684" s="1" t="n">
        <v>44629</v>
      </c>
      <c r="C684" s="1" t="n">
        <v>45927</v>
      </c>
      <c r="D684" t="inlineStr">
        <is>
          <t>STOCKHOLMS LÄN</t>
        </is>
      </c>
      <c r="E684" t="inlineStr">
        <is>
          <t>NORRTÄLJE</t>
        </is>
      </c>
      <c r="F684" t="inlineStr">
        <is>
          <t>Övriga Aktiebolag</t>
        </is>
      </c>
      <c r="G684" t="n">
        <v>4.1</v>
      </c>
      <c r="H684" t="n">
        <v>0</v>
      </c>
      <c r="I684" t="n">
        <v>0</v>
      </c>
      <c r="J684" t="n">
        <v>0</v>
      </c>
      <c r="K684" t="n">
        <v>0</v>
      </c>
      <c r="L684" t="n">
        <v>0</v>
      </c>
      <c r="M684" t="n">
        <v>0</v>
      </c>
      <c r="N684" t="n">
        <v>0</v>
      </c>
      <c r="O684" t="n">
        <v>0</v>
      </c>
      <c r="P684" t="n">
        <v>0</v>
      </c>
      <c r="Q684" t="n">
        <v>0</v>
      </c>
      <c r="R684" s="2" t="inlineStr"/>
    </row>
    <row r="685" ht="15" customHeight="1">
      <c r="A685" t="inlineStr">
        <is>
          <t>A 59276-2023</t>
        </is>
      </c>
      <c r="B685" s="1" t="n">
        <v>45253.55641203704</v>
      </c>
      <c r="C685" s="1" t="n">
        <v>45927</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46914-2022</t>
        </is>
      </c>
      <c r="B686" s="1" t="n">
        <v>44851</v>
      </c>
      <c r="C686" s="1" t="n">
        <v>45927</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53607-2020</t>
        </is>
      </c>
      <c r="B687" s="1" t="n">
        <v>44124</v>
      </c>
      <c r="C687" s="1" t="n">
        <v>45927</v>
      </c>
      <c r="D687" t="inlineStr">
        <is>
          <t>STOCKHOLMS LÄN</t>
        </is>
      </c>
      <c r="E687" t="inlineStr">
        <is>
          <t>NORRTÄLJE</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18541-2023</t>
        </is>
      </c>
      <c r="B688" s="1" t="n">
        <v>45042.74291666667</v>
      </c>
      <c r="C688" s="1" t="n">
        <v>45927</v>
      </c>
      <c r="D688" t="inlineStr">
        <is>
          <t>STOCKHOLMS LÄN</t>
        </is>
      </c>
      <c r="E688" t="inlineStr">
        <is>
          <t>NORRTÄLJE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3509-2022</t>
        </is>
      </c>
      <c r="B689" s="1" t="n">
        <v>44585</v>
      </c>
      <c r="C689" s="1" t="n">
        <v>45927</v>
      </c>
      <c r="D689" t="inlineStr">
        <is>
          <t>STOCKHOLMS LÄN</t>
        </is>
      </c>
      <c r="E689" t="inlineStr">
        <is>
          <t>NORRTÄLJE</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26407-2024</t>
        </is>
      </c>
      <c r="B690" s="1" t="n">
        <v>45469</v>
      </c>
      <c r="C690" s="1" t="n">
        <v>45927</v>
      </c>
      <c r="D690" t="inlineStr">
        <is>
          <t>STOCKHOLMS LÄN</t>
        </is>
      </c>
      <c r="E690" t="inlineStr">
        <is>
          <t>NORRTÄLJE</t>
        </is>
      </c>
      <c r="G690" t="n">
        <v>3.5</v>
      </c>
      <c r="H690" t="n">
        <v>0</v>
      </c>
      <c r="I690" t="n">
        <v>0</v>
      </c>
      <c r="J690" t="n">
        <v>0</v>
      </c>
      <c r="K690" t="n">
        <v>0</v>
      </c>
      <c r="L690" t="n">
        <v>0</v>
      </c>
      <c r="M690" t="n">
        <v>0</v>
      </c>
      <c r="N690" t="n">
        <v>0</v>
      </c>
      <c r="O690" t="n">
        <v>0</v>
      </c>
      <c r="P690" t="n">
        <v>0</v>
      </c>
      <c r="Q690" t="n">
        <v>0</v>
      </c>
      <c r="R690" s="2" t="inlineStr"/>
    </row>
    <row r="691" ht="15" customHeight="1">
      <c r="A691" t="inlineStr">
        <is>
          <t>A 12890-2024</t>
        </is>
      </c>
      <c r="B691" s="1" t="n">
        <v>45385.36243055556</v>
      </c>
      <c r="C691" s="1" t="n">
        <v>45927</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57353-2024</t>
        </is>
      </c>
      <c r="B692" s="1" t="n">
        <v>45629.65143518519</v>
      </c>
      <c r="C692" s="1" t="n">
        <v>45927</v>
      </c>
      <c r="D692" t="inlineStr">
        <is>
          <t>STOCKHOLMS LÄN</t>
        </is>
      </c>
      <c r="E692" t="inlineStr">
        <is>
          <t>NORRTÄLJE</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48587-2023</t>
        </is>
      </c>
      <c r="B693" s="1" t="n">
        <v>45208</v>
      </c>
      <c r="C693" s="1" t="n">
        <v>45927</v>
      </c>
      <c r="D693" t="inlineStr">
        <is>
          <t>STOCKHOLMS LÄN</t>
        </is>
      </c>
      <c r="E693" t="inlineStr">
        <is>
          <t>NORRTÄLJE</t>
        </is>
      </c>
      <c r="G693" t="n">
        <v>7</v>
      </c>
      <c r="H693" t="n">
        <v>0</v>
      </c>
      <c r="I693" t="n">
        <v>0</v>
      </c>
      <c r="J693" t="n">
        <v>0</v>
      </c>
      <c r="K693" t="n">
        <v>0</v>
      </c>
      <c r="L693" t="n">
        <v>0</v>
      </c>
      <c r="M693" t="n">
        <v>0</v>
      </c>
      <c r="N693" t="n">
        <v>0</v>
      </c>
      <c r="O693" t="n">
        <v>0</v>
      </c>
      <c r="P693" t="n">
        <v>0</v>
      </c>
      <c r="Q693" t="n">
        <v>0</v>
      </c>
      <c r="R693" s="2" t="inlineStr"/>
    </row>
    <row r="694" ht="15" customHeight="1">
      <c r="A694" t="inlineStr">
        <is>
          <t>A 13291-2025</t>
        </is>
      </c>
      <c r="B694" s="1" t="n">
        <v>45735</v>
      </c>
      <c r="C694" s="1" t="n">
        <v>45927</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2549-2022</t>
        </is>
      </c>
      <c r="B695" s="1" t="n">
        <v>44580</v>
      </c>
      <c r="C695" s="1" t="n">
        <v>45927</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4438-2023</t>
        </is>
      </c>
      <c r="B696" s="1" t="n">
        <v>44956</v>
      </c>
      <c r="C696" s="1" t="n">
        <v>45927</v>
      </c>
      <c r="D696" t="inlineStr">
        <is>
          <t>STOCKHOLMS LÄN</t>
        </is>
      </c>
      <c r="E696" t="inlineStr">
        <is>
          <t>NORRTÄLJE</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47419-2023</t>
        </is>
      </c>
      <c r="B697" s="1" t="n">
        <v>45202.65660879629</v>
      </c>
      <c r="C697" s="1" t="n">
        <v>45927</v>
      </c>
      <c r="D697" t="inlineStr">
        <is>
          <t>STOCKHOLMS LÄN</t>
        </is>
      </c>
      <c r="E697" t="inlineStr">
        <is>
          <t>NORRTÄLJE</t>
        </is>
      </c>
      <c r="G697" t="n">
        <v>11.4</v>
      </c>
      <c r="H697" t="n">
        <v>0</v>
      </c>
      <c r="I697" t="n">
        <v>0</v>
      </c>
      <c r="J697" t="n">
        <v>0</v>
      </c>
      <c r="K697" t="n">
        <v>0</v>
      </c>
      <c r="L697" t="n">
        <v>0</v>
      </c>
      <c r="M697" t="n">
        <v>0</v>
      </c>
      <c r="N697" t="n">
        <v>0</v>
      </c>
      <c r="O697" t="n">
        <v>0</v>
      </c>
      <c r="P697" t="n">
        <v>0</v>
      </c>
      <c r="Q697" t="n">
        <v>0</v>
      </c>
      <c r="R697" s="2" t="inlineStr"/>
    </row>
    <row r="698" ht="15" customHeight="1">
      <c r="A698" t="inlineStr">
        <is>
          <t>A 23070-2023</t>
        </is>
      </c>
      <c r="B698" s="1" t="n">
        <v>45075</v>
      </c>
      <c r="C698" s="1" t="n">
        <v>45927</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27824-2022</t>
        </is>
      </c>
      <c r="B699" s="1" t="n">
        <v>44743.59331018518</v>
      </c>
      <c r="C699" s="1" t="n">
        <v>45927</v>
      </c>
      <c r="D699" t="inlineStr">
        <is>
          <t>STOCKHOLMS LÄN</t>
        </is>
      </c>
      <c r="E699" t="inlineStr">
        <is>
          <t>NORRTÄLJE</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47758-2023</t>
        </is>
      </c>
      <c r="B700" s="1" t="n">
        <v>45203.83891203703</v>
      </c>
      <c r="C700" s="1" t="n">
        <v>45927</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25619-2022</t>
        </is>
      </c>
      <c r="B701" s="1" t="n">
        <v>44732</v>
      </c>
      <c r="C701" s="1" t="n">
        <v>45927</v>
      </c>
      <c r="D701" t="inlineStr">
        <is>
          <t>STOCKHOLMS LÄN</t>
        </is>
      </c>
      <c r="E701" t="inlineStr">
        <is>
          <t>NORRTÄLJE</t>
        </is>
      </c>
      <c r="G701" t="n">
        <v>3.9</v>
      </c>
      <c r="H701" t="n">
        <v>0</v>
      </c>
      <c r="I701" t="n">
        <v>0</v>
      </c>
      <c r="J701" t="n">
        <v>0</v>
      </c>
      <c r="K701" t="n">
        <v>0</v>
      </c>
      <c r="L701" t="n">
        <v>0</v>
      </c>
      <c r="M701" t="n">
        <v>0</v>
      </c>
      <c r="N701" t="n">
        <v>0</v>
      </c>
      <c r="O701" t="n">
        <v>0</v>
      </c>
      <c r="P701" t="n">
        <v>0</v>
      </c>
      <c r="Q701" t="n">
        <v>0</v>
      </c>
      <c r="R701" s="2" t="inlineStr"/>
    </row>
    <row r="702" ht="15" customHeight="1">
      <c r="A702" t="inlineStr">
        <is>
          <t>A 29250-2025</t>
        </is>
      </c>
      <c r="B702" s="1" t="n">
        <v>45824.37275462963</v>
      </c>
      <c r="C702" s="1" t="n">
        <v>45927</v>
      </c>
      <c r="D702" t="inlineStr">
        <is>
          <t>STOCKHOLMS LÄN</t>
        </is>
      </c>
      <c r="E702" t="inlineStr">
        <is>
          <t>NORRTÄLJE</t>
        </is>
      </c>
      <c r="F702" t="inlineStr">
        <is>
          <t>Sveaskog</t>
        </is>
      </c>
      <c r="G702" t="n">
        <v>6.4</v>
      </c>
      <c r="H702" t="n">
        <v>0</v>
      </c>
      <c r="I702" t="n">
        <v>0</v>
      </c>
      <c r="J702" t="n">
        <v>0</v>
      </c>
      <c r="K702" t="n">
        <v>0</v>
      </c>
      <c r="L702" t="n">
        <v>0</v>
      </c>
      <c r="M702" t="n">
        <v>0</v>
      </c>
      <c r="N702" t="n">
        <v>0</v>
      </c>
      <c r="O702" t="n">
        <v>0</v>
      </c>
      <c r="P702" t="n">
        <v>0</v>
      </c>
      <c r="Q702" t="n">
        <v>0</v>
      </c>
      <c r="R702" s="2" t="inlineStr"/>
    </row>
    <row r="703" ht="15" customHeight="1">
      <c r="A703" t="inlineStr">
        <is>
          <t>A 51061-2023</t>
        </is>
      </c>
      <c r="B703" s="1" t="n">
        <v>45218.65849537037</v>
      </c>
      <c r="C703" s="1" t="n">
        <v>45927</v>
      </c>
      <c r="D703" t="inlineStr">
        <is>
          <t>STOCKHOLMS LÄN</t>
        </is>
      </c>
      <c r="E703" t="inlineStr">
        <is>
          <t>NORRTÄLJE</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22697-2022</t>
        </is>
      </c>
      <c r="B704" s="1" t="n">
        <v>44714.56040509259</v>
      </c>
      <c r="C704" s="1" t="n">
        <v>45927</v>
      </c>
      <c r="D704" t="inlineStr">
        <is>
          <t>STOCKHOLMS LÄN</t>
        </is>
      </c>
      <c r="E704" t="inlineStr">
        <is>
          <t>NORRTÄLJE</t>
        </is>
      </c>
      <c r="G704" t="n">
        <v>5.6</v>
      </c>
      <c r="H704" t="n">
        <v>0</v>
      </c>
      <c r="I704" t="n">
        <v>0</v>
      </c>
      <c r="J704" t="n">
        <v>0</v>
      </c>
      <c r="K704" t="n">
        <v>0</v>
      </c>
      <c r="L704" t="n">
        <v>0</v>
      </c>
      <c r="M704" t="n">
        <v>0</v>
      </c>
      <c r="N704" t="n">
        <v>0</v>
      </c>
      <c r="O704" t="n">
        <v>0</v>
      </c>
      <c r="P704" t="n">
        <v>0</v>
      </c>
      <c r="Q704" t="n">
        <v>0</v>
      </c>
      <c r="R704" s="2" t="inlineStr"/>
    </row>
    <row r="705" ht="15" customHeight="1">
      <c r="A705" t="inlineStr">
        <is>
          <t>A 45549-2022</t>
        </is>
      </c>
      <c r="B705" s="1" t="n">
        <v>44845.48064814815</v>
      </c>
      <c r="C705" s="1" t="n">
        <v>45927</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54396-2021</t>
        </is>
      </c>
      <c r="B706" s="1" t="n">
        <v>44472</v>
      </c>
      <c r="C706" s="1" t="n">
        <v>45927</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24727-2023</t>
        </is>
      </c>
      <c r="B707" s="1" t="n">
        <v>45084.57695601852</v>
      </c>
      <c r="C707" s="1" t="n">
        <v>45927</v>
      </c>
      <c r="D707" t="inlineStr">
        <is>
          <t>STOCKHOLMS LÄN</t>
        </is>
      </c>
      <c r="E707" t="inlineStr">
        <is>
          <t>NORRTÄLJE</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36246-2021</t>
        </is>
      </c>
      <c r="B708" s="1" t="n">
        <v>44390</v>
      </c>
      <c r="C708" s="1" t="n">
        <v>45927</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48722-2023</t>
        </is>
      </c>
      <c r="B709" s="1" t="n">
        <v>45208.70996527778</v>
      </c>
      <c r="C709" s="1" t="n">
        <v>45927</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35235-2024</t>
        </is>
      </c>
      <c r="B710" s="1" t="n">
        <v>45530</v>
      </c>
      <c r="C710" s="1" t="n">
        <v>45927</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19952-2023</t>
        </is>
      </c>
      <c r="B711" s="1" t="n">
        <v>45054.54091435186</v>
      </c>
      <c r="C711" s="1" t="n">
        <v>45927</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19994-2023</t>
        </is>
      </c>
      <c r="B712" s="1" t="n">
        <v>45054</v>
      </c>
      <c r="C712" s="1" t="n">
        <v>45927</v>
      </c>
      <c r="D712" t="inlineStr">
        <is>
          <t>STOCKHOLMS LÄN</t>
        </is>
      </c>
      <c r="E712" t="inlineStr">
        <is>
          <t>NORRTÄLJE</t>
        </is>
      </c>
      <c r="G712" t="n">
        <v>4.3</v>
      </c>
      <c r="H712" t="n">
        <v>0</v>
      </c>
      <c r="I712" t="n">
        <v>0</v>
      </c>
      <c r="J712" t="n">
        <v>0</v>
      </c>
      <c r="K712" t="n">
        <v>0</v>
      </c>
      <c r="L712" t="n">
        <v>0</v>
      </c>
      <c r="M712" t="n">
        <v>0</v>
      </c>
      <c r="N712" t="n">
        <v>0</v>
      </c>
      <c r="O712" t="n">
        <v>0</v>
      </c>
      <c r="P712" t="n">
        <v>0</v>
      </c>
      <c r="Q712" t="n">
        <v>0</v>
      </c>
      <c r="R712" s="2" t="inlineStr"/>
    </row>
    <row r="713" ht="15" customHeight="1">
      <c r="A713" t="inlineStr">
        <is>
          <t>A 1448-2023</t>
        </is>
      </c>
      <c r="B713" s="1" t="n">
        <v>44937</v>
      </c>
      <c r="C713" s="1" t="n">
        <v>45927</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14130-2025</t>
        </is>
      </c>
      <c r="B714" s="1" t="n">
        <v>45740.47288194444</v>
      </c>
      <c r="C714" s="1" t="n">
        <v>45927</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574-2023</t>
        </is>
      </c>
      <c r="B715" s="1" t="n">
        <v>44925</v>
      </c>
      <c r="C715" s="1" t="n">
        <v>45927</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30283-2022</t>
        </is>
      </c>
      <c r="B716" s="1" t="n">
        <v>44760</v>
      </c>
      <c r="C716" s="1" t="n">
        <v>45927</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30290-2022</t>
        </is>
      </c>
      <c r="B717" s="1" t="n">
        <v>44760</v>
      </c>
      <c r="C717" s="1" t="n">
        <v>45927</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3143-2021</t>
        </is>
      </c>
      <c r="B718" s="1" t="n">
        <v>44217.40149305556</v>
      </c>
      <c r="C718" s="1" t="n">
        <v>45927</v>
      </c>
      <c r="D718" t="inlineStr">
        <is>
          <t>STOCKHOLMS LÄN</t>
        </is>
      </c>
      <c r="E718" t="inlineStr">
        <is>
          <t>NORRTÄLJE</t>
        </is>
      </c>
      <c r="G718" t="n">
        <v>1.2</v>
      </c>
      <c r="H718" t="n">
        <v>0</v>
      </c>
      <c r="I718" t="n">
        <v>0</v>
      </c>
      <c r="J718" t="n">
        <v>0</v>
      </c>
      <c r="K718" t="n">
        <v>0</v>
      </c>
      <c r="L718" t="n">
        <v>0</v>
      </c>
      <c r="M718" t="n">
        <v>0</v>
      </c>
      <c r="N718" t="n">
        <v>0</v>
      </c>
      <c r="O718" t="n">
        <v>0</v>
      </c>
      <c r="P718" t="n">
        <v>0</v>
      </c>
      <c r="Q718" t="n">
        <v>0</v>
      </c>
      <c r="R718" s="2" t="inlineStr"/>
    </row>
    <row r="719" ht="15" customHeight="1">
      <c r="A719" t="inlineStr">
        <is>
          <t>A 29684-2021</t>
        </is>
      </c>
      <c r="B719" s="1" t="n">
        <v>44362.37172453704</v>
      </c>
      <c r="C719" s="1" t="n">
        <v>45927</v>
      </c>
      <c r="D719" t="inlineStr">
        <is>
          <t>STOCKHOLMS LÄN</t>
        </is>
      </c>
      <c r="E719" t="inlineStr">
        <is>
          <t>NORRTÄLJE</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8736-2024</t>
        </is>
      </c>
      <c r="B720" s="1" t="n">
        <v>45356.4722800926</v>
      </c>
      <c r="C720" s="1" t="n">
        <v>45927</v>
      </c>
      <c r="D720" t="inlineStr">
        <is>
          <t>STOCKHOLMS LÄN</t>
        </is>
      </c>
      <c r="E720" t="inlineStr">
        <is>
          <t>NORRTÄLJE</t>
        </is>
      </c>
      <c r="G720" t="n">
        <v>8.9</v>
      </c>
      <c r="H720" t="n">
        <v>0</v>
      </c>
      <c r="I720" t="n">
        <v>0</v>
      </c>
      <c r="J720" t="n">
        <v>0</v>
      </c>
      <c r="K720" t="n">
        <v>0</v>
      </c>
      <c r="L720" t="n">
        <v>0</v>
      </c>
      <c r="M720" t="n">
        <v>0</v>
      </c>
      <c r="N720" t="n">
        <v>0</v>
      </c>
      <c r="O720" t="n">
        <v>0</v>
      </c>
      <c r="P720" t="n">
        <v>0</v>
      </c>
      <c r="Q720" t="n">
        <v>0</v>
      </c>
      <c r="R720" s="2" t="inlineStr"/>
    </row>
    <row r="721" ht="15" customHeight="1">
      <c r="A721" t="inlineStr">
        <is>
          <t>A 33149-2022</t>
        </is>
      </c>
      <c r="B721" s="1" t="n">
        <v>44785</v>
      </c>
      <c r="C721" s="1" t="n">
        <v>45927</v>
      </c>
      <c r="D721" t="inlineStr">
        <is>
          <t>STOCKHOLMS LÄN</t>
        </is>
      </c>
      <c r="E721" t="inlineStr">
        <is>
          <t>NORRTÄLJE</t>
        </is>
      </c>
      <c r="F721" t="inlineStr">
        <is>
          <t>Holmen skog AB</t>
        </is>
      </c>
      <c r="G721" t="n">
        <v>4.4</v>
      </c>
      <c r="H721" t="n">
        <v>0</v>
      </c>
      <c r="I721" t="n">
        <v>0</v>
      </c>
      <c r="J721" t="n">
        <v>0</v>
      </c>
      <c r="K721" t="n">
        <v>0</v>
      </c>
      <c r="L721" t="n">
        <v>0</v>
      </c>
      <c r="M721" t="n">
        <v>0</v>
      </c>
      <c r="N721" t="n">
        <v>0</v>
      </c>
      <c r="O721" t="n">
        <v>0</v>
      </c>
      <c r="P721" t="n">
        <v>0</v>
      </c>
      <c r="Q721" t="n">
        <v>0</v>
      </c>
      <c r="R721" s="2" t="inlineStr"/>
    </row>
    <row r="722" ht="15" customHeight="1">
      <c r="A722" t="inlineStr">
        <is>
          <t>A 60884-2024</t>
        </is>
      </c>
      <c r="B722" s="1" t="n">
        <v>45644.90815972222</v>
      </c>
      <c r="C722" s="1" t="n">
        <v>45927</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38610-2022</t>
        </is>
      </c>
      <c r="B723" s="1" t="n">
        <v>44813.59915509259</v>
      </c>
      <c r="C723" s="1" t="n">
        <v>45927</v>
      </c>
      <c r="D723" t="inlineStr">
        <is>
          <t>STOCKHOLMS LÄN</t>
        </is>
      </c>
      <c r="E723" t="inlineStr">
        <is>
          <t>NORRTÄLJE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10090-2022</t>
        </is>
      </c>
      <c r="B724" s="1" t="n">
        <v>44621</v>
      </c>
      <c r="C724" s="1" t="n">
        <v>45927</v>
      </c>
      <c r="D724" t="inlineStr">
        <is>
          <t>STOCKHOLMS LÄN</t>
        </is>
      </c>
      <c r="E724" t="inlineStr">
        <is>
          <t>NORRTÄLJE</t>
        </is>
      </c>
      <c r="G724" t="n">
        <v>5.2</v>
      </c>
      <c r="H724" t="n">
        <v>0</v>
      </c>
      <c r="I724" t="n">
        <v>0</v>
      </c>
      <c r="J724" t="n">
        <v>0</v>
      </c>
      <c r="K724" t="n">
        <v>0</v>
      </c>
      <c r="L724" t="n">
        <v>0</v>
      </c>
      <c r="M724" t="n">
        <v>0</v>
      </c>
      <c r="N724" t="n">
        <v>0</v>
      </c>
      <c r="O724" t="n">
        <v>0</v>
      </c>
      <c r="P724" t="n">
        <v>0</v>
      </c>
      <c r="Q724" t="n">
        <v>0</v>
      </c>
      <c r="R724" s="2" t="inlineStr"/>
    </row>
    <row r="725" ht="15" customHeight="1">
      <c r="A725" t="inlineStr">
        <is>
          <t>A 14724-2022</t>
        </is>
      </c>
      <c r="B725" s="1" t="n">
        <v>44656</v>
      </c>
      <c r="C725" s="1" t="n">
        <v>45927</v>
      </c>
      <c r="D725" t="inlineStr">
        <is>
          <t>STOCKHOLMS LÄN</t>
        </is>
      </c>
      <c r="E725" t="inlineStr">
        <is>
          <t>NORRTÄLJE</t>
        </is>
      </c>
      <c r="F725" t="inlineStr">
        <is>
          <t>Sveaskog</t>
        </is>
      </c>
      <c r="G725" t="n">
        <v>9</v>
      </c>
      <c r="H725" t="n">
        <v>0</v>
      </c>
      <c r="I725" t="n">
        <v>0</v>
      </c>
      <c r="J725" t="n">
        <v>0</v>
      </c>
      <c r="K725" t="n">
        <v>0</v>
      </c>
      <c r="L725" t="n">
        <v>0</v>
      </c>
      <c r="M725" t="n">
        <v>0</v>
      </c>
      <c r="N725" t="n">
        <v>0</v>
      </c>
      <c r="O725" t="n">
        <v>0</v>
      </c>
      <c r="P725" t="n">
        <v>0</v>
      </c>
      <c r="Q725" t="n">
        <v>0</v>
      </c>
      <c r="R725" s="2" t="inlineStr"/>
    </row>
    <row r="726" ht="15" customHeight="1">
      <c r="A726" t="inlineStr">
        <is>
          <t>A 18846-2022</t>
        </is>
      </c>
      <c r="B726" s="1" t="n">
        <v>44690</v>
      </c>
      <c r="C726" s="1" t="n">
        <v>45927</v>
      </c>
      <c r="D726" t="inlineStr">
        <is>
          <t>STOCKHOLMS LÄN</t>
        </is>
      </c>
      <c r="E726" t="inlineStr">
        <is>
          <t>NORRTÄLJE</t>
        </is>
      </c>
      <c r="G726" t="n">
        <v>7</v>
      </c>
      <c r="H726" t="n">
        <v>0</v>
      </c>
      <c r="I726" t="n">
        <v>0</v>
      </c>
      <c r="J726" t="n">
        <v>0</v>
      </c>
      <c r="K726" t="n">
        <v>0</v>
      </c>
      <c r="L726" t="n">
        <v>0</v>
      </c>
      <c r="M726" t="n">
        <v>0</v>
      </c>
      <c r="N726" t="n">
        <v>0</v>
      </c>
      <c r="O726" t="n">
        <v>0</v>
      </c>
      <c r="P726" t="n">
        <v>0</v>
      </c>
      <c r="Q726" t="n">
        <v>0</v>
      </c>
      <c r="R726" s="2" t="inlineStr"/>
    </row>
    <row r="727" ht="15" customHeight="1">
      <c r="A727" t="inlineStr">
        <is>
          <t>A 43300-2023</t>
        </is>
      </c>
      <c r="B727" s="1" t="n">
        <v>45183</v>
      </c>
      <c r="C727" s="1" t="n">
        <v>45927</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25654-2023</t>
        </is>
      </c>
      <c r="B728" s="1" t="n">
        <v>45089</v>
      </c>
      <c r="C728" s="1" t="n">
        <v>45927</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23125-2022</t>
        </is>
      </c>
      <c r="B729" s="1" t="n">
        <v>44719</v>
      </c>
      <c r="C729" s="1" t="n">
        <v>45927</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20121-2022</t>
        </is>
      </c>
      <c r="B730" s="1" t="n">
        <v>44698</v>
      </c>
      <c r="C730" s="1" t="n">
        <v>45927</v>
      </c>
      <c r="D730" t="inlineStr">
        <is>
          <t>STOCKHOLMS LÄN</t>
        </is>
      </c>
      <c r="E730" t="inlineStr">
        <is>
          <t>NORRTÄLJE</t>
        </is>
      </c>
      <c r="G730" t="n">
        <v>4.2</v>
      </c>
      <c r="H730" t="n">
        <v>0</v>
      </c>
      <c r="I730" t="n">
        <v>0</v>
      </c>
      <c r="J730" t="n">
        <v>0</v>
      </c>
      <c r="K730" t="n">
        <v>0</v>
      </c>
      <c r="L730" t="n">
        <v>0</v>
      </c>
      <c r="M730" t="n">
        <v>0</v>
      </c>
      <c r="N730" t="n">
        <v>0</v>
      </c>
      <c r="O730" t="n">
        <v>0</v>
      </c>
      <c r="P730" t="n">
        <v>0</v>
      </c>
      <c r="Q730" t="n">
        <v>0</v>
      </c>
      <c r="R730" s="2" t="inlineStr"/>
    </row>
    <row r="731" ht="15" customHeight="1">
      <c r="A731" t="inlineStr">
        <is>
          <t>A 6537-2024</t>
        </is>
      </c>
      <c r="B731" s="1" t="n">
        <v>45341.39853009259</v>
      </c>
      <c r="C731" s="1" t="n">
        <v>45927</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40175-2024</t>
        </is>
      </c>
      <c r="B732" s="1" t="n">
        <v>45554.55707175926</v>
      </c>
      <c r="C732" s="1" t="n">
        <v>45927</v>
      </c>
      <c r="D732" t="inlineStr">
        <is>
          <t>STOCKHOLMS LÄN</t>
        </is>
      </c>
      <c r="E732" t="inlineStr">
        <is>
          <t>NORRTÄLJE</t>
        </is>
      </c>
      <c r="G732" t="n">
        <v>7.7</v>
      </c>
      <c r="H732" t="n">
        <v>0</v>
      </c>
      <c r="I732" t="n">
        <v>0</v>
      </c>
      <c r="J732" t="n">
        <v>0</v>
      </c>
      <c r="K732" t="n">
        <v>0</v>
      </c>
      <c r="L732" t="n">
        <v>0</v>
      </c>
      <c r="M732" t="n">
        <v>0</v>
      </c>
      <c r="N732" t="n">
        <v>0</v>
      </c>
      <c r="O732" t="n">
        <v>0</v>
      </c>
      <c r="P732" t="n">
        <v>0</v>
      </c>
      <c r="Q732" t="n">
        <v>0</v>
      </c>
      <c r="R732" s="2" t="inlineStr"/>
    </row>
    <row r="733" ht="15" customHeight="1">
      <c r="A733" t="inlineStr">
        <is>
          <t>A 33385-2024</t>
        </is>
      </c>
      <c r="B733" s="1" t="n">
        <v>45519</v>
      </c>
      <c r="C733" s="1" t="n">
        <v>45927</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54558-2024</t>
        </is>
      </c>
      <c r="B734" s="1" t="n">
        <v>45617.62358796296</v>
      </c>
      <c r="C734" s="1" t="n">
        <v>45927</v>
      </c>
      <c r="D734" t="inlineStr">
        <is>
          <t>STOCKHOLMS LÄN</t>
        </is>
      </c>
      <c r="E734" t="inlineStr">
        <is>
          <t>NORRTÄLJE</t>
        </is>
      </c>
      <c r="G734" t="n">
        <v>1.2</v>
      </c>
      <c r="H734" t="n">
        <v>0</v>
      </c>
      <c r="I734" t="n">
        <v>0</v>
      </c>
      <c r="J734" t="n">
        <v>0</v>
      </c>
      <c r="K734" t="n">
        <v>0</v>
      </c>
      <c r="L734" t="n">
        <v>0</v>
      </c>
      <c r="M734" t="n">
        <v>0</v>
      </c>
      <c r="N734" t="n">
        <v>0</v>
      </c>
      <c r="O734" t="n">
        <v>0</v>
      </c>
      <c r="P734" t="n">
        <v>0</v>
      </c>
      <c r="Q734" t="n">
        <v>0</v>
      </c>
      <c r="R734" s="2" t="inlineStr"/>
    </row>
    <row r="735" ht="15" customHeight="1">
      <c r="A735" t="inlineStr">
        <is>
          <t>A 41172-2023</t>
        </is>
      </c>
      <c r="B735" s="1" t="n">
        <v>45170</v>
      </c>
      <c r="C735" s="1" t="n">
        <v>45927</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23056-2023</t>
        </is>
      </c>
      <c r="B736" s="1" t="n">
        <v>45075</v>
      </c>
      <c r="C736" s="1" t="n">
        <v>45927</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67393-2020</t>
        </is>
      </c>
      <c r="B737" s="1" t="n">
        <v>44181</v>
      </c>
      <c r="C737" s="1" t="n">
        <v>45927</v>
      </c>
      <c r="D737" t="inlineStr">
        <is>
          <t>STOCKHOLMS LÄN</t>
        </is>
      </c>
      <c r="E737" t="inlineStr">
        <is>
          <t>NORRTÄLJE</t>
        </is>
      </c>
      <c r="G737" t="n">
        <v>5.5</v>
      </c>
      <c r="H737" t="n">
        <v>0</v>
      </c>
      <c r="I737" t="n">
        <v>0</v>
      </c>
      <c r="J737" t="n">
        <v>0</v>
      </c>
      <c r="K737" t="n">
        <v>0</v>
      </c>
      <c r="L737" t="n">
        <v>0</v>
      </c>
      <c r="M737" t="n">
        <v>0</v>
      </c>
      <c r="N737" t="n">
        <v>0</v>
      </c>
      <c r="O737" t="n">
        <v>0</v>
      </c>
      <c r="P737" t="n">
        <v>0</v>
      </c>
      <c r="Q737" t="n">
        <v>0</v>
      </c>
      <c r="R737" s="2" t="inlineStr"/>
    </row>
    <row r="738" ht="15" customHeight="1">
      <c r="A738" t="inlineStr">
        <is>
          <t>A 73307-2021</t>
        </is>
      </c>
      <c r="B738" s="1" t="n">
        <v>44549</v>
      </c>
      <c r="C738" s="1" t="n">
        <v>45927</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50534-2024</t>
        </is>
      </c>
      <c r="B739" s="1" t="n">
        <v>45601.56726851852</v>
      </c>
      <c r="C739" s="1" t="n">
        <v>45927</v>
      </c>
      <c r="D739" t="inlineStr">
        <is>
          <t>STOCKHOLMS LÄN</t>
        </is>
      </c>
      <c r="E739" t="inlineStr">
        <is>
          <t>NORRTÄLJE</t>
        </is>
      </c>
      <c r="G739" t="n">
        <v>2.6</v>
      </c>
      <c r="H739" t="n">
        <v>0</v>
      </c>
      <c r="I739" t="n">
        <v>0</v>
      </c>
      <c r="J739" t="n">
        <v>0</v>
      </c>
      <c r="K739" t="n">
        <v>0</v>
      </c>
      <c r="L739" t="n">
        <v>0</v>
      </c>
      <c r="M739" t="n">
        <v>0</v>
      </c>
      <c r="N739" t="n">
        <v>0</v>
      </c>
      <c r="O739" t="n">
        <v>0</v>
      </c>
      <c r="P739" t="n">
        <v>0</v>
      </c>
      <c r="Q739" t="n">
        <v>0</v>
      </c>
      <c r="R739" s="2" t="inlineStr"/>
    </row>
    <row r="740" ht="15" customHeight="1">
      <c r="A740" t="inlineStr">
        <is>
          <t>A 11988-2021</t>
        </is>
      </c>
      <c r="B740" s="1" t="n">
        <v>44266</v>
      </c>
      <c r="C740" s="1" t="n">
        <v>45927</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12132-2021</t>
        </is>
      </c>
      <c r="B741" s="1" t="n">
        <v>44266</v>
      </c>
      <c r="C741" s="1" t="n">
        <v>45927</v>
      </c>
      <c r="D741" t="inlineStr">
        <is>
          <t>STOCKHOLMS LÄN</t>
        </is>
      </c>
      <c r="E741" t="inlineStr">
        <is>
          <t>NORRTÄLJE</t>
        </is>
      </c>
      <c r="G741" t="n">
        <v>4</v>
      </c>
      <c r="H741" t="n">
        <v>0</v>
      </c>
      <c r="I741" t="n">
        <v>0</v>
      </c>
      <c r="J741" t="n">
        <v>0</v>
      </c>
      <c r="K741" t="n">
        <v>0</v>
      </c>
      <c r="L741" t="n">
        <v>0</v>
      </c>
      <c r="M741" t="n">
        <v>0</v>
      </c>
      <c r="N741" t="n">
        <v>0</v>
      </c>
      <c r="O741" t="n">
        <v>0</v>
      </c>
      <c r="P741" t="n">
        <v>0</v>
      </c>
      <c r="Q741" t="n">
        <v>0</v>
      </c>
      <c r="R741" s="2" t="inlineStr"/>
    </row>
    <row r="742" ht="15" customHeight="1">
      <c r="A742" t="inlineStr">
        <is>
          <t>A 65499-2021</t>
        </is>
      </c>
      <c r="B742" s="1" t="n">
        <v>44516</v>
      </c>
      <c r="C742" s="1" t="n">
        <v>45927</v>
      </c>
      <c r="D742" t="inlineStr">
        <is>
          <t>STOCKHOLMS LÄN</t>
        </is>
      </c>
      <c r="E742" t="inlineStr">
        <is>
          <t>NORRTÄLJE</t>
        </is>
      </c>
      <c r="F742" t="inlineStr">
        <is>
          <t>Kommuner</t>
        </is>
      </c>
      <c r="G742" t="n">
        <v>5.2</v>
      </c>
      <c r="H742" t="n">
        <v>0</v>
      </c>
      <c r="I742" t="n">
        <v>0</v>
      </c>
      <c r="J742" t="n">
        <v>0</v>
      </c>
      <c r="K742" t="n">
        <v>0</v>
      </c>
      <c r="L742" t="n">
        <v>0</v>
      </c>
      <c r="M742" t="n">
        <v>0</v>
      </c>
      <c r="N742" t="n">
        <v>0</v>
      </c>
      <c r="O742" t="n">
        <v>0</v>
      </c>
      <c r="P742" t="n">
        <v>0</v>
      </c>
      <c r="Q742" t="n">
        <v>0</v>
      </c>
      <c r="R742" s="2" t="inlineStr"/>
    </row>
    <row r="743" ht="15" customHeight="1">
      <c r="A743" t="inlineStr">
        <is>
          <t>A 65511-2021</t>
        </is>
      </c>
      <c r="B743" s="1" t="n">
        <v>44516.40674768519</v>
      </c>
      <c r="C743" s="1" t="n">
        <v>45927</v>
      </c>
      <c r="D743" t="inlineStr">
        <is>
          <t>STOCKHOLMS LÄN</t>
        </is>
      </c>
      <c r="E743" t="inlineStr">
        <is>
          <t>NORRTÄLJE</t>
        </is>
      </c>
      <c r="F743" t="inlineStr">
        <is>
          <t>Kommuner</t>
        </is>
      </c>
      <c r="G743" t="n">
        <v>2.8</v>
      </c>
      <c r="H743" t="n">
        <v>0</v>
      </c>
      <c r="I743" t="n">
        <v>0</v>
      </c>
      <c r="J743" t="n">
        <v>0</v>
      </c>
      <c r="K743" t="n">
        <v>0</v>
      </c>
      <c r="L743" t="n">
        <v>0</v>
      </c>
      <c r="M743" t="n">
        <v>0</v>
      </c>
      <c r="N743" t="n">
        <v>0</v>
      </c>
      <c r="O743" t="n">
        <v>0</v>
      </c>
      <c r="P743" t="n">
        <v>0</v>
      </c>
      <c r="Q743" t="n">
        <v>0</v>
      </c>
      <c r="R743" s="2" t="inlineStr"/>
    </row>
    <row r="744" ht="15" customHeight="1">
      <c r="A744" t="inlineStr">
        <is>
          <t>A 47431-2023</t>
        </is>
      </c>
      <c r="B744" s="1" t="n">
        <v>45202</v>
      </c>
      <c r="C744" s="1" t="n">
        <v>45927</v>
      </c>
      <c r="D744" t="inlineStr">
        <is>
          <t>STOCKHOLMS LÄN</t>
        </is>
      </c>
      <c r="E744" t="inlineStr">
        <is>
          <t>NORRTÄLJE</t>
        </is>
      </c>
      <c r="F744" t="inlineStr">
        <is>
          <t>Naturvårdsverket</t>
        </is>
      </c>
      <c r="G744" t="n">
        <v>1.2</v>
      </c>
      <c r="H744" t="n">
        <v>0</v>
      </c>
      <c r="I744" t="n">
        <v>0</v>
      </c>
      <c r="J744" t="n">
        <v>0</v>
      </c>
      <c r="K744" t="n">
        <v>0</v>
      </c>
      <c r="L744" t="n">
        <v>0</v>
      </c>
      <c r="M744" t="n">
        <v>0</v>
      </c>
      <c r="N744" t="n">
        <v>0</v>
      </c>
      <c r="O744" t="n">
        <v>0</v>
      </c>
      <c r="P744" t="n">
        <v>0</v>
      </c>
      <c r="Q744" t="n">
        <v>0</v>
      </c>
      <c r="R744" s="2" t="inlineStr"/>
    </row>
    <row r="745" ht="15" customHeight="1">
      <c r="A745" t="inlineStr">
        <is>
          <t>A 22833-2024</t>
        </is>
      </c>
      <c r="B745" s="1" t="n">
        <v>45448.56746527777</v>
      </c>
      <c r="C745" s="1" t="n">
        <v>45927</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59499-2023</t>
        </is>
      </c>
      <c r="B746" s="1" t="n">
        <v>45254</v>
      </c>
      <c r="C746" s="1" t="n">
        <v>45927</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59468-2023</t>
        </is>
      </c>
      <c r="B747" s="1" t="n">
        <v>45254.41509259259</v>
      </c>
      <c r="C747" s="1" t="n">
        <v>45927</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32514-2022</t>
        </is>
      </c>
      <c r="B748" s="1" t="n">
        <v>44782</v>
      </c>
      <c r="C748" s="1" t="n">
        <v>45927</v>
      </c>
      <c r="D748" t="inlineStr">
        <is>
          <t>STOCKHOLMS LÄN</t>
        </is>
      </c>
      <c r="E748" t="inlineStr">
        <is>
          <t>NORRTÄLJE</t>
        </is>
      </c>
      <c r="G748" t="n">
        <v>5.1</v>
      </c>
      <c r="H748" t="n">
        <v>0</v>
      </c>
      <c r="I748" t="n">
        <v>0</v>
      </c>
      <c r="J748" t="n">
        <v>0</v>
      </c>
      <c r="K748" t="n">
        <v>0</v>
      </c>
      <c r="L748" t="n">
        <v>0</v>
      </c>
      <c r="M748" t="n">
        <v>0</v>
      </c>
      <c r="N748" t="n">
        <v>0</v>
      </c>
      <c r="O748" t="n">
        <v>0</v>
      </c>
      <c r="P748" t="n">
        <v>0</v>
      </c>
      <c r="Q748" t="n">
        <v>0</v>
      </c>
      <c r="R748" s="2" t="inlineStr"/>
    </row>
    <row r="749" ht="15" customHeight="1">
      <c r="A749" t="inlineStr">
        <is>
          <t>A 29362-2022</t>
        </is>
      </c>
      <c r="B749" s="1" t="n">
        <v>44753</v>
      </c>
      <c r="C749" s="1" t="n">
        <v>45927</v>
      </c>
      <c r="D749" t="inlineStr">
        <is>
          <t>STOCKHOLMS LÄN</t>
        </is>
      </c>
      <c r="E749" t="inlineStr">
        <is>
          <t>NORRTÄLJE</t>
        </is>
      </c>
      <c r="G749" t="n">
        <v>3.8</v>
      </c>
      <c r="H749" t="n">
        <v>0</v>
      </c>
      <c r="I749" t="n">
        <v>0</v>
      </c>
      <c r="J749" t="n">
        <v>0</v>
      </c>
      <c r="K749" t="n">
        <v>0</v>
      </c>
      <c r="L749" t="n">
        <v>0</v>
      </c>
      <c r="M749" t="n">
        <v>0</v>
      </c>
      <c r="N749" t="n">
        <v>0</v>
      </c>
      <c r="O749" t="n">
        <v>0</v>
      </c>
      <c r="P749" t="n">
        <v>0</v>
      </c>
      <c r="Q749" t="n">
        <v>0</v>
      </c>
      <c r="R749" s="2" t="inlineStr"/>
    </row>
    <row r="750" ht="15" customHeight="1">
      <c r="A750" t="inlineStr">
        <is>
          <t>A 12532-2025</t>
        </is>
      </c>
      <c r="B750" s="1" t="n">
        <v>45730.69143518519</v>
      </c>
      <c r="C750" s="1" t="n">
        <v>45927</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5732-2023</t>
        </is>
      </c>
      <c r="B751" s="1" t="n">
        <v>44962</v>
      </c>
      <c r="C751" s="1" t="n">
        <v>45927</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10653-2022</t>
        </is>
      </c>
      <c r="B752" s="1" t="n">
        <v>44624.59434027778</v>
      </c>
      <c r="C752" s="1" t="n">
        <v>45927</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21729-2024</t>
        </is>
      </c>
      <c r="B753" s="1" t="n">
        <v>45442</v>
      </c>
      <c r="C753" s="1" t="n">
        <v>45927</v>
      </c>
      <c r="D753" t="inlineStr">
        <is>
          <t>STOCKHOLMS LÄN</t>
        </is>
      </c>
      <c r="E753" t="inlineStr">
        <is>
          <t>NORRTÄLJE</t>
        </is>
      </c>
      <c r="G753" t="n">
        <v>2.2</v>
      </c>
      <c r="H753" t="n">
        <v>0</v>
      </c>
      <c r="I753" t="n">
        <v>0</v>
      </c>
      <c r="J753" t="n">
        <v>0</v>
      </c>
      <c r="K753" t="n">
        <v>0</v>
      </c>
      <c r="L753" t="n">
        <v>0</v>
      </c>
      <c r="M753" t="n">
        <v>0</v>
      </c>
      <c r="N753" t="n">
        <v>0</v>
      </c>
      <c r="O753" t="n">
        <v>0</v>
      </c>
      <c r="P753" t="n">
        <v>0</v>
      </c>
      <c r="Q753" t="n">
        <v>0</v>
      </c>
      <c r="R753" s="2" t="inlineStr"/>
    </row>
    <row r="754" ht="15" customHeight="1">
      <c r="A754" t="inlineStr">
        <is>
          <t>A 11854-2025</t>
        </is>
      </c>
      <c r="B754" s="1" t="n">
        <v>45728.38924768518</v>
      </c>
      <c r="C754" s="1" t="n">
        <v>45927</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14762-2024</t>
        </is>
      </c>
      <c r="B755" s="1" t="n">
        <v>45397</v>
      </c>
      <c r="C755" s="1" t="n">
        <v>45927</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58492-2022</t>
        </is>
      </c>
      <c r="B756" s="1" t="n">
        <v>44902</v>
      </c>
      <c r="C756" s="1" t="n">
        <v>45927</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51315-2021</t>
        </is>
      </c>
      <c r="B757" s="1" t="n">
        <v>44461</v>
      </c>
      <c r="C757" s="1" t="n">
        <v>45927</v>
      </c>
      <c r="D757" t="inlineStr">
        <is>
          <t>STOCKHOLMS LÄN</t>
        </is>
      </c>
      <c r="E757" t="inlineStr">
        <is>
          <t>NORRTÄLJE</t>
        </is>
      </c>
      <c r="F757" t="inlineStr">
        <is>
          <t>Holmen skog AB</t>
        </is>
      </c>
      <c r="G757" t="n">
        <v>2.2</v>
      </c>
      <c r="H757" t="n">
        <v>0</v>
      </c>
      <c r="I757" t="n">
        <v>0</v>
      </c>
      <c r="J757" t="n">
        <v>0</v>
      </c>
      <c r="K757" t="n">
        <v>0</v>
      </c>
      <c r="L757" t="n">
        <v>0</v>
      </c>
      <c r="M757" t="n">
        <v>0</v>
      </c>
      <c r="N757" t="n">
        <v>0</v>
      </c>
      <c r="O757" t="n">
        <v>0</v>
      </c>
      <c r="P757" t="n">
        <v>0</v>
      </c>
      <c r="Q757" t="n">
        <v>0</v>
      </c>
      <c r="R757" s="2" t="inlineStr"/>
    </row>
    <row r="758" ht="15" customHeight="1">
      <c r="A758" t="inlineStr">
        <is>
          <t>A 14873-2025</t>
        </is>
      </c>
      <c r="B758" s="1" t="n">
        <v>45743.44953703704</v>
      </c>
      <c r="C758" s="1" t="n">
        <v>45927</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34773-2022</t>
        </is>
      </c>
      <c r="B759" s="1" t="n">
        <v>44795</v>
      </c>
      <c r="C759" s="1" t="n">
        <v>45927</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33173-2024</t>
        </is>
      </c>
      <c r="B760" s="1" t="n">
        <v>45518</v>
      </c>
      <c r="C760" s="1" t="n">
        <v>45927</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59712-2024</t>
        </is>
      </c>
      <c r="B761" s="1" t="n">
        <v>45639.45166666667</v>
      </c>
      <c r="C761" s="1" t="n">
        <v>45927</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35127-2023</t>
        </is>
      </c>
      <c r="B762" s="1" t="n">
        <v>45145.51</v>
      </c>
      <c r="C762" s="1" t="n">
        <v>45927</v>
      </c>
      <c r="D762" t="inlineStr">
        <is>
          <t>STOCKHOLMS LÄN</t>
        </is>
      </c>
      <c r="E762" t="inlineStr">
        <is>
          <t>NORRTÄLJE</t>
        </is>
      </c>
      <c r="G762" t="n">
        <v>4.7</v>
      </c>
      <c r="H762" t="n">
        <v>0</v>
      </c>
      <c r="I762" t="n">
        <v>0</v>
      </c>
      <c r="J762" t="n">
        <v>0</v>
      </c>
      <c r="K762" t="n">
        <v>0</v>
      </c>
      <c r="L762" t="n">
        <v>0</v>
      </c>
      <c r="M762" t="n">
        <v>0</v>
      </c>
      <c r="N762" t="n">
        <v>0</v>
      </c>
      <c r="O762" t="n">
        <v>0</v>
      </c>
      <c r="P762" t="n">
        <v>0</v>
      </c>
      <c r="Q762" t="n">
        <v>0</v>
      </c>
      <c r="R762" s="2" t="inlineStr"/>
    </row>
    <row r="763" ht="15" customHeight="1">
      <c r="A763" t="inlineStr">
        <is>
          <t>A 45255-2022</t>
        </is>
      </c>
      <c r="B763" s="1" t="n">
        <v>44840</v>
      </c>
      <c r="C763" s="1" t="n">
        <v>45927</v>
      </c>
      <c r="D763" t="inlineStr">
        <is>
          <t>STOCKHOLMS LÄN</t>
        </is>
      </c>
      <c r="E763" t="inlineStr">
        <is>
          <t>NORRTÄLJE</t>
        </is>
      </c>
      <c r="G763" t="n">
        <v>4.1</v>
      </c>
      <c r="H763" t="n">
        <v>0</v>
      </c>
      <c r="I763" t="n">
        <v>0</v>
      </c>
      <c r="J763" t="n">
        <v>0</v>
      </c>
      <c r="K763" t="n">
        <v>0</v>
      </c>
      <c r="L763" t="n">
        <v>0</v>
      </c>
      <c r="M763" t="n">
        <v>0</v>
      </c>
      <c r="N763" t="n">
        <v>0</v>
      </c>
      <c r="O763" t="n">
        <v>0</v>
      </c>
      <c r="P763" t="n">
        <v>0</v>
      </c>
      <c r="Q763" t="n">
        <v>0</v>
      </c>
      <c r="R763" s="2" t="inlineStr"/>
    </row>
    <row r="764" ht="15" customHeight="1">
      <c r="A764" t="inlineStr">
        <is>
          <t>A 59893-2022</t>
        </is>
      </c>
      <c r="B764" s="1" t="n">
        <v>44908.77368055555</v>
      </c>
      <c r="C764" s="1" t="n">
        <v>45927</v>
      </c>
      <c r="D764" t="inlineStr">
        <is>
          <t>STOCKHOLMS LÄN</t>
        </is>
      </c>
      <c r="E764" t="inlineStr">
        <is>
          <t>NORRTÄLJE</t>
        </is>
      </c>
      <c r="G764" t="n">
        <v>3</v>
      </c>
      <c r="H764" t="n">
        <v>0</v>
      </c>
      <c r="I764" t="n">
        <v>0</v>
      </c>
      <c r="J764" t="n">
        <v>0</v>
      </c>
      <c r="K764" t="n">
        <v>0</v>
      </c>
      <c r="L764" t="n">
        <v>0</v>
      </c>
      <c r="M764" t="n">
        <v>0</v>
      </c>
      <c r="N764" t="n">
        <v>0</v>
      </c>
      <c r="O764" t="n">
        <v>0</v>
      </c>
      <c r="P764" t="n">
        <v>0</v>
      </c>
      <c r="Q764" t="n">
        <v>0</v>
      </c>
      <c r="R764" s="2" t="inlineStr"/>
    </row>
    <row r="765" ht="15" customHeight="1">
      <c r="A765" t="inlineStr">
        <is>
          <t>A 39905-2023</t>
        </is>
      </c>
      <c r="B765" s="1" t="n">
        <v>45168.44489583333</v>
      </c>
      <c r="C765" s="1" t="n">
        <v>45927</v>
      </c>
      <c r="D765" t="inlineStr">
        <is>
          <t>STOCKHOLMS LÄN</t>
        </is>
      </c>
      <c r="E765" t="inlineStr">
        <is>
          <t>NORRTÄLJE</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5645-2023</t>
        </is>
      </c>
      <c r="B766" s="1" t="n">
        <v>44960.60469907407</v>
      </c>
      <c r="C766" s="1" t="n">
        <v>45927</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68361-2021</t>
        </is>
      </c>
      <c r="B767" s="1" t="n">
        <v>44528.91494212963</v>
      </c>
      <c r="C767" s="1" t="n">
        <v>45927</v>
      </c>
      <c r="D767" t="inlineStr">
        <is>
          <t>STOCKHOLMS LÄN</t>
        </is>
      </c>
      <c r="E767" t="inlineStr">
        <is>
          <t>NORRTÄLJE</t>
        </is>
      </c>
      <c r="G767" t="n">
        <v>1.9</v>
      </c>
      <c r="H767" t="n">
        <v>0</v>
      </c>
      <c r="I767" t="n">
        <v>0</v>
      </c>
      <c r="J767" t="n">
        <v>0</v>
      </c>
      <c r="K767" t="n">
        <v>0</v>
      </c>
      <c r="L767" t="n">
        <v>0</v>
      </c>
      <c r="M767" t="n">
        <v>0</v>
      </c>
      <c r="N767" t="n">
        <v>0</v>
      </c>
      <c r="O767" t="n">
        <v>0</v>
      </c>
      <c r="P767" t="n">
        <v>0</v>
      </c>
      <c r="Q767" t="n">
        <v>0</v>
      </c>
      <c r="R767" s="2" t="inlineStr"/>
    </row>
    <row r="768" ht="15" customHeight="1">
      <c r="A768" t="inlineStr">
        <is>
          <t>A 60529-2023</t>
        </is>
      </c>
      <c r="B768" s="1" t="n">
        <v>45259</v>
      </c>
      <c r="C768" s="1" t="n">
        <v>45927</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30799-2025</t>
        </is>
      </c>
      <c r="B769" s="1" t="n">
        <v>45831.65079861111</v>
      </c>
      <c r="C769" s="1" t="n">
        <v>45927</v>
      </c>
      <c r="D769" t="inlineStr">
        <is>
          <t>STOCKHOLMS LÄN</t>
        </is>
      </c>
      <c r="E769" t="inlineStr">
        <is>
          <t>NORRTÄLJE</t>
        </is>
      </c>
      <c r="F769" t="inlineStr">
        <is>
          <t>Holmen skog AB</t>
        </is>
      </c>
      <c r="G769" t="n">
        <v>7.9</v>
      </c>
      <c r="H769" t="n">
        <v>0</v>
      </c>
      <c r="I769" t="n">
        <v>0</v>
      </c>
      <c r="J769" t="n">
        <v>0</v>
      </c>
      <c r="K769" t="n">
        <v>0</v>
      </c>
      <c r="L769" t="n">
        <v>0</v>
      </c>
      <c r="M769" t="n">
        <v>0</v>
      </c>
      <c r="N769" t="n">
        <v>0</v>
      </c>
      <c r="O769" t="n">
        <v>0</v>
      </c>
      <c r="P769" t="n">
        <v>0</v>
      </c>
      <c r="Q769" t="n">
        <v>0</v>
      </c>
      <c r="R769" s="2" t="inlineStr"/>
    </row>
    <row r="770" ht="15" customHeight="1">
      <c r="A770" t="inlineStr">
        <is>
          <t>A 30699-2025</t>
        </is>
      </c>
      <c r="B770" s="1" t="n">
        <v>45831.54618055555</v>
      </c>
      <c r="C770" s="1" t="n">
        <v>45927</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4484-2025</t>
        </is>
      </c>
      <c r="B771" s="1" t="n">
        <v>45686.65545138889</v>
      </c>
      <c r="C771" s="1" t="n">
        <v>45927</v>
      </c>
      <c r="D771" t="inlineStr">
        <is>
          <t>STOCKHOLMS LÄN</t>
        </is>
      </c>
      <c r="E771" t="inlineStr">
        <is>
          <t>NORRTÄLJE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33878-2024</t>
        </is>
      </c>
      <c r="B772" s="1" t="n">
        <v>45522.44414351852</v>
      </c>
      <c r="C772" s="1" t="n">
        <v>45927</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9246-2024</t>
        </is>
      </c>
      <c r="B773" s="1" t="n">
        <v>45357</v>
      </c>
      <c r="C773" s="1" t="n">
        <v>45927</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35698-2023</t>
        </is>
      </c>
      <c r="B774" s="1" t="n">
        <v>45147</v>
      </c>
      <c r="C774" s="1" t="n">
        <v>45927</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62398-2022</t>
        </is>
      </c>
      <c r="B775" s="1" t="n">
        <v>44923.90159722222</v>
      </c>
      <c r="C775" s="1" t="n">
        <v>45927</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49700-2023</t>
        </is>
      </c>
      <c r="B776" s="1" t="n">
        <v>45212</v>
      </c>
      <c r="C776" s="1" t="n">
        <v>45927</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19706-2023</t>
        </is>
      </c>
      <c r="B777" s="1" t="n">
        <v>45051.455</v>
      </c>
      <c r="C777" s="1" t="n">
        <v>45927</v>
      </c>
      <c r="D777" t="inlineStr">
        <is>
          <t>STOCKHOLMS LÄN</t>
        </is>
      </c>
      <c r="E777" t="inlineStr">
        <is>
          <t>NORRTÄLJE</t>
        </is>
      </c>
      <c r="G777" t="n">
        <v>0.2</v>
      </c>
      <c r="H777" t="n">
        <v>0</v>
      </c>
      <c r="I777" t="n">
        <v>0</v>
      </c>
      <c r="J777" t="n">
        <v>0</v>
      </c>
      <c r="K777" t="n">
        <v>0</v>
      </c>
      <c r="L777" t="n">
        <v>0</v>
      </c>
      <c r="M777" t="n">
        <v>0</v>
      </c>
      <c r="N777" t="n">
        <v>0</v>
      </c>
      <c r="O777" t="n">
        <v>0</v>
      </c>
      <c r="P777" t="n">
        <v>0</v>
      </c>
      <c r="Q777" t="n">
        <v>0</v>
      </c>
      <c r="R777" s="2" t="inlineStr"/>
    </row>
    <row r="778" ht="15" customHeight="1">
      <c r="A778" t="inlineStr">
        <is>
          <t>A 32071-2023</t>
        </is>
      </c>
      <c r="B778" s="1" t="n">
        <v>45119.57728009259</v>
      </c>
      <c r="C778" s="1" t="n">
        <v>45927</v>
      </c>
      <c r="D778" t="inlineStr">
        <is>
          <t>STOCKHOLMS LÄN</t>
        </is>
      </c>
      <c r="E778" t="inlineStr">
        <is>
          <t>NORRTÄLJE</t>
        </is>
      </c>
      <c r="G778" t="n">
        <v>6.5</v>
      </c>
      <c r="H778" t="n">
        <v>0</v>
      </c>
      <c r="I778" t="n">
        <v>0</v>
      </c>
      <c r="J778" t="n">
        <v>0</v>
      </c>
      <c r="K778" t="n">
        <v>0</v>
      </c>
      <c r="L778" t="n">
        <v>0</v>
      </c>
      <c r="M778" t="n">
        <v>0</v>
      </c>
      <c r="N778" t="n">
        <v>0</v>
      </c>
      <c r="O778" t="n">
        <v>0</v>
      </c>
      <c r="P778" t="n">
        <v>0</v>
      </c>
      <c r="Q778" t="n">
        <v>0</v>
      </c>
      <c r="R778" s="2" t="inlineStr"/>
    </row>
    <row r="779" ht="15" customHeight="1">
      <c r="A779" t="inlineStr">
        <is>
          <t>A 1425-2025</t>
        </is>
      </c>
      <c r="B779" s="1" t="n">
        <v>45668.67446759259</v>
      </c>
      <c r="C779" s="1" t="n">
        <v>45927</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17775-2022</t>
        </is>
      </c>
      <c r="B780" s="1" t="n">
        <v>44682.78430555556</v>
      </c>
      <c r="C780" s="1" t="n">
        <v>45927</v>
      </c>
      <c r="D780" t="inlineStr">
        <is>
          <t>STOCKHOLMS LÄN</t>
        </is>
      </c>
      <c r="E780" t="inlineStr">
        <is>
          <t>NORRTÄLJE</t>
        </is>
      </c>
      <c r="G780" t="n">
        <v>4.7</v>
      </c>
      <c r="H780" t="n">
        <v>0</v>
      </c>
      <c r="I780" t="n">
        <v>0</v>
      </c>
      <c r="J780" t="n">
        <v>0</v>
      </c>
      <c r="K780" t="n">
        <v>0</v>
      </c>
      <c r="L780" t="n">
        <v>0</v>
      </c>
      <c r="M780" t="n">
        <v>0</v>
      </c>
      <c r="N780" t="n">
        <v>0</v>
      </c>
      <c r="O780" t="n">
        <v>0</v>
      </c>
      <c r="P780" t="n">
        <v>0</v>
      </c>
      <c r="Q780" t="n">
        <v>0</v>
      </c>
      <c r="R780" s="2" t="inlineStr"/>
    </row>
    <row r="781" ht="15" customHeight="1">
      <c r="A781" t="inlineStr">
        <is>
          <t>A 18539-2021</t>
        </is>
      </c>
      <c r="B781" s="1" t="n">
        <v>44306</v>
      </c>
      <c r="C781" s="1" t="n">
        <v>45927</v>
      </c>
      <c r="D781" t="inlineStr">
        <is>
          <t>STOCKHOLMS LÄN</t>
        </is>
      </c>
      <c r="E781" t="inlineStr">
        <is>
          <t>NORRTÄLJE</t>
        </is>
      </c>
      <c r="F781" t="inlineStr">
        <is>
          <t>Holmen skog AB</t>
        </is>
      </c>
      <c r="G781" t="n">
        <v>5.5</v>
      </c>
      <c r="H781" t="n">
        <v>0</v>
      </c>
      <c r="I781" t="n">
        <v>0</v>
      </c>
      <c r="J781" t="n">
        <v>0</v>
      </c>
      <c r="K781" t="n">
        <v>0</v>
      </c>
      <c r="L781" t="n">
        <v>0</v>
      </c>
      <c r="M781" t="n">
        <v>0</v>
      </c>
      <c r="N781" t="n">
        <v>0</v>
      </c>
      <c r="O781" t="n">
        <v>0</v>
      </c>
      <c r="P781" t="n">
        <v>0</v>
      </c>
      <c r="Q781" t="n">
        <v>0</v>
      </c>
      <c r="R781" s="2" t="inlineStr"/>
    </row>
    <row r="782" ht="15" customHeight="1">
      <c r="A782" t="inlineStr">
        <is>
          <t>A 17612-2022</t>
        </is>
      </c>
      <c r="B782" s="1" t="n">
        <v>44680</v>
      </c>
      <c r="C782" s="1" t="n">
        <v>45927</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16835-2022</t>
        </is>
      </c>
      <c r="B783" s="1" t="n">
        <v>44673</v>
      </c>
      <c r="C783" s="1" t="n">
        <v>45927</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62765-2022</t>
        </is>
      </c>
      <c r="B784" s="1" t="n">
        <v>44637</v>
      </c>
      <c r="C784" s="1" t="n">
        <v>45927</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58404-2023</t>
        </is>
      </c>
      <c r="B785" s="1" t="n">
        <v>45245</v>
      </c>
      <c r="C785" s="1" t="n">
        <v>45927</v>
      </c>
      <c r="D785" t="inlineStr">
        <is>
          <t>STOCKHOLMS LÄN</t>
        </is>
      </c>
      <c r="E785" t="inlineStr">
        <is>
          <t>NORRTÄLJE</t>
        </is>
      </c>
      <c r="G785" t="n">
        <v>53.5</v>
      </c>
      <c r="H785" t="n">
        <v>0</v>
      </c>
      <c r="I785" t="n">
        <v>0</v>
      </c>
      <c r="J785" t="n">
        <v>0</v>
      </c>
      <c r="K785" t="n">
        <v>0</v>
      </c>
      <c r="L785" t="n">
        <v>0</v>
      </c>
      <c r="M785" t="n">
        <v>0</v>
      </c>
      <c r="N785" t="n">
        <v>0</v>
      </c>
      <c r="O785" t="n">
        <v>0</v>
      </c>
      <c r="P785" t="n">
        <v>0</v>
      </c>
      <c r="Q785" t="n">
        <v>0</v>
      </c>
      <c r="R785" s="2" t="inlineStr"/>
    </row>
    <row r="786" ht="15" customHeight="1">
      <c r="A786" t="inlineStr">
        <is>
          <t>A 8586-2023</t>
        </is>
      </c>
      <c r="B786" s="1" t="n">
        <v>44977</v>
      </c>
      <c r="C786" s="1" t="n">
        <v>45927</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38720-2022</t>
        </is>
      </c>
      <c r="B787" s="1" t="n">
        <v>44815.74539351852</v>
      </c>
      <c r="C787" s="1" t="n">
        <v>45927</v>
      </c>
      <c r="D787" t="inlineStr">
        <is>
          <t>STOCKHOLMS LÄN</t>
        </is>
      </c>
      <c r="E787" t="inlineStr">
        <is>
          <t>NORRTÄLJE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10215-2023</t>
        </is>
      </c>
      <c r="B788" s="1" t="n">
        <v>44986.5887962963</v>
      </c>
      <c r="C788" s="1" t="n">
        <v>45927</v>
      </c>
      <c r="D788" t="inlineStr">
        <is>
          <t>STOCKHOLMS LÄN</t>
        </is>
      </c>
      <c r="E788" t="inlineStr">
        <is>
          <t>NORRTÄLJE</t>
        </is>
      </c>
      <c r="G788" t="n">
        <v>6.5</v>
      </c>
      <c r="H788" t="n">
        <v>0</v>
      </c>
      <c r="I788" t="n">
        <v>0</v>
      </c>
      <c r="J788" t="n">
        <v>0</v>
      </c>
      <c r="K788" t="n">
        <v>0</v>
      </c>
      <c r="L788" t="n">
        <v>0</v>
      </c>
      <c r="M788" t="n">
        <v>0</v>
      </c>
      <c r="N788" t="n">
        <v>0</v>
      </c>
      <c r="O788" t="n">
        <v>0</v>
      </c>
      <c r="P788" t="n">
        <v>0</v>
      </c>
      <c r="Q788" t="n">
        <v>0</v>
      </c>
      <c r="R788" s="2" t="inlineStr"/>
    </row>
    <row r="789" ht="15" customHeight="1">
      <c r="A789" t="inlineStr">
        <is>
          <t>A 25609-2023</t>
        </is>
      </c>
      <c r="B789" s="1" t="n">
        <v>45089</v>
      </c>
      <c r="C789" s="1" t="n">
        <v>45927</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30639-2025</t>
        </is>
      </c>
      <c r="B790" s="1" t="n">
        <v>45831.4844212963</v>
      </c>
      <c r="C790" s="1" t="n">
        <v>45927</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30668-2025</t>
        </is>
      </c>
      <c r="B791" s="1" t="n">
        <v>45831.51659722222</v>
      </c>
      <c r="C791" s="1" t="n">
        <v>45927</v>
      </c>
      <c r="D791" t="inlineStr">
        <is>
          <t>STOCKHOLMS LÄN</t>
        </is>
      </c>
      <c r="E791" t="inlineStr">
        <is>
          <t>NORRTÄLJE</t>
        </is>
      </c>
      <c r="G791" t="n">
        <v>4.9</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45927</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55018-2024</t>
        </is>
      </c>
      <c r="B793" s="1" t="n">
        <v>45621.35712962963</v>
      </c>
      <c r="C793" s="1" t="n">
        <v>45927</v>
      </c>
      <c r="D793" t="inlineStr">
        <is>
          <t>STOCKHOLMS LÄN</t>
        </is>
      </c>
      <c r="E793" t="inlineStr">
        <is>
          <t>NORRTÄLJE</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20014-2025</t>
        </is>
      </c>
      <c r="B794" s="1" t="n">
        <v>45772.3078125</v>
      </c>
      <c r="C794" s="1" t="n">
        <v>45927</v>
      </c>
      <c r="D794" t="inlineStr">
        <is>
          <t>STOCKHOLMS LÄN</t>
        </is>
      </c>
      <c r="E794" t="inlineStr">
        <is>
          <t>NORRTÄLJE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50136-2023</t>
        </is>
      </c>
      <c r="B795" s="1" t="n">
        <v>45215</v>
      </c>
      <c r="C795" s="1" t="n">
        <v>45927</v>
      </c>
      <c r="D795" t="inlineStr">
        <is>
          <t>STOCKHOLMS LÄN</t>
        </is>
      </c>
      <c r="E795" t="inlineStr">
        <is>
          <t>NORRTÄLJE</t>
        </is>
      </c>
      <c r="G795" t="n">
        <v>5.2</v>
      </c>
      <c r="H795" t="n">
        <v>0</v>
      </c>
      <c r="I795" t="n">
        <v>0</v>
      </c>
      <c r="J795" t="n">
        <v>0</v>
      </c>
      <c r="K795" t="n">
        <v>0</v>
      </c>
      <c r="L795" t="n">
        <v>0</v>
      </c>
      <c r="M795" t="n">
        <v>0</v>
      </c>
      <c r="N795" t="n">
        <v>0</v>
      </c>
      <c r="O795" t="n">
        <v>0</v>
      </c>
      <c r="P795" t="n">
        <v>0</v>
      </c>
      <c r="Q795" t="n">
        <v>0</v>
      </c>
      <c r="R795" s="2" t="inlineStr"/>
    </row>
    <row r="796" ht="15" customHeight="1">
      <c r="A796" t="inlineStr">
        <is>
          <t>A 25656-2023</t>
        </is>
      </c>
      <c r="B796" s="1" t="n">
        <v>45089</v>
      </c>
      <c r="C796" s="1" t="n">
        <v>45927</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6003-2025</t>
        </is>
      </c>
      <c r="B797" s="1" t="n">
        <v>45695.57881944445</v>
      </c>
      <c r="C797" s="1" t="n">
        <v>45927</v>
      </c>
      <c r="D797" t="inlineStr">
        <is>
          <t>STOCKHOLMS LÄN</t>
        </is>
      </c>
      <c r="E797" t="inlineStr">
        <is>
          <t>NORRTÄLJE</t>
        </is>
      </c>
      <c r="F797" t="inlineStr">
        <is>
          <t>Holmen skog AB</t>
        </is>
      </c>
      <c r="G797" t="n">
        <v>2.3</v>
      </c>
      <c r="H797" t="n">
        <v>0</v>
      </c>
      <c r="I797" t="n">
        <v>0</v>
      </c>
      <c r="J797" t="n">
        <v>0</v>
      </c>
      <c r="K797" t="n">
        <v>0</v>
      </c>
      <c r="L797" t="n">
        <v>0</v>
      </c>
      <c r="M797" t="n">
        <v>0</v>
      </c>
      <c r="N797" t="n">
        <v>0</v>
      </c>
      <c r="O797" t="n">
        <v>0</v>
      </c>
      <c r="P797" t="n">
        <v>0</v>
      </c>
      <c r="Q797" t="n">
        <v>0</v>
      </c>
      <c r="R797" s="2" t="inlineStr"/>
    </row>
    <row r="798" ht="15" customHeight="1">
      <c r="A798" t="inlineStr">
        <is>
          <t>A 20136-2025</t>
        </is>
      </c>
      <c r="B798" s="1" t="n">
        <v>45772.51127314815</v>
      </c>
      <c r="C798" s="1" t="n">
        <v>45927</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11902-2024</t>
        </is>
      </c>
      <c r="B799" s="1" t="n">
        <v>45376.55704861111</v>
      </c>
      <c r="C799" s="1" t="n">
        <v>45927</v>
      </c>
      <c r="D799" t="inlineStr">
        <is>
          <t>STOCKHOLMS LÄN</t>
        </is>
      </c>
      <c r="E799" t="inlineStr">
        <is>
          <t>NORRTÄLJE</t>
        </is>
      </c>
      <c r="G799" t="n">
        <v>2.5</v>
      </c>
      <c r="H799" t="n">
        <v>0</v>
      </c>
      <c r="I799" t="n">
        <v>0</v>
      </c>
      <c r="J799" t="n">
        <v>0</v>
      </c>
      <c r="K799" t="n">
        <v>0</v>
      </c>
      <c r="L799" t="n">
        <v>0</v>
      </c>
      <c r="M799" t="n">
        <v>0</v>
      </c>
      <c r="N799" t="n">
        <v>0</v>
      </c>
      <c r="O799" t="n">
        <v>0</v>
      </c>
      <c r="P799" t="n">
        <v>0</v>
      </c>
      <c r="Q799" t="n">
        <v>0</v>
      </c>
      <c r="R799" s="2" t="inlineStr"/>
    </row>
    <row r="800" ht="15" customHeight="1">
      <c r="A800" t="inlineStr">
        <is>
          <t>A 38049-2023</t>
        </is>
      </c>
      <c r="B800" s="1" t="n">
        <v>45159</v>
      </c>
      <c r="C800" s="1" t="n">
        <v>45927</v>
      </c>
      <c r="D800" t="inlineStr">
        <is>
          <t>STOCKHOLMS LÄN</t>
        </is>
      </c>
      <c r="E800" t="inlineStr">
        <is>
          <t>NORRTÄLJE</t>
        </is>
      </c>
      <c r="G800" t="n">
        <v>3.6</v>
      </c>
      <c r="H800" t="n">
        <v>0</v>
      </c>
      <c r="I800" t="n">
        <v>0</v>
      </c>
      <c r="J800" t="n">
        <v>0</v>
      </c>
      <c r="K800" t="n">
        <v>0</v>
      </c>
      <c r="L800" t="n">
        <v>0</v>
      </c>
      <c r="M800" t="n">
        <v>0</v>
      </c>
      <c r="N800" t="n">
        <v>0</v>
      </c>
      <c r="O800" t="n">
        <v>0</v>
      </c>
      <c r="P800" t="n">
        <v>0</v>
      </c>
      <c r="Q800" t="n">
        <v>0</v>
      </c>
      <c r="R800" s="2" t="inlineStr"/>
    </row>
    <row r="801" ht="15" customHeight="1">
      <c r="A801" t="inlineStr">
        <is>
          <t>A 59535-2024</t>
        </is>
      </c>
      <c r="B801" s="1" t="n">
        <v>45638.59979166667</v>
      </c>
      <c r="C801" s="1" t="n">
        <v>45927</v>
      </c>
      <c r="D801" t="inlineStr">
        <is>
          <t>STOCKHOLMS LÄN</t>
        </is>
      </c>
      <c r="E801" t="inlineStr">
        <is>
          <t>NORRTÄLJE</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31170-2025</t>
        </is>
      </c>
      <c r="B802" s="1" t="n">
        <v>45832.66385416667</v>
      </c>
      <c r="C802" s="1" t="n">
        <v>45927</v>
      </c>
      <c r="D802" t="inlineStr">
        <is>
          <t>STOCKHOLMS LÄN</t>
        </is>
      </c>
      <c r="E802" t="inlineStr">
        <is>
          <t>NORRTÄLJE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31880-2025</t>
        </is>
      </c>
      <c r="B803" s="1" t="n">
        <v>45834.65538194445</v>
      </c>
      <c r="C803" s="1" t="n">
        <v>45927</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32122-2025</t>
        </is>
      </c>
      <c r="B804" s="1" t="n">
        <v>45835.4928125</v>
      </c>
      <c r="C804" s="1" t="n">
        <v>45927</v>
      </c>
      <c r="D804" t="inlineStr">
        <is>
          <t>STOCKHOLMS LÄN</t>
        </is>
      </c>
      <c r="E804" t="inlineStr">
        <is>
          <t>NORRTÄLJE</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31868-2025</t>
        </is>
      </c>
      <c r="B805" s="1" t="n">
        <v>45834.6447337963</v>
      </c>
      <c r="C805" s="1" t="n">
        <v>45927</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6413-2025</t>
        </is>
      </c>
      <c r="B806" s="1" t="n">
        <v>45699.46283564815</v>
      </c>
      <c r="C806" s="1" t="n">
        <v>45927</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2287-2024</t>
        </is>
      </c>
      <c r="B807" s="1" t="n">
        <v>45310</v>
      </c>
      <c r="C807" s="1" t="n">
        <v>45927</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13785-2024</t>
        </is>
      </c>
      <c r="B808" s="1" t="n">
        <v>45391.3395949074</v>
      </c>
      <c r="C808" s="1" t="n">
        <v>45927</v>
      </c>
      <c r="D808" t="inlineStr">
        <is>
          <t>STOCKHOLMS LÄN</t>
        </is>
      </c>
      <c r="E808" t="inlineStr">
        <is>
          <t>NORRTÄLJE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32016-2025</t>
        </is>
      </c>
      <c r="B809" s="1" t="n">
        <v>45835</v>
      </c>
      <c r="C809" s="1" t="n">
        <v>45927</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50469-2022</t>
        </is>
      </c>
      <c r="B810" s="1" t="n">
        <v>44866.49827546296</v>
      </c>
      <c r="C810" s="1" t="n">
        <v>45927</v>
      </c>
      <c r="D810" t="inlineStr">
        <is>
          <t>STOCKHOLMS LÄN</t>
        </is>
      </c>
      <c r="E810" t="inlineStr">
        <is>
          <t>NORRTÄLJE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51116-2022</t>
        </is>
      </c>
      <c r="B811" s="1" t="n">
        <v>44868.45741898148</v>
      </c>
      <c r="C811" s="1" t="n">
        <v>45927</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32283-2025</t>
        </is>
      </c>
      <c r="B812" s="1" t="n">
        <v>45835.68076388889</v>
      </c>
      <c r="C812" s="1" t="n">
        <v>45927</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4183-2025</t>
        </is>
      </c>
      <c r="B813" s="1" t="n">
        <v>45685.44592592592</v>
      </c>
      <c r="C813" s="1" t="n">
        <v>45927</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31874-2025</t>
        </is>
      </c>
      <c r="B814" s="1" t="n">
        <v>45834</v>
      </c>
      <c r="C814" s="1" t="n">
        <v>45927</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32094-2025</t>
        </is>
      </c>
      <c r="B815" s="1" t="n">
        <v>45835.46034722222</v>
      </c>
      <c r="C815" s="1" t="n">
        <v>45927</v>
      </c>
      <c r="D815" t="inlineStr">
        <is>
          <t>STOCKHOLMS LÄN</t>
        </is>
      </c>
      <c r="E815" t="inlineStr">
        <is>
          <t>NORRTÄLJE</t>
        </is>
      </c>
      <c r="F815" t="inlineStr">
        <is>
          <t>Holmen skog AB</t>
        </is>
      </c>
      <c r="G815" t="n">
        <v>2.9</v>
      </c>
      <c r="H815" t="n">
        <v>0</v>
      </c>
      <c r="I815" t="n">
        <v>0</v>
      </c>
      <c r="J815" t="n">
        <v>0</v>
      </c>
      <c r="K815" t="n">
        <v>0</v>
      </c>
      <c r="L815" t="n">
        <v>0</v>
      </c>
      <c r="M815" t="n">
        <v>0</v>
      </c>
      <c r="N815" t="n">
        <v>0</v>
      </c>
      <c r="O815" t="n">
        <v>0</v>
      </c>
      <c r="P815" t="n">
        <v>0</v>
      </c>
      <c r="Q815" t="n">
        <v>0</v>
      </c>
      <c r="R815" s="2" t="inlineStr"/>
    </row>
    <row r="816" ht="15" customHeight="1">
      <c r="A816" t="inlineStr">
        <is>
          <t>A 60217-2021</t>
        </is>
      </c>
      <c r="B816" s="1" t="n">
        <v>44495.5893287037</v>
      </c>
      <c r="C816" s="1" t="n">
        <v>45927</v>
      </c>
      <c r="D816" t="inlineStr">
        <is>
          <t>STOCKHOLMS LÄN</t>
        </is>
      </c>
      <c r="E816" t="inlineStr">
        <is>
          <t>NORRTÄLJE</t>
        </is>
      </c>
      <c r="G816" t="n">
        <v>4.3</v>
      </c>
      <c r="H816" t="n">
        <v>0</v>
      </c>
      <c r="I816" t="n">
        <v>0</v>
      </c>
      <c r="J816" t="n">
        <v>0</v>
      </c>
      <c r="K816" t="n">
        <v>0</v>
      </c>
      <c r="L816" t="n">
        <v>0</v>
      </c>
      <c r="M816" t="n">
        <v>0</v>
      </c>
      <c r="N816" t="n">
        <v>0</v>
      </c>
      <c r="O816" t="n">
        <v>0</v>
      </c>
      <c r="P816" t="n">
        <v>0</v>
      </c>
      <c r="Q816" t="n">
        <v>0</v>
      </c>
      <c r="R816" s="2" t="inlineStr"/>
    </row>
    <row r="817" ht="15" customHeight="1">
      <c r="A817" t="inlineStr">
        <is>
          <t>A 5839-2023</t>
        </is>
      </c>
      <c r="B817" s="1" t="n">
        <v>44963</v>
      </c>
      <c r="C817" s="1" t="n">
        <v>45927</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9480-2025</t>
        </is>
      </c>
      <c r="B818" s="1" t="n">
        <v>45715</v>
      </c>
      <c r="C818" s="1" t="n">
        <v>45927</v>
      </c>
      <c r="D818" t="inlineStr">
        <is>
          <t>STOCKHOLMS LÄN</t>
        </is>
      </c>
      <c r="E818" t="inlineStr">
        <is>
          <t>NORRTÄLJE</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32480-2025</t>
        </is>
      </c>
      <c r="B819" s="1" t="n">
        <v>45838.43261574074</v>
      </c>
      <c r="C819" s="1" t="n">
        <v>45927</v>
      </c>
      <c r="D819" t="inlineStr">
        <is>
          <t>STOCKHOLMS LÄN</t>
        </is>
      </c>
      <c r="E819" t="inlineStr">
        <is>
          <t>NORRTÄLJE</t>
        </is>
      </c>
      <c r="F819" t="inlineStr">
        <is>
          <t>Holmen skog AB</t>
        </is>
      </c>
      <c r="G819" t="n">
        <v>0.7</v>
      </c>
      <c r="H819" t="n">
        <v>0</v>
      </c>
      <c r="I819" t="n">
        <v>0</v>
      </c>
      <c r="J819" t="n">
        <v>0</v>
      </c>
      <c r="K819" t="n">
        <v>0</v>
      </c>
      <c r="L819" t="n">
        <v>0</v>
      </c>
      <c r="M819" t="n">
        <v>0</v>
      </c>
      <c r="N819" t="n">
        <v>0</v>
      </c>
      <c r="O819" t="n">
        <v>0</v>
      </c>
      <c r="P819" t="n">
        <v>0</v>
      </c>
      <c r="Q819" t="n">
        <v>0</v>
      </c>
      <c r="R819" s="2" t="inlineStr"/>
    </row>
    <row r="820" ht="15" customHeight="1">
      <c r="A820" t="inlineStr">
        <is>
          <t>A 32872-2025</t>
        </is>
      </c>
      <c r="B820" s="1" t="n">
        <v>45839</v>
      </c>
      <c r="C820" s="1" t="n">
        <v>45927</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32903-2025</t>
        </is>
      </c>
      <c r="B821" s="1" t="n">
        <v>45839.62398148148</v>
      </c>
      <c r="C821" s="1" t="n">
        <v>45927</v>
      </c>
      <c r="D821" t="inlineStr">
        <is>
          <t>STOCKHOLMS LÄN</t>
        </is>
      </c>
      <c r="E821" t="inlineStr">
        <is>
          <t>NORRTÄLJE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32395-2025</t>
        </is>
      </c>
      <c r="B822" s="1" t="n">
        <v>45837.93730324074</v>
      </c>
      <c r="C822" s="1" t="n">
        <v>45927</v>
      </c>
      <c r="D822" t="inlineStr">
        <is>
          <t>STOCKHOLMS LÄN</t>
        </is>
      </c>
      <c r="E822" t="inlineStr">
        <is>
          <t>NORRTÄLJE</t>
        </is>
      </c>
      <c r="G822" t="n">
        <v>2.2</v>
      </c>
      <c r="H822" t="n">
        <v>0</v>
      </c>
      <c r="I822" t="n">
        <v>0</v>
      </c>
      <c r="J822" t="n">
        <v>0</v>
      </c>
      <c r="K822" t="n">
        <v>0</v>
      </c>
      <c r="L822" t="n">
        <v>0</v>
      </c>
      <c r="M822" t="n">
        <v>0</v>
      </c>
      <c r="N822" t="n">
        <v>0</v>
      </c>
      <c r="O822" t="n">
        <v>0</v>
      </c>
      <c r="P822" t="n">
        <v>0</v>
      </c>
      <c r="Q822" t="n">
        <v>0</v>
      </c>
      <c r="R822" s="2" t="inlineStr"/>
    </row>
    <row r="823" ht="15" customHeight="1">
      <c r="A823" t="inlineStr">
        <is>
          <t>A 32396-2025</t>
        </is>
      </c>
      <c r="B823" s="1" t="n">
        <v>45837</v>
      </c>
      <c r="C823" s="1" t="n">
        <v>45927</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32397-2025</t>
        </is>
      </c>
      <c r="B824" s="1" t="n">
        <v>45837.94081018519</v>
      </c>
      <c r="C824" s="1" t="n">
        <v>45927</v>
      </c>
      <c r="D824" t="inlineStr">
        <is>
          <t>STOCKHOLMS LÄN</t>
        </is>
      </c>
      <c r="E824" t="inlineStr">
        <is>
          <t>NORRTÄLJE</t>
        </is>
      </c>
      <c r="G824" t="n">
        <v>5.9</v>
      </c>
      <c r="H824" t="n">
        <v>0</v>
      </c>
      <c r="I824" t="n">
        <v>0</v>
      </c>
      <c r="J824" t="n">
        <v>0</v>
      </c>
      <c r="K824" t="n">
        <v>0</v>
      </c>
      <c r="L824" t="n">
        <v>0</v>
      </c>
      <c r="M824" t="n">
        <v>0</v>
      </c>
      <c r="N824" t="n">
        <v>0</v>
      </c>
      <c r="O824" t="n">
        <v>0</v>
      </c>
      <c r="P824" t="n">
        <v>0</v>
      </c>
      <c r="Q824" t="n">
        <v>0</v>
      </c>
      <c r="R824" s="2" t="inlineStr"/>
    </row>
    <row r="825" ht="15" customHeight="1">
      <c r="A825" t="inlineStr">
        <is>
          <t>A 38985-2022</t>
        </is>
      </c>
      <c r="B825" s="1" t="n">
        <v>44816</v>
      </c>
      <c r="C825" s="1" t="n">
        <v>45927</v>
      </c>
      <c r="D825" t="inlineStr">
        <is>
          <t>STOCKHOLMS LÄN</t>
        </is>
      </c>
      <c r="E825" t="inlineStr">
        <is>
          <t>NORRTÄLJE</t>
        </is>
      </c>
      <c r="G825" t="n">
        <v>10.1</v>
      </c>
      <c r="H825" t="n">
        <v>0</v>
      </c>
      <c r="I825" t="n">
        <v>0</v>
      </c>
      <c r="J825" t="n">
        <v>0</v>
      </c>
      <c r="K825" t="n">
        <v>0</v>
      </c>
      <c r="L825" t="n">
        <v>0</v>
      </c>
      <c r="M825" t="n">
        <v>0</v>
      </c>
      <c r="N825" t="n">
        <v>0</v>
      </c>
      <c r="O825" t="n">
        <v>0</v>
      </c>
      <c r="P825" t="n">
        <v>0</v>
      </c>
      <c r="Q825" t="n">
        <v>0</v>
      </c>
      <c r="R825" s="2" t="inlineStr"/>
    </row>
    <row r="826" ht="15" customHeight="1">
      <c r="A826" t="inlineStr">
        <is>
          <t>A 24522-2023</t>
        </is>
      </c>
      <c r="B826" s="1" t="n">
        <v>45082.69179398148</v>
      </c>
      <c r="C826" s="1" t="n">
        <v>45927</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25625-2023</t>
        </is>
      </c>
      <c r="B827" s="1" t="n">
        <v>45089</v>
      </c>
      <c r="C827" s="1" t="n">
        <v>45927</v>
      </c>
      <c r="D827" t="inlineStr">
        <is>
          <t>STOCKHOLMS LÄN</t>
        </is>
      </c>
      <c r="E827" t="inlineStr">
        <is>
          <t>NORRTÄLJE</t>
        </is>
      </c>
      <c r="G827" t="n">
        <v>5.5</v>
      </c>
      <c r="H827" t="n">
        <v>0</v>
      </c>
      <c r="I827" t="n">
        <v>0</v>
      </c>
      <c r="J827" t="n">
        <v>0</v>
      </c>
      <c r="K827" t="n">
        <v>0</v>
      </c>
      <c r="L827" t="n">
        <v>0</v>
      </c>
      <c r="M827" t="n">
        <v>0</v>
      </c>
      <c r="N827" t="n">
        <v>0</v>
      </c>
      <c r="O827" t="n">
        <v>0</v>
      </c>
      <c r="P827" t="n">
        <v>0</v>
      </c>
      <c r="Q827" t="n">
        <v>0</v>
      </c>
      <c r="R827" s="2" t="inlineStr"/>
    </row>
    <row r="828" ht="15" customHeight="1">
      <c r="A828" t="inlineStr">
        <is>
          <t>A 37147-2023</t>
        </is>
      </c>
      <c r="B828" s="1" t="n">
        <v>45155</v>
      </c>
      <c r="C828" s="1" t="n">
        <v>45927</v>
      </c>
      <c r="D828" t="inlineStr">
        <is>
          <t>STOCKHOLMS LÄN</t>
        </is>
      </c>
      <c r="E828" t="inlineStr">
        <is>
          <t>NORRTÄLJE</t>
        </is>
      </c>
      <c r="G828" t="n">
        <v>8</v>
      </c>
      <c r="H828" t="n">
        <v>0</v>
      </c>
      <c r="I828" t="n">
        <v>0</v>
      </c>
      <c r="J828" t="n">
        <v>0</v>
      </c>
      <c r="K828" t="n">
        <v>0</v>
      </c>
      <c r="L828" t="n">
        <v>0</v>
      </c>
      <c r="M828" t="n">
        <v>0</v>
      </c>
      <c r="N828" t="n">
        <v>0</v>
      </c>
      <c r="O828" t="n">
        <v>0</v>
      </c>
      <c r="P828" t="n">
        <v>0</v>
      </c>
      <c r="Q828" t="n">
        <v>0</v>
      </c>
      <c r="R828" s="2" t="inlineStr"/>
    </row>
    <row r="829" ht="15" customHeight="1">
      <c r="A829" t="inlineStr">
        <is>
          <t>A 7186-2024</t>
        </is>
      </c>
      <c r="B829" s="1" t="n">
        <v>45344</v>
      </c>
      <c r="C829" s="1" t="n">
        <v>45927</v>
      </c>
      <c r="D829" t="inlineStr">
        <is>
          <t>STOCKHOLMS LÄN</t>
        </is>
      </c>
      <c r="E829" t="inlineStr">
        <is>
          <t>NORRTÄLJE</t>
        </is>
      </c>
      <c r="G829" t="n">
        <v>4.9</v>
      </c>
      <c r="H829" t="n">
        <v>0</v>
      </c>
      <c r="I829" t="n">
        <v>0</v>
      </c>
      <c r="J829" t="n">
        <v>0</v>
      </c>
      <c r="K829" t="n">
        <v>0</v>
      </c>
      <c r="L829" t="n">
        <v>0</v>
      </c>
      <c r="M829" t="n">
        <v>0</v>
      </c>
      <c r="N829" t="n">
        <v>0</v>
      </c>
      <c r="O829" t="n">
        <v>0</v>
      </c>
      <c r="P829" t="n">
        <v>0</v>
      </c>
      <c r="Q829" t="n">
        <v>0</v>
      </c>
      <c r="R829" s="2" t="inlineStr"/>
    </row>
    <row r="830" ht="15" customHeight="1">
      <c r="A830" t="inlineStr">
        <is>
          <t>A 57602-2024</t>
        </is>
      </c>
      <c r="B830" s="1" t="n">
        <v>45630.52866898148</v>
      </c>
      <c r="C830" s="1" t="n">
        <v>45927</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33702-2025</t>
        </is>
      </c>
      <c r="B831" s="1" t="n">
        <v>45841.74596064815</v>
      </c>
      <c r="C831" s="1" t="n">
        <v>45927</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64600-2021</t>
        </is>
      </c>
      <c r="B832" s="1" t="n">
        <v>44511.70518518519</v>
      </c>
      <c r="C832" s="1" t="n">
        <v>45927</v>
      </c>
      <c r="D832" t="inlineStr">
        <is>
          <t>STOCKHOLMS LÄN</t>
        </is>
      </c>
      <c r="E832" t="inlineStr">
        <is>
          <t>NORRTÄLJE</t>
        </is>
      </c>
      <c r="G832" t="n">
        <v>6.2</v>
      </c>
      <c r="H832" t="n">
        <v>0</v>
      </c>
      <c r="I832" t="n">
        <v>0</v>
      </c>
      <c r="J832" t="n">
        <v>0</v>
      </c>
      <c r="K832" t="n">
        <v>0</v>
      </c>
      <c r="L832" t="n">
        <v>0</v>
      </c>
      <c r="M832" t="n">
        <v>0</v>
      </c>
      <c r="N832" t="n">
        <v>0</v>
      </c>
      <c r="O832" t="n">
        <v>0</v>
      </c>
      <c r="P832" t="n">
        <v>0</v>
      </c>
      <c r="Q832" t="n">
        <v>0</v>
      </c>
      <c r="R832" s="2" t="inlineStr"/>
    </row>
    <row r="833" ht="15" customHeight="1">
      <c r="A833" t="inlineStr">
        <is>
          <t>A 50602-2021</t>
        </is>
      </c>
      <c r="B833" s="1" t="n">
        <v>44459</v>
      </c>
      <c r="C833" s="1" t="n">
        <v>45927</v>
      </c>
      <c r="D833" t="inlineStr">
        <is>
          <t>STOCKHOLMS LÄN</t>
        </is>
      </c>
      <c r="E833" t="inlineStr">
        <is>
          <t>NORRTÄLJE</t>
        </is>
      </c>
      <c r="F833" t="inlineStr">
        <is>
          <t>Holmen skog AB</t>
        </is>
      </c>
      <c r="G833" t="n">
        <v>2</v>
      </c>
      <c r="H833" t="n">
        <v>0</v>
      </c>
      <c r="I833" t="n">
        <v>0</v>
      </c>
      <c r="J833" t="n">
        <v>0</v>
      </c>
      <c r="K833" t="n">
        <v>0</v>
      </c>
      <c r="L833" t="n">
        <v>0</v>
      </c>
      <c r="M833" t="n">
        <v>0</v>
      </c>
      <c r="N833" t="n">
        <v>0</v>
      </c>
      <c r="O833" t="n">
        <v>0</v>
      </c>
      <c r="P833" t="n">
        <v>0</v>
      </c>
      <c r="Q833" t="n">
        <v>0</v>
      </c>
      <c r="R833" s="2" t="inlineStr"/>
    </row>
    <row r="834" ht="15" customHeight="1">
      <c r="A834" t="inlineStr">
        <is>
          <t>A 33211-2025</t>
        </is>
      </c>
      <c r="B834" s="1" t="n">
        <v>45840.62755787037</v>
      </c>
      <c r="C834" s="1" t="n">
        <v>45927</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26365-2024</t>
        </is>
      </c>
      <c r="B835" s="1" t="n">
        <v>45469</v>
      </c>
      <c r="C835" s="1" t="n">
        <v>45927</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5665-2025</t>
        </is>
      </c>
      <c r="B836" s="1" t="n">
        <v>45693</v>
      </c>
      <c r="C836" s="1" t="n">
        <v>45927</v>
      </c>
      <c r="D836" t="inlineStr">
        <is>
          <t>STOCKHOLMS LÄN</t>
        </is>
      </c>
      <c r="E836" t="inlineStr">
        <is>
          <t>NORRTÄLJE</t>
        </is>
      </c>
      <c r="G836" t="n">
        <v>4</v>
      </c>
      <c r="H836" t="n">
        <v>0</v>
      </c>
      <c r="I836" t="n">
        <v>0</v>
      </c>
      <c r="J836" t="n">
        <v>0</v>
      </c>
      <c r="K836" t="n">
        <v>0</v>
      </c>
      <c r="L836" t="n">
        <v>0</v>
      </c>
      <c r="M836" t="n">
        <v>0</v>
      </c>
      <c r="N836" t="n">
        <v>0</v>
      </c>
      <c r="O836" t="n">
        <v>0</v>
      </c>
      <c r="P836" t="n">
        <v>0</v>
      </c>
      <c r="Q836" t="n">
        <v>0</v>
      </c>
      <c r="R836" s="2" t="inlineStr"/>
    </row>
    <row r="837" ht="15" customHeight="1">
      <c r="A837" t="inlineStr">
        <is>
          <t>A 3426-2025</t>
        </is>
      </c>
      <c r="B837" s="1" t="n">
        <v>45680.42665509259</v>
      </c>
      <c r="C837" s="1" t="n">
        <v>45927</v>
      </c>
      <c r="D837" t="inlineStr">
        <is>
          <t>STOCKHOLMS LÄN</t>
        </is>
      </c>
      <c r="E837" t="inlineStr">
        <is>
          <t>NORRTÄLJE</t>
        </is>
      </c>
      <c r="G837" t="n">
        <v>3.2</v>
      </c>
      <c r="H837" t="n">
        <v>0</v>
      </c>
      <c r="I837" t="n">
        <v>0</v>
      </c>
      <c r="J837" t="n">
        <v>0</v>
      </c>
      <c r="K837" t="n">
        <v>0</v>
      </c>
      <c r="L837" t="n">
        <v>0</v>
      </c>
      <c r="M837" t="n">
        <v>0</v>
      </c>
      <c r="N837" t="n">
        <v>0</v>
      </c>
      <c r="O837" t="n">
        <v>0</v>
      </c>
      <c r="P837" t="n">
        <v>0</v>
      </c>
      <c r="Q837" t="n">
        <v>0</v>
      </c>
      <c r="R837" s="2" t="inlineStr"/>
    </row>
    <row r="838" ht="15" customHeight="1">
      <c r="A838" t="inlineStr">
        <is>
          <t>A 33265-2025</t>
        </is>
      </c>
      <c r="B838" s="1" t="n">
        <v>45840.67829861111</v>
      </c>
      <c r="C838" s="1" t="n">
        <v>45927</v>
      </c>
      <c r="D838" t="inlineStr">
        <is>
          <t>STOCKHOLMS LÄN</t>
        </is>
      </c>
      <c r="E838" t="inlineStr">
        <is>
          <t>NORRTÄLJE</t>
        </is>
      </c>
      <c r="G838" t="n">
        <v>5.5</v>
      </c>
      <c r="H838" t="n">
        <v>0</v>
      </c>
      <c r="I838" t="n">
        <v>0</v>
      </c>
      <c r="J838" t="n">
        <v>0</v>
      </c>
      <c r="K838" t="n">
        <v>0</v>
      </c>
      <c r="L838" t="n">
        <v>0</v>
      </c>
      <c r="M838" t="n">
        <v>0</v>
      </c>
      <c r="N838" t="n">
        <v>0</v>
      </c>
      <c r="O838" t="n">
        <v>0</v>
      </c>
      <c r="P838" t="n">
        <v>0</v>
      </c>
      <c r="Q838" t="n">
        <v>0</v>
      </c>
      <c r="R838" s="2" t="inlineStr"/>
    </row>
    <row r="839" ht="15" customHeight="1">
      <c r="A839" t="inlineStr">
        <is>
          <t>A 33552-2025</t>
        </is>
      </c>
      <c r="B839" s="1" t="n">
        <v>45841.5737962963</v>
      </c>
      <c r="C839" s="1" t="n">
        <v>45927</v>
      </c>
      <c r="D839" t="inlineStr">
        <is>
          <t>STOCKHOLMS LÄN</t>
        </is>
      </c>
      <c r="E839" t="inlineStr">
        <is>
          <t>NORRTÄLJE</t>
        </is>
      </c>
      <c r="G839" t="n">
        <v>8.9</v>
      </c>
      <c r="H839" t="n">
        <v>0</v>
      </c>
      <c r="I839" t="n">
        <v>0</v>
      </c>
      <c r="J839" t="n">
        <v>0</v>
      </c>
      <c r="K839" t="n">
        <v>0</v>
      </c>
      <c r="L839" t="n">
        <v>0</v>
      </c>
      <c r="M839" t="n">
        <v>0</v>
      </c>
      <c r="N839" t="n">
        <v>0</v>
      </c>
      <c r="O839" t="n">
        <v>0</v>
      </c>
      <c r="P839" t="n">
        <v>0</v>
      </c>
      <c r="Q839" t="n">
        <v>0</v>
      </c>
      <c r="R839" s="2" t="inlineStr"/>
    </row>
    <row r="840" ht="15" customHeight="1">
      <c r="A840" t="inlineStr">
        <is>
          <t>A 33336-2025</t>
        </is>
      </c>
      <c r="B840" s="1" t="n">
        <v>45841.35611111111</v>
      </c>
      <c r="C840" s="1" t="n">
        <v>45927</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33824-2025</t>
        </is>
      </c>
      <c r="B841" s="1" t="n">
        <v>45842.46885416667</v>
      </c>
      <c r="C841" s="1" t="n">
        <v>45927</v>
      </c>
      <c r="D841" t="inlineStr">
        <is>
          <t>STOCKHOLMS LÄN</t>
        </is>
      </c>
      <c r="E841" t="inlineStr">
        <is>
          <t>NORRTÄLJE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26640-2023</t>
        </is>
      </c>
      <c r="B842" s="1" t="n">
        <v>45092</v>
      </c>
      <c r="C842" s="1" t="n">
        <v>45927</v>
      </c>
      <c r="D842" t="inlineStr">
        <is>
          <t>STOCKHOLMS LÄN</t>
        </is>
      </c>
      <c r="E842" t="inlineStr">
        <is>
          <t>NORRTÄLJE</t>
        </is>
      </c>
      <c r="G842" t="n">
        <v>5.7</v>
      </c>
      <c r="H842" t="n">
        <v>0</v>
      </c>
      <c r="I842" t="n">
        <v>0</v>
      </c>
      <c r="J842" t="n">
        <v>0</v>
      </c>
      <c r="K842" t="n">
        <v>0</v>
      </c>
      <c r="L842" t="n">
        <v>0</v>
      </c>
      <c r="M842" t="n">
        <v>0</v>
      </c>
      <c r="N842" t="n">
        <v>0</v>
      </c>
      <c r="O842" t="n">
        <v>0</v>
      </c>
      <c r="P842" t="n">
        <v>0</v>
      </c>
      <c r="Q842" t="n">
        <v>0</v>
      </c>
      <c r="R842" s="2" t="inlineStr"/>
    </row>
    <row r="843" ht="15" customHeight="1">
      <c r="A843" t="inlineStr">
        <is>
          <t>A 31827-2023</t>
        </is>
      </c>
      <c r="B843" s="1" t="n">
        <v>45118</v>
      </c>
      <c r="C843" s="1" t="n">
        <v>45927</v>
      </c>
      <c r="D843" t="inlineStr">
        <is>
          <t>STOCKHOLMS LÄN</t>
        </is>
      </c>
      <c r="E843" t="inlineStr">
        <is>
          <t>NORRTÄLJE</t>
        </is>
      </c>
      <c r="F843" t="inlineStr">
        <is>
          <t>Kyrkan</t>
        </is>
      </c>
      <c r="G843" t="n">
        <v>4.9</v>
      </c>
      <c r="H843" t="n">
        <v>0</v>
      </c>
      <c r="I843" t="n">
        <v>0</v>
      </c>
      <c r="J843" t="n">
        <v>0</v>
      </c>
      <c r="K843" t="n">
        <v>0</v>
      </c>
      <c r="L843" t="n">
        <v>0</v>
      </c>
      <c r="M843" t="n">
        <v>0</v>
      </c>
      <c r="N843" t="n">
        <v>0</v>
      </c>
      <c r="O843" t="n">
        <v>0</v>
      </c>
      <c r="P843" t="n">
        <v>0</v>
      </c>
      <c r="Q843" t="n">
        <v>0</v>
      </c>
      <c r="R843" s="2" t="inlineStr"/>
    </row>
    <row r="844" ht="15" customHeight="1">
      <c r="A844" t="inlineStr">
        <is>
          <t>A 58993-2022</t>
        </is>
      </c>
      <c r="B844" s="1" t="n">
        <v>44903</v>
      </c>
      <c r="C844" s="1" t="n">
        <v>45927</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34006-2025</t>
        </is>
      </c>
      <c r="B845" s="1" t="n">
        <v>45844.62609953704</v>
      </c>
      <c r="C845" s="1" t="n">
        <v>45927</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28900-2022</t>
        </is>
      </c>
      <c r="B846" s="1" t="n">
        <v>44749.55258101852</v>
      </c>
      <c r="C846" s="1" t="n">
        <v>45927</v>
      </c>
      <c r="D846" t="inlineStr">
        <is>
          <t>STOCKHOLMS LÄN</t>
        </is>
      </c>
      <c r="E846" t="inlineStr">
        <is>
          <t>NORRTÄLJE</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17574-2025</t>
        </is>
      </c>
      <c r="B847" s="1" t="n">
        <v>45757.65178240741</v>
      </c>
      <c r="C847" s="1" t="n">
        <v>45927</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34139-2025</t>
        </is>
      </c>
      <c r="B848" s="1" t="n">
        <v>45845</v>
      </c>
      <c r="C848" s="1" t="n">
        <v>45927</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58530-2024</t>
        </is>
      </c>
      <c r="B849" s="1" t="n">
        <v>45635.44788194444</v>
      </c>
      <c r="C849" s="1" t="n">
        <v>45927</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22421-2021</t>
        </is>
      </c>
      <c r="B850" s="1" t="n">
        <v>44326</v>
      </c>
      <c r="C850" s="1" t="n">
        <v>45927</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34010-2025</t>
        </is>
      </c>
      <c r="B851" s="1" t="n">
        <v>45844.91234953704</v>
      </c>
      <c r="C851" s="1" t="n">
        <v>45927</v>
      </c>
      <c r="D851" t="inlineStr">
        <is>
          <t>STOCKHOLMS LÄN</t>
        </is>
      </c>
      <c r="E851" t="inlineStr">
        <is>
          <t>NORRTÄLJE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38593-2025</t>
        </is>
      </c>
      <c r="B852" s="1" t="n">
        <v>45884.48696759259</v>
      </c>
      <c r="C852" s="1" t="n">
        <v>45927</v>
      </c>
      <c r="D852" t="inlineStr">
        <is>
          <t>STOCKHOLMS LÄN</t>
        </is>
      </c>
      <c r="E852" t="inlineStr">
        <is>
          <t>NORRTÄLJE</t>
        </is>
      </c>
      <c r="G852" t="n">
        <v>3</v>
      </c>
      <c r="H852" t="n">
        <v>0</v>
      </c>
      <c r="I852" t="n">
        <v>0</v>
      </c>
      <c r="J852" t="n">
        <v>0</v>
      </c>
      <c r="K852" t="n">
        <v>0</v>
      </c>
      <c r="L852" t="n">
        <v>0</v>
      </c>
      <c r="M852" t="n">
        <v>0</v>
      </c>
      <c r="N852" t="n">
        <v>0</v>
      </c>
      <c r="O852" t="n">
        <v>0</v>
      </c>
      <c r="P852" t="n">
        <v>0</v>
      </c>
      <c r="Q852" t="n">
        <v>0</v>
      </c>
      <c r="R852" s="2" t="inlineStr"/>
    </row>
    <row r="853" ht="15" customHeight="1">
      <c r="A853" t="inlineStr">
        <is>
          <t>A 40761-2024</t>
        </is>
      </c>
      <c r="B853" s="1" t="n">
        <v>45558.46283564815</v>
      </c>
      <c r="C853" s="1" t="n">
        <v>45927</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58297-2023</t>
        </is>
      </c>
      <c r="B854" s="1" t="n">
        <v>45245</v>
      </c>
      <c r="C854" s="1" t="n">
        <v>45927</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20304-2023</t>
        </is>
      </c>
      <c r="B855" s="1" t="n">
        <v>45056</v>
      </c>
      <c r="C855" s="1" t="n">
        <v>45927</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36689-2023</t>
        </is>
      </c>
      <c r="B856" s="1" t="n">
        <v>45152</v>
      </c>
      <c r="C856" s="1" t="n">
        <v>45927</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12299-2025</t>
        </is>
      </c>
      <c r="B857" s="1" t="n">
        <v>45729.71065972222</v>
      </c>
      <c r="C857" s="1" t="n">
        <v>45927</v>
      </c>
      <c r="D857" t="inlineStr">
        <is>
          <t>STOCKHOLMS LÄN</t>
        </is>
      </c>
      <c r="E857" t="inlineStr">
        <is>
          <t>NORRTÄLJE</t>
        </is>
      </c>
      <c r="F857" t="inlineStr">
        <is>
          <t>Holmen skog AB</t>
        </is>
      </c>
      <c r="G857" t="n">
        <v>6.9</v>
      </c>
      <c r="H857" t="n">
        <v>0</v>
      </c>
      <c r="I857" t="n">
        <v>0</v>
      </c>
      <c r="J857" t="n">
        <v>0</v>
      </c>
      <c r="K857" t="n">
        <v>0</v>
      </c>
      <c r="L857" t="n">
        <v>0</v>
      </c>
      <c r="M857" t="n">
        <v>0</v>
      </c>
      <c r="N857" t="n">
        <v>0</v>
      </c>
      <c r="O857" t="n">
        <v>0</v>
      </c>
      <c r="P857" t="n">
        <v>0</v>
      </c>
      <c r="Q857" t="n">
        <v>0</v>
      </c>
      <c r="R857" s="2" t="inlineStr"/>
    </row>
    <row r="858" ht="15" customHeight="1">
      <c r="A858" t="inlineStr">
        <is>
          <t>A 22157-2023</t>
        </is>
      </c>
      <c r="B858" s="1" t="n">
        <v>45069</v>
      </c>
      <c r="C858" s="1" t="n">
        <v>45927</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c r="U858">
        <f>HYPERLINK("https://klasma.github.io/Logging_0188/knärot/A 22157-2023 karta knärot.png", "A 22157-2023")</f>
        <v/>
      </c>
      <c r="V858">
        <f>HYPERLINK("https://klasma.github.io/Logging_0188/klagomål/A 22157-2023 FSC-klagomål.docx", "A 22157-2023")</f>
        <v/>
      </c>
      <c r="W858">
        <f>HYPERLINK("https://klasma.github.io/Logging_0188/klagomålsmail/A 22157-2023 FSC-klagomål mail.docx", "A 22157-2023")</f>
        <v/>
      </c>
      <c r="X858">
        <f>HYPERLINK("https://klasma.github.io/Logging_0188/tillsyn/A 22157-2023 tillsynsbegäran.docx", "A 22157-2023")</f>
        <v/>
      </c>
      <c r="Y858">
        <f>HYPERLINK("https://klasma.github.io/Logging_0188/tillsynsmail/A 22157-2023 tillsynsbegäran mail.docx", "A 22157-2023")</f>
        <v/>
      </c>
    </row>
    <row r="859" ht="15" customHeight="1">
      <c r="A859" t="inlineStr">
        <is>
          <t>A 11929-2024</t>
        </is>
      </c>
      <c r="B859" s="1" t="n">
        <v>45376.64532407407</v>
      </c>
      <c r="C859" s="1" t="n">
        <v>45927</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46073-2024</t>
        </is>
      </c>
      <c r="B860" s="1" t="n">
        <v>45581</v>
      </c>
      <c r="C860" s="1" t="n">
        <v>45927</v>
      </c>
      <c r="D860" t="inlineStr">
        <is>
          <t>STOCKHOLMS LÄN</t>
        </is>
      </c>
      <c r="E860" t="inlineStr">
        <is>
          <t>NORRTÄLJE</t>
        </is>
      </c>
      <c r="G860" t="n">
        <v>2</v>
      </c>
      <c r="H860" t="n">
        <v>0</v>
      </c>
      <c r="I860" t="n">
        <v>0</v>
      </c>
      <c r="J860" t="n">
        <v>0</v>
      </c>
      <c r="K860" t="n">
        <v>0</v>
      </c>
      <c r="L860" t="n">
        <v>0</v>
      </c>
      <c r="M860" t="n">
        <v>0</v>
      </c>
      <c r="N860" t="n">
        <v>0</v>
      </c>
      <c r="O860" t="n">
        <v>0</v>
      </c>
      <c r="P860" t="n">
        <v>0</v>
      </c>
      <c r="Q860" t="n">
        <v>0</v>
      </c>
      <c r="R860" s="2" t="inlineStr"/>
    </row>
    <row r="861" ht="15" customHeight="1">
      <c r="A861" t="inlineStr">
        <is>
          <t>A 4553-2023</t>
        </is>
      </c>
      <c r="B861" s="1" t="n">
        <v>44956.65920138889</v>
      </c>
      <c r="C861" s="1" t="n">
        <v>45927</v>
      </c>
      <c r="D861" t="inlineStr">
        <is>
          <t>STOCKHOLMS LÄN</t>
        </is>
      </c>
      <c r="E861" t="inlineStr">
        <is>
          <t>NORRTÄLJE</t>
        </is>
      </c>
      <c r="G861" t="n">
        <v>7.5</v>
      </c>
      <c r="H861" t="n">
        <v>0</v>
      </c>
      <c r="I861" t="n">
        <v>0</v>
      </c>
      <c r="J861" t="n">
        <v>0</v>
      </c>
      <c r="K861" t="n">
        <v>0</v>
      </c>
      <c r="L861" t="n">
        <v>0</v>
      </c>
      <c r="M861" t="n">
        <v>0</v>
      </c>
      <c r="N861" t="n">
        <v>0</v>
      </c>
      <c r="O861" t="n">
        <v>0</v>
      </c>
      <c r="P861" t="n">
        <v>0</v>
      </c>
      <c r="Q861" t="n">
        <v>0</v>
      </c>
      <c r="R861" s="2" t="inlineStr"/>
    </row>
    <row r="862" ht="15" customHeight="1">
      <c r="A862" t="inlineStr">
        <is>
          <t>A 4593-2023</t>
        </is>
      </c>
      <c r="B862" s="1" t="n">
        <v>44956</v>
      </c>
      <c r="C862" s="1" t="n">
        <v>45927</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13171-2025</t>
        </is>
      </c>
      <c r="B863" s="1" t="n">
        <v>45735.36594907408</v>
      </c>
      <c r="C863" s="1" t="n">
        <v>45927</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8296-2023</t>
        </is>
      </c>
      <c r="B864" s="1" t="n">
        <v>44974</v>
      </c>
      <c r="C864" s="1" t="n">
        <v>45927</v>
      </c>
      <c r="D864" t="inlineStr">
        <is>
          <t>STOCKHOLMS LÄN</t>
        </is>
      </c>
      <c r="E864" t="inlineStr">
        <is>
          <t>NORRTÄLJE</t>
        </is>
      </c>
      <c r="G864" t="n">
        <v>3.8</v>
      </c>
      <c r="H864" t="n">
        <v>0</v>
      </c>
      <c r="I864" t="n">
        <v>0</v>
      </c>
      <c r="J864" t="n">
        <v>0</v>
      </c>
      <c r="K864" t="n">
        <v>0</v>
      </c>
      <c r="L864" t="n">
        <v>0</v>
      </c>
      <c r="M864" t="n">
        <v>0</v>
      </c>
      <c r="N864" t="n">
        <v>0</v>
      </c>
      <c r="O864" t="n">
        <v>0</v>
      </c>
      <c r="P864" t="n">
        <v>0</v>
      </c>
      <c r="Q864" t="n">
        <v>0</v>
      </c>
      <c r="R864" s="2" t="inlineStr"/>
    </row>
    <row r="865" ht="15" customHeight="1">
      <c r="A865" t="inlineStr">
        <is>
          <t>A 24575-2024</t>
        </is>
      </c>
      <c r="B865" s="1" t="n">
        <v>45460.45523148148</v>
      </c>
      <c r="C865" s="1" t="n">
        <v>45927</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64899-2023</t>
        </is>
      </c>
      <c r="B866" s="1" t="n">
        <v>45282</v>
      </c>
      <c r="C866" s="1" t="n">
        <v>45927</v>
      </c>
      <c r="D866" t="inlineStr">
        <is>
          <t>STOCKHOLMS LÄN</t>
        </is>
      </c>
      <c r="E866" t="inlineStr">
        <is>
          <t>NORRTÄLJE</t>
        </is>
      </c>
      <c r="G866" t="n">
        <v>6.3</v>
      </c>
      <c r="H866" t="n">
        <v>0</v>
      </c>
      <c r="I866" t="n">
        <v>0</v>
      </c>
      <c r="J866" t="n">
        <v>0</v>
      </c>
      <c r="K866" t="n">
        <v>0</v>
      </c>
      <c r="L866" t="n">
        <v>0</v>
      </c>
      <c r="M866" t="n">
        <v>0</v>
      </c>
      <c r="N866" t="n">
        <v>0</v>
      </c>
      <c r="O866" t="n">
        <v>0</v>
      </c>
      <c r="P866" t="n">
        <v>0</v>
      </c>
      <c r="Q866" t="n">
        <v>0</v>
      </c>
      <c r="R866" s="2" t="inlineStr"/>
    </row>
    <row r="867" ht="15" customHeight="1">
      <c r="A867" t="inlineStr">
        <is>
          <t>A 19058-2023</t>
        </is>
      </c>
      <c r="B867" s="1" t="n">
        <v>45048</v>
      </c>
      <c r="C867" s="1" t="n">
        <v>45927</v>
      </c>
      <c r="D867" t="inlineStr">
        <is>
          <t>STOCKHOLMS LÄN</t>
        </is>
      </c>
      <c r="E867" t="inlineStr">
        <is>
          <t>NORRTÄLJE</t>
        </is>
      </c>
      <c r="G867" t="n">
        <v>3.7</v>
      </c>
      <c r="H867" t="n">
        <v>0</v>
      </c>
      <c r="I867" t="n">
        <v>0</v>
      </c>
      <c r="J867" t="n">
        <v>0</v>
      </c>
      <c r="K867" t="n">
        <v>0</v>
      </c>
      <c r="L867" t="n">
        <v>0</v>
      </c>
      <c r="M867" t="n">
        <v>0</v>
      </c>
      <c r="N867" t="n">
        <v>0</v>
      </c>
      <c r="O867" t="n">
        <v>0</v>
      </c>
      <c r="P867" t="n">
        <v>0</v>
      </c>
      <c r="Q867" t="n">
        <v>0</v>
      </c>
      <c r="R867" s="2" t="inlineStr"/>
    </row>
    <row r="868" ht="15" customHeight="1">
      <c r="A868" t="inlineStr">
        <is>
          <t>A 52593-2024</t>
        </is>
      </c>
      <c r="B868" s="1" t="n">
        <v>45609.70778935185</v>
      </c>
      <c r="C868" s="1" t="n">
        <v>45927</v>
      </c>
      <c r="D868" t="inlineStr">
        <is>
          <t>STOCKHOLMS LÄN</t>
        </is>
      </c>
      <c r="E868" t="inlineStr">
        <is>
          <t>NORRTÄLJE</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52617-2024</t>
        </is>
      </c>
      <c r="B869" s="1" t="n">
        <v>45609.85146990741</v>
      </c>
      <c r="C869" s="1" t="n">
        <v>45927</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39149-2025</t>
        </is>
      </c>
      <c r="B870" s="1" t="n">
        <v>45888.60714120371</v>
      </c>
      <c r="C870" s="1" t="n">
        <v>45927</v>
      </c>
      <c r="D870" t="inlineStr">
        <is>
          <t>STOCKHOLMS LÄN</t>
        </is>
      </c>
      <c r="E870" t="inlineStr">
        <is>
          <t>NORRTÄLJE</t>
        </is>
      </c>
      <c r="G870" t="n">
        <v>3.5</v>
      </c>
      <c r="H870" t="n">
        <v>0</v>
      </c>
      <c r="I870" t="n">
        <v>0</v>
      </c>
      <c r="J870" t="n">
        <v>0</v>
      </c>
      <c r="K870" t="n">
        <v>0</v>
      </c>
      <c r="L870" t="n">
        <v>0</v>
      </c>
      <c r="M870" t="n">
        <v>0</v>
      </c>
      <c r="N870" t="n">
        <v>0</v>
      </c>
      <c r="O870" t="n">
        <v>0</v>
      </c>
      <c r="P870" t="n">
        <v>0</v>
      </c>
      <c r="Q870" t="n">
        <v>0</v>
      </c>
      <c r="R870" s="2" t="inlineStr"/>
    </row>
    <row r="871" ht="15" customHeight="1">
      <c r="A871" t="inlineStr">
        <is>
          <t>A 51978-2023</t>
        </is>
      </c>
      <c r="B871" s="1" t="n">
        <v>45223</v>
      </c>
      <c r="C871" s="1" t="n">
        <v>45927</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60321-2020</t>
        </is>
      </c>
      <c r="B872" s="1" t="n">
        <v>44152</v>
      </c>
      <c r="C872" s="1" t="n">
        <v>45927</v>
      </c>
      <c r="D872" t="inlineStr">
        <is>
          <t>STOCKHOLMS LÄN</t>
        </is>
      </c>
      <c r="E872" t="inlineStr">
        <is>
          <t>NORRTÄLJE</t>
        </is>
      </c>
      <c r="F872" t="inlineStr">
        <is>
          <t>Holmen skog AB</t>
        </is>
      </c>
      <c r="G872" t="n">
        <v>3.4</v>
      </c>
      <c r="H872" t="n">
        <v>0</v>
      </c>
      <c r="I872" t="n">
        <v>0</v>
      </c>
      <c r="J872" t="n">
        <v>0</v>
      </c>
      <c r="K872" t="n">
        <v>0</v>
      </c>
      <c r="L872" t="n">
        <v>0</v>
      </c>
      <c r="M872" t="n">
        <v>0</v>
      </c>
      <c r="N872" t="n">
        <v>0</v>
      </c>
      <c r="O872" t="n">
        <v>0</v>
      </c>
      <c r="P872" t="n">
        <v>0</v>
      </c>
      <c r="Q872" t="n">
        <v>0</v>
      </c>
      <c r="R872" s="2" t="inlineStr"/>
    </row>
    <row r="873" ht="15" customHeight="1">
      <c r="A873" t="inlineStr">
        <is>
          <t>A 18092-2022</t>
        </is>
      </c>
      <c r="B873" s="1" t="n">
        <v>44684</v>
      </c>
      <c r="C873" s="1" t="n">
        <v>45927</v>
      </c>
      <c r="D873" t="inlineStr">
        <is>
          <t>STOCKHOLMS LÄN</t>
        </is>
      </c>
      <c r="E873" t="inlineStr">
        <is>
          <t>NORRTÄLJE</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59310-2023</t>
        </is>
      </c>
      <c r="B874" s="1" t="n">
        <v>45253.61146990741</v>
      </c>
      <c r="C874" s="1" t="n">
        <v>45927</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9329-2023</t>
        </is>
      </c>
      <c r="B875" s="1" t="n">
        <v>44980</v>
      </c>
      <c r="C875" s="1" t="n">
        <v>45927</v>
      </c>
      <c r="D875" t="inlineStr">
        <is>
          <t>STOCKHOLMS LÄN</t>
        </is>
      </c>
      <c r="E875" t="inlineStr">
        <is>
          <t>NORRTÄLJE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49898-2020</t>
        </is>
      </c>
      <c r="B876" s="1" t="n">
        <v>44108</v>
      </c>
      <c r="C876" s="1" t="n">
        <v>45927</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22816-2021</t>
        </is>
      </c>
      <c r="B877" s="1" t="n">
        <v>44325</v>
      </c>
      <c r="C877" s="1" t="n">
        <v>45927</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59904-2023</t>
        </is>
      </c>
      <c r="B878" s="1" t="n">
        <v>45257</v>
      </c>
      <c r="C878" s="1" t="n">
        <v>45927</v>
      </c>
      <c r="D878" t="inlineStr">
        <is>
          <t>STOCKHOLMS LÄN</t>
        </is>
      </c>
      <c r="E878" t="inlineStr">
        <is>
          <t>NORRTÄLJE</t>
        </is>
      </c>
      <c r="G878" t="n">
        <v>17.4</v>
      </c>
      <c r="H878" t="n">
        <v>0</v>
      </c>
      <c r="I878" t="n">
        <v>0</v>
      </c>
      <c r="J878" t="n">
        <v>0</v>
      </c>
      <c r="K878" t="n">
        <v>0</v>
      </c>
      <c r="L878" t="n">
        <v>0</v>
      </c>
      <c r="M878" t="n">
        <v>0</v>
      </c>
      <c r="N878" t="n">
        <v>0</v>
      </c>
      <c r="O878" t="n">
        <v>0</v>
      </c>
      <c r="P878" t="n">
        <v>0</v>
      </c>
      <c r="Q878" t="n">
        <v>0</v>
      </c>
      <c r="R878" s="2" t="inlineStr"/>
    </row>
    <row r="879" ht="15" customHeight="1">
      <c r="A879" t="inlineStr">
        <is>
          <t>A 9914-2023</t>
        </is>
      </c>
      <c r="B879" s="1" t="n">
        <v>44985</v>
      </c>
      <c r="C879" s="1" t="n">
        <v>45927</v>
      </c>
      <c r="D879" t="inlineStr">
        <is>
          <t>STOCKHOLMS LÄN</t>
        </is>
      </c>
      <c r="E879" t="inlineStr">
        <is>
          <t>NORRTÄLJE</t>
        </is>
      </c>
      <c r="G879" t="n">
        <v>4.2</v>
      </c>
      <c r="H879" t="n">
        <v>0</v>
      </c>
      <c r="I879" t="n">
        <v>0</v>
      </c>
      <c r="J879" t="n">
        <v>0</v>
      </c>
      <c r="K879" t="n">
        <v>0</v>
      </c>
      <c r="L879" t="n">
        <v>0</v>
      </c>
      <c r="M879" t="n">
        <v>0</v>
      </c>
      <c r="N879" t="n">
        <v>0</v>
      </c>
      <c r="O879" t="n">
        <v>0</v>
      </c>
      <c r="P879" t="n">
        <v>0</v>
      </c>
      <c r="Q879" t="n">
        <v>0</v>
      </c>
      <c r="R879" s="2" t="inlineStr"/>
    </row>
    <row r="880" ht="15" customHeight="1">
      <c r="A880" t="inlineStr">
        <is>
          <t>A 59878-2024</t>
        </is>
      </c>
      <c r="B880" s="1" t="n">
        <v>45640.60240740741</v>
      </c>
      <c r="C880" s="1" t="n">
        <v>45927</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39610-2025</t>
        </is>
      </c>
      <c r="B881" s="1" t="n">
        <v>45890.56001157407</v>
      </c>
      <c r="C881" s="1" t="n">
        <v>45927</v>
      </c>
      <c r="D881" t="inlineStr">
        <is>
          <t>STOCKHOLMS LÄN</t>
        </is>
      </c>
      <c r="E881" t="inlineStr">
        <is>
          <t>NORRTÄLJE</t>
        </is>
      </c>
      <c r="G881" t="n">
        <v>28.6</v>
      </c>
      <c r="H881" t="n">
        <v>0</v>
      </c>
      <c r="I881" t="n">
        <v>0</v>
      </c>
      <c r="J881" t="n">
        <v>0</v>
      </c>
      <c r="K881" t="n">
        <v>0</v>
      </c>
      <c r="L881" t="n">
        <v>0</v>
      </c>
      <c r="M881" t="n">
        <v>0</v>
      </c>
      <c r="N881" t="n">
        <v>0</v>
      </c>
      <c r="O881" t="n">
        <v>0</v>
      </c>
      <c r="P881" t="n">
        <v>0</v>
      </c>
      <c r="Q881" t="n">
        <v>0</v>
      </c>
      <c r="R881" s="2" t="inlineStr"/>
    </row>
    <row r="882" ht="15" customHeight="1">
      <c r="A882" t="inlineStr">
        <is>
          <t>A 11062-2024</t>
        </is>
      </c>
      <c r="B882" s="1" t="n">
        <v>45370</v>
      </c>
      <c r="C882" s="1" t="n">
        <v>45927</v>
      </c>
      <c r="D882" t="inlineStr">
        <is>
          <t>STOCKHOLMS LÄN</t>
        </is>
      </c>
      <c r="E882" t="inlineStr">
        <is>
          <t>NORRTÄLJE</t>
        </is>
      </c>
      <c r="G882" t="n">
        <v>3.2</v>
      </c>
      <c r="H882" t="n">
        <v>0</v>
      </c>
      <c r="I882" t="n">
        <v>0</v>
      </c>
      <c r="J882" t="n">
        <v>0</v>
      </c>
      <c r="K882" t="n">
        <v>0</v>
      </c>
      <c r="L882" t="n">
        <v>0</v>
      </c>
      <c r="M882" t="n">
        <v>0</v>
      </c>
      <c r="N882" t="n">
        <v>0</v>
      </c>
      <c r="O882" t="n">
        <v>0</v>
      </c>
      <c r="P882" t="n">
        <v>0</v>
      </c>
      <c r="Q882" t="n">
        <v>0</v>
      </c>
      <c r="R882" s="2" t="inlineStr"/>
    </row>
    <row r="883" ht="15" customHeight="1">
      <c r="A883" t="inlineStr">
        <is>
          <t>A 41335-2023</t>
        </is>
      </c>
      <c r="B883" s="1" t="n">
        <v>45174.68702546296</v>
      </c>
      <c r="C883" s="1" t="n">
        <v>45927</v>
      </c>
      <c r="D883" t="inlineStr">
        <is>
          <t>STOCKHOLMS LÄN</t>
        </is>
      </c>
      <c r="E883" t="inlineStr">
        <is>
          <t>NORRTÄLJE</t>
        </is>
      </c>
      <c r="F883" t="inlineStr">
        <is>
          <t>Holmen skog AB</t>
        </is>
      </c>
      <c r="G883" t="n">
        <v>4.4</v>
      </c>
      <c r="H883" t="n">
        <v>0</v>
      </c>
      <c r="I883" t="n">
        <v>0</v>
      </c>
      <c r="J883" t="n">
        <v>0</v>
      </c>
      <c r="K883" t="n">
        <v>0</v>
      </c>
      <c r="L883" t="n">
        <v>0</v>
      </c>
      <c r="M883" t="n">
        <v>0</v>
      </c>
      <c r="N883" t="n">
        <v>0</v>
      </c>
      <c r="O883" t="n">
        <v>0</v>
      </c>
      <c r="P883" t="n">
        <v>0</v>
      </c>
      <c r="Q883" t="n">
        <v>0</v>
      </c>
      <c r="R883" s="2" t="inlineStr"/>
    </row>
    <row r="884" ht="15" customHeight="1">
      <c r="A884" t="inlineStr">
        <is>
          <t>A 33040-2021</t>
        </is>
      </c>
      <c r="B884" s="1" t="n">
        <v>44376.50728009259</v>
      </c>
      <c r="C884" s="1" t="n">
        <v>45927</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33053-2021</t>
        </is>
      </c>
      <c r="B885" s="1" t="n">
        <v>44376</v>
      </c>
      <c r="C885" s="1" t="n">
        <v>45927</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15733-2025</t>
        </is>
      </c>
      <c r="B886" s="1" t="n">
        <v>45748</v>
      </c>
      <c r="C886" s="1" t="n">
        <v>45927</v>
      </c>
      <c r="D886" t="inlineStr">
        <is>
          <t>STOCKHOLMS LÄN</t>
        </is>
      </c>
      <c r="E886" t="inlineStr">
        <is>
          <t>NORRTÄLJE</t>
        </is>
      </c>
      <c r="G886" t="n">
        <v>13.3</v>
      </c>
      <c r="H886" t="n">
        <v>0</v>
      </c>
      <c r="I886" t="n">
        <v>0</v>
      </c>
      <c r="J886" t="n">
        <v>0</v>
      </c>
      <c r="K886" t="n">
        <v>0</v>
      </c>
      <c r="L886" t="n">
        <v>0</v>
      </c>
      <c r="M886" t="n">
        <v>0</v>
      </c>
      <c r="N886" t="n">
        <v>0</v>
      </c>
      <c r="O886" t="n">
        <v>0</v>
      </c>
      <c r="P886" t="n">
        <v>0</v>
      </c>
      <c r="Q886" t="n">
        <v>0</v>
      </c>
      <c r="R886" s="2" t="inlineStr"/>
    </row>
    <row r="887" ht="15" customHeight="1">
      <c r="A887" t="inlineStr">
        <is>
          <t>A 33569-2023</t>
        </is>
      </c>
      <c r="B887" s="1" t="n">
        <v>45131.666875</v>
      </c>
      <c r="C887" s="1" t="n">
        <v>45927</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15905-2023</t>
        </is>
      </c>
      <c r="B888" s="1" t="n">
        <v>45022</v>
      </c>
      <c r="C888" s="1" t="n">
        <v>45927</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39692-2025</t>
        </is>
      </c>
      <c r="B889" s="1" t="n">
        <v>45890.68083333333</v>
      </c>
      <c r="C889" s="1" t="n">
        <v>45927</v>
      </c>
      <c r="D889" t="inlineStr">
        <is>
          <t>STOCKHOLMS LÄN</t>
        </is>
      </c>
      <c r="E889" t="inlineStr">
        <is>
          <t>NORRTÄLJE</t>
        </is>
      </c>
      <c r="G889" t="n">
        <v>10.5</v>
      </c>
      <c r="H889" t="n">
        <v>0</v>
      </c>
      <c r="I889" t="n">
        <v>0</v>
      </c>
      <c r="J889" t="n">
        <v>0</v>
      </c>
      <c r="K889" t="n">
        <v>0</v>
      </c>
      <c r="L889" t="n">
        <v>0</v>
      </c>
      <c r="M889" t="n">
        <v>0</v>
      </c>
      <c r="N889" t="n">
        <v>0</v>
      </c>
      <c r="O889" t="n">
        <v>0</v>
      </c>
      <c r="P889" t="n">
        <v>0</v>
      </c>
      <c r="Q889" t="n">
        <v>0</v>
      </c>
      <c r="R889" s="2" t="inlineStr"/>
    </row>
    <row r="890" ht="15" customHeight="1">
      <c r="A890" t="inlineStr">
        <is>
          <t>A 43150-2023</t>
        </is>
      </c>
      <c r="B890" s="1" t="n">
        <v>45183</v>
      </c>
      <c r="C890" s="1" t="n">
        <v>45927</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5950-2021</t>
        </is>
      </c>
      <c r="B891" s="1" t="n">
        <v>44231</v>
      </c>
      <c r="C891" s="1" t="n">
        <v>45927</v>
      </c>
      <c r="D891" t="inlineStr">
        <is>
          <t>STOCKHOLMS LÄN</t>
        </is>
      </c>
      <c r="E891" t="inlineStr">
        <is>
          <t>NORRTÄLJE</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54259-2023</t>
        </is>
      </c>
      <c r="B892" s="1" t="n">
        <v>45232</v>
      </c>
      <c r="C892" s="1" t="n">
        <v>45927</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19057-2024</t>
        </is>
      </c>
      <c r="B893" s="1" t="n">
        <v>45427.88731481481</v>
      </c>
      <c r="C893" s="1" t="n">
        <v>45927</v>
      </c>
      <c r="D893" t="inlineStr">
        <is>
          <t>STOCKHOLMS LÄN</t>
        </is>
      </c>
      <c r="E893" t="inlineStr">
        <is>
          <t>NORRTÄLJE</t>
        </is>
      </c>
      <c r="G893" t="n">
        <v>3</v>
      </c>
      <c r="H893" t="n">
        <v>0</v>
      </c>
      <c r="I893" t="n">
        <v>0</v>
      </c>
      <c r="J893" t="n">
        <v>0</v>
      </c>
      <c r="K893" t="n">
        <v>0</v>
      </c>
      <c r="L893" t="n">
        <v>0</v>
      </c>
      <c r="M893" t="n">
        <v>0</v>
      </c>
      <c r="N893" t="n">
        <v>0</v>
      </c>
      <c r="O893" t="n">
        <v>0</v>
      </c>
      <c r="P893" t="n">
        <v>0</v>
      </c>
      <c r="Q893" t="n">
        <v>0</v>
      </c>
      <c r="R893" s="2" t="inlineStr"/>
    </row>
    <row r="894" ht="15" customHeight="1">
      <c r="A894" t="inlineStr">
        <is>
          <t>A 15956-2023</t>
        </is>
      </c>
      <c r="B894" s="1" t="n">
        <v>45022.61003472222</v>
      </c>
      <c r="C894" s="1" t="n">
        <v>45927</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35256-2025</t>
        </is>
      </c>
      <c r="B895" s="1" t="n">
        <v>45853</v>
      </c>
      <c r="C895" s="1" t="n">
        <v>45927</v>
      </c>
      <c r="D895" t="inlineStr">
        <is>
          <t>STOCKHOLMS LÄN</t>
        </is>
      </c>
      <c r="E895" t="inlineStr">
        <is>
          <t>NORRTÄLJE</t>
        </is>
      </c>
      <c r="G895" t="n">
        <v>6.4</v>
      </c>
      <c r="H895" t="n">
        <v>0</v>
      </c>
      <c r="I895" t="n">
        <v>0</v>
      </c>
      <c r="J895" t="n">
        <v>0</v>
      </c>
      <c r="K895" t="n">
        <v>0</v>
      </c>
      <c r="L895" t="n">
        <v>0</v>
      </c>
      <c r="M895" t="n">
        <v>0</v>
      </c>
      <c r="N895" t="n">
        <v>0</v>
      </c>
      <c r="O895" t="n">
        <v>0</v>
      </c>
      <c r="P895" t="n">
        <v>0</v>
      </c>
      <c r="Q895" t="n">
        <v>0</v>
      </c>
      <c r="R895" s="2" t="inlineStr"/>
    </row>
    <row r="896" ht="15" customHeight="1">
      <c r="A896" t="inlineStr">
        <is>
          <t>A 40032-2025</t>
        </is>
      </c>
      <c r="B896" s="1" t="n">
        <v>45893</v>
      </c>
      <c r="C896" s="1" t="n">
        <v>45927</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40228-2025</t>
        </is>
      </c>
      <c r="B897" s="1" t="n">
        <v>45894.70854166667</v>
      </c>
      <c r="C897" s="1" t="n">
        <v>45927</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40172-2025</t>
        </is>
      </c>
      <c r="B898" s="1" t="n">
        <v>45894.6353125</v>
      </c>
      <c r="C898" s="1" t="n">
        <v>45927</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40217-2025</t>
        </is>
      </c>
      <c r="B899" s="1" t="n">
        <v>45894.68864583333</v>
      </c>
      <c r="C899" s="1" t="n">
        <v>45927</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40097-2025</t>
        </is>
      </c>
      <c r="B900" s="1" t="n">
        <v>45894.48322916667</v>
      </c>
      <c r="C900" s="1" t="n">
        <v>45927</v>
      </c>
      <c r="D900" t="inlineStr">
        <is>
          <t>STOCKHOLMS LÄN</t>
        </is>
      </c>
      <c r="E900" t="inlineStr">
        <is>
          <t>NORRTÄLJE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47626-2022</t>
        </is>
      </c>
      <c r="B901" s="1" t="n">
        <v>44854</v>
      </c>
      <c r="C901" s="1" t="n">
        <v>45927</v>
      </c>
      <c r="D901" t="inlineStr">
        <is>
          <t>STOCKHOLMS LÄN</t>
        </is>
      </c>
      <c r="E901" t="inlineStr">
        <is>
          <t>NORRTÄLJE</t>
        </is>
      </c>
      <c r="G901" t="n">
        <v>2</v>
      </c>
      <c r="H901" t="n">
        <v>0</v>
      </c>
      <c r="I901" t="n">
        <v>0</v>
      </c>
      <c r="J901" t="n">
        <v>0</v>
      </c>
      <c r="K901" t="n">
        <v>0</v>
      </c>
      <c r="L901" t="n">
        <v>0</v>
      </c>
      <c r="M901" t="n">
        <v>0</v>
      </c>
      <c r="N901" t="n">
        <v>0</v>
      </c>
      <c r="O901" t="n">
        <v>0</v>
      </c>
      <c r="P901" t="n">
        <v>0</v>
      </c>
      <c r="Q901" t="n">
        <v>0</v>
      </c>
      <c r="R901" s="2" t="inlineStr"/>
    </row>
    <row r="902" ht="15" customHeight="1">
      <c r="A902" t="inlineStr">
        <is>
          <t>A 40292-2025</t>
        </is>
      </c>
      <c r="B902" s="1" t="n">
        <v>45895.3867824074</v>
      </c>
      <c r="C902" s="1" t="n">
        <v>45927</v>
      </c>
      <c r="D902" t="inlineStr">
        <is>
          <t>STOCKHOLMS LÄN</t>
        </is>
      </c>
      <c r="E902" t="inlineStr">
        <is>
          <t>NORRTÄLJE</t>
        </is>
      </c>
      <c r="G902" t="n">
        <v>3.5</v>
      </c>
      <c r="H902" t="n">
        <v>0</v>
      </c>
      <c r="I902" t="n">
        <v>0</v>
      </c>
      <c r="J902" t="n">
        <v>0</v>
      </c>
      <c r="K902" t="n">
        <v>0</v>
      </c>
      <c r="L902" t="n">
        <v>0</v>
      </c>
      <c r="M902" t="n">
        <v>0</v>
      </c>
      <c r="N902" t="n">
        <v>0</v>
      </c>
      <c r="O902" t="n">
        <v>0</v>
      </c>
      <c r="P902" t="n">
        <v>0</v>
      </c>
      <c r="Q902" t="n">
        <v>0</v>
      </c>
      <c r="R902" s="2" t="inlineStr"/>
    </row>
    <row r="903" ht="15" customHeight="1">
      <c r="A903" t="inlineStr">
        <is>
          <t>A 60822-2023</t>
        </is>
      </c>
      <c r="B903" s="1" t="n">
        <v>45259</v>
      </c>
      <c r="C903" s="1" t="n">
        <v>45927</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35110-2025</t>
        </is>
      </c>
      <c r="B904" s="1" t="n">
        <v>45852.58030092593</v>
      </c>
      <c r="C904" s="1" t="n">
        <v>45927</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35254-2025</t>
        </is>
      </c>
      <c r="B905" s="1" t="n">
        <v>45853</v>
      </c>
      <c r="C905" s="1" t="n">
        <v>45927</v>
      </c>
      <c r="D905" t="inlineStr">
        <is>
          <t>STOCKHOLMS LÄN</t>
        </is>
      </c>
      <c r="E905" t="inlineStr">
        <is>
          <t>NORRTÄLJE</t>
        </is>
      </c>
      <c r="G905" t="n">
        <v>6.5</v>
      </c>
      <c r="H905" t="n">
        <v>0</v>
      </c>
      <c r="I905" t="n">
        <v>0</v>
      </c>
      <c r="J905" t="n">
        <v>0</v>
      </c>
      <c r="K905" t="n">
        <v>0</v>
      </c>
      <c r="L905" t="n">
        <v>0</v>
      </c>
      <c r="M905" t="n">
        <v>0</v>
      </c>
      <c r="N905" t="n">
        <v>0</v>
      </c>
      <c r="O905" t="n">
        <v>0</v>
      </c>
      <c r="P905" t="n">
        <v>0</v>
      </c>
      <c r="Q905" t="n">
        <v>0</v>
      </c>
      <c r="R905" s="2" t="inlineStr"/>
    </row>
    <row r="906" ht="15" customHeight="1">
      <c r="A906" t="inlineStr">
        <is>
          <t>A 62206-2022</t>
        </is>
      </c>
      <c r="B906" s="1" t="n">
        <v>44922</v>
      </c>
      <c r="C906" s="1" t="n">
        <v>45927</v>
      </c>
      <c r="D906" t="inlineStr">
        <is>
          <t>STOCKHOLMS LÄN</t>
        </is>
      </c>
      <c r="E906" t="inlineStr">
        <is>
          <t>NORRTÄLJE</t>
        </is>
      </c>
      <c r="G906" t="n">
        <v>2.9</v>
      </c>
      <c r="H906" t="n">
        <v>0</v>
      </c>
      <c r="I906" t="n">
        <v>0</v>
      </c>
      <c r="J906" t="n">
        <v>0</v>
      </c>
      <c r="K906" t="n">
        <v>0</v>
      </c>
      <c r="L906" t="n">
        <v>0</v>
      </c>
      <c r="M906" t="n">
        <v>0</v>
      </c>
      <c r="N906" t="n">
        <v>0</v>
      </c>
      <c r="O906" t="n">
        <v>0</v>
      </c>
      <c r="P906" t="n">
        <v>0</v>
      </c>
      <c r="Q906" t="n">
        <v>0</v>
      </c>
      <c r="R906" s="2" t="inlineStr"/>
    </row>
    <row r="907" ht="15" customHeight="1">
      <c r="A907" t="inlineStr">
        <is>
          <t>A 20618-2022</t>
        </is>
      </c>
      <c r="B907" s="1" t="n">
        <v>44700.50659722222</v>
      </c>
      <c r="C907" s="1" t="n">
        <v>45927</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40192-2023</t>
        </is>
      </c>
      <c r="B908" s="1" t="n">
        <v>45169</v>
      </c>
      <c r="C908" s="1" t="n">
        <v>45927</v>
      </c>
      <c r="D908" t="inlineStr">
        <is>
          <t>STOCKHOLMS LÄN</t>
        </is>
      </c>
      <c r="E908" t="inlineStr">
        <is>
          <t>NORRTÄLJE</t>
        </is>
      </c>
      <c r="F908" t="inlineStr">
        <is>
          <t>Kyrkan</t>
        </is>
      </c>
      <c r="G908" t="n">
        <v>0.7</v>
      </c>
      <c r="H908" t="n">
        <v>0</v>
      </c>
      <c r="I908" t="n">
        <v>0</v>
      </c>
      <c r="J908" t="n">
        <v>0</v>
      </c>
      <c r="K908" t="n">
        <v>0</v>
      </c>
      <c r="L908" t="n">
        <v>0</v>
      </c>
      <c r="M908" t="n">
        <v>0</v>
      </c>
      <c r="N908" t="n">
        <v>0</v>
      </c>
      <c r="O908" t="n">
        <v>0</v>
      </c>
      <c r="P908" t="n">
        <v>0</v>
      </c>
      <c r="Q908" t="n">
        <v>0</v>
      </c>
      <c r="R908" s="2" t="inlineStr"/>
    </row>
    <row r="909" ht="15" customHeight="1">
      <c r="A909" t="inlineStr">
        <is>
          <t>A 11900-2022</t>
        </is>
      </c>
      <c r="B909" s="1" t="n">
        <v>44635</v>
      </c>
      <c r="C909" s="1" t="n">
        <v>45927</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12031-2021</t>
        </is>
      </c>
      <c r="B910" s="1" t="n">
        <v>44266</v>
      </c>
      <c r="C910" s="1" t="n">
        <v>45927</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40230-2025</t>
        </is>
      </c>
      <c r="B911" s="1" t="n">
        <v>45894.71101851852</v>
      </c>
      <c r="C911" s="1" t="n">
        <v>45927</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40294-2025</t>
        </is>
      </c>
      <c r="B912" s="1" t="n">
        <v>45895.38778935185</v>
      </c>
      <c r="C912" s="1" t="n">
        <v>45927</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10973-2025</t>
        </is>
      </c>
      <c r="B913" s="1" t="n">
        <v>45723</v>
      </c>
      <c r="C913" s="1" t="n">
        <v>45927</v>
      </c>
      <c r="D913" t="inlineStr">
        <is>
          <t>STOCKHOLMS LÄN</t>
        </is>
      </c>
      <c r="E913" t="inlineStr">
        <is>
          <t>NORRTÄLJE</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40033-2025</t>
        </is>
      </c>
      <c r="B914" s="1" t="n">
        <v>45893</v>
      </c>
      <c r="C914" s="1" t="n">
        <v>45927</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27381-2024</t>
        </is>
      </c>
      <c r="B915" s="1" t="n">
        <v>45473.94501157408</v>
      </c>
      <c r="C915" s="1" t="n">
        <v>45927</v>
      </c>
      <c r="D915" t="inlineStr">
        <is>
          <t>STOCKHOLMS LÄN</t>
        </is>
      </c>
      <c r="E915" t="inlineStr">
        <is>
          <t>NORRTÄLJE</t>
        </is>
      </c>
      <c r="G915" t="n">
        <v>4.5</v>
      </c>
      <c r="H915" t="n">
        <v>0</v>
      </c>
      <c r="I915" t="n">
        <v>0</v>
      </c>
      <c r="J915" t="n">
        <v>0</v>
      </c>
      <c r="K915" t="n">
        <v>0</v>
      </c>
      <c r="L915" t="n">
        <v>0</v>
      </c>
      <c r="M915" t="n">
        <v>0</v>
      </c>
      <c r="N915" t="n">
        <v>0</v>
      </c>
      <c r="O915" t="n">
        <v>0</v>
      </c>
      <c r="P915" t="n">
        <v>0</v>
      </c>
      <c r="Q915" t="n">
        <v>0</v>
      </c>
      <c r="R915" s="2" t="inlineStr"/>
    </row>
    <row r="916" ht="15" customHeight="1">
      <c r="A916" t="inlineStr">
        <is>
          <t>A 40529-2025</t>
        </is>
      </c>
      <c r="B916" s="1" t="n">
        <v>45896.38466435186</v>
      </c>
      <c r="C916" s="1" t="n">
        <v>45927</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27885-2022</t>
        </is>
      </c>
      <c r="B917" s="1" t="n">
        <v>44743.67418981482</v>
      </c>
      <c r="C917" s="1" t="n">
        <v>45927</v>
      </c>
      <c r="D917" t="inlineStr">
        <is>
          <t>STOCKHOLMS LÄN</t>
        </is>
      </c>
      <c r="E917" t="inlineStr">
        <is>
          <t>NORRTÄLJE</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40831-2025</t>
        </is>
      </c>
      <c r="B918" s="1" t="n">
        <v>45897.51077546296</v>
      </c>
      <c r="C918" s="1" t="n">
        <v>45927</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40837-2025</t>
        </is>
      </c>
      <c r="B919" s="1" t="n">
        <v>45897.51328703704</v>
      </c>
      <c r="C919" s="1" t="n">
        <v>45927</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35479-2025</t>
        </is>
      </c>
      <c r="B920" s="1" t="n">
        <v>45855.69387731481</v>
      </c>
      <c r="C920" s="1" t="n">
        <v>45927</v>
      </c>
      <c r="D920" t="inlineStr">
        <is>
          <t>STOCKHOLMS LÄN</t>
        </is>
      </c>
      <c r="E920" t="inlineStr">
        <is>
          <t>NORRTÄLJE</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40829-2025</t>
        </is>
      </c>
      <c r="B921" s="1" t="n">
        <v>45897.50802083333</v>
      </c>
      <c r="C921" s="1" t="n">
        <v>45927</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35451-2025</t>
        </is>
      </c>
      <c r="B922" s="1" t="n">
        <v>45855.57033564815</v>
      </c>
      <c r="C922" s="1" t="n">
        <v>45927</v>
      </c>
      <c r="D922" t="inlineStr">
        <is>
          <t>STOCKHOLMS LÄN</t>
        </is>
      </c>
      <c r="E922" t="inlineStr">
        <is>
          <t>NORRTÄLJE</t>
        </is>
      </c>
      <c r="F922" t="inlineStr">
        <is>
          <t>Holmen skog AB</t>
        </is>
      </c>
      <c r="G922" t="n">
        <v>7.4</v>
      </c>
      <c r="H922" t="n">
        <v>0</v>
      </c>
      <c r="I922" t="n">
        <v>0</v>
      </c>
      <c r="J922" t="n">
        <v>0</v>
      </c>
      <c r="K922" t="n">
        <v>0</v>
      </c>
      <c r="L922" t="n">
        <v>0</v>
      </c>
      <c r="M922" t="n">
        <v>0</v>
      </c>
      <c r="N922" t="n">
        <v>0</v>
      </c>
      <c r="O922" t="n">
        <v>0</v>
      </c>
      <c r="P922" t="n">
        <v>0</v>
      </c>
      <c r="Q922" t="n">
        <v>0</v>
      </c>
      <c r="R922" s="2" t="inlineStr"/>
    </row>
    <row r="923" ht="15" customHeight="1">
      <c r="A923" t="inlineStr">
        <is>
          <t>A 35478-2025</t>
        </is>
      </c>
      <c r="B923" s="1" t="n">
        <v>45855.68413194444</v>
      </c>
      <c r="C923" s="1" t="n">
        <v>45927</v>
      </c>
      <c r="D923" t="inlineStr">
        <is>
          <t>STOCKHOLMS LÄN</t>
        </is>
      </c>
      <c r="E923" t="inlineStr">
        <is>
          <t>NORRTÄLJE</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41174-2025</t>
        </is>
      </c>
      <c r="B924" s="1" t="n">
        <v>45898.54921296296</v>
      </c>
      <c r="C924" s="1" t="n">
        <v>45927</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41158-2025</t>
        </is>
      </c>
      <c r="B925" s="1" t="n">
        <v>45898.5315625</v>
      </c>
      <c r="C925" s="1" t="n">
        <v>45927</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41053-2025</t>
        </is>
      </c>
      <c r="B926" s="1" t="n">
        <v>45898.40480324074</v>
      </c>
      <c r="C926" s="1" t="n">
        <v>45927</v>
      </c>
      <c r="D926" t="inlineStr">
        <is>
          <t>STOCKHOLMS LÄN</t>
        </is>
      </c>
      <c r="E926" t="inlineStr">
        <is>
          <t>NORRTÄLJE</t>
        </is>
      </c>
      <c r="F926" t="inlineStr">
        <is>
          <t>Holmen skog AB</t>
        </is>
      </c>
      <c r="G926" t="n">
        <v>2.5</v>
      </c>
      <c r="H926" t="n">
        <v>0</v>
      </c>
      <c r="I926" t="n">
        <v>0</v>
      </c>
      <c r="J926" t="n">
        <v>0</v>
      </c>
      <c r="K926" t="n">
        <v>0</v>
      </c>
      <c r="L926" t="n">
        <v>0</v>
      </c>
      <c r="M926" t="n">
        <v>0</v>
      </c>
      <c r="N926" t="n">
        <v>0</v>
      </c>
      <c r="O926" t="n">
        <v>0</v>
      </c>
      <c r="P926" t="n">
        <v>0</v>
      </c>
      <c r="Q926" t="n">
        <v>0</v>
      </c>
      <c r="R926" s="2" t="inlineStr"/>
    </row>
    <row r="927" ht="15" customHeight="1">
      <c r="A927" t="inlineStr">
        <is>
          <t>A 38720-2025</t>
        </is>
      </c>
      <c r="B927" s="1" t="n">
        <v>45886</v>
      </c>
      <c r="C927" s="1" t="n">
        <v>45927</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23265-2023</t>
        </is>
      </c>
      <c r="B928" s="1" t="n">
        <v>45075.90703703704</v>
      </c>
      <c r="C928" s="1" t="n">
        <v>45927</v>
      </c>
      <c r="D928" t="inlineStr">
        <is>
          <t>STOCKHOLMS LÄN</t>
        </is>
      </c>
      <c r="E928" t="inlineStr">
        <is>
          <t>NORRTÄLJE</t>
        </is>
      </c>
      <c r="G928" t="n">
        <v>2.6</v>
      </c>
      <c r="H928" t="n">
        <v>0</v>
      </c>
      <c r="I928" t="n">
        <v>0</v>
      </c>
      <c r="J928" t="n">
        <v>0</v>
      </c>
      <c r="K928" t="n">
        <v>0</v>
      </c>
      <c r="L928" t="n">
        <v>0</v>
      </c>
      <c r="M928" t="n">
        <v>0</v>
      </c>
      <c r="N928" t="n">
        <v>0</v>
      </c>
      <c r="O928" t="n">
        <v>0</v>
      </c>
      <c r="P928" t="n">
        <v>0</v>
      </c>
      <c r="Q928" t="n">
        <v>0</v>
      </c>
      <c r="R928" s="2" t="inlineStr"/>
    </row>
    <row r="929" ht="15" customHeight="1">
      <c r="A929" t="inlineStr">
        <is>
          <t>A 26117-2024</t>
        </is>
      </c>
      <c r="B929" s="1" t="n">
        <v>45468.45877314815</v>
      </c>
      <c r="C929" s="1" t="n">
        <v>45927</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41301-2025</t>
        </is>
      </c>
      <c r="B930" s="1" t="n">
        <v>45898.68826388889</v>
      </c>
      <c r="C930" s="1" t="n">
        <v>45927</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41030-2025</t>
        </is>
      </c>
      <c r="B931" s="1" t="n">
        <v>45898.37636574074</v>
      </c>
      <c r="C931" s="1" t="n">
        <v>45927</v>
      </c>
      <c r="D931" t="inlineStr">
        <is>
          <t>STOCKHOLMS LÄN</t>
        </is>
      </c>
      <c r="E931" t="inlineStr">
        <is>
          <t>NORRTÄLJE</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41275-2025</t>
        </is>
      </c>
      <c r="B932" s="1" t="n">
        <v>45898.62625</v>
      </c>
      <c r="C932" s="1" t="n">
        <v>45927</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41106-2025</t>
        </is>
      </c>
      <c r="B933" s="1" t="n">
        <v>45898.45636574074</v>
      </c>
      <c r="C933" s="1" t="n">
        <v>45927</v>
      </c>
      <c r="D933" t="inlineStr">
        <is>
          <t>STOCKHOLMS LÄN</t>
        </is>
      </c>
      <c r="E933" t="inlineStr">
        <is>
          <t>NORRTÄLJE</t>
        </is>
      </c>
      <c r="G933" t="n">
        <v>2.6</v>
      </c>
      <c r="H933" t="n">
        <v>0</v>
      </c>
      <c r="I933" t="n">
        <v>0</v>
      </c>
      <c r="J933" t="n">
        <v>0</v>
      </c>
      <c r="K933" t="n">
        <v>0</v>
      </c>
      <c r="L933" t="n">
        <v>0</v>
      </c>
      <c r="M933" t="n">
        <v>0</v>
      </c>
      <c r="N933" t="n">
        <v>0</v>
      </c>
      <c r="O933" t="n">
        <v>0</v>
      </c>
      <c r="P933" t="n">
        <v>0</v>
      </c>
      <c r="Q933" t="n">
        <v>0</v>
      </c>
      <c r="R933" s="2" t="inlineStr"/>
    </row>
    <row r="934" ht="15" customHeight="1">
      <c r="A934" t="inlineStr">
        <is>
          <t>A 41036-2025</t>
        </is>
      </c>
      <c r="B934" s="1" t="n">
        <v>45898.38552083333</v>
      </c>
      <c r="C934" s="1" t="n">
        <v>45927</v>
      </c>
      <c r="D934" t="inlineStr">
        <is>
          <t>STOCKHOLMS LÄN</t>
        </is>
      </c>
      <c r="E934" t="inlineStr">
        <is>
          <t>NORRTÄLJE</t>
        </is>
      </c>
      <c r="F934" t="inlineStr">
        <is>
          <t>Holmen skog AB</t>
        </is>
      </c>
      <c r="G934" t="n">
        <v>2.7</v>
      </c>
      <c r="H934" t="n">
        <v>0</v>
      </c>
      <c r="I934" t="n">
        <v>0</v>
      </c>
      <c r="J934" t="n">
        <v>0</v>
      </c>
      <c r="K934" t="n">
        <v>0</v>
      </c>
      <c r="L934" t="n">
        <v>0</v>
      </c>
      <c r="M934" t="n">
        <v>0</v>
      </c>
      <c r="N934" t="n">
        <v>0</v>
      </c>
      <c r="O934" t="n">
        <v>0</v>
      </c>
      <c r="P934" t="n">
        <v>0</v>
      </c>
      <c r="Q934" t="n">
        <v>0</v>
      </c>
      <c r="R934" s="2" t="inlineStr"/>
    </row>
    <row r="935" ht="15" customHeight="1">
      <c r="A935" t="inlineStr">
        <is>
          <t>A 60224-2023</t>
        </is>
      </c>
      <c r="B935" s="1" t="n">
        <v>45257</v>
      </c>
      <c r="C935" s="1" t="n">
        <v>45927</v>
      </c>
      <c r="D935" t="inlineStr">
        <is>
          <t>STOCKHOLMS LÄN</t>
        </is>
      </c>
      <c r="E935" t="inlineStr">
        <is>
          <t>NORRTÄLJE</t>
        </is>
      </c>
      <c r="G935" t="n">
        <v>8.1</v>
      </c>
      <c r="H935" t="n">
        <v>0</v>
      </c>
      <c r="I935" t="n">
        <v>0</v>
      </c>
      <c r="J935" t="n">
        <v>0</v>
      </c>
      <c r="K935" t="n">
        <v>0</v>
      </c>
      <c r="L935" t="n">
        <v>0</v>
      </c>
      <c r="M935" t="n">
        <v>0</v>
      </c>
      <c r="N935" t="n">
        <v>0</v>
      </c>
      <c r="O935" t="n">
        <v>0</v>
      </c>
      <c r="P935" t="n">
        <v>0</v>
      </c>
      <c r="Q935" t="n">
        <v>0</v>
      </c>
      <c r="R935" s="2" t="inlineStr"/>
    </row>
    <row r="936" ht="15" customHeight="1">
      <c r="A936" t="inlineStr">
        <is>
          <t>A 41110-2025</t>
        </is>
      </c>
      <c r="B936" s="1" t="n">
        <v>45898.45976851852</v>
      </c>
      <c r="C936" s="1" t="n">
        <v>45927</v>
      </c>
      <c r="D936" t="inlineStr">
        <is>
          <t>STOCKHOLMS LÄN</t>
        </is>
      </c>
      <c r="E936" t="inlineStr">
        <is>
          <t>NORRTÄLJE</t>
        </is>
      </c>
      <c r="F936" t="inlineStr">
        <is>
          <t>Holmen skog AB</t>
        </is>
      </c>
      <c r="G936" t="n">
        <v>6.7</v>
      </c>
      <c r="H936" t="n">
        <v>0</v>
      </c>
      <c r="I936" t="n">
        <v>0</v>
      </c>
      <c r="J936" t="n">
        <v>0</v>
      </c>
      <c r="K936" t="n">
        <v>0</v>
      </c>
      <c r="L936" t="n">
        <v>0</v>
      </c>
      <c r="M936" t="n">
        <v>0</v>
      </c>
      <c r="N936" t="n">
        <v>0</v>
      </c>
      <c r="O936" t="n">
        <v>0</v>
      </c>
      <c r="P936" t="n">
        <v>0</v>
      </c>
      <c r="Q936" t="n">
        <v>0</v>
      </c>
      <c r="R936" s="2" t="inlineStr"/>
    </row>
    <row r="937" ht="15" customHeight="1">
      <c r="A937" t="inlineStr">
        <is>
          <t>A 5158-2024</t>
        </is>
      </c>
      <c r="B937" s="1" t="n">
        <v>45330.50098379629</v>
      </c>
      <c r="C937" s="1" t="n">
        <v>45927</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41259-2025</t>
        </is>
      </c>
      <c r="B938" s="1" t="n">
        <v>45898.61054398148</v>
      </c>
      <c r="C938" s="1" t="n">
        <v>45927</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20336-2024</t>
        </is>
      </c>
      <c r="B939" s="1" t="n">
        <v>45435.43123842592</v>
      </c>
      <c r="C939" s="1" t="n">
        <v>45927</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41272-2025</t>
        </is>
      </c>
      <c r="B940" s="1" t="n">
        <v>45898.62373842593</v>
      </c>
      <c r="C940" s="1" t="n">
        <v>45927</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41966-2025</t>
        </is>
      </c>
      <c r="B941" s="1" t="n">
        <v>45903.47456018518</v>
      </c>
      <c r="C941" s="1" t="n">
        <v>45927</v>
      </c>
      <c r="D941" t="inlineStr">
        <is>
          <t>STOCKHOLMS LÄN</t>
        </is>
      </c>
      <c r="E941" t="inlineStr">
        <is>
          <t>NORRTÄLJE</t>
        </is>
      </c>
      <c r="F941" t="inlineStr">
        <is>
          <t>Sveaskog</t>
        </is>
      </c>
      <c r="G941" t="n">
        <v>3.7</v>
      </c>
      <c r="H941" t="n">
        <v>0</v>
      </c>
      <c r="I941" t="n">
        <v>0</v>
      </c>
      <c r="J941" t="n">
        <v>0</v>
      </c>
      <c r="K941" t="n">
        <v>0</v>
      </c>
      <c r="L941" t="n">
        <v>0</v>
      </c>
      <c r="M941" t="n">
        <v>0</v>
      </c>
      <c r="N941" t="n">
        <v>0</v>
      </c>
      <c r="O941" t="n">
        <v>0</v>
      </c>
      <c r="P941" t="n">
        <v>0</v>
      </c>
      <c r="Q941" t="n">
        <v>0</v>
      </c>
      <c r="R941" s="2" t="inlineStr"/>
    </row>
    <row r="942" ht="15" customHeight="1">
      <c r="A942" t="inlineStr">
        <is>
          <t>A 1847-2023</t>
        </is>
      </c>
      <c r="B942" s="1" t="n">
        <v>44938</v>
      </c>
      <c r="C942" s="1" t="n">
        <v>45927</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9130-2025</t>
        </is>
      </c>
      <c r="B943" s="1" t="n">
        <v>45713.92623842593</v>
      </c>
      <c r="C943" s="1" t="n">
        <v>45927</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17551-2025</t>
        </is>
      </c>
      <c r="B944" s="1" t="n">
        <v>45757.61421296297</v>
      </c>
      <c r="C944" s="1" t="n">
        <v>45927</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55010-2024</t>
        </is>
      </c>
      <c r="B945" s="1" t="n">
        <v>45621.34425925926</v>
      </c>
      <c r="C945" s="1" t="n">
        <v>45927</v>
      </c>
      <c r="D945" t="inlineStr">
        <is>
          <t>STOCKHOLMS LÄN</t>
        </is>
      </c>
      <c r="E945" t="inlineStr">
        <is>
          <t>NORRTÄLJE</t>
        </is>
      </c>
      <c r="F945" t="inlineStr">
        <is>
          <t>Sveaskog</t>
        </is>
      </c>
      <c r="G945" t="n">
        <v>5.7</v>
      </c>
      <c r="H945" t="n">
        <v>0</v>
      </c>
      <c r="I945" t="n">
        <v>0</v>
      </c>
      <c r="J945" t="n">
        <v>0</v>
      </c>
      <c r="K945" t="n">
        <v>0</v>
      </c>
      <c r="L945" t="n">
        <v>0</v>
      </c>
      <c r="M945" t="n">
        <v>0</v>
      </c>
      <c r="N945" t="n">
        <v>0</v>
      </c>
      <c r="O945" t="n">
        <v>0</v>
      </c>
      <c r="P945" t="n">
        <v>0</v>
      </c>
      <c r="Q945" t="n">
        <v>0</v>
      </c>
      <c r="R945" s="2" t="inlineStr"/>
    </row>
    <row r="946" ht="15" customHeight="1">
      <c r="A946" t="inlineStr">
        <is>
          <t>A 31105-2022</t>
        </is>
      </c>
      <c r="B946" s="1" t="n">
        <v>44769.66039351852</v>
      </c>
      <c r="C946" s="1" t="n">
        <v>45927</v>
      </c>
      <c r="D946" t="inlineStr">
        <is>
          <t>STOCKHOLMS LÄN</t>
        </is>
      </c>
      <c r="E946" t="inlineStr">
        <is>
          <t>NORRTÄLJE</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41964-2025</t>
        </is>
      </c>
      <c r="B947" s="1" t="n">
        <v>45903.47270833333</v>
      </c>
      <c r="C947" s="1" t="n">
        <v>45927</v>
      </c>
      <c r="D947" t="inlineStr">
        <is>
          <t>STOCKHOLMS LÄN</t>
        </is>
      </c>
      <c r="E947" t="inlineStr">
        <is>
          <t>NORRTÄLJE</t>
        </is>
      </c>
      <c r="F947" t="inlineStr">
        <is>
          <t>Sveaskog</t>
        </is>
      </c>
      <c r="G947" t="n">
        <v>4</v>
      </c>
      <c r="H947" t="n">
        <v>0</v>
      </c>
      <c r="I947" t="n">
        <v>0</v>
      </c>
      <c r="J947" t="n">
        <v>0</v>
      </c>
      <c r="K947" t="n">
        <v>0</v>
      </c>
      <c r="L947" t="n">
        <v>0</v>
      </c>
      <c r="M947" t="n">
        <v>0</v>
      </c>
      <c r="N947" t="n">
        <v>0</v>
      </c>
      <c r="O947" t="n">
        <v>0</v>
      </c>
      <c r="P947" t="n">
        <v>0</v>
      </c>
      <c r="Q947" t="n">
        <v>0</v>
      </c>
      <c r="R947" s="2" t="inlineStr"/>
    </row>
    <row r="948" ht="15" customHeight="1">
      <c r="A948" t="inlineStr">
        <is>
          <t>A 42038-2025</t>
        </is>
      </c>
      <c r="B948" s="1" t="n">
        <v>45903.61431712963</v>
      </c>
      <c r="C948" s="1" t="n">
        <v>45927</v>
      </c>
      <c r="D948" t="inlineStr">
        <is>
          <t>STOCKHOLMS LÄN</t>
        </is>
      </c>
      <c r="E948" t="inlineStr">
        <is>
          <t>NORRTÄLJE</t>
        </is>
      </c>
      <c r="F948" t="inlineStr">
        <is>
          <t>Sveaskog</t>
        </is>
      </c>
      <c r="G948" t="n">
        <v>6.4</v>
      </c>
      <c r="H948" t="n">
        <v>0</v>
      </c>
      <c r="I948" t="n">
        <v>0</v>
      </c>
      <c r="J948" t="n">
        <v>0</v>
      </c>
      <c r="K948" t="n">
        <v>0</v>
      </c>
      <c r="L948" t="n">
        <v>0</v>
      </c>
      <c r="M948" t="n">
        <v>0</v>
      </c>
      <c r="N948" t="n">
        <v>0</v>
      </c>
      <c r="O948" t="n">
        <v>0</v>
      </c>
      <c r="P948" t="n">
        <v>0</v>
      </c>
      <c r="Q948" t="n">
        <v>0</v>
      </c>
      <c r="R948" s="2" t="inlineStr"/>
    </row>
    <row r="949" ht="15" customHeight="1">
      <c r="A949" t="inlineStr">
        <is>
          <t>A 30620-2022</t>
        </is>
      </c>
      <c r="B949" s="1" t="n">
        <v>44763.40914351852</v>
      </c>
      <c r="C949" s="1" t="n">
        <v>45927</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50113-2024</t>
        </is>
      </c>
      <c r="B950" s="1" t="n">
        <v>45600.411875</v>
      </c>
      <c r="C950" s="1" t="n">
        <v>45927</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28365-2022</t>
        </is>
      </c>
      <c r="B951" s="1" t="n">
        <v>44747</v>
      </c>
      <c r="C951" s="1" t="n">
        <v>45927</v>
      </c>
      <c r="D951" t="inlineStr">
        <is>
          <t>STOCKHOLMS LÄN</t>
        </is>
      </c>
      <c r="E951" t="inlineStr">
        <is>
          <t>NORRTÄLJE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59721-2024</t>
        </is>
      </c>
      <c r="B952" s="1" t="n">
        <v>45639.47385416667</v>
      </c>
      <c r="C952" s="1" t="n">
        <v>45927</v>
      </c>
      <c r="D952" t="inlineStr">
        <is>
          <t>STOCKHOLMS LÄN</t>
        </is>
      </c>
      <c r="E952" t="inlineStr">
        <is>
          <t>NORRTÄLJE</t>
        </is>
      </c>
      <c r="G952" t="n">
        <v>4.6</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44833.40876157407</v>
      </c>
      <c r="C953" s="1" t="n">
        <v>45927</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1283-2025</t>
        </is>
      </c>
      <c r="B954" s="1" t="n">
        <v>45667.49878472222</v>
      </c>
      <c r="C954" s="1" t="n">
        <v>45927</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9703-2021</t>
        </is>
      </c>
      <c r="B955" s="1" t="n">
        <v>44252</v>
      </c>
      <c r="C955" s="1" t="n">
        <v>45927</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37010-2022</t>
        </is>
      </c>
      <c r="B956" s="1" t="n">
        <v>44806.41576388889</v>
      </c>
      <c r="C956" s="1" t="n">
        <v>45927</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951-2023</t>
        </is>
      </c>
      <c r="B957" s="1" t="n">
        <v>44934</v>
      </c>
      <c r="C957" s="1" t="n">
        <v>45927</v>
      </c>
      <c r="D957" t="inlineStr">
        <is>
          <t>STOCKHOLMS LÄN</t>
        </is>
      </c>
      <c r="E957" t="inlineStr">
        <is>
          <t>NORRTÄLJE</t>
        </is>
      </c>
      <c r="G957" t="n">
        <v>3.7</v>
      </c>
      <c r="H957" t="n">
        <v>0</v>
      </c>
      <c r="I957" t="n">
        <v>0</v>
      </c>
      <c r="J957" t="n">
        <v>0</v>
      </c>
      <c r="K957" t="n">
        <v>0</v>
      </c>
      <c r="L957" t="n">
        <v>0</v>
      </c>
      <c r="M957" t="n">
        <v>0</v>
      </c>
      <c r="N957" t="n">
        <v>0</v>
      </c>
      <c r="O957" t="n">
        <v>0</v>
      </c>
      <c r="P957" t="n">
        <v>0</v>
      </c>
      <c r="Q957" t="n">
        <v>0</v>
      </c>
      <c r="R957" s="2" t="inlineStr"/>
    </row>
    <row r="958" ht="15" customHeight="1">
      <c r="A958" t="inlineStr">
        <is>
          <t>A 34444-2024</t>
        </is>
      </c>
      <c r="B958" s="1" t="n">
        <v>45525</v>
      </c>
      <c r="C958" s="1" t="n">
        <v>45927</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61363-2020</t>
        </is>
      </c>
      <c r="B959" s="1" t="n">
        <v>44155.69458333333</v>
      </c>
      <c r="C959" s="1" t="n">
        <v>45927</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13767-2025</t>
        </is>
      </c>
      <c r="B960" s="1" t="n">
        <v>45737.43347222222</v>
      </c>
      <c r="C960" s="1" t="n">
        <v>45927</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20698-2025</t>
        </is>
      </c>
      <c r="B961" s="1" t="n">
        <v>45776.47122685185</v>
      </c>
      <c r="C961" s="1" t="n">
        <v>45927</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39152-2025</t>
        </is>
      </c>
      <c r="B962" s="1" t="n">
        <v>45888</v>
      </c>
      <c r="C962" s="1" t="n">
        <v>45927</v>
      </c>
      <c r="D962" t="inlineStr">
        <is>
          <t>STOCKHOLMS LÄN</t>
        </is>
      </c>
      <c r="E962" t="inlineStr">
        <is>
          <t>NORRTÄLJE</t>
        </is>
      </c>
      <c r="G962" t="n">
        <v>4.6</v>
      </c>
      <c r="H962" t="n">
        <v>0</v>
      </c>
      <c r="I962" t="n">
        <v>0</v>
      </c>
      <c r="J962" t="n">
        <v>0</v>
      </c>
      <c r="K962" t="n">
        <v>0</v>
      </c>
      <c r="L962" t="n">
        <v>0</v>
      </c>
      <c r="M962" t="n">
        <v>0</v>
      </c>
      <c r="N962" t="n">
        <v>0</v>
      </c>
      <c r="O962" t="n">
        <v>0</v>
      </c>
      <c r="P962" t="n">
        <v>0</v>
      </c>
      <c r="Q962" t="n">
        <v>0</v>
      </c>
      <c r="R962" s="2" t="inlineStr"/>
    </row>
    <row r="963" ht="15" customHeight="1">
      <c r="A963" t="inlineStr">
        <is>
          <t>A 42856-2025</t>
        </is>
      </c>
      <c r="B963" s="1" t="n">
        <v>45908</v>
      </c>
      <c r="C963" s="1" t="n">
        <v>45927</v>
      </c>
      <c r="D963" t="inlineStr">
        <is>
          <t>STOCKHOLMS LÄN</t>
        </is>
      </c>
      <c r="E963" t="inlineStr">
        <is>
          <t>NORRTÄLJE</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20013-2025</t>
        </is>
      </c>
      <c r="B964" s="1" t="n">
        <v>45772.30436342592</v>
      </c>
      <c r="C964" s="1" t="n">
        <v>45927</v>
      </c>
      <c r="D964" t="inlineStr">
        <is>
          <t>STOCKHOLMS LÄN</t>
        </is>
      </c>
      <c r="E964" t="inlineStr">
        <is>
          <t>NORRTÄLJE</t>
        </is>
      </c>
      <c r="G964" t="n">
        <v>2.3</v>
      </c>
      <c r="H964" t="n">
        <v>0</v>
      </c>
      <c r="I964" t="n">
        <v>0</v>
      </c>
      <c r="J964" t="n">
        <v>0</v>
      </c>
      <c r="K964" t="n">
        <v>0</v>
      </c>
      <c r="L964" t="n">
        <v>0</v>
      </c>
      <c r="M964" t="n">
        <v>0</v>
      </c>
      <c r="N964" t="n">
        <v>0</v>
      </c>
      <c r="O964" t="n">
        <v>0</v>
      </c>
      <c r="P964" t="n">
        <v>0</v>
      </c>
      <c r="Q964" t="n">
        <v>0</v>
      </c>
      <c r="R964" s="2" t="inlineStr"/>
    </row>
    <row r="965" ht="15" customHeight="1">
      <c r="A965" t="inlineStr">
        <is>
          <t>A 53362-2023</t>
        </is>
      </c>
      <c r="B965" s="1" t="n">
        <v>45223</v>
      </c>
      <c r="C965" s="1" t="n">
        <v>45927</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15422-2024</t>
        </is>
      </c>
      <c r="B966" s="1" t="n">
        <v>45401.3653125</v>
      </c>
      <c r="C966" s="1" t="n">
        <v>45927</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5423-2023</t>
        </is>
      </c>
      <c r="B967" s="1" t="n">
        <v>44959.74533564815</v>
      </c>
      <c r="C967" s="1" t="n">
        <v>45927</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50182-2024</t>
        </is>
      </c>
      <c r="B968" s="1" t="n">
        <v>45600.47275462963</v>
      </c>
      <c r="C968" s="1" t="n">
        <v>45927</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30508-2023</t>
        </is>
      </c>
      <c r="B969" s="1" t="n">
        <v>45111</v>
      </c>
      <c r="C969" s="1" t="n">
        <v>45927</v>
      </c>
      <c r="D969" t="inlineStr">
        <is>
          <t>STOCKHOLMS LÄN</t>
        </is>
      </c>
      <c r="E969" t="inlineStr">
        <is>
          <t>NORRTÄLJE</t>
        </is>
      </c>
      <c r="G969" t="n">
        <v>2.1</v>
      </c>
      <c r="H969" t="n">
        <v>0</v>
      </c>
      <c r="I969" t="n">
        <v>0</v>
      </c>
      <c r="J969" t="n">
        <v>0</v>
      </c>
      <c r="K969" t="n">
        <v>0</v>
      </c>
      <c r="L969" t="n">
        <v>0</v>
      </c>
      <c r="M969" t="n">
        <v>0</v>
      </c>
      <c r="N969" t="n">
        <v>0</v>
      </c>
      <c r="O969" t="n">
        <v>0</v>
      </c>
      <c r="P969" t="n">
        <v>0</v>
      </c>
      <c r="Q969" t="n">
        <v>0</v>
      </c>
      <c r="R969" s="2" t="inlineStr"/>
    </row>
    <row r="970" ht="15" customHeight="1">
      <c r="A970" t="inlineStr">
        <is>
          <t>A 12629-2024</t>
        </is>
      </c>
      <c r="B970" s="1" t="n">
        <v>45383</v>
      </c>
      <c r="C970" s="1" t="n">
        <v>45927</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16008-2025</t>
        </is>
      </c>
      <c r="B971" s="1" t="n">
        <v>45749</v>
      </c>
      <c r="C971" s="1" t="n">
        <v>45927</v>
      </c>
      <c r="D971" t="inlineStr">
        <is>
          <t>STOCKHOLMS LÄN</t>
        </is>
      </c>
      <c r="E971" t="inlineStr">
        <is>
          <t>NORRTÄLJE</t>
        </is>
      </c>
      <c r="F971" t="inlineStr">
        <is>
          <t>Holmen skog AB</t>
        </is>
      </c>
      <c r="G971" t="n">
        <v>0.9</v>
      </c>
      <c r="H971" t="n">
        <v>0</v>
      </c>
      <c r="I971" t="n">
        <v>0</v>
      </c>
      <c r="J971" t="n">
        <v>0</v>
      </c>
      <c r="K971" t="n">
        <v>0</v>
      </c>
      <c r="L971" t="n">
        <v>0</v>
      </c>
      <c r="M971" t="n">
        <v>0</v>
      </c>
      <c r="N971" t="n">
        <v>0</v>
      </c>
      <c r="O971" t="n">
        <v>0</v>
      </c>
      <c r="P971" t="n">
        <v>0</v>
      </c>
      <c r="Q971" t="n">
        <v>0</v>
      </c>
      <c r="R971" s="2" t="inlineStr"/>
    </row>
    <row r="972" ht="15" customHeight="1">
      <c r="A972" t="inlineStr">
        <is>
          <t>A 35708-2022</t>
        </is>
      </c>
      <c r="B972" s="1" t="n">
        <v>44799.65013888889</v>
      </c>
      <c r="C972" s="1" t="n">
        <v>45927</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21158-2022</t>
        </is>
      </c>
      <c r="B973" s="1" t="n">
        <v>44704</v>
      </c>
      <c r="C973" s="1" t="n">
        <v>45927</v>
      </c>
      <c r="D973" t="inlineStr">
        <is>
          <t>STOCKHOLMS LÄN</t>
        </is>
      </c>
      <c r="E973" t="inlineStr">
        <is>
          <t>NORRTÄLJE</t>
        </is>
      </c>
      <c r="G973" t="n">
        <v>17.8</v>
      </c>
      <c r="H973" t="n">
        <v>0</v>
      </c>
      <c r="I973" t="n">
        <v>0</v>
      </c>
      <c r="J973" t="n">
        <v>0</v>
      </c>
      <c r="K973" t="n">
        <v>0</v>
      </c>
      <c r="L973" t="n">
        <v>0</v>
      </c>
      <c r="M973" t="n">
        <v>0</v>
      </c>
      <c r="N973" t="n">
        <v>0</v>
      </c>
      <c r="O973" t="n">
        <v>0</v>
      </c>
      <c r="P973" t="n">
        <v>0</v>
      </c>
      <c r="Q973" t="n">
        <v>0</v>
      </c>
      <c r="R973" s="2" t="inlineStr"/>
    </row>
    <row r="974" ht="15" customHeight="1">
      <c r="A974" t="inlineStr">
        <is>
          <t>A 22232-2024</t>
        </is>
      </c>
      <c r="B974" s="1" t="n">
        <v>45446.4287962963</v>
      </c>
      <c r="C974" s="1" t="n">
        <v>45927</v>
      </c>
      <c r="D974" t="inlineStr">
        <is>
          <t>STOCKHOLMS LÄN</t>
        </is>
      </c>
      <c r="E974" t="inlineStr">
        <is>
          <t>NORRTÄLJE</t>
        </is>
      </c>
      <c r="G974" t="n">
        <v>12.8</v>
      </c>
      <c r="H974" t="n">
        <v>0</v>
      </c>
      <c r="I974" t="n">
        <v>0</v>
      </c>
      <c r="J974" t="n">
        <v>0</v>
      </c>
      <c r="K974" t="n">
        <v>0</v>
      </c>
      <c r="L974" t="n">
        <v>0</v>
      </c>
      <c r="M974" t="n">
        <v>0</v>
      </c>
      <c r="N974" t="n">
        <v>0</v>
      </c>
      <c r="O974" t="n">
        <v>0</v>
      </c>
      <c r="P974" t="n">
        <v>0</v>
      </c>
      <c r="Q974" t="n">
        <v>0</v>
      </c>
      <c r="R974" s="2" t="inlineStr"/>
    </row>
    <row r="975" ht="15" customHeight="1">
      <c r="A975" t="inlineStr">
        <is>
          <t>A 43269-2025</t>
        </is>
      </c>
      <c r="B975" s="1" t="n">
        <v>45910.5819212963</v>
      </c>
      <c r="C975" s="1" t="n">
        <v>45927</v>
      </c>
      <c r="D975" t="inlineStr">
        <is>
          <t>STOCKHOLMS LÄN</t>
        </is>
      </c>
      <c r="E975" t="inlineStr">
        <is>
          <t>NORRTÄLJE</t>
        </is>
      </c>
      <c r="G975" t="n">
        <v>3.7</v>
      </c>
      <c r="H975" t="n">
        <v>0</v>
      </c>
      <c r="I975" t="n">
        <v>0</v>
      </c>
      <c r="J975" t="n">
        <v>0</v>
      </c>
      <c r="K975" t="n">
        <v>0</v>
      </c>
      <c r="L975" t="n">
        <v>0</v>
      </c>
      <c r="M975" t="n">
        <v>0</v>
      </c>
      <c r="N975" t="n">
        <v>0</v>
      </c>
      <c r="O975" t="n">
        <v>0</v>
      </c>
      <c r="P975" t="n">
        <v>0</v>
      </c>
      <c r="Q975" t="n">
        <v>0</v>
      </c>
      <c r="R975" s="2" t="inlineStr"/>
    </row>
    <row r="976" ht="15" customHeight="1">
      <c r="A976" t="inlineStr">
        <is>
          <t>A 32101-2022</t>
        </is>
      </c>
      <c r="B976" s="1" t="n">
        <v>44778.69210648148</v>
      </c>
      <c r="C976" s="1" t="n">
        <v>45927</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43169-2025</t>
        </is>
      </c>
      <c r="B977" s="1" t="n">
        <v>45910</v>
      </c>
      <c r="C977" s="1" t="n">
        <v>45927</v>
      </c>
      <c r="D977" t="inlineStr">
        <is>
          <t>STOCKHOLMS LÄN</t>
        </is>
      </c>
      <c r="E977" t="inlineStr">
        <is>
          <t>NORRTÄLJE</t>
        </is>
      </c>
      <c r="G977" t="n">
        <v>6.9</v>
      </c>
      <c r="H977" t="n">
        <v>0</v>
      </c>
      <c r="I977" t="n">
        <v>0</v>
      </c>
      <c r="J977" t="n">
        <v>0</v>
      </c>
      <c r="K977" t="n">
        <v>0</v>
      </c>
      <c r="L977" t="n">
        <v>0</v>
      </c>
      <c r="M977" t="n">
        <v>0</v>
      </c>
      <c r="N977" t="n">
        <v>0</v>
      </c>
      <c r="O977" t="n">
        <v>0</v>
      </c>
      <c r="P977" t="n">
        <v>0</v>
      </c>
      <c r="Q977" t="n">
        <v>0</v>
      </c>
      <c r="R977" s="2" t="inlineStr"/>
    </row>
    <row r="978" ht="15" customHeight="1">
      <c r="A978" t="inlineStr">
        <is>
          <t>A 23150-2024</t>
        </is>
      </c>
      <c r="B978" s="1" t="n">
        <v>45450.64643518518</v>
      </c>
      <c r="C978" s="1" t="n">
        <v>45927</v>
      </c>
      <c r="D978" t="inlineStr">
        <is>
          <t>STOCKHOLMS LÄN</t>
        </is>
      </c>
      <c r="E978" t="inlineStr">
        <is>
          <t>NORRTÄLJE</t>
        </is>
      </c>
      <c r="F978" t="inlineStr">
        <is>
          <t>Kommuner</t>
        </is>
      </c>
      <c r="G978" t="n">
        <v>2.7</v>
      </c>
      <c r="H978" t="n">
        <v>0</v>
      </c>
      <c r="I978" t="n">
        <v>0</v>
      </c>
      <c r="J978" t="n">
        <v>0</v>
      </c>
      <c r="K978" t="n">
        <v>0</v>
      </c>
      <c r="L978" t="n">
        <v>0</v>
      </c>
      <c r="M978" t="n">
        <v>0</v>
      </c>
      <c r="N978" t="n">
        <v>0</v>
      </c>
      <c r="O978" t="n">
        <v>0</v>
      </c>
      <c r="P978" t="n">
        <v>0</v>
      </c>
      <c r="Q978" t="n">
        <v>0</v>
      </c>
      <c r="R978" s="2" t="inlineStr"/>
    </row>
    <row r="979" ht="15" customHeight="1">
      <c r="A979" t="inlineStr">
        <is>
          <t>A 45220-2024</t>
        </is>
      </c>
      <c r="B979" s="1" t="n">
        <v>45575</v>
      </c>
      <c r="C979" s="1" t="n">
        <v>45927</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21731-2023</t>
        </is>
      </c>
      <c r="B980" s="1" t="n">
        <v>45063</v>
      </c>
      <c r="C980" s="1" t="n">
        <v>45927</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23266-2023</t>
        </is>
      </c>
      <c r="B981" s="1" t="n">
        <v>45075.90817129629</v>
      </c>
      <c r="C981" s="1" t="n">
        <v>45927</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24933-2023</t>
        </is>
      </c>
      <c r="B982" s="1" t="n">
        <v>45085.5309375</v>
      </c>
      <c r="C982" s="1" t="n">
        <v>45927</v>
      </c>
      <c r="D982" t="inlineStr">
        <is>
          <t>STOCKHOLMS LÄN</t>
        </is>
      </c>
      <c r="E982" t="inlineStr">
        <is>
          <t>NORRTÄLJE</t>
        </is>
      </c>
      <c r="F982" t="inlineStr">
        <is>
          <t>Holmen skog AB</t>
        </is>
      </c>
      <c r="G982" t="n">
        <v>1.8</v>
      </c>
      <c r="H982" t="n">
        <v>0</v>
      </c>
      <c r="I982" t="n">
        <v>0</v>
      </c>
      <c r="J982" t="n">
        <v>0</v>
      </c>
      <c r="K982" t="n">
        <v>0</v>
      </c>
      <c r="L982" t="n">
        <v>0</v>
      </c>
      <c r="M982" t="n">
        <v>0</v>
      </c>
      <c r="N982" t="n">
        <v>0</v>
      </c>
      <c r="O982" t="n">
        <v>0</v>
      </c>
      <c r="P982" t="n">
        <v>0</v>
      </c>
      <c r="Q982" t="n">
        <v>0</v>
      </c>
      <c r="R982" s="2" t="inlineStr"/>
    </row>
    <row r="983" ht="15" customHeight="1">
      <c r="A983" t="inlineStr">
        <is>
          <t>A 47521-2024</t>
        </is>
      </c>
      <c r="B983" s="1" t="n">
        <v>45587.62565972222</v>
      </c>
      <c r="C983" s="1" t="n">
        <v>45927</v>
      </c>
      <c r="D983" t="inlineStr">
        <is>
          <t>STOCKHOLMS LÄN</t>
        </is>
      </c>
      <c r="E983" t="inlineStr">
        <is>
          <t>NORRTÄLJE</t>
        </is>
      </c>
      <c r="G983" t="n">
        <v>4.7</v>
      </c>
      <c r="H983" t="n">
        <v>0</v>
      </c>
      <c r="I983" t="n">
        <v>0</v>
      </c>
      <c r="J983" t="n">
        <v>0</v>
      </c>
      <c r="K983" t="n">
        <v>0</v>
      </c>
      <c r="L983" t="n">
        <v>0</v>
      </c>
      <c r="M983" t="n">
        <v>0</v>
      </c>
      <c r="N983" t="n">
        <v>0</v>
      </c>
      <c r="O983" t="n">
        <v>0</v>
      </c>
      <c r="P983" t="n">
        <v>0</v>
      </c>
      <c r="Q983" t="n">
        <v>0</v>
      </c>
      <c r="R983" s="2" t="inlineStr"/>
    </row>
    <row r="984" ht="15" customHeight="1">
      <c r="A984" t="inlineStr">
        <is>
          <t>A 58260-2023</t>
        </is>
      </c>
      <c r="B984" s="1" t="n">
        <v>45245</v>
      </c>
      <c r="C984" s="1" t="n">
        <v>45927</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58261-2023</t>
        </is>
      </c>
      <c r="B985" s="1" t="n">
        <v>45245</v>
      </c>
      <c r="C985" s="1" t="n">
        <v>45927</v>
      </c>
      <c r="D985" t="inlineStr">
        <is>
          <t>STOCKHOLMS LÄN</t>
        </is>
      </c>
      <c r="E985" t="inlineStr">
        <is>
          <t>NORRTÄLJE</t>
        </is>
      </c>
      <c r="G985" t="n">
        <v>53.5</v>
      </c>
      <c r="H985" t="n">
        <v>0</v>
      </c>
      <c r="I985" t="n">
        <v>0</v>
      </c>
      <c r="J985" t="n">
        <v>0</v>
      </c>
      <c r="K985" t="n">
        <v>0</v>
      </c>
      <c r="L985" t="n">
        <v>0</v>
      </c>
      <c r="M985" t="n">
        <v>0</v>
      </c>
      <c r="N985" t="n">
        <v>0</v>
      </c>
      <c r="O985" t="n">
        <v>0</v>
      </c>
      <c r="P985" t="n">
        <v>0</v>
      </c>
      <c r="Q985" t="n">
        <v>0</v>
      </c>
      <c r="R985" s="2" t="inlineStr"/>
    </row>
    <row r="986" ht="15" customHeight="1">
      <c r="A986" t="inlineStr">
        <is>
          <t>A 20011-2025</t>
        </is>
      </c>
      <c r="B986" s="1" t="n">
        <v>45772.29622685185</v>
      </c>
      <c r="C986" s="1" t="n">
        <v>45927</v>
      </c>
      <c r="D986" t="inlineStr">
        <is>
          <t>STOCKHOLMS LÄN</t>
        </is>
      </c>
      <c r="E986" t="inlineStr">
        <is>
          <t>NORRTÄLJE</t>
        </is>
      </c>
      <c r="G986" t="n">
        <v>3.5</v>
      </c>
      <c r="H986" t="n">
        <v>0</v>
      </c>
      <c r="I986" t="n">
        <v>0</v>
      </c>
      <c r="J986" t="n">
        <v>0</v>
      </c>
      <c r="K986" t="n">
        <v>0</v>
      </c>
      <c r="L986" t="n">
        <v>0</v>
      </c>
      <c r="M986" t="n">
        <v>0</v>
      </c>
      <c r="N986" t="n">
        <v>0</v>
      </c>
      <c r="O986" t="n">
        <v>0</v>
      </c>
      <c r="P986" t="n">
        <v>0</v>
      </c>
      <c r="Q986" t="n">
        <v>0</v>
      </c>
      <c r="R986" s="2" t="inlineStr"/>
    </row>
    <row r="987" ht="15" customHeight="1">
      <c r="A987" t="inlineStr">
        <is>
          <t>A 56631-2024</t>
        </is>
      </c>
      <c r="B987" s="1" t="n">
        <v>45625</v>
      </c>
      <c r="C987" s="1" t="n">
        <v>45927</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652-2025</t>
        </is>
      </c>
      <c r="B988" s="1" t="n">
        <v>45664</v>
      </c>
      <c r="C988" s="1" t="n">
        <v>45927</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29266-2022</t>
        </is>
      </c>
      <c r="B989" s="1" t="n">
        <v>44750.66068287037</v>
      </c>
      <c r="C989" s="1" t="n">
        <v>45927</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29278-2022</t>
        </is>
      </c>
      <c r="B990" s="1" t="n">
        <v>44750</v>
      </c>
      <c r="C990" s="1" t="n">
        <v>45927</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36396-2025</t>
        </is>
      </c>
      <c r="B991" s="1" t="n">
        <v>45868.62267361111</v>
      </c>
      <c r="C991" s="1" t="n">
        <v>45927</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37273-2024</t>
        </is>
      </c>
      <c r="B992" s="1" t="n">
        <v>45540</v>
      </c>
      <c r="C992" s="1" t="n">
        <v>45927</v>
      </c>
      <c r="D992" t="inlineStr">
        <is>
          <t>STOCKHOLMS LÄN</t>
        </is>
      </c>
      <c r="E992" t="inlineStr">
        <is>
          <t>NORRTÄLJE</t>
        </is>
      </c>
      <c r="F992" t="inlineStr">
        <is>
          <t>Sveaskog</t>
        </is>
      </c>
      <c r="G992" t="n">
        <v>12.5</v>
      </c>
      <c r="H992" t="n">
        <v>0</v>
      </c>
      <c r="I992" t="n">
        <v>0</v>
      </c>
      <c r="J992" t="n">
        <v>0</v>
      </c>
      <c r="K992" t="n">
        <v>0</v>
      </c>
      <c r="L992" t="n">
        <v>0</v>
      </c>
      <c r="M992" t="n">
        <v>0</v>
      </c>
      <c r="N992" t="n">
        <v>0</v>
      </c>
      <c r="O992" t="n">
        <v>0</v>
      </c>
      <c r="P992" t="n">
        <v>0</v>
      </c>
      <c r="Q992" t="n">
        <v>0</v>
      </c>
      <c r="R992" s="2" t="inlineStr"/>
    </row>
    <row r="993" ht="15" customHeight="1">
      <c r="A993" t="inlineStr">
        <is>
          <t>A 12908-2025</t>
        </is>
      </c>
      <c r="B993" s="1" t="n">
        <v>45733.82105324074</v>
      </c>
      <c r="C993" s="1" t="n">
        <v>45927</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5389-2025</t>
        </is>
      </c>
      <c r="B994" s="1" t="n">
        <v>45692</v>
      </c>
      <c r="C994" s="1" t="n">
        <v>45927</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13051-2021</t>
        </is>
      </c>
      <c r="B995" s="1" t="n">
        <v>44272</v>
      </c>
      <c r="C995" s="1" t="n">
        <v>45927</v>
      </c>
      <c r="D995" t="inlineStr">
        <is>
          <t>STOCKHOLMS LÄN</t>
        </is>
      </c>
      <c r="E995" t="inlineStr">
        <is>
          <t>NORRTÄLJE</t>
        </is>
      </c>
      <c r="G995" t="n">
        <v>9.1</v>
      </c>
      <c r="H995" t="n">
        <v>0</v>
      </c>
      <c r="I995" t="n">
        <v>0</v>
      </c>
      <c r="J995" t="n">
        <v>0</v>
      </c>
      <c r="K995" t="n">
        <v>0</v>
      </c>
      <c r="L995" t="n">
        <v>0</v>
      </c>
      <c r="M995" t="n">
        <v>0</v>
      </c>
      <c r="N995" t="n">
        <v>0</v>
      </c>
      <c r="O995" t="n">
        <v>0</v>
      </c>
      <c r="P995" t="n">
        <v>0</v>
      </c>
      <c r="Q995" t="n">
        <v>0</v>
      </c>
      <c r="R995" s="2" t="inlineStr"/>
    </row>
    <row r="996" ht="15" customHeight="1">
      <c r="A996" t="inlineStr">
        <is>
          <t>A 43916-2025</t>
        </is>
      </c>
      <c r="B996" s="1" t="n">
        <v>45914.78884259259</v>
      </c>
      <c r="C996" s="1" t="n">
        <v>45927</v>
      </c>
      <c r="D996" t="inlineStr">
        <is>
          <t>STOCKHOLMS LÄN</t>
        </is>
      </c>
      <c r="E996" t="inlineStr">
        <is>
          <t>NORRTÄLJE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23060-2023</t>
        </is>
      </c>
      <c r="B997" s="1" t="n">
        <v>45075</v>
      </c>
      <c r="C997" s="1" t="n">
        <v>45927</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51720-2020</t>
        </is>
      </c>
      <c r="B998" s="1" t="n">
        <v>44113</v>
      </c>
      <c r="C998" s="1" t="n">
        <v>45927</v>
      </c>
      <c r="D998" t="inlineStr">
        <is>
          <t>STOCKHOLMS LÄN</t>
        </is>
      </c>
      <c r="E998" t="inlineStr">
        <is>
          <t>NORRTÄLJE</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11499-2023</t>
        </is>
      </c>
      <c r="B999" s="1" t="n">
        <v>44993.66707175926</v>
      </c>
      <c r="C999" s="1" t="n">
        <v>45927</v>
      </c>
      <c r="D999" t="inlineStr">
        <is>
          <t>STOCKHOLMS LÄN</t>
        </is>
      </c>
      <c r="E999" t="inlineStr">
        <is>
          <t>NORRTÄLJE</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576-2023</t>
        </is>
      </c>
      <c r="B1000" s="1" t="n">
        <v>44925</v>
      </c>
      <c r="C1000" s="1" t="n">
        <v>45927</v>
      </c>
      <c r="D1000" t="inlineStr">
        <is>
          <t>STOCKHOLMS LÄN</t>
        </is>
      </c>
      <c r="E1000" t="inlineStr">
        <is>
          <t>NORRTÄLJE</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10678-2025</t>
        </is>
      </c>
      <c r="B1001" s="1" t="n">
        <v>45721.89123842592</v>
      </c>
      <c r="C1001" s="1" t="n">
        <v>45927</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31936-2022</t>
        </is>
      </c>
      <c r="B1002" s="1" t="n">
        <v>44777</v>
      </c>
      <c r="C1002" s="1" t="n">
        <v>45927</v>
      </c>
      <c r="D1002" t="inlineStr">
        <is>
          <t>STOCKHOLMS LÄN</t>
        </is>
      </c>
      <c r="E1002" t="inlineStr">
        <is>
          <t>NORRTÄLJE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32103-2022</t>
        </is>
      </c>
      <c r="B1003" s="1" t="n">
        <v>44778</v>
      </c>
      <c r="C1003" s="1" t="n">
        <v>45927</v>
      </c>
      <c r="D1003" t="inlineStr">
        <is>
          <t>STOCKHOLMS LÄN</t>
        </is>
      </c>
      <c r="E1003" t="inlineStr">
        <is>
          <t>NORRTÄLJE</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6401-2024</t>
        </is>
      </c>
      <c r="B1004" s="1" t="n">
        <v>45338</v>
      </c>
      <c r="C1004" s="1" t="n">
        <v>45927</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59504-2023</t>
        </is>
      </c>
      <c r="B1005" s="1" t="n">
        <v>45254</v>
      </c>
      <c r="C1005" s="1" t="n">
        <v>45927</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59873-2024</t>
        </is>
      </c>
      <c r="B1006" s="1" t="n">
        <v>45640.57305555556</v>
      </c>
      <c r="C1006" s="1" t="n">
        <v>45927</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35916-2024</t>
        </is>
      </c>
      <c r="B1007" s="1" t="n">
        <v>45533</v>
      </c>
      <c r="C1007" s="1" t="n">
        <v>45927</v>
      </c>
      <c r="D1007" t="inlineStr">
        <is>
          <t>STOCKHOLMS LÄN</t>
        </is>
      </c>
      <c r="E1007" t="inlineStr">
        <is>
          <t>NORRTÄLJE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10098-2022</t>
        </is>
      </c>
      <c r="B1008" s="1" t="n">
        <v>44621</v>
      </c>
      <c r="C1008" s="1" t="n">
        <v>45927</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63161-2023</t>
        </is>
      </c>
      <c r="B1009" s="1" t="n">
        <v>45273</v>
      </c>
      <c r="C1009" s="1" t="n">
        <v>45927</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7796-2025</t>
        </is>
      </c>
      <c r="B1010" s="1" t="n">
        <v>45706.60130787037</v>
      </c>
      <c r="C1010" s="1" t="n">
        <v>45927</v>
      </c>
      <c r="D1010" t="inlineStr">
        <is>
          <t>STOCKHOLMS LÄN</t>
        </is>
      </c>
      <c r="E1010" t="inlineStr">
        <is>
          <t>NORRTÄLJE</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15552-2021</t>
        </is>
      </c>
      <c r="B1011" s="1" t="n">
        <v>44285</v>
      </c>
      <c r="C1011" s="1" t="n">
        <v>45927</v>
      </c>
      <c r="D1011" t="inlineStr">
        <is>
          <t>STOCKHOLMS LÄN</t>
        </is>
      </c>
      <c r="E1011" t="inlineStr">
        <is>
          <t>NORRTÄLJE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52321-2024</t>
        </is>
      </c>
      <c r="B1012" s="1" t="n">
        <v>45608</v>
      </c>
      <c r="C1012" s="1" t="n">
        <v>45927</v>
      </c>
      <c r="D1012" t="inlineStr">
        <is>
          <t>STOCKHOLMS LÄN</t>
        </is>
      </c>
      <c r="E1012" t="inlineStr">
        <is>
          <t>NORRTÄLJE</t>
        </is>
      </c>
      <c r="G1012" t="n">
        <v>18.1</v>
      </c>
      <c r="H1012" t="n">
        <v>0</v>
      </c>
      <c r="I1012" t="n">
        <v>0</v>
      </c>
      <c r="J1012" t="n">
        <v>0</v>
      </c>
      <c r="K1012" t="n">
        <v>0</v>
      </c>
      <c r="L1012" t="n">
        <v>0</v>
      </c>
      <c r="M1012" t="n">
        <v>0</v>
      </c>
      <c r="N1012" t="n">
        <v>0</v>
      </c>
      <c r="O1012" t="n">
        <v>0</v>
      </c>
      <c r="P1012" t="n">
        <v>0</v>
      </c>
      <c r="Q1012" t="n">
        <v>0</v>
      </c>
      <c r="R1012" s="2" t="inlineStr"/>
    </row>
    <row r="1013" ht="15" customHeight="1">
      <c r="A1013" t="inlineStr">
        <is>
          <t>A 44349-2025</t>
        </is>
      </c>
      <c r="B1013" s="1" t="n">
        <v>45916.43929398148</v>
      </c>
      <c r="C1013" s="1" t="n">
        <v>45927</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22359-2025</t>
        </is>
      </c>
      <c r="B1014" s="1" t="n">
        <v>45786</v>
      </c>
      <c r="C1014" s="1" t="n">
        <v>45927</v>
      </c>
      <c r="D1014" t="inlineStr">
        <is>
          <t>STOCKHOLMS LÄN</t>
        </is>
      </c>
      <c r="E1014" t="inlineStr">
        <is>
          <t>NORRTÄLJE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48151-2024</t>
        </is>
      </c>
      <c r="B1015" s="1" t="n">
        <v>45589.68289351852</v>
      </c>
      <c r="C1015" s="1" t="n">
        <v>45927</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58040-2024</t>
        </is>
      </c>
      <c r="B1016" s="1" t="n">
        <v>45631.73952546297</v>
      </c>
      <c r="C1016" s="1" t="n">
        <v>45927</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58041-2024</t>
        </is>
      </c>
      <c r="B1017" s="1" t="n">
        <v>45631.74673611111</v>
      </c>
      <c r="C1017" s="1" t="n">
        <v>45927</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30268-2024</t>
        </is>
      </c>
      <c r="B1018" s="1" t="n">
        <v>45490.60572916667</v>
      </c>
      <c r="C1018" s="1" t="n">
        <v>45927</v>
      </c>
      <c r="D1018" t="inlineStr">
        <is>
          <t>STOCKHOLMS LÄN</t>
        </is>
      </c>
      <c r="E1018" t="inlineStr">
        <is>
          <t>NORRTÄLJE</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12407-2025</t>
        </is>
      </c>
      <c r="B1019" s="1" t="n">
        <v>45730.42851851852</v>
      </c>
      <c r="C1019" s="1" t="n">
        <v>45927</v>
      </c>
      <c r="D1019" t="inlineStr">
        <is>
          <t>STOCKHOLMS LÄN</t>
        </is>
      </c>
      <c r="E1019" t="inlineStr">
        <is>
          <t>NORRTÄLJE</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19025-2025</t>
        </is>
      </c>
      <c r="B1020" s="1" t="n">
        <v>45764.6359837963</v>
      </c>
      <c r="C1020" s="1" t="n">
        <v>45927</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44354-2025</t>
        </is>
      </c>
      <c r="B1021" s="1" t="n">
        <v>45916.44655092592</v>
      </c>
      <c r="C1021" s="1" t="n">
        <v>45927</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54276-2021</t>
        </is>
      </c>
      <c r="B1022" s="1" t="n">
        <v>44470</v>
      </c>
      <c r="C1022" s="1" t="n">
        <v>45927</v>
      </c>
      <c r="D1022" t="inlineStr">
        <is>
          <t>STOCKHOLMS LÄN</t>
        </is>
      </c>
      <c r="E1022" t="inlineStr">
        <is>
          <t>NORRTÄLJE</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4316-2023</t>
        </is>
      </c>
      <c r="B1023" s="1" t="n">
        <v>44953.67443287037</v>
      </c>
      <c r="C1023" s="1" t="n">
        <v>45927</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41587-2023</t>
        </is>
      </c>
      <c r="B1024" s="1" t="n">
        <v>45175</v>
      </c>
      <c r="C1024" s="1" t="n">
        <v>45927</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44343-2025</t>
        </is>
      </c>
      <c r="B1025" s="1" t="n">
        <v>45916.43378472222</v>
      </c>
      <c r="C1025" s="1" t="n">
        <v>45927</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44333-2025</t>
        </is>
      </c>
      <c r="B1026" s="1" t="n">
        <v>45916.42293981482</v>
      </c>
      <c r="C1026" s="1" t="n">
        <v>45927</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44306-2025</t>
        </is>
      </c>
      <c r="B1027" s="1" t="n">
        <v>45916.37736111111</v>
      </c>
      <c r="C1027" s="1" t="n">
        <v>45927</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44311-2025</t>
        </is>
      </c>
      <c r="B1028" s="1" t="n">
        <v>45916.38394675926</v>
      </c>
      <c r="C1028" s="1" t="n">
        <v>45927</v>
      </c>
      <c r="D1028" t="inlineStr">
        <is>
          <t>STOCKHOLMS LÄN</t>
        </is>
      </c>
      <c r="E1028" t="inlineStr">
        <is>
          <t>NORRTÄLJE</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37261-2025</t>
        </is>
      </c>
      <c r="B1029" s="1" t="n">
        <v>45876.45253472222</v>
      </c>
      <c r="C1029" s="1" t="n">
        <v>45927</v>
      </c>
      <c r="D1029" t="inlineStr">
        <is>
          <t>STOCKHOLMS LÄN</t>
        </is>
      </c>
      <c r="E1029" t="inlineStr">
        <is>
          <t>NORRTÄLJE</t>
        </is>
      </c>
      <c r="F1029" t="inlineStr">
        <is>
          <t>Kommuner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20370-2025</t>
        </is>
      </c>
      <c r="B1030" s="1" t="n">
        <v>45775.41451388889</v>
      </c>
      <c r="C1030" s="1" t="n">
        <v>45927</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19580-2022</t>
        </is>
      </c>
      <c r="B1031" s="1" t="n">
        <v>44693</v>
      </c>
      <c r="C1031" s="1" t="n">
        <v>45927</v>
      </c>
      <c r="D1031" t="inlineStr">
        <is>
          <t>STOCKHOLMS LÄN</t>
        </is>
      </c>
      <c r="E1031" t="inlineStr">
        <is>
          <t>NORRTÄLJE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17304-2024</t>
        </is>
      </c>
      <c r="B1032" s="1" t="n">
        <v>45414</v>
      </c>
      <c r="C1032" s="1" t="n">
        <v>45927</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11280-2023</t>
        </is>
      </c>
      <c r="B1033" s="1" t="n">
        <v>44992</v>
      </c>
      <c r="C1033" s="1" t="n">
        <v>45927</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30731-2023</t>
        </is>
      </c>
      <c r="B1034" s="1" t="n">
        <v>45112</v>
      </c>
      <c r="C1034" s="1" t="n">
        <v>45927</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26668-2024</t>
        </is>
      </c>
      <c r="B1035" s="1" t="n">
        <v>45469</v>
      </c>
      <c r="C1035" s="1" t="n">
        <v>45927</v>
      </c>
      <c r="D1035" t="inlineStr">
        <is>
          <t>STOCKHOLMS LÄN</t>
        </is>
      </c>
      <c r="E1035" t="inlineStr">
        <is>
          <t>NORRTÄLJE</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4580-2025</t>
        </is>
      </c>
      <c r="B1036" s="1" t="n">
        <v>45687.5038425926</v>
      </c>
      <c r="C1036" s="1" t="n">
        <v>45927</v>
      </c>
      <c r="D1036" t="inlineStr">
        <is>
          <t>STOCKHOLMS LÄN</t>
        </is>
      </c>
      <c r="E1036" t="inlineStr">
        <is>
          <t>NORRTÄLJE</t>
        </is>
      </c>
      <c r="F1036" t="inlineStr">
        <is>
          <t>Holmen skog AB</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31057-2022</t>
        </is>
      </c>
      <c r="B1037" s="1" t="n">
        <v>44769</v>
      </c>
      <c r="C1037" s="1" t="n">
        <v>45927</v>
      </c>
      <c r="D1037" t="inlineStr">
        <is>
          <t>STOCKHOLMS LÄN</t>
        </is>
      </c>
      <c r="E1037" t="inlineStr">
        <is>
          <t>NORRTÄLJE</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31140-2023</t>
        </is>
      </c>
      <c r="B1038" s="1" t="n">
        <v>45113</v>
      </c>
      <c r="C1038" s="1" t="n">
        <v>45927</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31149-2023</t>
        </is>
      </c>
      <c r="B1039" s="1" t="n">
        <v>45113</v>
      </c>
      <c r="C1039" s="1" t="n">
        <v>45927</v>
      </c>
      <c r="D1039" t="inlineStr">
        <is>
          <t>STOCKHOLMS LÄN</t>
        </is>
      </c>
      <c r="E1039" t="inlineStr">
        <is>
          <t>NORRTÄLJE</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4658-2024</t>
        </is>
      </c>
      <c r="B1040" s="1" t="n">
        <v>45328.46336805556</v>
      </c>
      <c r="C1040" s="1" t="n">
        <v>45927</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44937-2025</t>
        </is>
      </c>
      <c r="B1041" s="1" t="n">
        <v>45918.58224537037</v>
      </c>
      <c r="C1041" s="1" t="n">
        <v>45927</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19131-2025</t>
        </is>
      </c>
      <c r="B1042" s="1" t="n">
        <v>45769</v>
      </c>
      <c r="C1042" s="1" t="n">
        <v>45927</v>
      </c>
      <c r="D1042" t="inlineStr">
        <is>
          <t>STOCKHOLMS LÄN</t>
        </is>
      </c>
      <c r="E1042" t="inlineStr">
        <is>
          <t>NORRTÄLJE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37628-2025</t>
        </is>
      </c>
      <c r="B1043" s="1" t="n">
        <v>45880.46189814815</v>
      </c>
      <c r="C1043" s="1" t="n">
        <v>45927</v>
      </c>
      <c r="D1043" t="inlineStr">
        <is>
          <t>STOCKHOLMS LÄN</t>
        </is>
      </c>
      <c r="E1043" t="inlineStr">
        <is>
          <t>NORRTÄLJE</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29369-2024</t>
        </is>
      </c>
      <c r="B1044" s="1" t="n">
        <v>45483.57244212963</v>
      </c>
      <c r="C1044" s="1" t="n">
        <v>45927</v>
      </c>
      <c r="D1044" t="inlineStr">
        <is>
          <t>STOCKHOLMS LÄN</t>
        </is>
      </c>
      <c r="E1044" t="inlineStr">
        <is>
          <t>NORRTÄLJE</t>
        </is>
      </c>
      <c r="G1044" t="n">
        <v>15.9</v>
      </c>
      <c r="H1044" t="n">
        <v>0</v>
      </c>
      <c r="I1044" t="n">
        <v>0</v>
      </c>
      <c r="J1044" t="n">
        <v>0</v>
      </c>
      <c r="K1044" t="n">
        <v>0</v>
      </c>
      <c r="L1044" t="n">
        <v>0</v>
      </c>
      <c r="M1044" t="n">
        <v>0</v>
      </c>
      <c r="N1044" t="n">
        <v>0</v>
      </c>
      <c r="O1044" t="n">
        <v>0</v>
      </c>
      <c r="P1044" t="n">
        <v>0</v>
      </c>
      <c r="Q1044" t="n">
        <v>0</v>
      </c>
      <c r="R1044" s="2" t="inlineStr"/>
    </row>
    <row r="1045" ht="15" customHeight="1">
      <c r="A1045" t="inlineStr">
        <is>
          <t>A 37632-2025</t>
        </is>
      </c>
      <c r="B1045" s="1" t="n">
        <v>45880.46524305556</v>
      </c>
      <c r="C1045" s="1" t="n">
        <v>45927</v>
      </c>
      <c r="D1045" t="inlineStr">
        <is>
          <t>STOCKHOLMS LÄN</t>
        </is>
      </c>
      <c r="E1045" t="inlineStr">
        <is>
          <t>NORRTÄLJE</t>
        </is>
      </c>
      <c r="F1045" t="inlineStr">
        <is>
          <t>Sveaskog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29841-2024</t>
        </is>
      </c>
      <c r="B1046" s="1" t="n">
        <v>45485.60261574074</v>
      </c>
      <c r="C1046" s="1" t="n">
        <v>45927</v>
      </c>
      <c r="D1046" t="inlineStr">
        <is>
          <t>STOCKHOLMS LÄN</t>
        </is>
      </c>
      <c r="E1046" t="inlineStr">
        <is>
          <t>NORRTÄLJE</t>
        </is>
      </c>
      <c r="G1046" t="n">
        <v>15.9</v>
      </c>
      <c r="H1046" t="n">
        <v>0</v>
      </c>
      <c r="I1046" t="n">
        <v>0</v>
      </c>
      <c r="J1046" t="n">
        <v>0</v>
      </c>
      <c r="K1046" t="n">
        <v>0</v>
      </c>
      <c r="L1046" t="n">
        <v>0</v>
      </c>
      <c r="M1046" t="n">
        <v>0</v>
      </c>
      <c r="N1046" t="n">
        <v>0</v>
      </c>
      <c r="O1046" t="n">
        <v>0</v>
      </c>
      <c r="P1046" t="n">
        <v>0</v>
      </c>
      <c r="Q1046" t="n">
        <v>0</v>
      </c>
      <c r="R1046" s="2" t="inlineStr"/>
    </row>
    <row r="1047" ht="15" customHeight="1">
      <c r="A1047" t="inlineStr">
        <is>
          <t>A 20692-2025</t>
        </is>
      </c>
      <c r="B1047" s="1" t="n">
        <v>45776.46369212963</v>
      </c>
      <c r="C1047" s="1" t="n">
        <v>45927</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37630-2025</t>
        </is>
      </c>
      <c r="B1048" s="1" t="n">
        <v>45880.46372685185</v>
      </c>
      <c r="C1048" s="1" t="n">
        <v>45927</v>
      </c>
      <c r="D1048" t="inlineStr">
        <is>
          <t>STOCKHOLMS LÄN</t>
        </is>
      </c>
      <c r="E1048" t="inlineStr">
        <is>
          <t>NORRTÄLJE</t>
        </is>
      </c>
      <c r="F1048" t="inlineStr">
        <is>
          <t>Sveaskog</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33219-2025</t>
        </is>
      </c>
      <c r="B1049" s="1" t="n">
        <v>45840</v>
      </c>
      <c r="C1049" s="1" t="n">
        <v>45927</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45697-2025</t>
        </is>
      </c>
      <c r="B1050" s="1" t="n">
        <v>45923.39877314815</v>
      </c>
      <c r="C1050" s="1" t="n">
        <v>45927</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35636-2025</t>
        </is>
      </c>
      <c r="B1051" s="1" t="n">
        <v>45859</v>
      </c>
      <c r="C1051" s="1" t="n">
        <v>45927</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35639-2025</t>
        </is>
      </c>
      <c r="B1052" s="1" t="n">
        <v>45859</v>
      </c>
      <c r="C1052" s="1" t="n">
        <v>45927</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46071-2024</t>
        </is>
      </c>
      <c r="B1053" s="1" t="n">
        <v>45581</v>
      </c>
      <c r="C1053" s="1" t="n">
        <v>45927</v>
      </c>
      <c r="D1053" t="inlineStr">
        <is>
          <t>STOCKHOLMS LÄN</t>
        </is>
      </c>
      <c r="E1053" t="inlineStr">
        <is>
          <t>NORRTÄLJE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46415-2025</t>
        </is>
      </c>
      <c r="B1054" s="1" t="n">
        <v>45925.58636574074</v>
      </c>
      <c r="C1054" s="1" t="n">
        <v>45927</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13137-2024</t>
        </is>
      </c>
      <c r="B1055" s="1" t="n">
        <v>45386.34175925926</v>
      </c>
      <c r="C1055" s="1" t="n">
        <v>45927</v>
      </c>
      <c r="D1055" t="inlineStr">
        <is>
          <t>STOCKHOLMS LÄN</t>
        </is>
      </c>
      <c r="E1055" t="inlineStr">
        <is>
          <t>NORRTÄLJE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24350-2025</t>
        </is>
      </c>
      <c r="B1056" s="1" t="n">
        <v>45797.58350694444</v>
      </c>
      <c r="C1056" s="1" t="n">
        <v>45927</v>
      </c>
      <c r="D1056" t="inlineStr">
        <is>
          <t>STOCKHOLMS LÄN</t>
        </is>
      </c>
      <c r="E1056" t="inlineStr">
        <is>
          <t>NORRTÄLJE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26703-2025</t>
        </is>
      </c>
      <c r="B1057" s="1" t="n">
        <v>45810.45263888889</v>
      </c>
      <c r="C1057" s="1" t="n">
        <v>45927</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c r="A1058" t="inlineStr">
        <is>
          <t>A 38153-2025</t>
        </is>
      </c>
      <c r="B1058" s="1" t="n">
        <v>45882.59722222222</v>
      </c>
      <c r="C1058" s="1" t="n">
        <v>45927</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2025-09-27T12:02:21Z</dcterms:created>
  <dcterms:modified xmlns:dcterms="http://purl.org/dc/terms/" xmlns:xsi="http://www.w3.org/2001/XMLSchema-instance" xsi:type="dcterms:W3CDTF">2025-09-27T12:02:22Z</dcterms:modified>
</cp:coreProperties>
</file>