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46045</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46045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46045</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46045</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46045</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46045</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46045</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46045</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46045</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46045</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46045</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46045</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46045</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46045</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46045</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46045</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46045</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47951-2025</t>
        </is>
      </c>
      <c r="B32" s="1" t="n">
        <v>45932.58491898148</v>
      </c>
      <c r="C32" s="1" t="n">
        <v>46045</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61099-2025</t>
        </is>
      </c>
      <c r="B33" s="1" t="n">
        <v>46000.44185185185</v>
      </c>
      <c r="C33" s="1" t="n">
        <v>46045</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59582-2024</t>
        </is>
      </c>
      <c r="B34" s="1" t="n">
        <v>45638</v>
      </c>
      <c r="C34" s="1" t="n">
        <v>46045</v>
      </c>
      <c r="D34" t="inlineStr">
        <is>
          <t>STOCKHOLMS LÄN</t>
        </is>
      </c>
      <c r="E34" t="inlineStr">
        <is>
          <t>NORRTÄLJE</t>
        </is>
      </c>
      <c r="F34" t="inlineStr">
        <is>
          <t>Holmen skog AB</t>
        </is>
      </c>
      <c r="G34" t="n">
        <v>2.7</v>
      </c>
      <c r="H34" t="n">
        <v>3</v>
      </c>
      <c r="I34" t="n">
        <v>4</v>
      </c>
      <c r="J34" t="n">
        <v>3</v>
      </c>
      <c r="K34" t="n">
        <v>0</v>
      </c>
      <c r="L34" t="n">
        <v>0</v>
      </c>
      <c r="M34" t="n">
        <v>0</v>
      </c>
      <c r="N34" t="n">
        <v>0</v>
      </c>
      <c r="O34" t="n">
        <v>3</v>
      </c>
      <c r="P34" t="n">
        <v>0</v>
      </c>
      <c r="Q34" t="n">
        <v>8</v>
      </c>
      <c r="R34" s="2" t="inlineStr">
        <is>
          <t>Duvhök
Skogshare
Spillkråka
Bronshjon
Granbräken
Spädstarr
Vågbandad barkbock
Revlummer</t>
        </is>
      </c>
      <c r="S34">
        <f>HYPERLINK("https://klasma.github.io/Logging_0188/artfynd/A 59582-2024 artfynd.xlsx", "A 59582-2024")</f>
        <v/>
      </c>
      <c r="T34">
        <f>HYPERLINK("https://klasma.github.io/Logging_0188/kartor/A 59582-2024 karta.png", "A 59582-2024")</f>
        <v/>
      </c>
      <c r="V34">
        <f>HYPERLINK("https://klasma.github.io/Logging_0188/klagomål/A 59582-2024 FSC-klagomål.docx", "A 59582-2024")</f>
        <v/>
      </c>
      <c r="W34">
        <f>HYPERLINK("https://klasma.github.io/Logging_0188/klagomålsmail/A 59582-2024 FSC-klagomål mail.docx", "A 59582-2024")</f>
        <v/>
      </c>
      <c r="X34">
        <f>HYPERLINK("https://klasma.github.io/Logging_0188/tillsyn/A 59582-2024 tillsynsbegäran.docx", "A 59582-2024")</f>
        <v/>
      </c>
      <c r="Y34">
        <f>HYPERLINK("https://klasma.github.io/Logging_0188/tillsynsmail/A 59582-2024 tillsynsbegäran mail.docx", "A 59582-2024")</f>
        <v/>
      </c>
      <c r="Z34">
        <f>HYPERLINK("https://klasma.github.io/Logging_0188/fåglar/A 59582-2024 prioriterade fågelarter.docx", "A 59582-2024")</f>
        <v/>
      </c>
    </row>
    <row r="35" ht="15" customHeight="1">
      <c r="A35" t="inlineStr">
        <is>
          <t>A 45811-2022</t>
        </is>
      </c>
      <c r="B35" s="1" t="n">
        <v>44846</v>
      </c>
      <c r="C35" s="1" t="n">
        <v>46045</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46045</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46045</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46045</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46045</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46045</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46045</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72111-2021</t>
        </is>
      </c>
      <c r="B42" s="1" t="n">
        <v>44544</v>
      </c>
      <c r="C42" s="1" t="n">
        <v>46045</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30687-2025</t>
        </is>
      </c>
      <c r="B43" s="1" t="n">
        <v>45831.53390046296</v>
      </c>
      <c r="C43" s="1" t="n">
        <v>46045</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15804-2025</t>
        </is>
      </c>
      <c r="B44" s="1" t="n">
        <v>45748.6521875</v>
      </c>
      <c r="C44" s="1" t="n">
        <v>46045</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46045</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56791-2025</t>
        </is>
      </c>
      <c r="B46" s="1" t="n">
        <v>45978</v>
      </c>
      <c r="C46" s="1" t="n">
        <v>46045</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3444-2023</t>
        </is>
      </c>
      <c r="B47" s="1" t="n">
        <v>44949</v>
      </c>
      <c r="C47" s="1" t="n">
        <v>46045</v>
      </c>
      <c r="D47" t="inlineStr">
        <is>
          <t>STOCKHOLMS LÄN</t>
        </is>
      </c>
      <c r="E47" t="inlineStr">
        <is>
          <t>NORRTÄLJE</t>
        </is>
      </c>
      <c r="G47" t="n">
        <v>5.1</v>
      </c>
      <c r="H47" t="n">
        <v>5</v>
      </c>
      <c r="I47" t="n">
        <v>0</v>
      </c>
      <c r="J47" t="n">
        <v>1</v>
      </c>
      <c r="K47" t="n">
        <v>0</v>
      </c>
      <c r="L47" t="n">
        <v>0</v>
      </c>
      <c r="M47" t="n">
        <v>0</v>
      </c>
      <c r="N47" t="n">
        <v>0</v>
      </c>
      <c r="O47" t="n">
        <v>1</v>
      </c>
      <c r="P47" t="n">
        <v>0</v>
      </c>
      <c r="Q47" t="n">
        <v>5</v>
      </c>
      <c r="R47" s="2" t="inlineStr">
        <is>
          <t>Nordfladdermus
Dvärgpipistrell
Gråskimlig fladdermus
Större brunfladdermus
Trollpipistrell</t>
        </is>
      </c>
      <c r="S47">
        <f>HYPERLINK("https://klasma.github.io/Logging_0188/artfynd/A 3444-2023 artfynd.xlsx", "A 3444-2023")</f>
        <v/>
      </c>
      <c r="T47">
        <f>HYPERLINK("https://klasma.github.io/Logging_0188/kartor/A 3444-2023 karta.png", "A 3444-2023")</f>
        <v/>
      </c>
      <c r="V47">
        <f>HYPERLINK("https://klasma.github.io/Logging_0188/klagomål/A 3444-2023 FSC-klagomål.docx", "A 3444-2023")</f>
        <v/>
      </c>
      <c r="W47">
        <f>HYPERLINK("https://klasma.github.io/Logging_0188/klagomålsmail/A 3444-2023 FSC-klagomål mail.docx", "A 3444-2023")</f>
        <v/>
      </c>
      <c r="X47">
        <f>HYPERLINK("https://klasma.github.io/Logging_0188/tillsyn/A 3444-2023 tillsynsbegäran.docx", "A 3444-2023")</f>
        <v/>
      </c>
      <c r="Y47">
        <f>HYPERLINK("https://klasma.github.io/Logging_0188/tillsynsmail/A 3444-2023 tillsynsbegäran mail.docx", "A 3444-2023")</f>
        <v/>
      </c>
    </row>
    <row r="48" ht="15" customHeight="1">
      <c r="A48" t="inlineStr">
        <is>
          <t>A 22071-2022</t>
        </is>
      </c>
      <c r="B48" s="1" t="n">
        <v>44711</v>
      </c>
      <c r="C48" s="1" t="n">
        <v>46045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46045</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46045</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46045</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21730-2025</t>
        </is>
      </c>
      <c r="B52" s="1" t="n">
        <v>45783.58123842593</v>
      </c>
      <c r="C52" s="1" t="n">
        <v>46045</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25687-2025</t>
        </is>
      </c>
      <c r="B53" s="1" t="n">
        <v>45800</v>
      </c>
      <c r="C53" s="1" t="n">
        <v>46045</v>
      </c>
      <c r="D53" t="inlineStr">
        <is>
          <t>STOCKHOLMS LÄN</t>
        </is>
      </c>
      <c r="E53" t="inlineStr">
        <is>
          <t>NORRTÄLJE</t>
        </is>
      </c>
      <c r="G53" t="n">
        <v>15.7</v>
      </c>
      <c r="H53" t="n">
        <v>2</v>
      </c>
      <c r="I53" t="n">
        <v>1</v>
      </c>
      <c r="J53" t="n">
        <v>2</v>
      </c>
      <c r="K53" t="n">
        <v>0</v>
      </c>
      <c r="L53" t="n">
        <v>0</v>
      </c>
      <c r="M53" t="n">
        <v>0</v>
      </c>
      <c r="N53" t="n">
        <v>0</v>
      </c>
      <c r="O53" t="n">
        <v>2</v>
      </c>
      <c r="P53" t="n">
        <v>0</v>
      </c>
      <c r="Q53" t="n">
        <v>4</v>
      </c>
      <c r="R53" s="2" t="inlineStr">
        <is>
          <t>Spillkråka
Ullticka
Grönpyrola
Kungsfågel</t>
        </is>
      </c>
      <c r="S53">
        <f>HYPERLINK("https://klasma.github.io/Logging_0188/artfynd/A 25687-2025 artfynd.xlsx", "A 25687-2025")</f>
        <v/>
      </c>
      <c r="T53">
        <f>HYPERLINK("https://klasma.github.io/Logging_0188/kartor/A 25687-2025 karta.png", "A 25687-2025")</f>
        <v/>
      </c>
      <c r="V53">
        <f>HYPERLINK("https://klasma.github.io/Logging_0188/klagomål/A 25687-2025 FSC-klagomål.docx", "A 25687-2025")</f>
        <v/>
      </c>
      <c r="W53">
        <f>HYPERLINK("https://klasma.github.io/Logging_0188/klagomålsmail/A 25687-2025 FSC-klagomål mail.docx", "A 25687-2025")</f>
        <v/>
      </c>
      <c r="X53">
        <f>HYPERLINK("https://klasma.github.io/Logging_0188/tillsyn/A 25687-2025 tillsynsbegäran.docx", "A 25687-2025")</f>
        <v/>
      </c>
      <c r="Y53">
        <f>HYPERLINK("https://klasma.github.io/Logging_0188/tillsynsmail/A 25687-2025 tillsynsbegäran mail.docx", "A 25687-2025")</f>
        <v/>
      </c>
      <c r="Z53">
        <f>HYPERLINK("https://klasma.github.io/Logging_0188/fåglar/A 25687-2025 prioriterade fågelarter.docx", "A 25687-2025")</f>
        <v/>
      </c>
    </row>
    <row r="54" ht="15" customHeight="1">
      <c r="A54" t="inlineStr">
        <is>
          <t>A 34521-2025</t>
        </is>
      </c>
      <c r="B54" s="1" t="n">
        <v>45847.47052083333</v>
      </c>
      <c r="C54" s="1" t="n">
        <v>46045</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72305-2021</t>
        </is>
      </c>
      <c r="B55" s="1" t="n">
        <v>44545</v>
      </c>
      <c r="C55" s="1" t="n">
        <v>46045</v>
      </c>
      <c r="D55" t="inlineStr">
        <is>
          <t>STOCKHOLMS LÄN</t>
        </is>
      </c>
      <c r="E55" t="inlineStr">
        <is>
          <t>NORRTÄLJE</t>
        </is>
      </c>
      <c r="G55" t="n">
        <v>1.5</v>
      </c>
      <c r="H55" t="n">
        <v>1</v>
      </c>
      <c r="I55" t="n">
        <v>3</v>
      </c>
      <c r="J55" t="n">
        <v>0</v>
      </c>
      <c r="K55" t="n">
        <v>0</v>
      </c>
      <c r="L55" t="n">
        <v>0</v>
      </c>
      <c r="M55" t="n">
        <v>0</v>
      </c>
      <c r="N55" t="n">
        <v>0</v>
      </c>
      <c r="O55" t="n">
        <v>0</v>
      </c>
      <c r="P55" t="n">
        <v>0</v>
      </c>
      <c r="Q55" t="n">
        <v>4</v>
      </c>
      <c r="R55" s="2" t="inlineStr">
        <is>
          <t>Svart trolldruva
Sårläka
Vårärt
Blåsippa</t>
        </is>
      </c>
      <c r="S55">
        <f>HYPERLINK("https://klasma.github.io/Logging_0188/artfynd/A 72305-2021 artfynd.xlsx", "A 72305-2021")</f>
        <v/>
      </c>
      <c r="T55">
        <f>HYPERLINK("https://klasma.github.io/Logging_0188/kartor/A 72305-2021 karta.png", "A 72305-2021")</f>
        <v/>
      </c>
      <c r="V55">
        <f>HYPERLINK("https://klasma.github.io/Logging_0188/klagomål/A 72305-2021 FSC-klagomål.docx", "A 72305-2021")</f>
        <v/>
      </c>
      <c r="W55">
        <f>HYPERLINK("https://klasma.github.io/Logging_0188/klagomålsmail/A 72305-2021 FSC-klagomål mail.docx", "A 72305-2021")</f>
        <v/>
      </c>
      <c r="X55">
        <f>HYPERLINK("https://klasma.github.io/Logging_0188/tillsyn/A 72305-2021 tillsynsbegäran.docx", "A 72305-2021")</f>
        <v/>
      </c>
      <c r="Y55">
        <f>HYPERLINK("https://klasma.github.io/Logging_0188/tillsynsmail/A 72305-2021 tillsynsbegäran mail.docx", "A 72305-2021")</f>
        <v/>
      </c>
    </row>
    <row r="56" ht="15" customHeight="1">
      <c r="A56" t="inlineStr">
        <is>
          <t>A 24052-2021</t>
        </is>
      </c>
      <c r="B56" s="1" t="n">
        <v>44336</v>
      </c>
      <c r="C56" s="1" t="n">
        <v>46045</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46045</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17673-2021</t>
        </is>
      </c>
      <c r="B58" s="1" t="n">
        <v>44300</v>
      </c>
      <c r="C58" s="1" t="n">
        <v>46045</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14560-2021</t>
        </is>
      </c>
      <c r="B59" s="1" t="n">
        <v>44279</v>
      </c>
      <c r="C59" s="1" t="n">
        <v>46045</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45113-2022</t>
        </is>
      </c>
      <c r="B60" s="1" t="n">
        <v>44843</v>
      </c>
      <c r="C60" s="1" t="n">
        <v>46045</v>
      </c>
      <c r="D60" t="inlineStr">
        <is>
          <t>STOCKHOLMS LÄN</t>
        </is>
      </c>
      <c r="E60" t="inlineStr">
        <is>
          <t>NORRTÄLJE</t>
        </is>
      </c>
      <c r="G60" t="n">
        <v>1.7</v>
      </c>
      <c r="H60" t="n">
        <v>0</v>
      </c>
      <c r="I60" t="n">
        <v>1</v>
      </c>
      <c r="J60" t="n">
        <v>1</v>
      </c>
      <c r="K60" t="n">
        <v>1</v>
      </c>
      <c r="L60" t="n">
        <v>0</v>
      </c>
      <c r="M60" t="n">
        <v>0</v>
      </c>
      <c r="N60" t="n">
        <v>0</v>
      </c>
      <c r="O60" t="n">
        <v>2</v>
      </c>
      <c r="P60" t="n">
        <v>1</v>
      </c>
      <c r="Q60" t="n">
        <v>3</v>
      </c>
      <c r="R60" s="2" t="inlineStr">
        <is>
          <t>Violett fingersvamp
Kandelabersvamp
Slät lönnlav</t>
        </is>
      </c>
      <c r="S60">
        <f>HYPERLINK("https://klasma.github.io/Logging_0188/artfynd/A 45113-2022 artfynd.xlsx", "A 45113-2022")</f>
        <v/>
      </c>
      <c r="T60">
        <f>HYPERLINK("https://klasma.github.io/Logging_0188/kartor/A 45113-2022 karta.png", "A 45113-2022")</f>
        <v/>
      </c>
      <c r="V60">
        <f>HYPERLINK("https://klasma.github.io/Logging_0188/klagomål/A 45113-2022 FSC-klagomål.docx", "A 45113-2022")</f>
        <v/>
      </c>
      <c r="W60">
        <f>HYPERLINK("https://klasma.github.io/Logging_0188/klagomålsmail/A 45113-2022 FSC-klagomål mail.docx", "A 45113-2022")</f>
        <v/>
      </c>
      <c r="X60">
        <f>HYPERLINK("https://klasma.github.io/Logging_0188/tillsyn/A 45113-2022 tillsynsbegäran.docx", "A 45113-2022")</f>
        <v/>
      </c>
      <c r="Y60">
        <f>HYPERLINK("https://klasma.github.io/Logging_0188/tillsynsmail/A 45113-2022 tillsynsbegäran mail.docx", "A 45113-2022")</f>
        <v/>
      </c>
    </row>
    <row r="61" ht="15" customHeight="1">
      <c r="A61" t="inlineStr">
        <is>
          <t>A 20185-2022</t>
        </is>
      </c>
      <c r="B61" s="1" t="n">
        <v>44698</v>
      </c>
      <c r="C61" s="1" t="n">
        <v>46045</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28836-2022</t>
        </is>
      </c>
      <c r="B62" s="1" t="n">
        <v>44749</v>
      </c>
      <c r="C62" s="1" t="n">
        <v>46045</v>
      </c>
      <c r="D62" t="inlineStr">
        <is>
          <t>STOCKHOLMS LÄN</t>
        </is>
      </c>
      <c r="E62" t="inlineStr">
        <is>
          <t>NORRTÄLJE</t>
        </is>
      </c>
      <c r="G62" t="n">
        <v>25</v>
      </c>
      <c r="H62" t="n">
        <v>2</v>
      </c>
      <c r="I62" t="n">
        <v>0</v>
      </c>
      <c r="J62" t="n">
        <v>2</v>
      </c>
      <c r="K62" t="n">
        <v>0</v>
      </c>
      <c r="L62" t="n">
        <v>0</v>
      </c>
      <c r="M62" t="n">
        <v>0</v>
      </c>
      <c r="N62" t="n">
        <v>0</v>
      </c>
      <c r="O62" t="n">
        <v>2</v>
      </c>
      <c r="P62" t="n">
        <v>0</v>
      </c>
      <c r="Q62" t="n">
        <v>3</v>
      </c>
      <c r="R62" s="2" t="inlineStr">
        <is>
          <t>Backklöver
Svartvit flugsnappare
Skogsödla</t>
        </is>
      </c>
      <c r="S62">
        <f>HYPERLINK("https://klasma.github.io/Logging_0188/artfynd/A 28836-2022 artfynd.xlsx", "A 28836-2022")</f>
        <v/>
      </c>
      <c r="T62">
        <f>HYPERLINK("https://klasma.github.io/Logging_0188/kartor/A 28836-2022 karta.png", "A 28836-2022")</f>
        <v/>
      </c>
      <c r="V62">
        <f>HYPERLINK("https://klasma.github.io/Logging_0188/klagomål/A 28836-2022 FSC-klagomål.docx", "A 28836-2022")</f>
        <v/>
      </c>
      <c r="W62">
        <f>HYPERLINK("https://klasma.github.io/Logging_0188/klagomålsmail/A 28836-2022 FSC-klagomål mail.docx", "A 28836-2022")</f>
        <v/>
      </c>
      <c r="X62">
        <f>HYPERLINK("https://klasma.github.io/Logging_0188/tillsyn/A 28836-2022 tillsynsbegäran.docx", "A 28836-2022")</f>
        <v/>
      </c>
      <c r="Y62">
        <f>HYPERLINK("https://klasma.github.io/Logging_0188/tillsynsmail/A 28836-2022 tillsynsbegäran mail.docx", "A 28836-2022")</f>
        <v/>
      </c>
      <c r="Z62">
        <f>HYPERLINK("https://klasma.github.io/Logging_0188/fåglar/A 28836-2022 prioriterade fågelarter.docx", "A 28836-2022")</f>
        <v/>
      </c>
    </row>
    <row r="63" ht="15" customHeight="1">
      <c r="A63" t="inlineStr">
        <is>
          <t>A 27870-2022</t>
        </is>
      </c>
      <c r="B63" s="1" t="n">
        <v>44743.64592592593</v>
      </c>
      <c r="C63" s="1" t="n">
        <v>46045</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2851-2023</t>
        </is>
      </c>
      <c r="B64" s="1" t="n">
        <v>44945</v>
      </c>
      <c r="C64" s="1" t="n">
        <v>46045</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54110-2024</t>
        </is>
      </c>
      <c r="B65" s="1" t="n">
        <v>45616.54866898148</v>
      </c>
      <c r="C65" s="1" t="n">
        <v>46045</v>
      </c>
      <c r="D65" t="inlineStr">
        <is>
          <t>STOCKHOLMS LÄN</t>
        </is>
      </c>
      <c r="E65" t="inlineStr">
        <is>
          <t>NORRTÄLJE</t>
        </is>
      </c>
      <c r="G65" t="n">
        <v>6.7</v>
      </c>
      <c r="H65" t="n">
        <v>2</v>
      </c>
      <c r="I65" t="n">
        <v>0</v>
      </c>
      <c r="J65" t="n">
        <v>1</v>
      </c>
      <c r="K65" t="n">
        <v>0</v>
      </c>
      <c r="L65" t="n">
        <v>0</v>
      </c>
      <c r="M65" t="n">
        <v>0</v>
      </c>
      <c r="N65" t="n">
        <v>0</v>
      </c>
      <c r="O65" t="n">
        <v>1</v>
      </c>
      <c r="P65" t="n">
        <v>0</v>
      </c>
      <c r="Q65" t="n">
        <v>3</v>
      </c>
      <c r="R65" s="2" t="inlineStr">
        <is>
          <t>Klasefibbla
Nattviol
Gullviva</t>
        </is>
      </c>
      <c r="S65">
        <f>HYPERLINK("https://klasma.github.io/Logging_0188/artfynd/A 54110-2024 artfynd.xlsx", "A 54110-2024")</f>
        <v/>
      </c>
      <c r="T65">
        <f>HYPERLINK("https://klasma.github.io/Logging_0188/kartor/A 54110-2024 karta.png", "A 54110-2024")</f>
        <v/>
      </c>
      <c r="V65">
        <f>HYPERLINK("https://klasma.github.io/Logging_0188/klagomål/A 54110-2024 FSC-klagomål.docx", "A 54110-2024")</f>
        <v/>
      </c>
      <c r="W65">
        <f>HYPERLINK("https://klasma.github.io/Logging_0188/klagomålsmail/A 54110-2024 FSC-klagomål mail.docx", "A 54110-2024")</f>
        <v/>
      </c>
      <c r="X65">
        <f>HYPERLINK("https://klasma.github.io/Logging_0188/tillsyn/A 54110-2024 tillsynsbegäran.docx", "A 54110-2024")</f>
        <v/>
      </c>
      <c r="Y65">
        <f>HYPERLINK("https://klasma.github.io/Logging_0188/tillsynsmail/A 54110-2024 tillsynsbegäran mail.docx", "A 54110-2024")</f>
        <v/>
      </c>
    </row>
    <row r="66" ht="15" customHeight="1">
      <c r="A66" t="inlineStr">
        <is>
          <t>A 25270-2025</t>
        </is>
      </c>
      <c r="B66" s="1" t="n">
        <v>45800</v>
      </c>
      <c r="C66" s="1" t="n">
        <v>46045</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52726-2025</t>
        </is>
      </c>
      <c r="B67" s="1" t="n">
        <v>45957.34722222222</v>
      </c>
      <c r="C67" s="1" t="n">
        <v>46045</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29185-2025</t>
        </is>
      </c>
      <c r="B68" s="1" t="n">
        <v>45821</v>
      </c>
      <c r="C68" s="1" t="n">
        <v>46045</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34524-2025</t>
        </is>
      </c>
      <c r="B69" s="1" t="n">
        <v>45847.47685185185</v>
      </c>
      <c r="C69" s="1" t="n">
        <v>46045</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61288-2025</t>
        </is>
      </c>
      <c r="B70" s="1" t="n">
        <v>46000.73247685185</v>
      </c>
      <c r="C70" s="1" t="n">
        <v>46045</v>
      </c>
      <c r="D70" t="inlineStr">
        <is>
          <t>STOCKHOLMS LÄN</t>
        </is>
      </c>
      <c r="E70" t="inlineStr">
        <is>
          <t>NORRTÄLJE</t>
        </is>
      </c>
      <c r="G70" t="n">
        <v>2</v>
      </c>
      <c r="H70" t="n">
        <v>2</v>
      </c>
      <c r="I70" t="n">
        <v>1</v>
      </c>
      <c r="J70" t="n">
        <v>0</v>
      </c>
      <c r="K70" t="n">
        <v>1</v>
      </c>
      <c r="L70" t="n">
        <v>0</v>
      </c>
      <c r="M70" t="n">
        <v>0</v>
      </c>
      <c r="N70" t="n">
        <v>0</v>
      </c>
      <c r="O70" t="n">
        <v>1</v>
      </c>
      <c r="P70" t="n">
        <v>1</v>
      </c>
      <c r="Q70" t="n">
        <v>3</v>
      </c>
      <c r="R70" s="2" t="inlineStr">
        <is>
          <t>Knärot
Kattfotslav
Kungsfågel</t>
        </is>
      </c>
      <c r="S70">
        <f>HYPERLINK("https://klasma.github.io/Logging_0188/artfynd/A 61288-2025 artfynd.xlsx", "A 61288-2025")</f>
        <v/>
      </c>
      <c r="T70">
        <f>HYPERLINK("https://klasma.github.io/Logging_0188/kartor/A 61288-2025 karta.png", "A 61288-2025")</f>
        <v/>
      </c>
      <c r="U70">
        <f>HYPERLINK("https://klasma.github.io/Logging_0188/knärot/A 61288-2025 karta knärot.png", "A 61288-2025")</f>
        <v/>
      </c>
      <c r="V70">
        <f>HYPERLINK("https://klasma.github.io/Logging_0188/klagomål/A 61288-2025 FSC-klagomål.docx", "A 61288-2025")</f>
        <v/>
      </c>
      <c r="W70">
        <f>HYPERLINK("https://klasma.github.io/Logging_0188/klagomålsmail/A 61288-2025 FSC-klagomål mail.docx", "A 61288-2025")</f>
        <v/>
      </c>
      <c r="X70">
        <f>HYPERLINK("https://klasma.github.io/Logging_0188/tillsyn/A 61288-2025 tillsynsbegäran.docx", "A 61288-2025")</f>
        <v/>
      </c>
      <c r="Y70">
        <f>HYPERLINK("https://klasma.github.io/Logging_0188/tillsynsmail/A 61288-2025 tillsynsbegäran mail.docx", "A 61288-2025")</f>
        <v/>
      </c>
      <c r="Z70">
        <f>HYPERLINK("https://klasma.github.io/Logging_0188/fåglar/A 61288-2025 prioriterade fågelarter.docx", "A 61288-2025")</f>
        <v/>
      </c>
    </row>
    <row r="71" ht="15" customHeight="1">
      <c r="A71" t="inlineStr">
        <is>
          <t>A 53065-2024</t>
        </is>
      </c>
      <c r="B71" s="1" t="n">
        <v>45611.47233796296</v>
      </c>
      <c r="C71" s="1" t="n">
        <v>46045</v>
      </c>
      <c r="D71" t="inlineStr">
        <is>
          <t>STOCKHOLMS LÄN</t>
        </is>
      </c>
      <c r="E71" t="inlineStr">
        <is>
          <t>NORRTÄLJE</t>
        </is>
      </c>
      <c r="G71" t="n">
        <v>12.3</v>
      </c>
      <c r="H71" t="n">
        <v>0</v>
      </c>
      <c r="I71" t="n">
        <v>1</v>
      </c>
      <c r="J71" t="n">
        <v>1</v>
      </c>
      <c r="K71" t="n">
        <v>1</v>
      </c>
      <c r="L71" t="n">
        <v>0</v>
      </c>
      <c r="M71" t="n">
        <v>0</v>
      </c>
      <c r="N71" t="n">
        <v>0</v>
      </c>
      <c r="O71" t="n">
        <v>2</v>
      </c>
      <c r="P71" t="n">
        <v>1</v>
      </c>
      <c r="Q71" t="n">
        <v>3</v>
      </c>
      <c r="R71" s="2" t="inlineStr">
        <is>
          <t>Aspsplintbock
Grön aspvedbock
Gulröd blankbock</t>
        </is>
      </c>
      <c r="S71">
        <f>HYPERLINK("https://klasma.github.io/Logging_0188/artfynd/A 53065-2024 artfynd.xlsx", "A 53065-2024")</f>
        <v/>
      </c>
      <c r="T71">
        <f>HYPERLINK("https://klasma.github.io/Logging_0188/kartor/A 53065-2024 karta.png", "A 53065-2024")</f>
        <v/>
      </c>
      <c r="V71">
        <f>HYPERLINK("https://klasma.github.io/Logging_0188/klagomål/A 53065-2024 FSC-klagomål.docx", "A 53065-2024")</f>
        <v/>
      </c>
      <c r="W71">
        <f>HYPERLINK("https://klasma.github.io/Logging_0188/klagomålsmail/A 53065-2024 FSC-klagomål mail.docx", "A 53065-2024")</f>
        <v/>
      </c>
      <c r="X71">
        <f>HYPERLINK("https://klasma.github.io/Logging_0188/tillsyn/A 53065-2024 tillsynsbegäran.docx", "A 53065-2024")</f>
        <v/>
      </c>
      <c r="Y71">
        <f>HYPERLINK("https://klasma.github.io/Logging_0188/tillsynsmail/A 53065-2024 tillsynsbegäran mail.docx", "A 53065-2024")</f>
        <v/>
      </c>
    </row>
    <row r="72" ht="15" customHeight="1">
      <c r="A72" t="inlineStr">
        <is>
          <t>A 50618-2022</t>
        </is>
      </c>
      <c r="B72" s="1" t="n">
        <v>44866</v>
      </c>
      <c r="C72" s="1" t="n">
        <v>46045</v>
      </c>
      <c r="D72" t="inlineStr">
        <is>
          <t>STOCKHOLMS LÄN</t>
        </is>
      </c>
      <c r="E72" t="inlineStr">
        <is>
          <t>NORRTÄLJE</t>
        </is>
      </c>
      <c r="G72" t="n">
        <v>7.8</v>
      </c>
      <c r="H72" t="n">
        <v>2</v>
      </c>
      <c r="I72" t="n">
        <v>2</v>
      </c>
      <c r="J72" t="n">
        <v>0</v>
      </c>
      <c r="K72" t="n">
        <v>0</v>
      </c>
      <c r="L72" t="n">
        <v>0</v>
      </c>
      <c r="M72" t="n">
        <v>0</v>
      </c>
      <c r="N72" t="n">
        <v>0</v>
      </c>
      <c r="O72" t="n">
        <v>0</v>
      </c>
      <c r="P72" t="n">
        <v>0</v>
      </c>
      <c r="Q72" t="n">
        <v>3</v>
      </c>
      <c r="R72" s="2" t="inlineStr">
        <is>
          <t>Skogsknipprot
Vårärt
Blåsippa</t>
        </is>
      </c>
      <c r="S72">
        <f>HYPERLINK("https://klasma.github.io/Logging_0188/artfynd/A 50618-2022 artfynd.xlsx", "A 50618-2022")</f>
        <v/>
      </c>
      <c r="T72">
        <f>HYPERLINK("https://klasma.github.io/Logging_0188/kartor/A 50618-2022 karta.png", "A 50618-2022")</f>
        <v/>
      </c>
      <c r="V72">
        <f>HYPERLINK("https://klasma.github.io/Logging_0188/klagomål/A 50618-2022 FSC-klagomål.docx", "A 50618-2022")</f>
        <v/>
      </c>
      <c r="W72">
        <f>HYPERLINK("https://klasma.github.io/Logging_0188/klagomålsmail/A 50618-2022 FSC-klagomål mail.docx", "A 50618-2022")</f>
        <v/>
      </c>
      <c r="X72">
        <f>HYPERLINK("https://klasma.github.io/Logging_0188/tillsyn/A 50618-2022 tillsynsbegäran.docx", "A 50618-2022")</f>
        <v/>
      </c>
      <c r="Y72">
        <f>HYPERLINK("https://klasma.github.io/Logging_0188/tillsynsmail/A 50618-2022 tillsynsbegäran mail.docx", "A 50618-2022")</f>
        <v/>
      </c>
    </row>
    <row r="73" ht="15" customHeight="1">
      <c r="A73" t="inlineStr">
        <is>
          <t>A 52133-2022</t>
        </is>
      </c>
      <c r="B73" s="1" t="n">
        <v>44868</v>
      </c>
      <c r="C73" s="1" t="n">
        <v>46045</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46045</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46045</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46045</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46045</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46045</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46045</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46045</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52124-2022</t>
        </is>
      </c>
      <c r="B81" s="1" t="n">
        <v>44868</v>
      </c>
      <c r="C81" s="1" t="n">
        <v>46045</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22190-2024</t>
        </is>
      </c>
      <c r="B82" s="1" t="n">
        <v>45446.35888888889</v>
      </c>
      <c r="C82" s="1" t="n">
        <v>46045</v>
      </c>
      <c r="D82" t="inlineStr">
        <is>
          <t>STOCKHOLMS LÄN</t>
        </is>
      </c>
      <c r="E82" t="inlineStr">
        <is>
          <t>NORRTÄLJE</t>
        </is>
      </c>
      <c r="G82" t="n">
        <v>2.8</v>
      </c>
      <c r="H82" t="n">
        <v>2</v>
      </c>
      <c r="I82" t="n">
        <v>1</v>
      </c>
      <c r="J82" t="n">
        <v>0</v>
      </c>
      <c r="K82" t="n">
        <v>0</v>
      </c>
      <c r="L82" t="n">
        <v>0</v>
      </c>
      <c r="M82" t="n">
        <v>0</v>
      </c>
      <c r="N82" t="n">
        <v>0</v>
      </c>
      <c r="O82" t="n">
        <v>0</v>
      </c>
      <c r="P82" t="n">
        <v>0</v>
      </c>
      <c r="Q82" t="n">
        <v>2</v>
      </c>
      <c r="R82" s="2" t="inlineStr">
        <is>
          <t>Skogsknipprot
Vanlig groda</t>
        </is>
      </c>
      <c r="S82">
        <f>HYPERLINK("https://klasma.github.io/Logging_0188/artfynd/A 22190-2024 artfynd.xlsx", "A 22190-2024")</f>
        <v/>
      </c>
      <c r="T82">
        <f>HYPERLINK("https://klasma.github.io/Logging_0188/kartor/A 22190-2024 karta.png", "A 22190-2024")</f>
        <v/>
      </c>
      <c r="V82">
        <f>HYPERLINK("https://klasma.github.io/Logging_0188/klagomål/A 22190-2024 FSC-klagomål.docx", "A 22190-2024")</f>
        <v/>
      </c>
      <c r="W82">
        <f>HYPERLINK("https://klasma.github.io/Logging_0188/klagomålsmail/A 22190-2024 FSC-klagomål mail.docx", "A 22190-2024")</f>
        <v/>
      </c>
      <c r="X82">
        <f>HYPERLINK("https://klasma.github.io/Logging_0188/tillsyn/A 22190-2024 tillsynsbegäran.docx", "A 22190-2024")</f>
        <v/>
      </c>
      <c r="Y82">
        <f>HYPERLINK("https://klasma.github.io/Logging_0188/tillsynsmail/A 22190-2024 tillsynsbegäran mail.docx", "A 22190-2024")</f>
        <v/>
      </c>
    </row>
    <row r="83" ht="15" customHeight="1">
      <c r="A83" t="inlineStr">
        <is>
          <t>A 51980-2022</t>
        </is>
      </c>
      <c r="B83" s="1" t="n">
        <v>44872</v>
      </c>
      <c r="C83" s="1" t="n">
        <v>46045</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16260-2022</t>
        </is>
      </c>
      <c r="B84" s="1" t="n">
        <v>44670</v>
      </c>
      <c r="C84" s="1" t="n">
        <v>46045</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50697-2025</t>
        </is>
      </c>
      <c r="B85" s="1" t="n">
        <v>45945.90854166666</v>
      </c>
      <c r="C85" s="1" t="n">
        <v>46045</v>
      </c>
      <c r="D85" t="inlineStr">
        <is>
          <t>STOCKHOLMS LÄN</t>
        </is>
      </c>
      <c r="E85" t="inlineStr">
        <is>
          <t>NORRTÄLJE</t>
        </is>
      </c>
      <c r="G85" t="n">
        <v>5.5</v>
      </c>
      <c r="H85" t="n">
        <v>0</v>
      </c>
      <c r="I85" t="n">
        <v>0</v>
      </c>
      <c r="J85" t="n">
        <v>2</v>
      </c>
      <c r="K85" t="n">
        <v>0</v>
      </c>
      <c r="L85" t="n">
        <v>0</v>
      </c>
      <c r="M85" t="n">
        <v>0</v>
      </c>
      <c r="N85" t="n">
        <v>0</v>
      </c>
      <c r="O85" t="n">
        <v>2</v>
      </c>
      <c r="P85" t="n">
        <v>0</v>
      </c>
      <c r="Q85" t="n">
        <v>2</v>
      </c>
      <c r="R85" s="2" t="inlineStr">
        <is>
          <t>Skogsklocka
Småflikig brosklav</t>
        </is>
      </c>
      <c r="S85">
        <f>HYPERLINK("https://klasma.github.io/Logging_0188/artfynd/A 50697-2025 artfynd.xlsx", "A 50697-2025")</f>
        <v/>
      </c>
      <c r="T85">
        <f>HYPERLINK("https://klasma.github.io/Logging_0188/kartor/A 50697-2025 karta.png", "A 50697-2025")</f>
        <v/>
      </c>
      <c r="V85">
        <f>HYPERLINK("https://klasma.github.io/Logging_0188/klagomål/A 50697-2025 FSC-klagomål.docx", "A 50697-2025")</f>
        <v/>
      </c>
      <c r="W85">
        <f>HYPERLINK("https://klasma.github.io/Logging_0188/klagomålsmail/A 50697-2025 FSC-klagomål mail.docx", "A 50697-2025")</f>
        <v/>
      </c>
      <c r="X85">
        <f>HYPERLINK("https://klasma.github.io/Logging_0188/tillsyn/A 50697-2025 tillsynsbegäran.docx", "A 50697-2025")</f>
        <v/>
      </c>
      <c r="Y85">
        <f>HYPERLINK("https://klasma.github.io/Logging_0188/tillsynsmail/A 50697-2025 tillsynsbegäran mail.docx", "A 50697-2025")</f>
        <v/>
      </c>
    </row>
    <row r="86" ht="15" customHeight="1">
      <c r="A86" t="inlineStr">
        <is>
          <t>A 52360-2024</t>
        </is>
      </c>
      <c r="B86" s="1" t="n">
        <v>45609.37094907407</v>
      </c>
      <c r="C86" s="1" t="n">
        <v>46045</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53608-2025</t>
        </is>
      </c>
      <c r="B87" s="1" t="n">
        <v>45960</v>
      </c>
      <c r="C87" s="1" t="n">
        <v>46045</v>
      </c>
      <c r="D87" t="inlineStr">
        <is>
          <t>STOCKHOLMS LÄN</t>
        </is>
      </c>
      <c r="E87" t="inlineStr">
        <is>
          <t>NORRTÄLJE</t>
        </is>
      </c>
      <c r="F87" t="inlineStr">
        <is>
          <t>Holmen skog AB</t>
        </is>
      </c>
      <c r="G87" t="n">
        <v>3.2</v>
      </c>
      <c r="H87" t="n">
        <v>2</v>
      </c>
      <c r="I87" t="n">
        <v>0</v>
      </c>
      <c r="J87" t="n">
        <v>1</v>
      </c>
      <c r="K87" t="n">
        <v>0</v>
      </c>
      <c r="L87" t="n">
        <v>1</v>
      </c>
      <c r="M87" t="n">
        <v>0</v>
      </c>
      <c r="N87" t="n">
        <v>0</v>
      </c>
      <c r="O87" t="n">
        <v>2</v>
      </c>
      <c r="P87" t="n">
        <v>1</v>
      </c>
      <c r="Q87" t="n">
        <v>2</v>
      </c>
      <c r="R87" s="2" t="inlineStr">
        <is>
          <t>Asknätfjäril
Spillkråka</t>
        </is>
      </c>
      <c r="S87">
        <f>HYPERLINK("https://klasma.github.io/Logging_0188/artfynd/A 53608-2025 artfynd.xlsx", "A 53608-2025")</f>
        <v/>
      </c>
      <c r="T87">
        <f>HYPERLINK("https://klasma.github.io/Logging_0188/kartor/A 53608-2025 karta.png", "A 53608-2025")</f>
        <v/>
      </c>
      <c r="V87">
        <f>HYPERLINK("https://klasma.github.io/Logging_0188/klagomål/A 53608-2025 FSC-klagomål.docx", "A 53608-2025")</f>
        <v/>
      </c>
      <c r="W87">
        <f>HYPERLINK("https://klasma.github.io/Logging_0188/klagomålsmail/A 53608-2025 FSC-klagomål mail.docx", "A 53608-2025")</f>
        <v/>
      </c>
      <c r="X87">
        <f>HYPERLINK("https://klasma.github.io/Logging_0188/tillsyn/A 53608-2025 tillsynsbegäran.docx", "A 53608-2025")</f>
        <v/>
      </c>
      <c r="Y87">
        <f>HYPERLINK("https://klasma.github.io/Logging_0188/tillsynsmail/A 53608-2025 tillsynsbegäran mail.docx", "A 53608-2025")</f>
        <v/>
      </c>
      <c r="Z87">
        <f>HYPERLINK("https://klasma.github.io/Logging_0188/fåglar/A 53608-2025 prioriterade fågelarter.docx", "A 53608-2025")</f>
        <v/>
      </c>
    </row>
    <row r="88" ht="15" customHeight="1">
      <c r="A88" t="inlineStr">
        <is>
          <t>A 52825-2023</t>
        </is>
      </c>
      <c r="B88" s="1" t="n">
        <v>45226</v>
      </c>
      <c r="C88" s="1" t="n">
        <v>46045</v>
      </c>
      <c r="D88" t="inlineStr">
        <is>
          <t>STOCKHOLMS LÄN</t>
        </is>
      </c>
      <c r="E88" t="inlineStr">
        <is>
          <t>NORRTÄLJE</t>
        </is>
      </c>
      <c r="G88" t="n">
        <v>1</v>
      </c>
      <c r="H88" t="n">
        <v>0</v>
      </c>
      <c r="I88" t="n">
        <v>2</v>
      </c>
      <c r="J88" t="n">
        <v>0</v>
      </c>
      <c r="K88" t="n">
        <v>0</v>
      </c>
      <c r="L88" t="n">
        <v>0</v>
      </c>
      <c r="M88" t="n">
        <v>0</v>
      </c>
      <c r="N88" t="n">
        <v>0</v>
      </c>
      <c r="O88" t="n">
        <v>0</v>
      </c>
      <c r="P88" t="n">
        <v>0</v>
      </c>
      <c r="Q88" t="n">
        <v>2</v>
      </c>
      <c r="R88" s="2" t="inlineStr">
        <is>
          <t>Fjällig taggsvamp s.str.
Strimspindling</t>
        </is>
      </c>
      <c r="S88">
        <f>HYPERLINK("https://klasma.github.io/Logging_0188/artfynd/A 52825-2023 artfynd.xlsx", "A 52825-2023")</f>
        <v/>
      </c>
      <c r="T88">
        <f>HYPERLINK("https://klasma.github.io/Logging_0188/kartor/A 52825-2023 karta.png", "A 52825-2023")</f>
        <v/>
      </c>
      <c r="V88">
        <f>HYPERLINK("https://klasma.github.io/Logging_0188/klagomål/A 52825-2023 FSC-klagomål.docx", "A 52825-2023")</f>
        <v/>
      </c>
      <c r="W88">
        <f>HYPERLINK("https://klasma.github.io/Logging_0188/klagomålsmail/A 52825-2023 FSC-klagomål mail.docx", "A 52825-2023")</f>
        <v/>
      </c>
      <c r="X88">
        <f>HYPERLINK("https://klasma.github.io/Logging_0188/tillsyn/A 52825-2023 tillsynsbegäran.docx", "A 52825-2023")</f>
        <v/>
      </c>
      <c r="Y88">
        <f>HYPERLINK("https://klasma.github.io/Logging_0188/tillsynsmail/A 52825-2023 tillsynsbegäran mail.docx", "A 52825-2023")</f>
        <v/>
      </c>
    </row>
    <row r="89" ht="15" customHeight="1">
      <c r="A89" t="inlineStr">
        <is>
          <t>A 1547-2022</t>
        </is>
      </c>
      <c r="B89" s="1" t="n">
        <v>44573</v>
      </c>
      <c r="C89" s="1" t="n">
        <v>46045</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46045</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46045</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46045</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32111-2022</t>
        </is>
      </c>
      <c r="B93" s="1" t="n">
        <v>44778.92797453704</v>
      </c>
      <c r="C93" s="1" t="n">
        <v>46045</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58888-2021</t>
        </is>
      </c>
      <c r="B94" s="1" t="n">
        <v>44489</v>
      </c>
      <c r="C94" s="1" t="n">
        <v>46045</v>
      </c>
      <c r="D94" t="inlineStr">
        <is>
          <t>STOCKHOLMS LÄN</t>
        </is>
      </c>
      <c r="E94" t="inlineStr">
        <is>
          <t>NORRTÄLJE</t>
        </is>
      </c>
      <c r="F94" t="inlineStr">
        <is>
          <t>Holmen skog AB</t>
        </is>
      </c>
      <c r="G94" t="n">
        <v>2.5</v>
      </c>
      <c r="H94" t="n">
        <v>1</v>
      </c>
      <c r="I94" t="n">
        <v>0</v>
      </c>
      <c r="J94" t="n">
        <v>0</v>
      </c>
      <c r="K94" t="n">
        <v>0</v>
      </c>
      <c r="L94" t="n">
        <v>1</v>
      </c>
      <c r="M94" t="n">
        <v>0</v>
      </c>
      <c r="N94" t="n">
        <v>0</v>
      </c>
      <c r="O94" t="n">
        <v>1</v>
      </c>
      <c r="P94" t="n">
        <v>1</v>
      </c>
      <c r="Q94" t="n">
        <v>1</v>
      </c>
      <c r="R94" s="2" t="inlineStr">
        <is>
          <t>Asknätfjäril</t>
        </is>
      </c>
      <c r="S94">
        <f>HYPERLINK("https://klasma.github.io/Logging_0188/artfynd/A 58888-2021 artfynd.xlsx", "A 58888-2021")</f>
        <v/>
      </c>
      <c r="T94">
        <f>HYPERLINK("https://klasma.github.io/Logging_0188/kartor/A 58888-2021 karta.png", "A 58888-2021")</f>
        <v/>
      </c>
      <c r="V94">
        <f>HYPERLINK("https://klasma.github.io/Logging_0188/klagomål/A 58888-2021 FSC-klagomål.docx", "A 58888-2021")</f>
        <v/>
      </c>
      <c r="W94">
        <f>HYPERLINK("https://klasma.github.io/Logging_0188/klagomålsmail/A 58888-2021 FSC-klagomål mail.docx", "A 58888-2021")</f>
        <v/>
      </c>
      <c r="X94">
        <f>HYPERLINK("https://klasma.github.io/Logging_0188/tillsyn/A 58888-2021 tillsynsbegäran.docx", "A 58888-2021")</f>
        <v/>
      </c>
      <c r="Y94">
        <f>HYPERLINK("https://klasma.github.io/Logging_0188/tillsynsmail/A 58888-2021 tillsynsbegäran mail.docx", "A 58888-2021")</f>
        <v/>
      </c>
    </row>
    <row r="95" ht="15" customHeight="1">
      <c r="A95" t="inlineStr">
        <is>
          <t>A 33477-2022</t>
        </is>
      </c>
      <c r="B95" s="1" t="n">
        <v>44788.70217592592</v>
      </c>
      <c r="C95" s="1" t="n">
        <v>46045</v>
      </c>
      <c r="D95" t="inlineStr">
        <is>
          <t>STOCKHOLMS LÄN</t>
        </is>
      </c>
      <c r="E95" t="inlineStr">
        <is>
          <t>NORRTÄLJE</t>
        </is>
      </c>
      <c r="G95" t="n">
        <v>5.7</v>
      </c>
      <c r="H95" t="n">
        <v>1</v>
      </c>
      <c r="I95" t="n">
        <v>1</v>
      </c>
      <c r="J95" t="n">
        <v>0</v>
      </c>
      <c r="K95" t="n">
        <v>0</v>
      </c>
      <c r="L95" t="n">
        <v>0</v>
      </c>
      <c r="M95" t="n">
        <v>0</v>
      </c>
      <c r="N95" t="n">
        <v>0</v>
      </c>
      <c r="O95" t="n">
        <v>0</v>
      </c>
      <c r="P95" t="n">
        <v>0</v>
      </c>
      <c r="Q95" t="n">
        <v>1</v>
      </c>
      <c r="R95" s="2" t="inlineStr">
        <is>
          <t>Nästrot</t>
        </is>
      </c>
      <c r="S95">
        <f>HYPERLINK("https://klasma.github.io/Logging_0188/artfynd/A 33477-2022 artfynd.xlsx", "A 33477-2022")</f>
        <v/>
      </c>
      <c r="T95">
        <f>HYPERLINK("https://klasma.github.io/Logging_0188/kartor/A 33477-2022 karta.png", "A 33477-2022")</f>
        <v/>
      </c>
      <c r="V95">
        <f>HYPERLINK("https://klasma.github.io/Logging_0188/klagomål/A 33477-2022 FSC-klagomål.docx", "A 33477-2022")</f>
        <v/>
      </c>
      <c r="W95">
        <f>HYPERLINK("https://klasma.github.io/Logging_0188/klagomålsmail/A 33477-2022 FSC-klagomål mail.docx", "A 33477-2022")</f>
        <v/>
      </c>
      <c r="X95">
        <f>HYPERLINK("https://klasma.github.io/Logging_0188/tillsyn/A 33477-2022 tillsynsbegäran.docx", "A 33477-2022")</f>
        <v/>
      </c>
      <c r="Y95">
        <f>HYPERLINK("https://klasma.github.io/Logging_0188/tillsynsmail/A 33477-2022 tillsynsbegäran mail.docx", "A 33477-2022")</f>
        <v/>
      </c>
    </row>
    <row r="96" ht="15" customHeight="1">
      <c r="A96" t="inlineStr">
        <is>
          <t>A 47898-2022</t>
        </is>
      </c>
      <c r="B96" s="1" t="n">
        <v>44855</v>
      </c>
      <c r="C96" s="1" t="n">
        <v>46045</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52611-2024</t>
        </is>
      </c>
      <c r="B97" s="1" t="n">
        <v>45609.83747685186</v>
      </c>
      <c r="C97" s="1" t="n">
        <v>46045</v>
      </c>
      <c r="D97" t="inlineStr">
        <is>
          <t>STOCKHOLMS LÄN</t>
        </is>
      </c>
      <c r="E97" t="inlineStr">
        <is>
          <t>NORRTÄLJE</t>
        </is>
      </c>
      <c r="G97" t="n">
        <v>10.6</v>
      </c>
      <c r="H97" t="n">
        <v>1</v>
      </c>
      <c r="I97" t="n">
        <v>0</v>
      </c>
      <c r="J97" t="n">
        <v>0</v>
      </c>
      <c r="K97" t="n">
        <v>0</v>
      </c>
      <c r="L97" t="n">
        <v>0</v>
      </c>
      <c r="M97" t="n">
        <v>0</v>
      </c>
      <c r="N97" t="n">
        <v>0</v>
      </c>
      <c r="O97" t="n">
        <v>0</v>
      </c>
      <c r="P97" t="n">
        <v>0</v>
      </c>
      <c r="Q97" t="n">
        <v>1</v>
      </c>
      <c r="R97" s="2" t="inlineStr">
        <is>
          <t>Blåsippa</t>
        </is>
      </c>
      <c r="S97">
        <f>HYPERLINK("https://klasma.github.io/Logging_0188/artfynd/A 52611-2024 artfynd.xlsx", "A 52611-2024")</f>
        <v/>
      </c>
      <c r="T97">
        <f>HYPERLINK("https://klasma.github.io/Logging_0188/kartor/A 52611-2024 karta.png", "A 52611-2024")</f>
        <v/>
      </c>
      <c r="V97">
        <f>HYPERLINK("https://klasma.github.io/Logging_0188/klagomål/A 52611-2024 FSC-klagomål.docx", "A 52611-2024")</f>
        <v/>
      </c>
      <c r="W97">
        <f>HYPERLINK("https://klasma.github.io/Logging_0188/klagomålsmail/A 52611-2024 FSC-klagomål mail.docx", "A 52611-2024")</f>
        <v/>
      </c>
      <c r="X97">
        <f>HYPERLINK("https://klasma.github.io/Logging_0188/tillsyn/A 52611-2024 tillsynsbegäran.docx", "A 52611-2024")</f>
        <v/>
      </c>
      <c r="Y97">
        <f>HYPERLINK("https://klasma.github.io/Logging_0188/tillsynsmail/A 52611-2024 tillsynsbegäran mail.docx", "A 52611-2024")</f>
        <v/>
      </c>
    </row>
    <row r="98" ht="15" customHeight="1">
      <c r="A98" t="inlineStr">
        <is>
          <t>A 52508-2023</t>
        </is>
      </c>
      <c r="B98" s="1" t="n">
        <v>45225</v>
      </c>
      <c r="C98" s="1" t="n">
        <v>46045</v>
      </c>
      <c r="D98" t="inlineStr">
        <is>
          <t>STOCKHOLMS LÄN</t>
        </is>
      </c>
      <c r="E98" t="inlineStr">
        <is>
          <t>NORRTÄLJE</t>
        </is>
      </c>
      <c r="G98" t="n">
        <v>19.7</v>
      </c>
      <c r="H98" t="n">
        <v>1</v>
      </c>
      <c r="I98" t="n">
        <v>0</v>
      </c>
      <c r="J98" t="n">
        <v>0</v>
      </c>
      <c r="K98" t="n">
        <v>1</v>
      </c>
      <c r="L98" t="n">
        <v>0</v>
      </c>
      <c r="M98" t="n">
        <v>0</v>
      </c>
      <c r="N98" t="n">
        <v>0</v>
      </c>
      <c r="O98" t="n">
        <v>1</v>
      </c>
      <c r="P98" t="n">
        <v>1</v>
      </c>
      <c r="Q98" t="n">
        <v>1</v>
      </c>
      <c r="R98" s="2" t="inlineStr">
        <is>
          <t>Svärta</t>
        </is>
      </c>
      <c r="S98">
        <f>HYPERLINK("https://klasma.github.io/Logging_0188/artfynd/A 52508-2023 artfynd.xlsx", "A 52508-2023")</f>
        <v/>
      </c>
      <c r="T98">
        <f>HYPERLINK("https://klasma.github.io/Logging_0188/kartor/A 52508-2023 karta.png", "A 52508-2023")</f>
        <v/>
      </c>
      <c r="V98">
        <f>HYPERLINK("https://klasma.github.io/Logging_0188/klagomål/A 52508-2023 FSC-klagomål.docx", "A 52508-2023")</f>
        <v/>
      </c>
      <c r="W98">
        <f>HYPERLINK("https://klasma.github.io/Logging_0188/klagomålsmail/A 52508-2023 FSC-klagomål mail.docx", "A 52508-2023")</f>
        <v/>
      </c>
      <c r="X98">
        <f>HYPERLINK("https://klasma.github.io/Logging_0188/tillsyn/A 52508-2023 tillsynsbegäran.docx", "A 52508-2023")</f>
        <v/>
      </c>
      <c r="Y98">
        <f>HYPERLINK("https://klasma.github.io/Logging_0188/tillsynsmail/A 52508-2023 tillsynsbegäran mail.docx", "A 52508-2023")</f>
        <v/>
      </c>
    </row>
    <row r="99" ht="15" customHeight="1">
      <c r="A99" t="inlineStr">
        <is>
          <t>A 4595-2023</t>
        </is>
      </c>
      <c r="B99" s="1" t="n">
        <v>44956</v>
      </c>
      <c r="C99" s="1" t="n">
        <v>46045</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40861-2025</t>
        </is>
      </c>
      <c r="B100" s="1" t="n">
        <v>45897.56356481482</v>
      </c>
      <c r="C100" s="1" t="n">
        <v>46045</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46045</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48131-2023</t>
        </is>
      </c>
      <c r="B102" s="1" t="n">
        <v>45205</v>
      </c>
      <c r="C102" s="1" t="n">
        <v>46045</v>
      </c>
      <c r="D102" t="inlineStr">
        <is>
          <t>STOCKHOLMS LÄN</t>
        </is>
      </c>
      <c r="E102" t="inlineStr">
        <is>
          <t>NORRTÄLJE</t>
        </is>
      </c>
      <c r="G102" t="n">
        <v>2.3</v>
      </c>
      <c r="H102" t="n">
        <v>0</v>
      </c>
      <c r="I102" t="n">
        <v>0</v>
      </c>
      <c r="J102" t="n">
        <v>1</v>
      </c>
      <c r="K102" t="n">
        <v>0</v>
      </c>
      <c r="L102" t="n">
        <v>0</v>
      </c>
      <c r="M102" t="n">
        <v>0</v>
      </c>
      <c r="N102" t="n">
        <v>0</v>
      </c>
      <c r="O102" t="n">
        <v>1</v>
      </c>
      <c r="P102" t="n">
        <v>0</v>
      </c>
      <c r="Q102" t="n">
        <v>1</v>
      </c>
      <c r="R102" s="2" t="inlineStr">
        <is>
          <t>Slåtterfibbla</t>
        </is>
      </c>
      <c r="S102">
        <f>HYPERLINK("https://klasma.github.io/Logging_0188/artfynd/A 48131-2023 artfynd.xlsx", "A 48131-2023")</f>
        <v/>
      </c>
      <c r="T102">
        <f>HYPERLINK("https://klasma.github.io/Logging_0188/kartor/A 48131-2023 karta.png", "A 48131-2023")</f>
        <v/>
      </c>
      <c r="V102">
        <f>HYPERLINK("https://klasma.github.io/Logging_0188/klagomål/A 48131-2023 FSC-klagomål.docx", "A 48131-2023")</f>
        <v/>
      </c>
      <c r="W102">
        <f>HYPERLINK("https://klasma.github.io/Logging_0188/klagomålsmail/A 48131-2023 FSC-klagomål mail.docx", "A 48131-2023")</f>
        <v/>
      </c>
      <c r="X102">
        <f>HYPERLINK("https://klasma.github.io/Logging_0188/tillsyn/A 48131-2023 tillsynsbegäran.docx", "A 48131-2023")</f>
        <v/>
      </c>
      <c r="Y102">
        <f>HYPERLINK("https://klasma.github.io/Logging_0188/tillsynsmail/A 48131-2023 tillsynsbegäran mail.docx", "A 48131-2023")</f>
        <v/>
      </c>
    </row>
    <row r="103" ht="15" customHeight="1">
      <c r="A103" t="inlineStr">
        <is>
          <t>A 42313-2025</t>
        </is>
      </c>
      <c r="B103" s="1" t="n">
        <v>45904.6575</v>
      </c>
      <c r="C103" s="1" t="n">
        <v>46045</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21744-2023</t>
        </is>
      </c>
      <c r="B104" s="1" t="n">
        <v>45065</v>
      </c>
      <c r="C104" s="1" t="n">
        <v>46045</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4860-2022</t>
        </is>
      </c>
      <c r="B105" s="1" t="n">
        <v>44592</v>
      </c>
      <c r="C105" s="1" t="n">
        <v>46045</v>
      </c>
      <c r="D105" t="inlineStr">
        <is>
          <t>STOCKHOLMS LÄN</t>
        </is>
      </c>
      <c r="E105" t="inlineStr">
        <is>
          <t>NORRTÄLJE</t>
        </is>
      </c>
      <c r="G105" t="n">
        <v>22.3</v>
      </c>
      <c r="H105" t="n">
        <v>0</v>
      </c>
      <c r="I105" t="n">
        <v>0</v>
      </c>
      <c r="J105" t="n">
        <v>1</v>
      </c>
      <c r="K105" t="n">
        <v>0</v>
      </c>
      <c r="L105" t="n">
        <v>0</v>
      </c>
      <c r="M105" t="n">
        <v>0</v>
      </c>
      <c r="N105" t="n">
        <v>0</v>
      </c>
      <c r="O105" t="n">
        <v>1</v>
      </c>
      <c r="P105" t="n">
        <v>0</v>
      </c>
      <c r="Q105" t="n">
        <v>1</v>
      </c>
      <c r="R105" s="2" t="inlineStr">
        <is>
          <t>Igelkott</t>
        </is>
      </c>
      <c r="S105">
        <f>HYPERLINK("https://klasma.github.io/Logging_0188/artfynd/A 4860-2022 artfynd.xlsx", "A 4860-2022")</f>
        <v/>
      </c>
      <c r="T105">
        <f>HYPERLINK("https://klasma.github.io/Logging_0188/kartor/A 4860-2022 karta.png", "A 4860-2022")</f>
        <v/>
      </c>
      <c r="V105">
        <f>HYPERLINK("https://klasma.github.io/Logging_0188/klagomål/A 4860-2022 FSC-klagomål.docx", "A 4860-2022")</f>
        <v/>
      </c>
      <c r="W105">
        <f>HYPERLINK("https://klasma.github.io/Logging_0188/klagomålsmail/A 4860-2022 FSC-klagomål mail.docx", "A 4860-2022")</f>
        <v/>
      </c>
      <c r="X105">
        <f>HYPERLINK("https://klasma.github.io/Logging_0188/tillsyn/A 4860-2022 tillsynsbegäran.docx", "A 4860-2022")</f>
        <v/>
      </c>
      <c r="Y105">
        <f>HYPERLINK("https://klasma.github.io/Logging_0188/tillsynsmail/A 4860-2022 tillsynsbegäran mail.docx", "A 4860-2022")</f>
        <v/>
      </c>
    </row>
    <row r="106" ht="15" customHeight="1">
      <c r="A106" t="inlineStr">
        <is>
          <t>A 17952-2022</t>
        </is>
      </c>
      <c r="B106" s="1" t="n">
        <v>44683</v>
      </c>
      <c r="C106" s="1" t="n">
        <v>46045</v>
      </c>
      <c r="D106" t="inlineStr">
        <is>
          <t>STOCKHOLMS LÄN</t>
        </is>
      </c>
      <c r="E106" t="inlineStr">
        <is>
          <t>NORRTÄLJE</t>
        </is>
      </c>
      <c r="G106" t="n">
        <v>51.1</v>
      </c>
      <c r="H106" t="n">
        <v>0</v>
      </c>
      <c r="I106" t="n">
        <v>0</v>
      </c>
      <c r="J106" t="n">
        <v>0</v>
      </c>
      <c r="K106" t="n">
        <v>1</v>
      </c>
      <c r="L106" t="n">
        <v>0</v>
      </c>
      <c r="M106" t="n">
        <v>0</v>
      </c>
      <c r="N106" t="n">
        <v>0</v>
      </c>
      <c r="O106" t="n">
        <v>1</v>
      </c>
      <c r="P106" t="n">
        <v>1</v>
      </c>
      <c r="Q106" t="n">
        <v>1</v>
      </c>
      <c r="R106" s="2" t="inlineStr">
        <is>
          <t>Kattunvisslare</t>
        </is>
      </c>
      <c r="S106">
        <f>HYPERLINK("https://klasma.github.io/Logging_0188/artfynd/A 17952-2022 artfynd.xlsx", "A 17952-2022")</f>
        <v/>
      </c>
      <c r="T106">
        <f>HYPERLINK("https://klasma.github.io/Logging_0188/kartor/A 17952-2022 karta.png", "A 17952-2022")</f>
        <v/>
      </c>
      <c r="V106">
        <f>HYPERLINK("https://klasma.github.io/Logging_0188/klagomål/A 17952-2022 FSC-klagomål.docx", "A 17952-2022")</f>
        <v/>
      </c>
      <c r="W106">
        <f>HYPERLINK("https://klasma.github.io/Logging_0188/klagomålsmail/A 17952-2022 FSC-klagomål mail.docx", "A 17952-2022")</f>
        <v/>
      </c>
      <c r="X106">
        <f>HYPERLINK("https://klasma.github.io/Logging_0188/tillsyn/A 17952-2022 tillsynsbegäran.docx", "A 17952-2022")</f>
        <v/>
      </c>
      <c r="Y106">
        <f>HYPERLINK("https://klasma.github.io/Logging_0188/tillsynsmail/A 17952-2022 tillsynsbegäran mail.docx", "A 17952-2022")</f>
        <v/>
      </c>
    </row>
    <row r="107" ht="15" customHeight="1">
      <c r="A107" t="inlineStr">
        <is>
          <t>A 27827-2022</t>
        </is>
      </c>
      <c r="B107" s="1" t="n">
        <v>44743.59504629629</v>
      </c>
      <c r="C107" s="1" t="n">
        <v>46045</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13291-2025</t>
        </is>
      </c>
      <c r="B108" s="1" t="n">
        <v>45735</v>
      </c>
      <c r="C108" s="1" t="n">
        <v>46045</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23146-2024</t>
        </is>
      </c>
      <c r="B109" s="1" t="n">
        <v>45450.63958333333</v>
      </c>
      <c r="C109" s="1" t="n">
        <v>46045</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39158-2025</t>
        </is>
      </c>
      <c r="B110" s="1" t="n">
        <v>45888</v>
      </c>
      <c r="C110" s="1" t="n">
        <v>46045</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9955-2022</t>
        </is>
      </c>
      <c r="B111" s="1" t="n">
        <v>44620</v>
      </c>
      <c r="C111" s="1" t="n">
        <v>46045</v>
      </c>
      <c r="D111" t="inlineStr">
        <is>
          <t>STOCKHOLMS LÄN</t>
        </is>
      </c>
      <c r="E111" t="inlineStr">
        <is>
          <t>NORRTÄLJE</t>
        </is>
      </c>
      <c r="G111" t="n">
        <v>7.8</v>
      </c>
      <c r="H111" t="n">
        <v>1</v>
      </c>
      <c r="I111" t="n">
        <v>0</v>
      </c>
      <c r="J111" t="n">
        <v>0</v>
      </c>
      <c r="K111" t="n">
        <v>0</v>
      </c>
      <c r="L111" t="n">
        <v>0</v>
      </c>
      <c r="M111" t="n">
        <v>0</v>
      </c>
      <c r="N111" t="n">
        <v>0</v>
      </c>
      <c r="O111" t="n">
        <v>0</v>
      </c>
      <c r="P111" t="n">
        <v>0</v>
      </c>
      <c r="Q111" t="n">
        <v>1</v>
      </c>
      <c r="R111" s="2" t="inlineStr">
        <is>
          <t>Åkergroda</t>
        </is>
      </c>
      <c r="S111">
        <f>HYPERLINK("https://klasma.github.io/Logging_0188/artfynd/A 9955-2022 artfynd.xlsx", "A 9955-2022")</f>
        <v/>
      </c>
      <c r="T111">
        <f>HYPERLINK("https://klasma.github.io/Logging_0188/kartor/A 9955-2022 karta.png", "A 9955-2022")</f>
        <v/>
      </c>
      <c r="V111">
        <f>HYPERLINK("https://klasma.github.io/Logging_0188/klagomål/A 9955-2022 FSC-klagomål.docx", "A 9955-2022")</f>
        <v/>
      </c>
      <c r="W111">
        <f>HYPERLINK("https://klasma.github.io/Logging_0188/klagomålsmail/A 9955-2022 FSC-klagomål mail.docx", "A 9955-2022")</f>
        <v/>
      </c>
      <c r="X111">
        <f>HYPERLINK("https://klasma.github.io/Logging_0188/tillsyn/A 9955-2022 tillsynsbegäran.docx", "A 9955-2022")</f>
        <v/>
      </c>
      <c r="Y111">
        <f>HYPERLINK("https://klasma.github.io/Logging_0188/tillsynsmail/A 9955-2022 tillsynsbegäran mail.docx", "A 9955-2022")</f>
        <v/>
      </c>
    </row>
    <row r="112" ht="15" customHeight="1">
      <c r="A112" t="inlineStr">
        <is>
          <t>A 23905-2025</t>
        </is>
      </c>
      <c r="B112" s="1" t="n">
        <v>45794.63298611111</v>
      </c>
      <c r="C112" s="1" t="n">
        <v>46045</v>
      </c>
      <c r="D112" t="inlineStr">
        <is>
          <t>STOCKHOLMS LÄN</t>
        </is>
      </c>
      <c r="E112" t="inlineStr">
        <is>
          <t>NORRTÄLJE</t>
        </is>
      </c>
      <c r="G112" t="n">
        <v>8.4</v>
      </c>
      <c r="H112" t="n">
        <v>1</v>
      </c>
      <c r="I112" t="n">
        <v>0</v>
      </c>
      <c r="J112" t="n">
        <v>0</v>
      </c>
      <c r="K112" t="n">
        <v>0</v>
      </c>
      <c r="L112" t="n">
        <v>0</v>
      </c>
      <c r="M112" t="n">
        <v>0</v>
      </c>
      <c r="N112" t="n">
        <v>0</v>
      </c>
      <c r="O112" t="n">
        <v>0</v>
      </c>
      <c r="P112" t="n">
        <v>0</v>
      </c>
      <c r="Q112" t="n">
        <v>1</v>
      </c>
      <c r="R112" s="2" t="inlineStr">
        <is>
          <t>Blåsippa</t>
        </is>
      </c>
      <c r="S112">
        <f>HYPERLINK("https://klasma.github.io/Logging_0188/artfynd/A 23905-2025 artfynd.xlsx", "A 23905-2025")</f>
        <v/>
      </c>
      <c r="T112">
        <f>HYPERLINK("https://klasma.github.io/Logging_0188/kartor/A 23905-2025 karta.png", "A 23905-2025")</f>
        <v/>
      </c>
      <c r="V112">
        <f>HYPERLINK("https://klasma.github.io/Logging_0188/klagomål/A 23905-2025 FSC-klagomål.docx", "A 23905-2025")</f>
        <v/>
      </c>
      <c r="W112">
        <f>HYPERLINK("https://klasma.github.io/Logging_0188/klagomålsmail/A 23905-2025 FSC-klagomål mail.docx", "A 23905-2025")</f>
        <v/>
      </c>
      <c r="X112">
        <f>HYPERLINK("https://klasma.github.io/Logging_0188/tillsyn/A 23905-2025 tillsynsbegäran.docx", "A 23905-2025")</f>
        <v/>
      </c>
      <c r="Y112">
        <f>HYPERLINK("https://klasma.github.io/Logging_0188/tillsynsmail/A 23905-2025 tillsynsbegäran mail.docx", "A 23905-2025")</f>
        <v/>
      </c>
    </row>
    <row r="113" ht="15" customHeight="1">
      <c r="A113" t="inlineStr">
        <is>
          <t>A 27538-2024</t>
        </is>
      </c>
      <c r="B113" s="1" t="n">
        <v>45474</v>
      </c>
      <c r="C113" s="1" t="n">
        <v>46045</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4385-2023</t>
        </is>
      </c>
      <c r="B114" s="1" t="n">
        <v>44955.71322916666</v>
      </c>
      <c r="C114" s="1" t="n">
        <v>46045</v>
      </c>
      <c r="D114" t="inlineStr">
        <is>
          <t>STOCKHOLMS LÄN</t>
        </is>
      </c>
      <c r="E114" t="inlineStr">
        <is>
          <t>NORRTÄLJE</t>
        </is>
      </c>
      <c r="G114" t="n">
        <v>7.8</v>
      </c>
      <c r="H114" t="n">
        <v>1</v>
      </c>
      <c r="I114" t="n">
        <v>1</v>
      </c>
      <c r="J114" t="n">
        <v>0</v>
      </c>
      <c r="K114" t="n">
        <v>0</v>
      </c>
      <c r="L114" t="n">
        <v>0</v>
      </c>
      <c r="M114" t="n">
        <v>0</v>
      </c>
      <c r="N114" t="n">
        <v>0</v>
      </c>
      <c r="O114" t="n">
        <v>0</v>
      </c>
      <c r="P114" t="n">
        <v>0</v>
      </c>
      <c r="Q114" t="n">
        <v>1</v>
      </c>
      <c r="R114" s="2" t="inlineStr">
        <is>
          <t>Skogsknipprot</t>
        </is>
      </c>
      <c r="S114">
        <f>HYPERLINK("https://klasma.github.io/Logging_0188/artfynd/A 4385-2023 artfynd.xlsx", "A 4385-2023")</f>
        <v/>
      </c>
      <c r="T114">
        <f>HYPERLINK("https://klasma.github.io/Logging_0188/kartor/A 4385-2023 karta.png", "A 4385-2023")</f>
        <v/>
      </c>
      <c r="V114">
        <f>HYPERLINK("https://klasma.github.io/Logging_0188/klagomål/A 4385-2023 FSC-klagomål.docx", "A 4385-2023")</f>
        <v/>
      </c>
      <c r="W114">
        <f>HYPERLINK("https://klasma.github.io/Logging_0188/klagomålsmail/A 4385-2023 FSC-klagomål mail.docx", "A 4385-2023")</f>
        <v/>
      </c>
      <c r="X114">
        <f>HYPERLINK("https://klasma.github.io/Logging_0188/tillsyn/A 4385-2023 tillsynsbegäran.docx", "A 4385-2023")</f>
        <v/>
      </c>
      <c r="Y114">
        <f>HYPERLINK("https://klasma.github.io/Logging_0188/tillsynsmail/A 4385-2023 tillsynsbegäran mail.docx", "A 4385-2023")</f>
        <v/>
      </c>
    </row>
    <row r="115" ht="15" customHeight="1">
      <c r="A115" t="inlineStr">
        <is>
          <t>A 25709-2025</t>
        </is>
      </c>
      <c r="B115" s="1" t="n">
        <v>45800</v>
      </c>
      <c r="C115" s="1" t="n">
        <v>46045</v>
      </c>
      <c r="D115" t="inlineStr">
        <is>
          <t>STOCKHOLMS LÄN</t>
        </is>
      </c>
      <c r="E115" t="inlineStr">
        <is>
          <t>NORRTÄLJE</t>
        </is>
      </c>
      <c r="G115" t="n">
        <v>4.6</v>
      </c>
      <c r="H115" t="n">
        <v>0</v>
      </c>
      <c r="I115" t="n">
        <v>0</v>
      </c>
      <c r="J115" t="n">
        <v>1</v>
      </c>
      <c r="K115" t="n">
        <v>0</v>
      </c>
      <c r="L115" t="n">
        <v>0</v>
      </c>
      <c r="M115" t="n">
        <v>0</v>
      </c>
      <c r="N115" t="n">
        <v>0</v>
      </c>
      <c r="O115" t="n">
        <v>1</v>
      </c>
      <c r="P115" t="n">
        <v>0</v>
      </c>
      <c r="Q115" t="n">
        <v>1</v>
      </c>
      <c r="R115" s="2" t="inlineStr">
        <is>
          <t>Ullticka</t>
        </is>
      </c>
      <c r="S115">
        <f>HYPERLINK("https://klasma.github.io/Logging_0188/artfynd/A 25709-2025 artfynd.xlsx", "A 25709-2025")</f>
        <v/>
      </c>
      <c r="T115">
        <f>HYPERLINK("https://klasma.github.io/Logging_0188/kartor/A 25709-2025 karta.png", "A 25709-2025")</f>
        <v/>
      </c>
      <c r="V115">
        <f>HYPERLINK("https://klasma.github.io/Logging_0188/klagomål/A 25709-2025 FSC-klagomål.docx", "A 25709-2025")</f>
        <v/>
      </c>
      <c r="W115">
        <f>HYPERLINK("https://klasma.github.io/Logging_0188/klagomålsmail/A 25709-2025 FSC-klagomål mail.docx", "A 25709-2025")</f>
        <v/>
      </c>
      <c r="X115">
        <f>HYPERLINK("https://klasma.github.io/Logging_0188/tillsyn/A 25709-2025 tillsynsbegäran.docx", "A 25709-2025")</f>
        <v/>
      </c>
      <c r="Y115">
        <f>HYPERLINK("https://klasma.github.io/Logging_0188/tillsynsmail/A 25709-2025 tillsynsbegäran mail.docx", "A 25709-2025")</f>
        <v/>
      </c>
    </row>
    <row r="116" ht="15" customHeight="1">
      <c r="A116" t="inlineStr">
        <is>
          <t>A 25725-2025</t>
        </is>
      </c>
      <c r="B116" s="1" t="n">
        <v>45800</v>
      </c>
      <c r="C116" s="1" t="n">
        <v>46045</v>
      </c>
      <c r="D116" t="inlineStr">
        <is>
          <t>STOCKHOLMS LÄN</t>
        </is>
      </c>
      <c r="E116" t="inlineStr">
        <is>
          <t>NORRTÄLJE</t>
        </is>
      </c>
      <c r="G116" t="n">
        <v>5.2</v>
      </c>
      <c r="H116" t="n">
        <v>0</v>
      </c>
      <c r="I116" t="n">
        <v>0</v>
      </c>
      <c r="J116" t="n">
        <v>1</v>
      </c>
      <c r="K116" t="n">
        <v>0</v>
      </c>
      <c r="L116" t="n">
        <v>0</v>
      </c>
      <c r="M116" t="n">
        <v>0</v>
      </c>
      <c r="N116" t="n">
        <v>0</v>
      </c>
      <c r="O116" t="n">
        <v>1</v>
      </c>
      <c r="P116" t="n">
        <v>0</v>
      </c>
      <c r="Q116" t="n">
        <v>1</v>
      </c>
      <c r="R116" s="2" t="inlineStr">
        <is>
          <t>Tallticka</t>
        </is>
      </c>
      <c r="S116">
        <f>HYPERLINK("https://klasma.github.io/Logging_0188/artfynd/A 25725-2025 artfynd.xlsx", "A 25725-2025")</f>
        <v/>
      </c>
      <c r="T116">
        <f>HYPERLINK("https://klasma.github.io/Logging_0188/kartor/A 25725-2025 karta.png", "A 25725-2025")</f>
        <v/>
      </c>
      <c r="V116">
        <f>HYPERLINK("https://klasma.github.io/Logging_0188/klagomål/A 25725-2025 FSC-klagomål.docx", "A 25725-2025")</f>
        <v/>
      </c>
      <c r="W116">
        <f>HYPERLINK("https://klasma.github.io/Logging_0188/klagomålsmail/A 25725-2025 FSC-klagomål mail.docx", "A 25725-2025")</f>
        <v/>
      </c>
      <c r="X116">
        <f>HYPERLINK("https://klasma.github.io/Logging_0188/tillsyn/A 25725-2025 tillsynsbegäran.docx", "A 25725-2025")</f>
        <v/>
      </c>
      <c r="Y116">
        <f>HYPERLINK("https://klasma.github.io/Logging_0188/tillsynsmail/A 25725-2025 tillsynsbegäran mail.docx", "A 25725-2025")</f>
        <v/>
      </c>
    </row>
    <row r="117" ht="15" customHeight="1">
      <c r="A117" t="inlineStr">
        <is>
          <t>A 52775-2025</t>
        </is>
      </c>
      <c r="B117" s="1" t="n">
        <v>45957.41608796296</v>
      </c>
      <c r="C117" s="1" t="n">
        <v>46045</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35649-2023</t>
        </is>
      </c>
      <c r="B118" s="1" t="n">
        <v>45146</v>
      </c>
      <c r="C118" s="1" t="n">
        <v>46045</v>
      </c>
      <c r="D118" t="inlineStr">
        <is>
          <t>STOCKHOLMS LÄN</t>
        </is>
      </c>
      <c r="E118" t="inlineStr">
        <is>
          <t>NORRTÄLJE</t>
        </is>
      </c>
      <c r="G118" t="n">
        <v>25.1</v>
      </c>
      <c r="H118" t="n">
        <v>0</v>
      </c>
      <c r="I118" t="n">
        <v>0</v>
      </c>
      <c r="J118" t="n">
        <v>1</v>
      </c>
      <c r="K118" t="n">
        <v>0</v>
      </c>
      <c r="L118" t="n">
        <v>0</v>
      </c>
      <c r="M118" t="n">
        <v>0</v>
      </c>
      <c r="N118" t="n">
        <v>0</v>
      </c>
      <c r="O118" t="n">
        <v>1</v>
      </c>
      <c r="P118" t="n">
        <v>0</v>
      </c>
      <c r="Q118" t="n">
        <v>1</v>
      </c>
      <c r="R118" s="2" t="inlineStr">
        <is>
          <t>Månlåsbräken</t>
        </is>
      </c>
      <c r="S118">
        <f>HYPERLINK("https://klasma.github.io/Logging_0188/artfynd/A 35649-2023 artfynd.xlsx", "A 35649-2023")</f>
        <v/>
      </c>
      <c r="T118">
        <f>HYPERLINK("https://klasma.github.io/Logging_0188/kartor/A 35649-2023 karta.png", "A 35649-2023")</f>
        <v/>
      </c>
      <c r="V118">
        <f>HYPERLINK("https://klasma.github.io/Logging_0188/klagomål/A 35649-2023 FSC-klagomål.docx", "A 35649-2023")</f>
        <v/>
      </c>
      <c r="W118">
        <f>HYPERLINK("https://klasma.github.io/Logging_0188/klagomålsmail/A 35649-2023 FSC-klagomål mail.docx", "A 35649-2023")</f>
        <v/>
      </c>
      <c r="X118">
        <f>HYPERLINK("https://klasma.github.io/Logging_0188/tillsyn/A 35649-2023 tillsynsbegäran.docx", "A 35649-2023")</f>
        <v/>
      </c>
      <c r="Y118">
        <f>HYPERLINK("https://klasma.github.io/Logging_0188/tillsynsmail/A 35649-2023 tillsynsbegäran mail.docx", "A 35649-2023")</f>
        <v/>
      </c>
    </row>
    <row r="119" ht="15" customHeight="1">
      <c r="A119" t="inlineStr">
        <is>
          <t>A 35764-2024</t>
        </is>
      </c>
      <c r="B119" s="1" t="n">
        <v>45532</v>
      </c>
      <c r="C119" s="1" t="n">
        <v>46045</v>
      </c>
      <c r="D119" t="inlineStr">
        <is>
          <t>STOCKHOLMS LÄN</t>
        </is>
      </c>
      <c r="E119" t="inlineStr">
        <is>
          <t>NORRTÄLJE</t>
        </is>
      </c>
      <c r="G119" t="n">
        <v>14.2</v>
      </c>
      <c r="H119" t="n">
        <v>1</v>
      </c>
      <c r="I119" t="n">
        <v>0</v>
      </c>
      <c r="J119" t="n">
        <v>0</v>
      </c>
      <c r="K119" t="n">
        <v>1</v>
      </c>
      <c r="L119" t="n">
        <v>0</v>
      </c>
      <c r="M119" t="n">
        <v>0</v>
      </c>
      <c r="N119" t="n">
        <v>0</v>
      </c>
      <c r="O119" t="n">
        <v>1</v>
      </c>
      <c r="P119" t="n">
        <v>1</v>
      </c>
      <c r="Q119" t="n">
        <v>1</v>
      </c>
      <c r="R119" s="2" t="inlineStr">
        <is>
          <t>Knärot</t>
        </is>
      </c>
      <c r="S119">
        <f>HYPERLINK("https://klasma.github.io/Logging_0188/artfynd/A 35764-2024 artfynd.xlsx", "A 35764-2024")</f>
        <v/>
      </c>
      <c r="T119">
        <f>HYPERLINK("https://klasma.github.io/Logging_0188/kartor/A 35764-2024 karta.png", "A 35764-2024")</f>
        <v/>
      </c>
      <c r="U119">
        <f>HYPERLINK("https://klasma.github.io/Logging_0188/knärot/A 35764-2024 karta knärot.png", "A 35764-2024")</f>
        <v/>
      </c>
      <c r="V119">
        <f>HYPERLINK("https://klasma.github.io/Logging_0188/klagomål/A 35764-2024 FSC-klagomål.docx", "A 35764-2024")</f>
        <v/>
      </c>
      <c r="W119">
        <f>HYPERLINK("https://klasma.github.io/Logging_0188/klagomålsmail/A 35764-2024 FSC-klagomål mail.docx", "A 35764-2024")</f>
        <v/>
      </c>
      <c r="X119">
        <f>HYPERLINK("https://klasma.github.io/Logging_0188/tillsyn/A 35764-2024 tillsynsbegäran.docx", "A 35764-2024")</f>
        <v/>
      </c>
      <c r="Y119">
        <f>HYPERLINK("https://klasma.github.io/Logging_0188/tillsynsmail/A 35764-2024 tillsynsbegäran mail.docx", "A 35764-2024")</f>
        <v/>
      </c>
    </row>
    <row r="120" ht="15" customHeight="1">
      <c r="A120" t="inlineStr">
        <is>
          <t>A 53716-2025</t>
        </is>
      </c>
      <c r="B120" s="1" t="n">
        <v>45960.61782407408</v>
      </c>
      <c r="C120" s="1" t="n">
        <v>46045</v>
      </c>
      <c r="D120" t="inlineStr">
        <is>
          <t>STOCKHOLMS LÄN</t>
        </is>
      </c>
      <c r="E120" t="inlineStr">
        <is>
          <t>NORRTÄLJE</t>
        </is>
      </c>
      <c r="G120" t="n">
        <v>3.4</v>
      </c>
      <c r="H120" t="n">
        <v>0</v>
      </c>
      <c r="I120" t="n">
        <v>0</v>
      </c>
      <c r="J120" t="n">
        <v>0</v>
      </c>
      <c r="K120" t="n">
        <v>0</v>
      </c>
      <c r="L120" t="n">
        <v>1</v>
      </c>
      <c r="M120" t="n">
        <v>0</v>
      </c>
      <c r="N120" t="n">
        <v>0</v>
      </c>
      <c r="O120" t="n">
        <v>1</v>
      </c>
      <c r="P120" t="n">
        <v>1</v>
      </c>
      <c r="Q120" t="n">
        <v>1</v>
      </c>
      <c r="R120" s="2" t="inlineStr">
        <is>
          <t>Fältgentiana</t>
        </is>
      </c>
      <c r="S120">
        <f>HYPERLINK("https://klasma.github.io/Logging_0188/artfynd/A 53716-2025 artfynd.xlsx", "A 53716-2025")</f>
        <v/>
      </c>
      <c r="T120">
        <f>HYPERLINK("https://klasma.github.io/Logging_0188/kartor/A 53716-2025 karta.png", "A 53716-2025")</f>
        <v/>
      </c>
      <c r="V120">
        <f>HYPERLINK("https://klasma.github.io/Logging_0188/klagomål/A 53716-2025 FSC-klagomål.docx", "A 53716-2025")</f>
        <v/>
      </c>
      <c r="W120">
        <f>HYPERLINK("https://klasma.github.io/Logging_0188/klagomålsmail/A 53716-2025 FSC-klagomål mail.docx", "A 53716-2025")</f>
        <v/>
      </c>
      <c r="X120">
        <f>HYPERLINK("https://klasma.github.io/Logging_0188/tillsyn/A 53716-2025 tillsynsbegäran.docx", "A 53716-2025")</f>
        <v/>
      </c>
      <c r="Y120">
        <f>HYPERLINK("https://klasma.github.io/Logging_0188/tillsynsmail/A 53716-2025 tillsynsbegäran mail.docx", "A 53716-2025")</f>
        <v/>
      </c>
    </row>
    <row r="121" ht="15" customHeight="1">
      <c r="A121" t="inlineStr">
        <is>
          <t>A 25669-2025</t>
        </is>
      </c>
      <c r="B121" s="1" t="n">
        <v>45803.62766203703</v>
      </c>
      <c r="C121" s="1" t="n">
        <v>46045</v>
      </c>
      <c r="D121" t="inlineStr">
        <is>
          <t>STOCKHOLMS LÄN</t>
        </is>
      </c>
      <c r="E121" t="inlineStr">
        <is>
          <t>NORRTÄLJE</t>
        </is>
      </c>
      <c r="F121" t="inlineStr">
        <is>
          <t>Holmen skog AB</t>
        </is>
      </c>
      <c r="G121" t="n">
        <v>3.1</v>
      </c>
      <c r="H121" t="n">
        <v>1</v>
      </c>
      <c r="I121" t="n">
        <v>0</v>
      </c>
      <c r="J121" t="n">
        <v>0</v>
      </c>
      <c r="K121" t="n">
        <v>0</v>
      </c>
      <c r="L121" t="n">
        <v>0</v>
      </c>
      <c r="M121" t="n">
        <v>0</v>
      </c>
      <c r="N121" t="n">
        <v>0</v>
      </c>
      <c r="O121" t="n">
        <v>0</v>
      </c>
      <c r="P121" t="n">
        <v>0</v>
      </c>
      <c r="Q121" t="n">
        <v>1</v>
      </c>
      <c r="R121" s="2" t="inlineStr">
        <is>
          <t>Tjäder</t>
        </is>
      </c>
      <c r="S121">
        <f>HYPERLINK("https://klasma.github.io/Logging_0188/artfynd/A 25669-2025 artfynd.xlsx", "A 25669-2025")</f>
        <v/>
      </c>
      <c r="T121">
        <f>HYPERLINK("https://klasma.github.io/Logging_0188/kartor/A 25669-2025 karta.png", "A 25669-2025")</f>
        <v/>
      </c>
      <c r="V121">
        <f>HYPERLINK("https://klasma.github.io/Logging_0188/klagomål/A 25669-2025 FSC-klagomål.docx", "A 25669-2025")</f>
        <v/>
      </c>
      <c r="W121">
        <f>HYPERLINK("https://klasma.github.io/Logging_0188/klagomålsmail/A 25669-2025 FSC-klagomål mail.docx", "A 25669-2025")</f>
        <v/>
      </c>
      <c r="X121">
        <f>HYPERLINK("https://klasma.github.io/Logging_0188/tillsyn/A 25669-2025 tillsynsbegäran.docx", "A 25669-2025")</f>
        <v/>
      </c>
      <c r="Y121">
        <f>HYPERLINK("https://klasma.github.io/Logging_0188/tillsynsmail/A 25669-2025 tillsynsbegäran mail.docx", "A 25669-2025")</f>
        <v/>
      </c>
      <c r="Z121">
        <f>HYPERLINK("https://klasma.github.io/Logging_0188/fåglar/A 25669-2025 prioriterade fågelarter.docx", "A 25669-2025")</f>
        <v/>
      </c>
    </row>
    <row r="122" ht="15" customHeight="1">
      <c r="A122" t="inlineStr">
        <is>
          <t>A 24330-2023</t>
        </is>
      </c>
      <c r="B122" s="1" t="n">
        <v>45081</v>
      </c>
      <c r="C122" s="1" t="n">
        <v>46045</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16870-2025</t>
        </is>
      </c>
      <c r="B123" s="1" t="n">
        <v>45754</v>
      </c>
      <c r="C123" s="1" t="n">
        <v>46045</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24535-2023</t>
        </is>
      </c>
      <c r="B124" s="1" t="n">
        <v>45082</v>
      </c>
      <c r="C124" s="1" t="n">
        <v>46045</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62715-2025</t>
        </is>
      </c>
      <c r="B125" s="1" t="n">
        <v>46008.52034722222</v>
      </c>
      <c r="C125" s="1" t="n">
        <v>46045</v>
      </c>
      <c r="D125" t="inlineStr">
        <is>
          <t>STOCKHOLMS LÄN</t>
        </is>
      </c>
      <c r="E125" t="inlineStr">
        <is>
          <t>NORRTÄLJE</t>
        </is>
      </c>
      <c r="G125" t="n">
        <v>0.8</v>
      </c>
      <c r="H125" t="n">
        <v>0</v>
      </c>
      <c r="I125" t="n">
        <v>1</v>
      </c>
      <c r="J125" t="n">
        <v>0</v>
      </c>
      <c r="K125" t="n">
        <v>0</v>
      </c>
      <c r="L125" t="n">
        <v>0</v>
      </c>
      <c r="M125" t="n">
        <v>0</v>
      </c>
      <c r="N125" t="n">
        <v>0</v>
      </c>
      <c r="O125" t="n">
        <v>0</v>
      </c>
      <c r="P125" t="n">
        <v>0</v>
      </c>
      <c r="Q125" t="n">
        <v>1</v>
      </c>
      <c r="R125" s="2" t="inlineStr">
        <is>
          <t>Granbarkgnagare</t>
        </is>
      </c>
      <c r="S125">
        <f>HYPERLINK("https://klasma.github.io/Logging_0188/artfynd/A 62715-2025 artfynd.xlsx", "A 62715-2025")</f>
        <v/>
      </c>
      <c r="T125">
        <f>HYPERLINK("https://klasma.github.io/Logging_0188/kartor/A 62715-2025 karta.png", "A 62715-2025")</f>
        <v/>
      </c>
      <c r="V125">
        <f>HYPERLINK("https://klasma.github.io/Logging_0188/klagomål/A 62715-2025 FSC-klagomål.docx", "A 62715-2025")</f>
        <v/>
      </c>
      <c r="W125">
        <f>HYPERLINK("https://klasma.github.io/Logging_0188/klagomålsmail/A 62715-2025 FSC-klagomål mail.docx", "A 62715-2025")</f>
        <v/>
      </c>
      <c r="X125">
        <f>HYPERLINK("https://klasma.github.io/Logging_0188/tillsyn/A 62715-2025 tillsynsbegäran.docx", "A 62715-2025")</f>
        <v/>
      </c>
      <c r="Y125">
        <f>HYPERLINK("https://klasma.github.io/Logging_0188/tillsynsmail/A 62715-2025 tillsynsbegäran mail.docx", "A 62715-2025")</f>
        <v/>
      </c>
    </row>
    <row r="126" ht="15" customHeight="1">
      <c r="A126" t="inlineStr">
        <is>
          <t>A 63292-2025</t>
        </is>
      </c>
      <c r="B126" s="1" t="n">
        <v>46010.59232638889</v>
      </c>
      <c r="C126" s="1" t="n">
        <v>46045</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6381-2023</t>
        </is>
      </c>
      <c r="B127" s="1" t="n">
        <v>44965</v>
      </c>
      <c r="C127" s="1" t="n">
        <v>46045</v>
      </c>
      <c r="D127" t="inlineStr">
        <is>
          <t>STOCKHOLMS LÄN</t>
        </is>
      </c>
      <c r="E127" t="inlineStr">
        <is>
          <t>NORRTÄLJE</t>
        </is>
      </c>
      <c r="G127" t="n">
        <v>3.5</v>
      </c>
      <c r="H127" t="n">
        <v>1</v>
      </c>
      <c r="I127" t="n">
        <v>1</v>
      </c>
      <c r="J127" t="n">
        <v>0</v>
      </c>
      <c r="K127" t="n">
        <v>0</v>
      </c>
      <c r="L127" t="n">
        <v>0</v>
      </c>
      <c r="M127" t="n">
        <v>0</v>
      </c>
      <c r="N127" t="n">
        <v>0</v>
      </c>
      <c r="O127" t="n">
        <v>0</v>
      </c>
      <c r="P127" t="n">
        <v>0</v>
      </c>
      <c r="Q127" t="n">
        <v>1</v>
      </c>
      <c r="R127" s="2" t="inlineStr">
        <is>
          <t>Guckusko</t>
        </is>
      </c>
      <c r="S127">
        <f>HYPERLINK("https://klasma.github.io/Logging_0188/artfynd/A 6381-2023 artfynd.xlsx", "A 6381-2023")</f>
        <v/>
      </c>
      <c r="T127">
        <f>HYPERLINK("https://klasma.github.io/Logging_0188/kartor/A 6381-2023 karta.png", "A 6381-2023")</f>
        <v/>
      </c>
      <c r="V127">
        <f>HYPERLINK("https://klasma.github.io/Logging_0188/klagomål/A 6381-2023 FSC-klagomål.docx", "A 6381-2023")</f>
        <v/>
      </c>
      <c r="W127">
        <f>HYPERLINK("https://klasma.github.io/Logging_0188/klagomålsmail/A 6381-2023 FSC-klagomål mail.docx", "A 6381-2023")</f>
        <v/>
      </c>
      <c r="X127">
        <f>HYPERLINK("https://klasma.github.io/Logging_0188/tillsyn/A 6381-2023 tillsynsbegäran.docx", "A 6381-2023")</f>
        <v/>
      </c>
      <c r="Y127">
        <f>HYPERLINK("https://klasma.github.io/Logging_0188/tillsynsmail/A 6381-2023 tillsynsbegäran mail.docx", "A 6381-2023")</f>
        <v/>
      </c>
    </row>
    <row r="128" ht="15" customHeight="1">
      <c r="A128" t="inlineStr">
        <is>
          <t>A 29946-2025</t>
        </is>
      </c>
      <c r="B128" s="1" t="n">
        <v>45826.46392361111</v>
      </c>
      <c r="C128" s="1" t="n">
        <v>46045</v>
      </c>
      <c r="D128" t="inlineStr">
        <is>
          <t>STOCKHOLMS LÄN</t>
        </is>
      </c>
      <c r="E128" t="inlineStr">
        <is>
          <t>NORRTÄLJE</t>
        </is>
      </c>
      <c r="F128" t="inlineStr">
        <is>
          <t>Holmen skog AB</t>
        </is>
      </c>
      <c r="G128" t="n">
        <v>3.6</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29946-2025 artfynd.xlsx", "A 29946-2025")</f>
        <v/>
      </c>
      <c r="T128">
        <f>HYPERLINK("https://klasma.github.io/Logging_0188/kartor/A 29946-2025 karta.png", "A 29946-2025")</f>
        <v/>
      </c>
      <c r="V128">
        <f>HYPERLINK("https://klasma.github.io/Logging_0188/klagomål/A 29946-2025 FSC-klagomål.docx", "A 29946-2025")</f>
        <v/>
      </c>
      <c r="W128">
        <f>HYPERLINK("https://klasma.github.io/Logging_0188/klagomålsmail/A 29946-2025 FSC-klagomål mail.docx", "A 29946-2025")</f>
        <v/>
      </c>
      <c r="X128">
        <f>HYPERLINK("https://klasma.github.io/Logging_0188/tillsyn/A 29946-2025 tillsynsbegäran.docx", "A 29946-2025")</f>
        <v/>
      </c>
      <c r="Y128">
        <f>HYPERLINK("https://klasma.github.io/Logging_0188/tillsynsmail/A 29946-2025 tillsynsbegäran mail.docx", "A 29946-2025")</f>
        <v/>
      </c>
    </row>
    <row r="129" ht="15" customHeight="1">
      <c r="A129" t="inlineStr">
        <is>
          <t>A 26635-2023</t>
        </is>
      </c>
      <c r="B129" s="1" t="n">
        <v>45092</v>
      </c>
      <c r="C129" s="1" t="n">
        <v>46045</v>
      </c>
      <c r="D129" t="inlineStr">
        <is>
          <t>STOCKHOLMS LÄN</t>
        </is>
      </c>
      <c r="E129" t="inlineStr">
        <is>
          <t>NORRTÄLJE</t>
        </is>
      </c>
      <c r="G129" t="n">
        <v>3.1</v>
      </c>
      <c r="H129" t="n">
        <v>1</v>
      </c>
      <c r="I129" t="n">
        <v>0</v>
      </c>
      <c r="J129" t="n">
        <v>0</v>
      </c>
      <c r="K129" t="n">
        <v>0</v>
      </c>
      <c r="L129" t="n">
        <v>0</v>
      </c>
      <c r="M129" t="n">
        <v>0</v>
      </c>
      <c r="N129" t="n">
        <v>0</v>
      </c>
      <c r="O129" t="n">
        <v>0</v>
      </c>
      <c r="P129" t="n">
        <v>0</v>
      </c>
      <c r="Q129" t="n">
        <v>1</v>
      </c>
      <c r="R129" s="2" t="inlineStr">
        <is>
          <t>Fläcknycklar</t>
        </is>
      </c>
      <c r="S129">
        <f>HYPERLINK("https://klasma.github.io/Logging_0188/artfynd/A 26635-2023 artfynd.xlsx", "A 26635-2023")</f>
        <v/>
      </c>
      <c r="T129">
        <f>HYPERLINK("https://klasma.github.io/Logging_0188/kartor/A 26635-2023 karta.png", "A 26635-2023")</f>
        <v/>
      </c>
      <c r="V129">
        <f>HYPERLINK("https://klasma.github.io/Logging_0188/klagomål/A 26635-2023 FSC-klagomål.docx", "A 26635-2023")</f>
        <v/>
      </c>
      <c r="W129">
        <f>HYPERLINK("https://klasma.github.io/Logging_0188/klagomålsmail/A 26635-2023 FSC-klagomål mail.docx", "A 26635-2023")</f>
        <v/>
      </c>
      <c r="X129">
        <f>HYPERLINK("https://klasma.github.io/Logging_0188/tillsyn/A 26635-2023 tillsynsbegäran.docx", "A 26635-2023")</f>
        <v/>
      </c>
      <c r="Y129">
        <f>HYPERLINK("https://klasma.github.io/Logging_0188/tillsynsmail/A 26635-2023 tillsynsbegäran mail.docx", "A 26635-2023")</f>
        <v/>
      </c>
    </row>
    <row r="130" ht="15" customHeight="1">
      <c r="A130" t="inlineStr">
        <is>
          <t>A 28816-2023</t>
        </is>
      </c>
      <c r="B130" s="1" t="n">
        <v>45104</v>
      </c>
      <c r="C130" s="1" t="n">
        <v>46045</v>
      </c>
      <c r="D130" t="inlineStr">
        <is>
          <t>STOCKHOLMS LÄN</t>
        </is>
      </c>
      <c r="E130" t="inlineStr">
        <is>
          <t>NORRTÄLJE</t>
        </is>
      </c>
      <c r="F130" t="inlineStr">
        <is>
          <t>Kommuner</t>
        </is>
      </c>
      <c r="G130" t="n">
        <v>0.5</v>
      </c>
      <c r="H130" t="n">
        <v>1</v>
      </c>
      <c r="I130" t="n">
        <v>0</v>
      </c>
      <c r="J130" t="n">
        <v>0</v>
      </c>
      <c r="K130" t="n">
        <v>0</v>
      </c>
      <c r="L130" t="n">
        <v>0</v>
      </c>
      <c r="M130" t="n">
        <v>0</v>
      </c>
      <c r="N130" t="n">
        <v>0</v>
      </c>
      <c r="O130" t="n">
        <v>0</v>
      </c>
      <c r="P130" t="n">
        <v>0</v>
      </c>
      <c r="Q130" t="n">
        <v>1</v>
      </c>
      <c r="R130" s="2" t="inlineStr">
        <is>
          <t>Kungsfågel</t>
        </is>
      </c>
      <c r="S130">
        <f>HYPERLINK("https://klasma.github.io/Logging_0188/artfynd/A 28816-2023 artfynd.xlsx", "A 28816-2023")</f>
        <v/>
      </c>
      <c r="T130">
        <f>HYPERLINK("https://klasma.github.io/Logging_0188/kartor/A 28816-2023 karta.png", "A 28816-2023")</f>
        <v/>
      </c>
      <c r="V130">
        <f>HYPERLINK("https://klasma.github.io/Logging_0188/klagomål/A 28816-2023 FSC-klagomål.docx", "A 28816-2023")</f>
        <v/>
      </c>
      <c r="W130">
        <f>HYPERLINK("https://klasma.github.io/Logging_0188/klagomålsmail/A 28816-2023 FSC-klagomål mail.docx", "A 28816-2023")</f>
        <v/>
      </c>
      <c r="X130">
        <f>HYPERLINK("https://klasma.github.io/Logging_0188/tillsyn/A 28816-2023 tillsynsbegäran.docx", "A 28816-2023")</f>
        <v/>
      </c>
      <c r="Y130">
        <f>HYPERLINK("https://klasma.github.io/Logging_0188/tillsynsmail/A 28816-2023 tillsynsbegäran mail.docx", "A 28816-2023")</f>
        <v/>
      </c>
      <c r="Z130">
        <f>HYPERLINK("https://klasma.github.io/Logging_0188/fåglar/A 28816-2023 prioriterade fågelarter.docx", "A 28816-2023")</f>
        <v/>
      </c>
    </row>
    <row r="131" ht="15" customHeight="1">
      <c r="A131" t="inlineStr">
        <is>
          <t>A 19829-2022</t>
        </is>
      </c>
      <c r="B131" s="1" t="n">
        <v>44695.43527777777</v>
      </c>
      <c r="C131" s="1" t="n">
        <v>46045</v>
      </c>
      <c r="D131" t="inlineStr">
        <is>
          <t>STOCKHOLMS LÄN</t>
        </is>
      </c>
      <c r="E131" t="inlineStr">
        <is>
          <t>NORRTÄLJE</t>
        </is>
      </c>
      <c r="G131" t="n">
        <v>2</v>
      </c>
      <c r="H131" t="n">
        <v>1</v>
      </c>
      <c r="I131" t="n">
        <v>1</v>
      </c>
      <c r="J131" t="n">
        <v>0</v>
      </c>
      <c r="K131" t="n">
        <v>0</v>
      </c>
      <c r="L131" t="n">
        <v>0</v>
      </c>
      <c r="M131" t="n">
        <v>0</v>
      </c>
      <c r="N131" t="n">
        <v>0</v>
      </c>
      <c r="O131" t="n">
        <v>0</v>
      </c>
      <c r="P131" t="n">
        <v>0</v>
      </c>
      <c r="Q131" t="n">
        <v>1</v>
      </c>
      <c r="R131" s="2" t="inlineStr">
        <is>
          <t>Guckusko</t>
        </is>
      </c>
      <c r="S131">
        <f>HYPERLINK("https://klasma.github.io/Logging_0188/artfynd/A 19829-2022 artfynd.xlsx", "A 19829-2022")</f>
        <v/>
      </c>
      <c r="T131">
        <f>HYPERLINK("https://klasma.github.io/Logging_0188/kartor/A 19829-2022 karta.png", "A 19829-2022")</f>
        <v/>
      </c>
      <c r="V131">
        <f>HYPERLINK("https://klasma.github.io/Logging_0188/klagomål/A 19829-2022 FSC-klagomål.docx", "A 19829-2022")</f>
        <v/>
      </c>
      <c r="W131">
        <f>HYPERLINK("https://klasma.github.io/Logging_0188/klagomålsmail/A 19829-2022 FSC-klagomål mail.docx", "A 19829-2022")</f>
        <v/>
      </c>
      <c r="X131">
        <f>HYPERLINK("https://klasma.github.io/Logging_0188/tillsyn/A 19829-2022 tillsynsbegäran.docx", "A 19829-2022")</f>
        <v/>
      </c>
      <c r="Y131">
        <f>HYPERLINK("https://klasma.github.io/Logging_0188/tillsynsmail/A 19829-2022 tillsynsbegäran mail.docx", "A 19829-2022")</f>
        <v/>
      </c>
    </row>
    <row r="132" ht="15" customHeight="1">
      <c r="A132" t="inlineStr">
        <is>
          <t>A 35691-2023</t>
        </is>
      </c>
      <c r="B132" s="1" t="n">
        <v>45147.65222222222</v>
      </c>
      <c r="C132" s="1" t="n">
        <v>46045</v>
      </c>
      <c r="D132" t="inlineStr">
        <is>
          <t>STOCKHOLMS LÄN</t>
        </is>
      </c>
      <c r="E132" t="inlineStr">
        <is>
          <t>NORRTÄLJE</t>
        </is>
      </c>
      <c r="G132" t="n">
        <v>2.3</v>
      </c>
      <c r="H132" t="n">
        <v>1</v>
      </c>
      <c r="I132" t="n">
        <v>0</v>
      </c>
      <c r="J132" t="n">
        <v>0</v>
      </c>
      <c r="K132" t="n">
        <v>0</v>
      </c>
      <c r="L132" t="n">
        <v>0</v>
      </c>
      <c r="M132" t="n">
        <v>0</v>
      </c>
      <c r="N132" t="n">
        <v>0</v>
      </c>
      <c r="O132" t="n">
        <v>0</v>
      </c>
      <c r="P132" t="n">
        <v>0</v>
      </c>
      <c r="Q132" t="n">
        <v>1</v>
      </c>
      <c r="R132" s="2" t="inlineStr">
        <is>
          <t>Kungsfågel</t>
        </is>
      </c>
      <c r="S132">
        <f>HYPERLINK("https://klasma.github.io/Logging_0188/artfynd/A 35691-2023 artfynd.xlsx", "A 35691-2023")</f>
        <v/>
      </c>
      <c r="T132">
        <f>HYPERLINK("https://klasma.github.io/Logging_0188/kartor/A 35691-2023 karta.png", "A 35691-2023")</f>
        <v/>
      </c>
      <c r="V132">
        <f>HYPERLINK("https://klasma.github.io/Logging_0188/klagomål/A 35691-2023 FSC-klagomål.docx", "A 35691-2023")</f>
        <v/>
      </c>
      <c r="W132">
        <f>HYPERLINK("https://klasma.github.io/Logging_0188/klagomålsmail/A 35691-2023 FSC-klagomål mail.docx", "A 35691-2023")</f>
        <v/>
      </c>
      <c r="X132">
        <f>HYPERLINK("https://klasma.github.io/Logging_0188/tillsyn/A 35691-2023 tillsynsbegäran.docx", "A 35691-2023")</f>
        <v/>
      </c>
      <c r="Y132">
        <f>HYPERLINK("https://klasma.github.io/Logging_0188/tillsynsmail/A 35691-2023 tillsynsbegäran mail.docx", "A 35691-2023")</f>
        <v/>
      </c>
      <c r="Z132">
        <f>HYPERLINK("https://klasma.github.io/Logging_0188/fåglar/A 35691-2023 prioriterade fågelarter.docx", "A 35691-2023")</f>
        <v/>
      </c>
    </row>
    <row r="133" ht="15" customHeight="1">
      <c r="A133" t="inlineStr">
        <is>
          <t>A 35693-2023</t>
        </is>
      </c>
      <c r="B133" s="1" t="n">
        <v>45147.65311342593</v>
      </c>
      <c r="C133" s="1" t="n">
        <v>46045</v>
      </c>
      <c r="D133" t="inlineStr">
        <is>
          <t>STOCKHOLMS LÄN</t>
        </is>
      </c>
      <c r="E133" t="inlineStr">
        <is>
          <t>NORRTÄLJE</t>
        </is>
      </c>
      <c r="G133" t="n">
        <v>2.2</v>
      </c>
      <c r="H133" t="n">
        <v>0</v>
      </c>
      <c r="I133" t="n">
        <v>0</v>
      </c>
      <c r="J133" t="n">
        <v>1</v>
      </c>
      <c r="K133" t="n">
        <v>0</v>
      </c>
      <c r="L133" t="n">
        <v>0</v>
      </c>
      <c r="M133" t="n">
        <v>0</v>
      </c>
      <c r="N133" t="n">
        <v>0</v>
      </c>
      <c r="O133" t="n">
        <v>1</v>
      </c>
      <c r="P133" t="n">
        <v>0</v>
      </c>
      <c r="Q133" t="n">
        <v>1</v>
      </c>
      <c r="R133" s="2" t="inlineStr">
        <is>
          <t>Motaggsvamp</t>
        </is>
      </c>
      <c r="S133">
        <f>HYPERLINK("https://klasma.github.io/Logging_0188/artfynd/A 35693-2023 artfynd.xlsx", "A 35693-2023")</f>
        <v/>
      </c>
      <c r="T133">
        <f>HYPERLINK("https://klasma.github.io/Logging_0188/kartor/A 35693-2023 karta.png", "A 35693-2023")</f>
        <v/>
      </c>
      <c r="V133">
        <f>HYPERLINK("https://klasma.github.io/Logging_0188/klagomål/A 35693-2023 FSC-klagomål.docx", "A 35693-2023")</f>
        <v/>
      </c>
      <c r="W133">
        <f>HYPERLINK("https://klasma.github.io/Logging_0188/klagomålsmail/A 35693-2023 FSC-klagomål mail.docx", "A 35693-2023")</f>
        <v/>
      </c>
      <c r="X133">
        <f>HYPERLINK("https://klasma.github.io/Logging_0188/tillsyn/A 35693-2023 tillsynsbegäran.docx", "A 35693-2023")</f>
        <v/>
      </c>
      <c r="Y133">
        <f>HYPERLINK("https://klasma.github.io/Logging_0188/tillsynsmail/A 35693-2023 tillsynsbegäran mail.docx", "A 35693-2023")</f>
        <v/>
      </c>
    </row>
    <row r="134" ht="15" customHeight="1">
      <c r="A134" t="inlineStr">
        <is>
          <t>A 364-2026</t>
        </is>
      </c>
      <c r="B134" s="1" t="n">
        <v>46027.67134259259</v>
      </c>
      <c r="C134" s="1" t="n">
        <v>46045</v>
      </c>
      <c r="D134" t="inlineStr">
        <is>
          <t>STOCKHOLMS LÄN</t>
        </is>
      </c>
      <c r="E134" t="inlineStr">
        <is>
          <t>NORRTÄLJE</t>
        </is>
      </c>
      <c r="F134" t="inlineStr">
        <is>
          <t>Holmen skog AB</t>
        </is>
      </c>
      <c r="G134" t="n">
        <v>4.3</v>
      </c>
      <c r="H134" t="n">
        <v>1</v>
      </c>
      <c r="I134" t="n">
        <v>0</v>
      </c>
      <c r="J134" t="n">
        <v>0</v>
      </c>
      <c r="K134" t="n">
        <v>0</v>
      </c>
      <c r="L134" t="n">
        <v>1</v>
      </c>
      <c r="M134" t="n">
        <v>0</v>
      </c>
      <c r="N134" t="n">
        <v>0</v>
      </c>
      <c r="O134" t="n">
        <v>1</v>
      </c>
      <c r="P134" t="n">
        <v>1</v>
      </c>
      <c r="Q134" t="n">
        <v>1</v>
      </c>
      <c r="R134" s="2" t="inlineStr">
        <is>
          <t>Asknätfjäril</t>
        </is>
      </c>
      <c r="S134">
        <f>HYPERLINK("https://klasma.github.io/Logging_0188/artfynd/A 364-2026 artfynd.xlsx", "A 364-2026")</f>
        <v/>
      </c>
      <c r="T134">
        <f>HYPERLINK("https://klasma.github.io/Logging_0188/kartor/A 364-2026 karta.png", "A 364-2026")</f>
        <v/>
      </c>
      <c r="V134">
        <f>HYPERLINK("https://klasma.github.io/Logging_0188/klagomål/A 364-2026 FSC-klagomål.docx", "A 364-2026")</f>
        <v/>
      </c>
      <c r="W134">
        <f>HYPERLINK("https://klasma.github.io/Logging_0188/klagomålsmail/A 364-2026 FSC-klagomål mail.docx", "A 364-2026")</f>
        <v/>
      </c>
      <c r="X134">
        <f>HYPERLINK("https://klasma.github.io/Logging_0188/tillsyn/A 364-2026 tillsynsbegäran.docx", "A 364-2026")</f>
        <v/>
      </c>
      <c r="Y134">
        <f>HYPERLINK("https://klasma.github.io/Logging_0188/tillsynsmail/A 364-2026 tillsynsbegäran mail.docx", "A 364-2026")</f>
        <v/>
      </c>
    </row>
    <row r="135" ht="15" customHeight="1">
      <c r="A135" t="inlineStr">
        <is>
          <t>A 33548-2025</t>
        </is>
      </c>
      <c r="B135" s="1" t="n">
        <v>45841.5721875</v>
      </c>
      <c r="C135" s="1" t="n">
        <v>46045</v>
      </c>
      <c r="D135" t="inlineStr">
        <is>
          <t>STOCKHOLMS LÄN</t>
        </is>
      </c>
      <c r="E135" t="inlineStr">
        <is>
          <t>NORRTÄLJE</t>
        </is>
      </c>
      <c r="G135" t="n">
        <v>12.2</v>
      </c>
      <c r="H135" t="n">
        <v>0</v>
      </c>
      <c r="I135" t="n">
        <v>0</v>
      </c>
      <c r="J135" t="n">
        <v>1</v>
      </c>
      <c r="K135" t="n">
        <v>0</v>
      </c>
      <c r="L135" t="n">
        <v>0</v>
      </c>
      <c r="M135" t="n">
        <v>0</v>
      </c>
      <c r="N135" t="n">
        <v>0</v>
      </c>
      <c r="O135" t="n">
        <v>1</v>
      </c>
      <c r="P135" t="n">
        <v>0</v>
      </c>
      <c r="Q135" t="n">
        <v>1</v>
      </c>
      <c r="R135" s="2" t="inlineStr">
        <is>
          <t>Dofttaggsvamp</t>
        </is>
      </c>
      <c r="S135">
        <f>HYPERLINK("https://klasma.github.io/Logging_0188/artfynd/A 33548-2025 artfynd.xlsx", "A 33548-2025")</f>
        <v/>
      </c>
      <c r="T135">
        <f>HYPERLINK("https://klasma.github.io/Logging_0188/kartor/A 33548-2025 karta.png", "A 33548-2025")</f>
        <v/>
      </c>
      <c r="V135">
        <f>HYPERLINK("https://klasma.github.io/Logging_0188/klagomål/A 33548-2025 FSC-klagomål.docx", "A 33548-2025")</f>
        <v/>
      </c>
      <c r="W135">
        <f>HYPERLINK("https://klasma.github.io/Logging_0188/klagomålsmail/A 33548-2025 FSC-klagomål mail.docx", "A 33548-2025")</f>
        <v/>
      </c>
      <c r="X135">
        <f>HYPERLINK("https://klasma.github.io/Logging_0188/tillsyn/A 33548-2025 tillsynsbegäran.docx", "A 33548-2025")</f>
        <v/>
      </c>
      <c r="Y135">
        <f>HYPERLINK("https://klasma.github.io/Logging_0188/tillsynsmail/A 33548-2025 tillsynsbegäran mail.docx", "A 33548-2025")</f>
        <v/>
      </c>
    </row>
    <row r="136" ht="15" customHeight="1">
      <c r="A136" t="inlineStr">
        <is>
          <t>A 33546-2025</t>
        </is>
      </c>
      <c r="B136" s="1" t="n">
        <v>45841.56996527778</v>
      </c>
      <c r="C136" s="1" t="n">
        <v>46045</v>
      </c>
      <c r="D136" t="inlineStr">
        <is>
          <t>STOCKHOLMS LÄN</t>
        </is>
      </c>
      <c r="E136" t="inlineStr">
        <is>
          <t>NORRTÄLJE</t>
        </is>
      </c>
      <c r="G136" t="n">
        <v>7.2</v>
      </c>
      <c r="H136" t="n">
        <v>1</v>
      </c>
      <c r="I136" t="n">
        <v>1</v>
      </c>
      <c r="J136" t="n">
        <v>0</v>
      </c>
      <c r="K136" t="n">
        <v>0</v>
      </c>
      <c r="L136" t="n">
        <v>0</v>
      </c>
      <c r="M136" t="n">
        <v>0</v>
      </c>
      <c r="N136" t="n">
        <v>0</v>
      </c>
      <c r="O136" t="n">
        <v>0</v>
      </c>
      <c r="P136" t="n">
        <v>0</v>
      </c>
      <c r="Q136" t="n">
        <v>1</v>
      </c>
      <c r="R136" s="2" t="inlineStr">
        <is>
          <t>Nästrot</t>
        </is>
      </c>
      <c r="S136">
        <f>HYPERLINK("https://klasma.github.io/Logging_0188/artfynd/A 33546-2025 artfynd.xlsx", "A 33546-2025")</f>
        <v/>
      </c>
      <c r="T136">
        <f>HYPERLINK("https://klasma.github.io/Logging_0188/kartor/A 33546-2025 karta.png", "A 33546-2025")</f>
        <v/>
      </c>
      <c r="V136">
        <f>HYPERLINK("https://klasma.github.io/Logging_0188/klagomål/A 33546-2025 FSC-klagomål.docx", "A 33546-2025")</f>
        <v/>
      </c>
      <c r="W136">
        <f>HYPERLINK("https://klasma.github.io/Logging_0188/klagomålsmail/A 33546-2025 FSC-klagomål mail.docx", "A 33546-2025")</f>
        <v/>
      </c>
      <c r="X136">
        <f>HYPERLINK("https://klasma.github.io/Logging_0188/tillsyn/A 33546-2025 tillsynsbegäran.docx", "A 33546-2025")</f>
        <v/>
      </c>
      <c r="Y136">
        <f>HYPERLINK("https://klasma.github.io/Logging_0188/tillsynsmail/A 33546-2025 tillsynsbegäran mail.docx", "A 33546-2025")</f>
        <v/>
      </c>
    </row>
    <row r="137" ht="15" customHeight="1">
      <c r="A137" t="inlineStr">
        <is>
          <t>A 59682-2025</t>
        </is>
      </c>
      <c r="B137" s="1" t="n">
        <v>45992.47116898148</v>
      </c>
      <c r="C137" s="1" t="n">
        <v>46045</v>
      </c>
      <c r="D137" t="inlineStr">
        <is>
          <t>STOCKHOLMS LÄN</t>
        </is>
      </c>
      <c r="E137" t="inlineStr">
        <is>
          <t>NORRTÄLJE</t>
        </is>
      </c>
      <c r="G137" t="n">
        <v>1.6</v>
      </c>
      <c r="H137" t="n">
        <v>0</v>
      </c>
      <c r="I137" t="n">
        <v>1</v>
      </c>
      <c r="J137" t="n">
        <v>0</v>
      </c>
      <c r="K137" t="n">
        <v>0</v>
      </c>
      <c r="L137" t="n">
        <v>0</v>
      </c>
      <c r="M137" t="n">
        <v>0</v>
      </c>
      <c r="N137" t="n">
        <v>0</v>
      </c>
      <c r="O137" t="n">
        <v>0</v>
      </c>
      <c r="P137" t="n">
        <v>0</v>
      </c>
      <c r="Q137" t="n">
        <v>1</v>
      </c>
      <c r="R137" s="2" t="inlineStr">
        <is>
          <t>Grönpyrola</t>
        </is>
      </c>
      <c r="S137">
        <f>HYPERLINK("https://klasma.github.io/Logging_0188/artfynd/A 59682-2025 artfynd.xlsx", "A 59682-2025")</f>
        <v/>
      </c>
      <c r="T137">
        <f>HYPERLINK("https://klasma.github.io/Logging_0188/kartor/A 59682-2025 karta.png", "A 59682-2025")</f>
        <v/>
      </c>
      <c r="V137">
        <f>HYPERLINK("https://klasma.github.io/Logging_0188/klagomål/A 59682-2025 FSC-klagomål.docx", "A 59682-2025")</f>
        <v/>
      </c>
      <c r="W137">
        <f>HYPERLINK("https://klasma.github.io/Logging_0188/klagomålsmail/A 59682-2025 FSC-klagomål mail.docx", "A 59682-2025")</f>
        <v/>
      </c>
      <c r="X137">
        <f>HYPERLINK("https://klasma.github.io/Logging_0188/tillsyn/A 59682-2025 tillsynsbegäran.docx", "A 59682-2025")</f>
        <v/>
      </c>
      <c r="Y137">
        <f>HYPERLINK("https://klasma.github.io/Logging_0188/tillsynsmail/A 59682-2025 tillsynsbegäran mail.docx", "A 59682-2025")</f>
        <v/>
      </c>
    </row>
    <row r="138" ht="15" customHeight="1">
      <c r="A138" t="inlineStr">
        <is>
          <t>A 8371-2025</t>
        </is>
      </c>
      <c r="B138" s="1" t="n">
        <v>45708</v>
      </c>
      <c r="C138" s="1" t="n">
        <v>46045</v>
      </c>
      <c r="D138" t="inlineStr">
        <is>
          <t>STOCKHOLMS LÄN</t>
        </is>
      </c>
      <c r="E138" t="inlineStr">
        <is>
          <t>NORRTÄLJE</t>
        </is>
      </c>
      <c r="F138" t="inlineStr">
        <is>
          <t>Övriga Aktiebolag</t>
        </is>
      </c>
      <c r="G138" t="n">
        <v>2.9</v>
      </c>
      <c r="H138" t="n">
        <v>1</v>
      </c>
      <c r="I138" t="n">
        <v>0</v>
      </c>
      <c r="J138" t="n">
        <v>1</v>
      </c>
      <c r="K138" t="n">
        <v>0</v>
      </c>
      <c r="L138" t="n">
        <v>0</v>
      </c>
      <c r="M138" t="n">
        <v>0</v>
      </c>
      <c r="N138" t="n">
        <v>0</v>
      </c>
      <c r="O138" t="n">
        <v>1</v>
      </c>
      <c r="P138" t="n">
        <v>0</v>
      </c>
      <c r="Q138" t="n">
        <v>1</v>
      </c>
      <c r="R138" s="2" t="inlineStr">
        <is>
          <t>Spillkråka</t>
        </is>
      </c>
      <c r="S138">
        <f>HYPERLINK("https://klasma.github.io/Logging_0188/artfynd/A 8371-2025 artfynd.xlsx", "A 8371-2025")</f>
        <v/>
      </c>
      <c r="T138">
        <f>HYPERLINK("https://klasma.github.io/Logging_0188/kartor/A 8371-2025 karta.png", "A 8371-2025")</f>
        <v/>
      </c>
      <c r="V138">
        <f>HYPERLINK("https://klasma.github.io/Logging_0188/klagomål/A 8371-2025 FSC-klagomål.docx", "A 8371-2025")</f>
        <v/>
      </c>
      <c r="W138">
        <f>HYPERLINK("https://klasma.github.io/Logging_0188/klagomålsmail/A 8371-2025 FSC-klagomål mail.docx", "A 8371-2025")</f>
        <v/>
      </c>
      <c r="X138">
        <f>HYPERLINK("https://klasma.github.io/Logging_0188/tillsyn/A 8371-2025 tillsynsbegäran.docx", "A 8371-2025")</f>
        <v/>
      </c>
      <c r="Y138">
        <f>HYPERLINK("https://klasma.github.io/Logging_0188/tillsynsmail/A 8371-2025 tillsynsbegäran mail.docx", "A 8371-2025")</f>
        <v/>
      </c>
      <c r="Z138">
        <f>HYPERLINK("https://klasma.github.io/Logging_0188/fåglar/A 8371-2025 prioriterade fågelarter.docx", "A 8371-2025")</f>
        <v/>
      </c>
    </row>
    <row r="139" ht="15" customHeight="1">
      <c r="A139" t="inlineStr">
        <is>
          <t>A 4532-2025</t>
        </is>
      </c>
      <c r="B139" s="1" t="n">
        <v>45687.34177083334</v>
      </c>
      <c r="C139" s="1" t="n">
        <v>46045</v>
      </c>
      <c r="D139" t="inlineStr">
        <is>
          <t>STOCKHOLMS LÄN</t>
        </is>
      </c>
      <c r="E139" t="inlineStr">
        <is>
          <t>NORRTÄLJE</t>
        </is>
      </c>
      <c r="F139" t="inlineStr">
        <is>
          <t>Holmen skog AB</t>
        </is>
      </c>
      <c r="G139" t="n">
        <v>6.4</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4532-2025 artfynd.xlsx", "A 4532-2025")</f>
        <v/>
      </c>
      <c r="T139">
        <f>HYPERLINK("https://klasma.github.io/Logging_0188/kartor/A 4532-2025 karta.png", "A 4532-2025")</f>
        <v/>
      </c>
      <c r="V139">
        <f>HYPERLINK("https://klasma.github.io/Logging_0188/klagomål/A 4532-2025 FSC-klagomål.docx", "A 4532-2025")</f>
        <v/>
      </c>
      <c r="W139">
        <f>HYPERLINK("https://klasma.github.io/Logging_0188/klagomålsmail/A 4532-2025 FSC-klagomål mail.docx", "A 4532-2025")</f>
        <v/>
      </c>
      <c r="X139">
        <f>HYPERLINK("https://klasma.github.io/Logging_0188/tillsyn/A 4532-2025 tillsynsbegäran.docx", "A 4532-2025")</f>
        <v/>
      </c>
      <c r="Y139">
        <f>HYPERLINK("https://klasma.github.io/Logging_0188/tillsynsmail/A 4532-2025 tillsynsbegäran mail.docx", "A 4532-2025")</f>
        <v/>
      </c>
    </row>
    <row r="140" ht="15" customHeight="1">
      <c r="A140" t="inlineStr">
        <is>
          <t>A 14365-2025</t>
        </is>
      </c>
      <c r="B140" s="1" t="n">
        <v>45741.38688657407</v>
      </c>
      <c r="C140" s="1" t="n">
        <v>46045</v>
      </c>
      <c r="D140" t="inlineStr">
        <is>
          <t>STOCKHOLMS LÄN</t>
        </is>
      </c>
      <c r="E140" t="inlineStr">
        <is>
          <t>NORRTÄLJE</t>
        </is>
      </c>
      <c r="G140" t="n">
        <v>2.4</v>
      </c>
      <c r="H140" t="n">
        <v>0</v>
      </c>
      <c r="I140" t="n">
        <v>0</v>
      </c>
      <c r="J140" t="n">
        <v>1</v>
      </c>
      <c r="K140" t="n">
        <v>0</v>
      </c>
      <c r="L140" t="n">
        <v>0</v>
      </c>
      <c r="M140" t="n">
        <v>0</v>
      </c>
      <c r="N140" t="n">
        <v>0</v>
      </c>
      <c r="O140" t="n">
        <v>1</v>
      </c>
      <c r="P140" t="n">
        <v>0</v>
      </c>
      <c r="Q140" t="n">
        <v>1</v>
      </c>
      <c r="R140" s="2" t="inlineStr">
        <is>
          <t>Granticka</t>
        </is>
      </c>
      <c r="S140">
        <f>HYPERLINK("https://klasma.github.io/Logging_0188/artfynd/A 14365-2025 artfynd.xlsx", "A 14365-2025")</f>
        <v/>
      </c>
      <c r="T140">
        <f>HYPERLINK("https://klasma.github.io/Logging_0188/kartor/A 14365-2025 karta.png", "A 14365-2025")</f>
        <v/>
      </c>
      <c r="V140">
        <f>HYPERLINK("https://klasma.github.io/Logging_0188/klagomål/A 14365-2025 FSC-klagomål.docx", "A 14365-2025")</f>
        <v/>
      </c>
      <c r="W140">
        <f>HYPERLINK("https://klasma.github.io/Logging_0188/klagomålsmail/A 14365-2025 FSC-klagomål mail.docx", "A 14365-2025")</f>
        <v/>
      </c>
      <c r="X140">
        <f>HYPERLINK("https://klasma.github.io/Logging_0188/tillsyn/A 14365-2025 tillsynsbegäran.docx", "A 14365-2025")</f>
        <v/>
      </c>
      <c r="Y140">
        <f>HYPERLINK("https://klasma.github.io/Logging_0188/tillsynsmail/A 14365-2025 tillsynsbegäran mail.docx", "A 14365-2025")</f>
        <v/>
      </c>
    </row>
    <row r="141" ht="15" customHeight="1">
      <c r="A141" t="inlineStr">
        <is>
          <t>A 21150-2022</t>
        </is>
      </c>
      <c r="B141" s="1" t="n">
        <v>44704</v>
      </c>
      <c r="C141" s="1" t="n">
        <v>46045</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26120-2024</t>
        </is>
      </c>
      <c r="B142" s="1" t="n">
        <v>45468.45995370371</v>
      </c>
      <c r="C142" s="1" t="n">
        <v>46045</v>
      </c>
      <c r="D142" t="inlineStr">
        <is>
          <t>STOCKHOLMS LÄN</t>
        </is>
      </c>
      <c r="E142" t="inlineStr">
        <is>
          <t>NORRTÄLJE</t>
        </is>
      </c>
      <c r="G142" t="n">
        <v>1.8</v>
      </c>
      <c r="H142" t="n">
        <v>0</v>
      </c>
      <c r="I142" t="n">
        <v>0</v>
      </c>
      <c r="J142" t="n">
        <v>1</v>
      </c>
      <c r="K142" t="n">
        <v>0</v>
      </c>
      <c r="L142" t="n">
        <v>0</v>
      </c>
      <c r="M142" t="n">
        <v>0</v>
      </c>
      <c r="N142" t="n">
        <v>0</v>
      </c>
      <c r="O142" t="n">
        <v>1</v>
      </c>
      <c r="P142" t="n">
        <v>0</v>
      </c>
      <c r="Q142" t="n">
        <v>1</v>
      </c>
      <c r="R142" s="2" t="inlineStr">
        <is>
          <t>Majviva</t>
        </is>
      </c>
      <c r="S142">
        <f>HYPERLINK("https://klasma.github.io/Logging_0188/artfynd/A 26120-2024 artfynd.xlsx", "A 26120-2024")</f>
        <v/>
      </c>
      <c r="T142">
        <f>HYPERLINK("https://klasma.github.io/Logging_0188/kartor/A 26120-2024 karta.png", "A 26120-2024")</f>
        <v/>
      </c>
      <c r="V142">
        <f>HYPERLINK("https://klasma.github.io/Logging_0188/klagomål/A 26120-2024 FSC-klagomål.docx", "A 26120-2024")</f>
        <v/>
      </c>
      <c r="W142">
        <f>HYPERLINK("https://klasma.github.io/Logging_0188/klagomålsmail/A 26120-2024 FSC-klagomål mail.docx", "A 26120-2024")</f>
        <v/>
      </c>
      <c r="X142">
        <f>HYPERLINK("https://klasma.github.io/Logging_0188/tillsyn/A 26120-2024 tillsynsbegäran.docx", "A 26120-2024")</f>
        <v/>
      </c>
      <c r="Y142">
        <f>HYPERLINK("https://klasma.github.io/Logging_0188/tillsynsmail/A 26120-2024 tillsynsbegäran mail.docx", "A 26120-2024")</f>
        <v/>
      </c>
    </row>
    <row r="143" ht="15" customHeight="1">
      <c r="A143" t="inlineStr">
        <is>
          <t>A 11429-2023</t>
        </is>
      </c>
      <c r="B143" s="1" t="n">
        <v>44993</v>
      </c>
      <c r="C143" s="1" t="n">
        <v>46045</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50854-2022</t>
        </is>
      </c>
      <c r="B144" s="1" t="n">
        <v>44863</v>
      </c>
      <c r="C144" s="1" t="n">
        <v>46045</v>
      </c>
      <c r="D144" t="inlineStr">
        <is>
          <t>STOCKHOLMS LÄN</t>
        </is>
      </c>
      <c r="E144" t="inlineStr">
        <is>
          <t>NORRTÄLJE</t>
        </is>
      </c>
      <c r="G144" t="n">
        <v>2.9</v>
      </c>
      <c r="H144" t="n">
        <v>0</v>
      </c>
      <c r="I144" t="n">
        <v>1</v>
      </c>
      <c r="J144" t="n">
        <v>0</v>
      </c>
      <c r="K144" t="n">
        <v>0</v>
      </c>
      <c r="L144" t="n">
        <v>0</v>
      </c>
      <c r="M144" t="n">
        <v>0</v>
      </c>
      <c r="N144" t="n">
        <v>0</v>
      </c>
      <c r="O144" t="n">
        <v>0</v>
      </c>
      <c r="P144" t="n">
        <v>0</v>
      </c>
      <c r="Q144" t="n">
        <v>1</v>
      </c>
      <c r="R144" s="2" t="inlineStr">
        <is>
          <t>Tibast</t>
        </is>
      </c>
      <c r="S144">
        <f>HYPERLINK("https://klasma.github.io/Logging_0188/artfynd/A 50854-2022 artfynd.xlsx", "A 50854-2022")</f>
        <v/>
      </c>
      <c r="T144">
        <f>HYPERLINK("https://klasma.github.io/Logging_0188/kartor/A 50854-2022 karta.png", "A 50854-2022")</f>
        <v/>
      </c>
      <c r="V144">
        <f>HYPERLINK("https://klasma.github.io/Logging_0188/klagomål/A 50854-2022 FSC-klagomål.docx", "A 50854-2022")</f>
        <v/>
      </c>
      <c r="W144">
        <f>HYPERLINK("https://klasma.github.io/Logging_0188/klagomålsmail/A 50854-2022 FSC-klagomål mail.docx", "A 50854-2022")</f>
        <v/>
      </c>
      <c r="X144">
        <f>HYPERLINK("https://klasma.github.io/Logging_0188/tillsyn/A 50854-2022 tillsynsbegäran.docx", "A 50854-2022")</f>
        <v/>
      </c>
      <c r="Y144">
        <f>HYPERLINK("https://klasma.github.io/Logging_0188/tillsynsmail/A 50854-2022 tillsynsbegäran mail.docx", "A 50854-2022")</f>
        <v/>
      </c>
    </row>
    <row r="145" ht="15" customHeight="1">
      <c r="A145" t="inlineStr">
        <is>
          <t>A 64456-2023</t>
        </is>
      </c>
      <c r="B145" s="1" t="n">
        <v>45280</v>
      </c>
      <c r="C145" s="1" t="n">
        <v>46045</v>
      </c>
      <c r="D145" t="inlineStr">
        <is>
          <t>STOCKHOLMS LÄN</t>
        </is>
      </c>
      <c r="E145" t="inlineStr">
        <is>
          <t>NORRTÄLJE</t>
        </is>
      </c>
      <c r="G145" t="n">
        <v>2.5</v>
      </c>
      <c r="H145" t="n">
        <v>0</v>
      </c>
      <c r="I145" t="n">
        <v>1</v>
      </c>
      <c r="J145" t="n">
        <v>0</v>
      </c>
      <c r="K145" t="n">
        <v>0</v>
      </c>
      <c r="L145" t="n">
        <v>0</v>
      </c>
      <c r="M145" t="n">
        <v>0</v>
      </c>
      <c r="N145" t="n">
        <v>0</v>
      </c>
      <c r="O145" t="n">
        <v>0</v>
      </c>
      <c r="P145" t="n">
        <v>0</v>
      </c>
      <c r="Q145" t="n">
        <v>1</v>
      </c>
      <c r="R145" s="2" t="inlineStr">
        <is>
          <t>Rödgul trumpetsvamp</t>
        </is>
      </c>
      <c r="S145">
        <f>HYPERLINK("https://klasma.github.io/Logging_0188/artfynd/A 64456-2023 artfynd.xlsx", "A 64456-2023")</f>
        <v/>
      </c>
      <c r="T145">
        <f>HYPERLINK("https://klasma.github.io/Logging_0188/kartor/A 64456-2023 karta.png", "A 64456-2023")</f>
        <v/>
      </c>
      <c r="V145">
        <f>HYPERLINK("https://klasma.github.io/Logging_0188/klagomål/A 64456-2023 FSC-klagomål.docx", "A 64456-2023")</f>
        <v/>
      </c>
      <c r="W145">
        <f>HYPERLINK("https://klasma.github.io/Logging_0188/klagomålsmail/A 64456-2023 FSC-klagomål mail.docx", "A 64456-2023")</f>
        <v/>
      </c>
      <c r="X145">
        <f>HYPERLINK("https://klasma.github.io/Logging_0188/tillsyn/A 64456-2023 tillsynsbegäran.docx", "A 64456-2023")</f>
        <v/>
      </c>
      <c r="Y145">
        <f>HYPERLINK("https://klasma.github.io/Logging_0188/tillsynsmail/A 64456-2023 tillsynsbegäran mail.docx", "A 64456-2023")</f>
        <v/>
      </c>
    </row>
    <row r="146" ht="15" customHeight="1">
      <c r="A146" t="inlineStr">
        <is>
          <t>A 18580-2021</t>
        </is>
      </c>
      <c r="B146" s="1" t="n">
        <v>44306</v>
      </c>
      <c r="C146" s="1" t="n">
        <v>46045</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46045</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46045</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46045</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46045</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46045</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46045</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46045</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46045</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46045</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46045</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46045</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46045</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46045</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46045</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46045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46045</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46045</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46045</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46045</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46045</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46045</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46045</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46045</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46045</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46045</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46045</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46045</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46045</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46045</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46045</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46045</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10711-2022</t>
        </is>
      </c>
      <c r="B179" s="1" t="n">
        <v>44626</v>
      </c>
      <c r="C179" s="1" t="n">
        <v>46045</v>
      </c>
      <c r="D179" t="inlineStr">
        <is>
          <t>STOCKHOLMS LÄN</t>
        </is>
      </c>
      <c r="E179" t="inlineStr">
        <is>
          <t>NORRTÄLJE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46045</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46045</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46045</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46045</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46045</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46045</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46045</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46045</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46045</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60186-2021</t>
        </is>
      </c>
      <c r="B189" s="1" t="n">
        <v>44495</v>
      </c>
      <c r="C189" s="1" t="n">
        <v>46045</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28959-2022</t>
        </is>
      </c>
      <c r="B190" s="1" t="n">
        <v>44749.61980324074</v>
      </c>
      <c r="C190" s="1" t="n">
        <v>46045</v>
      </c>
      <c r="D190" t="inlineStr">
        <is>
          <t>STOCKHOLMS LÄN</t>
        </is>
      </c>
      <c r="E190" t="inlineStr">
        <is>
          <t>NORRTÄLJE</t>
        </is>
      </c>
      <c r="G190" t="n">
        <v>5.2</v>
      </c>
      <c r="H190" t="n">
        <v>0</v>
      </c>
      <c r="I190" t="n">
        <v>0</v>
      </c>
      <c r="J190" t="n">
        <v>0</v>
      </c>
      <c r="K190" t="n">
        <v>0</v>
      </c>
      <c r="L190" t="n">
        <v>0</v>
      </c>
      <c r="M190" t="n">
        <v>0</v>
      </c>
      <c r="N190" t="n">
        <v>0</v>
      </c>
      <c r="O190" t="n">
        <v>0</v>
      </c>
      <c r="P190" t="n">
        <v>0</v>
      </c>
      <c r="Q190" t="n">
        <v>0</v>
      </c>
      <c r="R190" s="2" t="inlineStr"/>
    </row>
    <row r="191" ht="15" customHeight="1">
      <c r="A191" t="inlineStr">
        <is>
          <t>A 54340-2022</t>
        </is>
      </c>
      <c r="B191" s="1" t="n">
        <v>44882.44732638889</v>
      </c>
      <c r="C191" s="1" t="n">
        <v>46045</v>
      </c>
      <c r="D191" t="inlineStr">
        <is>
          <t>STOCKHOLMS LÄN</t>
        </is>
      </c>
      <c r="E191" t="inlineStr">
        <is>
          <t>NORRTÄLJE</t>
        </is>
      </c>
      <c r="G191" t="n">
        <v>6.7</v>
      </c>
      <c r="H191" t="n">
        <v>0</v>
      </c>
      <c r="I191" t="n">
        <v>0</v>
      </c>
      <c r="J191" t="n">
        <v>0</v>
      </c>
      <c r="K191" t="n">
        <v>0</v>
      </c>
      <c r="L191" t="n">
        <v>0</v>
      </c>
      <c r="M191" t="n">
        <v>0</v>
      </c>
      <c r="N191" t="n">
        <v>0</v>
      </c>
      <c r="O191" t="n">
        <v>0</v>
      </c>
      <c r="P191" t="n">
        <v>0</v>
      </c>
      <c r="Q191" t="n">
        <v>0</v>
      </c>
      <c r="R191" s="2" t="inlineStr"/>
    </row>
    <row r="192" ht="15" customHeight="1">
      <c r="A192" t="inlineStr">
        <is>
          <t>A 54355-2022</t>
        </is>
      </c>
      <c r="B192" s="1" t="n">
        <v>44882</v>
      </c>
      <c r="C192" s="1" t="n">
        <v>46045</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46045</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14381-2021</t>
        </is>
      </c>
      <c r="B194" s="1" t="n">
        <v>44279</v>
      </c>
      <c r="C194" s="1" t="n">
        <v>46045</v>
      </c>
      <c r="D194" t="inlineStr">
        <is>
          <t>STOCKHOLMS LÄN</t>
        </is>
      </c>
      <c r="E194" t="inlineStr">
        <is>
          <t>NORRTÄLJE</t>
        </is>
      </c>
      <c r="G194" t="n">
        <v>0.9</v>
      </c>
      <c r="H194" t="n">
        <v>0</v>
      </c>
      <c r="I194" t="n">
        <v>0</v>
      </c>
      <c r="J194" t="n">
        <v>0</v>
      </c>
      <c r="K194" t="n">
        <v>0</v>
      </c>
      <c r="L194" t="n">
        <v>0</v>
      </c>
      <c r="M194" t="n">
        <v>0</v>
      </c>
      <c r="N194" t="n">
        <v>0</v>
      </c>
      <c r="O194" t="n">
        <v>0</v>
      </c>
      <c r="P194" t="n">
        <v>0</v>
      </c>
      <c r="Q194" t="n">
        <v>0</v>
      </c>
      <c r="R194" s="2" t="inlineStr"/>
    </row>
    <row r="195" ht="15" customHeight="1">
      <c r="A195" t="inlineStr">
        <is>
          <t>A 45539-2022</t>
        </is>
      </c>
      <c r="B195" s="1" t="n">
        <v>44845.47585648148</v>
      </c>
      <c r="C195" s="1" t="n">
        <v>46045</v>
      </c>
      <c r="D195" t="inlineStr">
        <is>
          <t>STOCKHOLMS LÄN</t>
        </is>
      </c>
      <c r="E195" t="inlineStr">
        <is>
          <t>NORRTÄLJE</t>
        </is>
      </c>
      <c r="G195" t="n">
        <v>0.3</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46045</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46045</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46045</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46045</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29868-2022</t>
        </is>
      </c>
      <c r="B200" s="1" t="n">
        <v>44756.40881944444</v>
      </c>
      <c r="C200" s="1" t="n">
        <v>46045</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46045</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36975-2022</t>
        </is>
      </c>
      <c r="B202" s="1" t="n">
        <v>44806.34577546296</v>
      </c>
      <c r="C202" s="1" t="n">
        <v>46045</v>
      </c>
      <c r="D202" t="inlineStr">
        <is>
          <t>STOCKHOLMS LÄN</t>
        </is>
      </c>
      <c r="E202" t="inlineStr">
        <is>
          <t>NORRTÄLJE</t>
        </is>
      </c>
      <c r="G202" t="n">
        <v>4.7</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46045</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46045</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46045</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46045</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46045</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46045</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46045</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46045</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46045</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46045</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46045</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46045</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46045</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46045</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46045</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46045</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46045</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46045</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46045</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46045</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46045</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46045</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46045</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46045</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46045</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46045</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72355-2021</t>
        </is>
      </c>
      <c r="B229" s="1" t="n">
        <v>44545</v>
      </c>
      <c r="C229" s="1" t="n">
        <v>46045</v>
      </c>
      <c r="D229" t="inlineStr">
        <is>
          <t>STOCKHOLMS LÄN</t>
        </is>
      </c>
      <c r="E229" t="inlineStr">
        <is>
          <t>NORRTÄLJE</t>
        </is>
      </c>
      <c r="G229" t="n">
        <v>3.6</v>
      </c>
      <c r="H229" t="n">
        <v>0</v>
      </c>
      <c r="I229" t="n">
        <v>0</v>
      </c>
      <c r="J229" t="n">
        <v>0</v>
      </c>
      <c r="K229" t="n">
        <v>0</v>
      </c>
      <c r="L229" t="n">
        <v>0</v>
      </c>
      <c r="M229" t="n">
        <v>0</v>
      </c>
      <c r="N229" t="n">
        <v>0</v>
      </c>
      <c r="O229" t="n">
        <v>0</v>
      </c>
      <c r="P229" t="n">
        <v>0</v>
      </c>
      <c r="Q229" t="n">
        <v>0</v>
      </c>
      <c r="R229" s="2" t="inlineStr"/>
    </row>
    <row r="230" ht="15" customHeight="1">
      <c r="A230" t="inlineStr">
        <is>
          <t>A 72357-2021</t>
        </is>
      </c>
      <c r="B230" s="1" t="n">
        <v>44545</v>
      </c>
      <c r="C230" s="1" t="n">
        <v>46045</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46045</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46045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46045</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46045</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46045</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46045</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46045</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46045</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46045</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46045</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46045</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46045</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46045</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12779-2021</t>
        </is>
      </c>
      <c r="B244" s="1" t="n">
        <v>44270</v>
      </c>
      <c r="C244" s="1" t="n">
        <v>46045</v>
      </c>
      <c r="D244" t="inlineStr">
        <is>
          <t>STOCKHOLMS LÄN</t>
        </is>
      </c>
      <c r="E244" t="inlineStr">
        <is>
          <t>NORRTÄLJE</t>
        </is>
      </c>
      <c r="G244" t="n">
        <v>10.8</v>
      </c>
      <c r="H244" t="n">
        <v>0</v>
      </c>
      <c r="I244" t="n">
        <v>0</v>
      </c>
      <c r="J244" t="n">
        <v>0</v>
      </c>
      <c r="K244" t="n">
        <v>0</v>
      </c>
      <c r="L244" t="n">
        <v>0</v>
      </c>
      <c r="M244" t="n">
        <v>0</v>
      </c>
      <c r="N244" t="n">
        <v>0</v>
      </c>
      <c r="O244" t="n">
        <v>0</v>
      </c>
      <c r="P244" t="n">
        <v>0</v>
      </c>
      <c r="Q244" t="n">
        <v>0</v>
      </c>
      <c r="R244" s="2" t="inlineStr"/>
    </row>
    <row r="245" ht="15" customHeight="1">
      <c r="A245" t="inlineStr">
        <is>
          <t>A 12782-2021</t>
        </is>
      </c>
      <c r="B245" s="1" t="n">
        <v>44270</v>
      </c>
      <c r="C245" s="1" t="n">
        <v>46045</v>
      </c>
      <c r="D245" t="inlineStr">
        <is>
          <t>STOCKHOLMS LÄN</t>
        </is>
      </c>
      <c r="E245" t="inlineStr">
        <is>
          <t>NORRTÄLJE</t>
        </is>
      </c>
      <c r="G245" t="n">
        <v>3.8</v>
      </c>
      <c r="H245" t="n">
        <v>0</v>
      </c>
      <c r="I245" t="n">
        <v>0</v>
      </c>
      <c r="J245" t="n">
        <v>0</v>
      </c>
      <c r="K245" t="n">
        <v>0</v>
      </c>
      <c r="L245" t="n">
        <v>0</v>
      </c>
      <c r="M245" t="n">
        <v>0</v>
      </c>
      <c r="N245" t="n">
        <v>0</v>
      </c>
      <c r="O245" t="n">
        <v>0</v>
      </c>
      <c r="P245" t="n">
        <v>0</v>
      </c>
      <c r="Q245" t="n">
        <v>0</v>
      </c>
      <c r="R245" s="2" t="inlineStr"/>
    </row>
    <row r="246" ht="15" customHeight="1">
      <c r="A246" t="inlineStr">
        <is>
          <t>A 68273-2021</t>
        </is>
      </c>
      <c r="B246" s="1" t="n">
        <v>44526</v>
      </c>
      <c r="C246" s="1" t="n">
        <v>46045</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15226-2022</t>
        </is>
      </c>
      <c r="B247" s="1" t="n">
        <v>44658</v>
      </c>
      <c r="C247" s="1" t="n">
        <v>46045</v>
      </c>
      <c r="D247" t="inlineStr">
        <is>
          <t>STOCKHOLMS LÄN</t>
        </is>
      </c>
      <c r="E247" t="inlineStr">
        <is>
          <t>NORRTÄLJE</t>
        </is>
      </c>
      <c r="G247" t="n">
        <v>1.1</v>
      </c>
      <c r="H247" t="n">
        <v>0</v>
      </c>
      <c r="I247" t="n">
        <v>0</v>
      </c>
      <c r="J247" t="n">
        <v>0</v>
      </c>
      <c r="K247" t="n">
        <v>0</v>
      </c>
      <c r="L247" t="n">
        <v>0</v>
      </c>
      <c r="M247" t="n">
        <v>0</v>
      </c>
      <c r="N247" t="n">
        <v>0</v>
      </c>
      <c r="O247" t="n">
        <v>0</v>
      </c>
      <c r="P247" t="n">
        <v>0</v>
      </c>
      <c r="Q247" t="n">
        <v>0</v>
      </c>
      <c r="R247" s="2" t="inlineStr"/>
    </row>
    <row r="248" ht="15" customHeight="1">
      <c r="A248" t="inlineStr">
        <is>
          <t>A 3300-2022</t>
        </is>
      </c>
      <c r="B248" s="1" t="n">
        <v>44584.91538194445</v>
      </c>
      <c r="C248" s="1" t="n">
        <v>46045</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17388-2022</t>
        </is>
      </c>
      <c r="B249" s="1" t="n">
        <v>44678</v>
      </c>
      <c r="C249" s="1" t="n">
        <v>46045</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1968-2022</t>
        </is>
      </c>
      <c r="B250" s="1" t="n">
        <v>44575.52831018518</v>
      </c>
      <c r="C250" s="1" t="n">
        <v>46045</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17771-2022</t>
        </is>
      </c>
      <c r="B251" s="1" t="n">
        <v>44682.75924768519</v>
      </c>
      <c r="C251" s="1" t="n">
        <v>46045</v>
      </c>
      <c r="D251" t="inlineStr">
        <is>
          <t>STOCKHOLMS LÄN</t>
        </is>
      </c>
      <c r="E251" t="inlineStr">
        <is>
          <t>NORRTÄLJE</t>
        </is>
      </c>
      <c r="G251" t="n">
        <v>13.3</v>
      </c>
      <c r="H251" t="n">
        <v>0</v>
      </c>
      <c r="I251" t="n">
        <v>0</v>
      </c>
      <c r="J251" t="n">
        <v>0</v>
      </c>
      <c r="K251" t="n">
        <v>0</v>
      </c>
      <c r="L251" t="n">
        <v>0</v>
      </c>
      <c r="M251" t="n">
        <v>0</v>
      </c>
      <c r="N251" t="n">
        <v>0</v>
      </c>
      <c r="O251" t="n">
        <v>0</v>
      </c>
      <c r="P251" t="n">
        <v>0</v>
      </c>
      <c r="Q251" t="n">
        <v>0</v>
      </c>
      <c r="R251" s="2" t="inlineStr"/>
    </row>
    <row r="252" ht="15" customHeight="1">
      <c r="A252" t="inlineStr">
        <is>
          <t>A 17773-2022</t>
        </is>
      </c>
      <c r="B252" s="1" t="n">
        <v>44682.77616898148</v>
      </c>
      <c r="C252" s="1" t="n">
        <v>46045</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10521-2022</t>
        </is>
      </c>
      <c r="B253" s="1" t="n">
        <v>44623</v>
      </c>
      <c r="C253" s="1" t="n">
        <v>46045</v>
      </c>
      <c r="D253" t="inlineStr">
        <is>
          <t>STOCKHOLMS LÄN</t>
        </is>
      </c>
      <c r="E253" t="inlineStr">
        <is>
          <t>NORRTÄLJE</t>
        </is>
      </c>
      <c r="G253" t="n">
        <v>2.9</v>
      </c>
      <c r="H253" t="n">
        <v>0</v>
      </c>
      <c r="I253" t="n">
        <v>0</v>
      </c>
      <c r="J253" t="n">
        <v>0</v>
      </c>
      <c r="K253" t="n">
        <v>0</v>
      </c>
      <c r="L253" t="n">
        <v>0</v>
      </c>
      <c r="M253" t="n">
        <v>0</v>
      </c>
      <c r="N253" t="n">
        <v>0</v>
      </c>
      <c r="O253" t="n">
        <v>0</v>
      </c>
      <c r="P253" t="n">
        <v>0</v>
      </c>
      <c r="Q253" t="n">
        <v>0</v>
      </c>
      <c r="R253" s="2" t="inlineStr"/>
    </row>
    <row r="254" ht="15" customHeight="1">
      <c r="A254" t="inlineStr">
        <is>
          <t>A 22456-2023</t>
        </is>
      </c>
      <c r="B254" s="1" t="n">
        <v>45070</v>
      </c>
      <c r="C254" s="1" t="n">
        <v>46045</v>
      </c>
      <c r="D254" t="inlineStr">
        <is>
          <t>STOCKHOLMS LÄN</t>
        </is>
      </c>
      <c r="E254" t="inlineStr">
        <is>
          <t>NORRTÄLJE</t>
        </is>
      </c>
      <c r="G254" t="n">
        <v>3.1</v>
      </c>
      <c r="H254" t="n">
        <v>0</v>
      </c>
      <c r="I254" t="n">
        <v>0</v>
      </c>
      <c r="J254" t="n">
        <v>0</v>
      </c>
      <c r="K254" t="n">
        <v>0</v>
      </c>
      <c r="L254" t="n">
        <v>0</v>
      </c>
      <c r="M254" t="n">
        <v>0</v>
      </c>
      <c r="N254" t="n">
        <v>0</v>
      </c>
      <c r="O254" t="n">
        <v>0</v>
      </c>
      <c r="P254" t="n">
        <v>0</v>
      </c>
      <c r="Q254" t="n">
        <v>0</v>
      </c>
      <c r="R254" s="2" t="inlineStr"/>
    </row>
    <row r="255" ht="15" customHeight="1">
      <c r="A255" t="inlineStr">
        <is>
          <t>A 5562-2021</t>
        </is>
      </c>
      <c r="B255" s="1" t="n">
        <v>44230</v>
      </c>
      <c r="C255" s="1" t="n">
        <v>46045</v>
      </c>
      <c r="D255" t="inlineStr">
        <is>
          <t>STOCKHOLMS LÄN</t>
        </is>
      </c>
      <c r="E255" t="inlineStr">
        <is>
          <t>NORRTÄLJE</t>
        </is>
      </c>
      <c r="G255" t="n">
        <v>0.5</v>
      </c>
      <c r="H255" t="n">
        <v>0</v>
      </c>
      <c r="I255" t="n">
        <v>0</v>
      </c>
      <c r="J255" t="n">
        <v>0</v>
      </c>
      <c r="K255" t="n">
        <v>0</v>
      </c>
      <c r="L255" t="n">
        <v>0</v>
      </c>
      <c r="M255" t="n">
        <v>0</v>
      </c>
      <c r="N255" t="n">
        <v>0</v>
      </c>
      <c r="O255" t="n">
        <v>0</v>
      </c>
      <c r="P255" t="n">
        <v>0</v>
      </c>
      <c r="Q255" t="n">
        <v>0</v>
      </c>
      <c r="R255" s="2" t="inlineStr"/>
    </row>
    <row r="256" ht="15" customHeight="1">
      <c r="A256" t="inlineStr">
        <is>
          <t>A 5566-2021</t>
        </is>
      </c>
      <c r="B256" s="1" t="n">
        <v>44230</v>
      </c>
      <c r="C256" s="1" t="n">
        <v>46045</v>
      </c>
      <c r="D256" t="inlineStr">
        <is>
          <t>STOCKHOLMS LÄN</t>
        </is>
      </c>
      <c r="E256" t="inlineStr">
        <is>
          <t>NORRTÄLJE</t>
        </is>
      </c>
      <c r="G256" t="n">
        <v>3.1</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46045</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46045</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70170-2021</t>
        </is>
      </c>
      <c r="B259" s="1" t="n">
        <v>44533</v>
      </c>
      <c r="C259" s="1" t="n">
        <v>46045</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1229-2022</t>
        </is>
      </c>
      <c r="B260" s="1" t="n">
        <v>44572</v>
      </c>
      <c r="C260" s="1" t="n">
        <v>46045</v>
      </c>
      <c r="D260" t="inlineStr">
        <is>
          <t>STOCKHOLMS LÄN</t>
        </is>
      </c>
      <c r="E260" t="inlineStr">
        <is>
          <t>NORRTÄLJE</t>
        </is>
      </c>
      <c r="G260" t="n">
        <v>11.5</v>
      </c>
      <c r="H260" t="n">
        <v>0</v>
      </c>
      <c r="I260" t="n">
        <v>0</v>
      </c>
      <c r="J260" t="n">
        <v>0</v>
      </c>
      <c r="K260" t="n">
        <v>0</v>
      </c>
      <c r="L260" t="n">
        <v>0</v>
      </c>
      <c r="M260" t="n">
        <v>0</v>
      </c>
      <c r="N260" t="n">
        <v>0</v>
      </c>
      <c r="O260" t="n">
        <v>0</v>
      </c>
      <c r="P260" t="n">
        <v>0</v>
      </c>
      <c r="Q260" t="n">
        <v>0</v>
      </c>
      <c r="R260" s="2" t="inlineStr"/>
    </row>
    <row r="261" ht="15" customHeight="1">
      <c r="A261" t="inlineStr">
        <is>
          <t>A 25463-2021</t>
        </is>
      </c>
      <c r="B261" s="1" t="n">
        <v>44342</v>
      </c>
      <c r="C261" s="1" t="n">
        <v>46045</v>
      </c>
      <c r="D261" t="inlineStr">
        <is>
          <t>STOCKHOLMS LÄN</t>
        </is>
      </c>
      <c r="E261" t="inlineStr">
        <is>
          <t>NORRTÄLJE</t>
        </is>
      </c>
      <c r="F261" t="inlineStr">
        <is>
          <t>Holmen skog AB</t>
        </is>
      </c>
      <c r="G261" t="n">
        <v>1.5</v>
      </c>
      <c r="H261" t="n">
        <v>0</v>
      </c>
      <c r="I261" t="n">
        <v>0</v>
      </c>
      <c r="J261" t="n">
        <v>0</v>
      </c>
      <c r="K261" t="n">
        <v>0</v>
      </c>
      <c r="L261" t="n">
        <v>0</v>
      </c>
      <c r="M261" t="n">
        <v>0</v>
      </c>
      <c r="N261" t="n">
        <v>0</v>
      </c>
      <c r="O261" t="n">
        <v>0</v>
      </c>
      <c r="P261" t="n">
        <v>0</v>
      </c>
      <c r="Q261" t="n">
        <v>0</v>
      </c>
      <c r="R261" s="2" t="inlineStr"/>
    </row>
    <row r="262" ht="15" customHeight="1">
      <c r="A262" t="inlineStr">
        <is>
          <t>A 14051-2022</t>
        </is>
      </c>
      <c r="B262" s="1" t="n">
        <v>44650.92714120371</v>
      </c>
      <c r="C262" s="1" t="n">
        <v>46045</v>
      </c>
      <c r="D262" t="inlineStr">
        <is>
          <t>STOCKHOLMS LÄN</t>
        </is>
      </c>
      <c r="E262" t="inlineStr">
        <is>
          <t>NORRTÄLJE</t>
        </is>
      </c>
      <c r="G262" t="n">
        <v>2.3</v>
      </c>
      <c r="H262" t="n">
        <v>0</v>
      </c>
      <c r="I262" t="n">
        <v>0</v>
      </c>
      <c r="J262" t="n">
        <v>0</v>
      </c>
      <c r="K262" t="n">
        <v>0</v>
      </c>
      <c r="L262" t="n">
        <v>0</v>
      </c>
      <c r="M262" t="n">
        <v>0</v>
      </c>
      <c r="N262" t="n">
        <v>0</v>
      </c>
      <c r="O262" t="n">
        <v>0</v>
      </c>
      <c r="P262" t="n">
        <v>0</v>
      </c>
      <c r="Q262" t="n">
        <v>0</v>
      </c>
      <c r="R262" s="2" t="inlineStr"/>
    </row>
    <row r="263" ht="15" customHeight="1">
      <c r="A263" t="inlineStr">
        <is>
          <t>A 52139-2022</t>
        </is>
      </c>
      <c r="B263" s="1" t="n">
        <v>44868</v>
      </c>
      <c r="C263" s="1" t="n">
        <v>46045</v>
      </c>
      <c r="D263" t="inlineStr">
        <is>
          <t>STOCKHOLMS LÄN</t>
        </is>
      </c>
      <c r="E263" t="inlineStr">
        <is>
          <t>NORRTÄLJE</t>
        </is>
      </c>
      <c r="G263" t="n">
        <v>3.2</v>
      </c>
      <c r="H263" t="n">
        <v>0</v>
      </c>
      <c r="I263" t="n">
        <v>0</v>
      </c>
      <c r="J263" t="n">
        <v>0</v>
      </c>
      <c r="K263" t="n">
        <v>0</v>
      </c>
      <c r="L263" t="n">
        <v>0</v>
      </c>
      <c r="M263" t="n">
        <v>0</v>
      </c>
      <c r="N263" t="n">
        <v>0</v>
      </c>
      <c r="O263" t="n">
        <v>0</v>
      </c>
      <c r="P263" t="n">
        <v>0</v>
      </c>
      <c r="Q263" t="n">
        <v>0</v>
      </c>
      <c r="R263" s="2" t="inlineStr"/>
      <c r="U263">
        <f>HYPERLINK("https://klasma.github.io/Logging_0188/knärot/A 52139-2022 karta knärot.png", "A 52139-2022")</f>
        <v/>
      </c>
      <c r="V263">
        <f>HYPERLINK("https://klasma.github.io/Logging_0188/klagomål/A 52139-2022 FSC-klagomål.docx", "A 52139-2022")</f>
        <v/>
      </c>
      <c r="W263">
        <f>HYPERLINK("https://klasma.github.io/Logging_0188/klagomålsmail/A 52139-2022 FSC-klagomål mail.docx", "A 52139-2022")</f>
        <v/>
      </c>
      <c r="X263">
        <f>HYPERLINK("https://klasma.github.io/Logging_0188/tillsyn/A 52139-2022 tillsynsbegäran.docx", "A 52139-2022")</f>
        <v/>
      </c>
      <c r="Y263">
        <f>HYPERLINK("https://klasma.github.io/Logging_0188/tillsynsmail/A 52139-2022 tillsynsbegäran mail.docx", "A 52139-2022")</f>
        <v/>
      </c>
    </row>
    <row r="264" ht="15" customHeight="1">
      <c r="A264" t="inlineStr">
        <is>
          <t>A 21102-2022</t>
        </is>
      </c>
      <c r="B264" s="1" t="n">
        <v>44704</v>
      </c>
      <c r="C264" s="1" t="n">
        <v>46045</v>
      </c>
      <c r="D264" t="inlineStr">
        <is>
          <t>STOCKHOLMS LÄN</t>
        </is>
      </c>
      <c r="E264" t="inlineStr">
        <is>
          <t>NORRTÄLJE</t>
        </is>
      </c>
      <c r="G264" t="n">
        <v>0.2</v>
      </c>
      <c r="H264" t="n">
        <v>0</v>
      </c>
      <c r="I264" t="n">
        <v>0</v>
      </c>
      <c r="J264" t="n">
        <v>0</v>
      </c>
      <c r="K264" t="n">
        <v>0</v>
      </c>
      <c r="L264" t="n">
        <v>0</v>
      </c>
      <c r="M264" t="n">
        <v>0</v>
      </c>
      <c r="N264" t="n">
        <v>0</v>
      </c>
      <c r="O264" t="n">
        <v>0</v>
      </c>
      <c r="P264" t="n">
        <v>0</v>
      </c>
      <c r="Q264" t="n">
        <v>0</v>
      </c>
      <c r="R264" s="2" t="inlineStr"/>
    </row>
    <row r="265" ht="15" customHeight="1">
      <c r="A265" t="inlineStr">
        <is>
          <t>A 9446-2021</t>
        </is>
      </c>
      <c r="B265" s="1" t="n">
        <v>44251</v>
      </c>
      <c r="C265" s="1" t="n">
        <v>46045</v>
      </c>
      <c r="D265" t="inlineStr">
        <is>
          <t>STOCKHOLMS LÄN</t>
        </is>
      </c>
      <c r="E265" t="inlineStr">
        <is>
          <t>NORRTÄLJE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71880-2021</t>
        </is>
      </c>
      <c r="B266" s="1" t="n">
        <v>44543</v>
      </c>
      <c r="C266" s="1" t="n">
        <v>46045</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17772-2022</t>
        </is>
      </c>
      <c r="B267" s="1" t="n">
        <v>44682.76528935185</v>
      </c>
      <c r="C267" s="1" t="n">
        <v>46045</v>
      </c>
      <c r="D267" t="inlineStr">
        <is>
          <t>STOCKHOLMS LÄN</t>
        </is>
      </c>
      <c r="E267" t="inlineStr">
        <is>
          <t>NORRTÄLJE</t>
        </is>
      </c>
      <c r="G267" t="n">
        <v>4</v>
      </c>
      <c r="H267" t="n">
        <v>0</v>
      </c>
      <c r="I267" t="n">
        <v>0</v>
      </c>
      <c r="J267" t="n">
        <v>0</v>
      </c>
      <c r="K267" t="n">
        <v>0</v>
      </c>
      <c r="L267" t="n">
        <v>0</v>
      </c>
      <c r="M267" t="n">
        <v>0</v>
      </c>
      <c r="N267" t="n">
        <v>0</v>
      </c>
      <c r="O267" t="n">
        <v>0</v>
      </c>
      <c r="P267" t="n">
        <v>0</v>
      </c>
      <c r="Q267" t="n">
        <v>0</v>
      </c>
      <c r="R267" s="2" t="inlineStr"/>
    </row>
    <row r="268" ht="15" customHeight="1">
      <c r="A268" t="inlineStr">
        <is>
          <t>A 67285-2021</t>
        </is>
      </c>
      <c r="B268" s="1" t="n">
        <v>44523.61635416667</v>
      </c>
      <c r="C268" s="1" t="n">
        <v>46045</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5611-2022</t>
        </is>
      </c>
      <c r="B269" s="1" t="n">
        <v>44595</v>
      </c>
      <c r="C269" s="1" t="n">
        <v>46045</v>
      </c>
      <c r="D269" t="inlineStr">
        <is>
          <t>STOCKHOLMS LÄN</t>
        </is>
      </c>
      <c r="E269" t="inlineStr">
        <is>
          <t>NORRTÄLJE</t>
        </is>
      </c>
      <c r="G269" t="n">
        <v>0.5</v>
      </c>
      <c r="H269" t="n">
        <v>0</v>
      </c>
      <c r="I269" t="n">
        <v>0</v>
      </c>
      <c r="J269" t="n">
        <v>0</v>
      </c>
      <c r="K269" t="n">
        <v>0</v>
      </c>
      <c r="L269" t="n">
        <v>0</v>
      </c>
      <c r="M269" t="n">
        <v>0</v>
      </c>
      <c r="N269" t="n">
        <v>0</v>
      </c>
      <c r="O269" t="n">
        <v>0</v>
      </c>
      <c r="P269" t="n">
        <v>0</v>
      </c>
      <c r="Q269" t="n">
        <v>0</v>
      </c>
      <c r="R269" s="2" t="inlineStr"/>
    </row>
    <row r="270" ht="15" customHeight="1">
      <c r="A270" t="inlineStr">
        <is>
          <t>A 32055-2021</t>
        </is>
      </c>
      <c r="B270" s="1" t="n">
        <v>44370.72197916666</v>
      </c>
      <c r="C270" s="1" t="n">
        <v>46045</v>
      </c>
      <c r="D270" t="inlineStr">
        <is>
          <t>STOCKHOLMS LÄN</t>
        </is>
      </c>
      <c r="E270" t="inlineStr">
        <is>
          <t>NORRTÄLJE</t>
        </is>
      </c>
      <c r="G270" t="n">
        <v>1.2</v>
      </c>
      <c r="H270" t="n">
        <v>0</v>
      </c>
      <c r="I270" t="n">
        <v>0</v>
      </c>
      <c r="J270" t="n">
        <v>0</v>
      </c>
      <c r="K270" t="n">
        <v>0</v>
      </c>
      <c r="L270" t="n">
        <v>0</v>
      </c>
      <c r="M270" t="n">
        <v>0</v>
      </c>
      <c r="N270" t="n">
        <v>0</v>
      </c>
      <c r="O270" t="n">
        <v>0</v>
      </c>
      <c r="P270" t="n">
        <v>0</v>
      </c>
      <c r="Q270" t="n">
        <v>0</v>
      </c>
      <c r="R270" s="2" t="inlineStr"/>
    </row>
    <row r="271" ht="15" customHeight="1">
      <c r="A271" t="inlineStr">
        <is>
          <t>A 24101-2022</t>
        </is>
      </c>
      <c r="B271" s="1" t="n">
        <v>44725</v>
      </c>
      <c r="C271" s="1" t="n">
        <v>46045</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24167-2022</t>
        </is>
      </c>
      <c r="B272" s="1" t="n">
        <v>44725.49491898148</v>
      </c>
      <c r="C272" s="1" t="n">
        <v>46045</v>
      </c>
      <c r="D272" t="inlineStr">
        <is>
          <t>STOCKHOLMS LÄN</t>
        </is>
      </c>
      <c r="E272" t="inlineStr">
        <is>
          <t>NORRTÄLJE</t>
        </is>
      </c>
      <c r="G272" t="n">
        <v>3.4</v>
      </c>
      <c r="H272" t="n">
        <v>0</v>
      </c>
      <c r="I272" t="n">
        <v>0</v>
      </c>
      <c r="J272" t="n">
        <v>0</v>
      </c>
      <c r="K272" t="n">
        <v>0</v>
      </c>
      <c r="L272" t="n">
        <v>0</v>
      </c>
      <c r="M272" t="n">
        <v>0</v>
      </c>
      <c r="N272" t="n">
        <v>0</v>
      </c>
      <c r="O272" t="n">
        <v>0</v>
      </c>
      <c r="P272" t="n">
        <v>0</v>
      </c>
      <c r="Q272" t="n">
        <v>0</v>
      </c>
      <c r="R272" s="2" t="inlineStr"/>
    </row>
    <row r="273" ht="15" customHeight="1">
      <c r="A273" t="inlineStr">
        <is>
          <t>A 42396-2021</t>
        </is>
      </c>
      <c r="B273" s="1" t="n">
        <v>44427</v>
      </c>
      <c r="C273" s="1" t="n">
        <v>46045</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17673-2021</t>
        </is>
      </c>
      <c r="B274" s="1" t="n">
        <v>44300</v>
      </c>
      <c r="C274" s="1" t="n">
        <v>46045</v>
      </c>
      <c r="D274" t="inlineStr">
        <is>
          <t>STOCKHOLMS LÄN</t>
        </is>
      </c>
      <c r="E274" t="inlineStr">
        <is>
          <t>NORRTÄLJE</t>
        </is>
      </c>
      <c r="G274" t="n">
        <v>1.1</v>
      </c>
      <c r="H274" t="n">
        <v>0</v>
      </c>
      <c r="I274" t="n">
        <v>0</v>
      </c>
      <c r="J274" t="n">
        <v>0</v>
      </c>
      <c r="K274" t="n">
        <v>0</v>
      </c>
      <c r="L274" t="n">
        <v>0</v>
      </c>
      <c r="M274" t="n">
        <v>0</v>
      </c>
      <c r="N274" t="n">
        <v>0</v>
      </c>
      <c r="O274" t="n">
        <v>0</v>
      </c>
      <c r="P274" t="n">
        <v>0</v>
      </c>
      <c r="Q274" t="n">
        <v>0</v>
      </c>
      <c r="R274" s="2" t="inlineStr"/>
      <c r="T274">
        <f>HYPERLINK("https://klasma.github.io/Logging_0188/kartor/A 17673-2021 karta.png", "A 17673-2021")</f>
        <v/>
      </c>
      <c r="V274">
        <f>HYPERLINK("https://klasma.github.io/Logging_0188/klagomål/A 17673-2021 FSC-klagomål.docx", "A 17673-2021")</f>
        <v/>
      </c>
      <c r="W274">
        <f>HYPERLINK("https://klasma.github.io/Logging_0188/klagomålsmail/A 17673-2021 FSC-klagomål mail.docx", "A 17673-2021")</f>
        <v/>
      </c>
      <c r="X274">
        <f>HYPERLINK("https://klasma.github.io/Logging_0188/tillsyn/A 17673-2021 tillsynsbegäran.docx", "A 17673-2021")</f>
        <v/>
      </c>
      <c r="Y274">
        <f>HYPERLINK("https://klasma.github.io/Logging_0188/tillsynsmail/A 17673-2021 tillsynsbegäran mail.docx", "A 17673-2021")</f>
        <v/>
      </c>
      <c r="Z274">
        <f>HYPERLINK("https://klasma.github.io/Logging_0188/fåglar/A 17673-2021 prioriterade fågelarter.docx", "A 17673-2021")</f>
        <v/>
      </c>
    </row>
    <row r="275" ht="15" customHeight="1">
      <c r="A275" t="inlineStr">
        <is>
          <t>A 27217-2021</t>
        </is>
      </c>
      <c r="B275" s="1" t="n">
        <v>44350</v>
      </c>
      <c r="C275" s="1" t="n">
        <v>46045</v>
      </c>
      <c r="D275" t="inlineStr">
        <is>
          <t>STOCKHOLMS LÄN</t>
        </is>
      </c>
      <c r="E275" t="inlineStr">
        <is>
          <t>NORRTÄLJE</t>
        </is>
      </c>
      <c r="G275" t="n">
        <v>5.5</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46045</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62030-2021</t>
        </is>
      </c>
      <c r="B277" s="1" t="n">
        <v>44502</v>
      </c>
      <c r="C277" s="1" t="n">
        <v>46045</v>
      </c>
      <c r="D277" t="inlineStr">
        <is>
          <t>STOCKHOLMS LÄN</t>
        </is>
      </c>
      <c r="E277" t="inlineStr">
        <is>
          <t>NORRTÄLJE</t>
        </is>
      </c>
      <c r="G277" t="n">
        <v>4.7</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46045</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19580-2022</t>
        </is>
      </c>
      <c r="B279" s="1" t="n">
        <v>44693</v>
      </c>
      <c r="C279" s="1" t="n">
        <v>46045</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2732-2022</t>
        </is>
      </c>
      <c r="B280" s="1" t="n">
        <v>44580</v>
      </c>
      <c r="C280" s="1" t="n">
        <v>46045</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12875-2022</t>
        </is>
      </c>
      <c r="B281" s="1" t="n">
        <v>44642.55565972222</v>
      </c>
      <c r="C281" s="1" t="n">
        <v>46045</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55012-2024</t>
        </is>
      </c>
      <c r="B282" s="1" t="n">
        <v>45621.34813657407</v>
      </c>
      <c r="C282" s="1" t="n">
        <v>46045</v>
      </c>
      <c r="D282" t="inlineStr">
        <is>
          <t>STOCKHOLMS LÄN</t>
        </is>
      </c>
      <c r="E282" t="inlineStr">
        <is>
          <t>NORRTÄLJE</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16119-2022</t>
        </is>
      </c>
      <c r="B283" s="1" t="n">
        <v>44665.66407407408</v>
      </c>
      <c r="C283" s="1" t="n">
        <v>46045</v>
      </c>
      <c r="D283" t="inlineStr">
        <is>
          <t>STOCKHOLMS LÄN</t>
        </is>
      </c>
      <c r="E283" t="inlineStr">
        <is>
          <t>NORRTÄLJE</t>
        </is>
      </c>
      <c r="G283" t="n">
        <v>3.9</v>
      </c>
      <c r="H283" t="n">
        <v>0</v>
      </c>
      <c r="I283" t="n">
        <v>0</v>
      </c>
      <c r="J283" t="n">
        <v>0</v>
      </c>
      <c r="K283" t="n">
        <v>0</v>
      </c>
      <c r="L283" t="n">
        <v>0</v>
      </c>
      <c r="M283" t="n">
        <v>0</v>
      </c>
      <c r="N283" t="n">
        <v>0</v>
      </c>
      <c r="O283" t="n">
        <v>0</v>
      </c>
      <c r="P283" t="n">
        <v>0</v>
      </c>
      <c r="Q283" t="n">
        <v>0</v>
      </c>
      <c r="R283" s="2" t="inlineStr"/>
    </row>
    <row r="284" ht="15" customHeight="1">
      <c r="A284" t="inlineStr">
        <is>
          <t>A 31924-2022</t>
        </is>
      </c>
      <c r="B284" s="1" t="n">
        <v>44777</v>
      </c>
      <c r="C284" s="1" t="n">
        <v>46045</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12270-2022</t>
        </is>
      </c>
      <c r="B285" s="1" t="n">
        <v>44637</v>
      </c>
      <c r="C285" s="1" t="n">
        <v>46045</v>
      </c>
      <c r="D285" t="inlineStr">
        <is>
          <t>STOCKHOLMS LÄN</t>
        </is>
      </c>
      <c r="E285" t="inlineStr">
        <is>
          <t>NORRTÄLJE</t>
        </is>
      </c>
      <c r="G285" t="n">
        <v>2.3</v>
      </c>
      <c r="H285" t="n">
        <v>0</v>
      </c>
      <c r="I285" t="n">
        <v>0</v>
      </c>
      <c r="J285" t="n">
        <v>0</v>
      </c>
      <c r="K285" t="n">
        <v>0</v>
      </c>
      <c r="L285" t="n">
        <v>0</v>
      </c>
      <c r="M285" t="n">
        <v>0</v>
      </c>
      <c r="N285" t="n">
        <v>0</v>
      </c>
      <c r="O285" t="n">
        <v>0</v>
      </c>
      <c r="P285" t="n">
        <v>0</v>
      </c>
      <c r="Q285" t="n">
        <v>0</v>
      </c>
      <c r="R285" s="2" t="inlineStr"/>
    </row>
    <row r="286" ht="15" customHeight="1">
      <c r="A286" t="inlineStr">
        <is>
          <t>A 23453-2021</t>
        </is>
      </c>
      <c r="B286" s="1" t="n">
        <v>44333</v>
      </c>
      <c r="C286" s="1" t="n">
        <v>46045</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14543-2022</t>
        </is>
      </c>
      <c r="B287" s="1" t="n">
        <v>44655.45373842592</v>
      </c>
      <c r="C287" s="1" t="n">
        <v>46045</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12348-2025</t>
        </is>
      </c>
      <c r="B288" s="1" t="n">
        <v>45730.35026620371</v>
      </c>
      <c r="C288" s="1" t="n">
        <v>46045</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27214-2021</t>
        </is>
      </c>
      <c r="B289" s="1" t="n">
        <v>44350</v>
      </c>
      <c r="C289" s="1" t="n">
        <v>46045</v>
      </c>
      <c r="D289" t="inlineStr">
        <is>
          <t>STOCKHOLMS LÄN</t>
        </is>
      </c>
      <c r="E289" t="inlineStr">
        <is>
          <t>NORRTÄLJE</t>
        </is>
      </c>
      <c r="G289" t="n">
        <v>1</v>
      </c>
      <c r="H289" t="n">
        <v>0</v>
      </c>
      <c r="I289" t="n">
        <v>0</v>
      </c>
      <c r="J289" t="n">
        <v>0</v>
      </c>
      <c r="K289" t="n">
        <v>0</v>
      </c>
      <c r="L289" t="n">
        <v>0</v>
      </c>
      <c r="M289" t="n">
        <v>0</v>
      </c>
      <c r="N289" t="n">
        <v>0</v>
      </c>
      <c r="O289" t="n">
        <v>0</v>
      </c>
      <c r="P289" t="n">
        <v>0</v>
      </c>
      <c r="Q289" t="n">
        <v>0</v>
      </c>
      <c r="R289" s="2" t="inlineStr"/>
    </row>
    <row r="290" ht="15" customHeight="1">
      <c r="A290" t="inlineStr">
        <is>
          <t>A 5823-2023</t>
        </is>
      </c>
      <c r="B290" s="1" t="n">
        <v>44963</v>
      </c>
      <c r="C290" s="1" t="n">
        <v>46045</v>
      </c>
      <c r="D290" t="inlineStr">
        <is>
          <t>STOCKHOLMS LÄN</t>
        </is>
      </c>
      <c r="E290" t="inlineStr">
        <is>
          <t>NORRTÄLJE</t>
        </is>
      </c>
      <c r="G290" t="n">
        <v>0.7</v>
      </c>
      <c r="H290" t="n">
        <v>0</v>
      </c>
      <c r="I290" t="n">
        <v>0</v>
      </c>
      <c r="J290" t="n">
        <v>0</v>
      </c>
      <c r="K290" t="n">
        <v>0</v>
      </c>
      <c r="L290" t="n">
        <v>0</v>
      </c>
      <c r="M290" t="n">
        <v>0</v>
      </c>
      <c r="N290" t="n">
        <v>0</v>
      </c>
      <c r="O290" t="n">
        <v>0</v>
      </c>
      <c r="P290" t="n">
        <v>0</v>
      </c>
      <c r="Q290" t="n">
        <v>0</v>
      </c>
      <c r="R290" s="2" t="inlineStr"/>
    </row>
    <row r="291" ht="15" customHeight="1">
      <c r="A291" t="inlineStr">
        <is>
          <t>A 30731-2023</t>
        </is>
      </c>
      <c r="B291" s="1" t="n">
        <v>45112</v>
      </c>
      <c r="C291" s="1" t="n">
        <v>46045</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12355-2022</t>
        </is>
      </c>
      <c r="B292" s="1" t="n">
        <v>44637</v>
      </c>
      <c r="C292" s="1" t="n">
        <v>46045</v>
      </c>
      <c r="D292" t="inlineStr">
        <is>
          <t>STOCKHOLMS LÄN</t>
        </is>
      </c>
      <c r="E292" t="inlineStr">
        <is>
          <t>NORRTÄLJE</t>
        </is>
      </c>
      <c r="G292" t="n">
        <v>10.4</v>
      </c>
      <c r="H292" t="n">
        <v>0</v>
      </c>
      <c r="I292" t="n">
        <v>0</v>
      </c>
      <c r="J292" t="n">
        <v>0</v>
      </c>
      <c r="K292" t="n">
        <v>0</v>
      </c>
      <c r="L292" t="n">
        <v>0</v>
      </c>
      <c r="M292" t="n">
        <v>0</v>
      </c>
      <c r="N292" t="n">
        <v>0</v>
      </c>
      <c r="O292" t="n">
        <v>0</v>
      </c>
      <c r="P292" t="n">
        <v>0</v>
      </c>
      <c r="Q292" t="n">
        <v>0</v>
      </c>
      <c r="R292" s="2" t="inlineStr"/>
    </row>
    <row r="293" ht="15" customHeight="1">
      <c r="A293" t="inlineStr">
        <is>
          <t>A 5513-2022</t>
        </is>
      </c>
      <c r="B293" s="1" t="n">
        <v>44595</v>
      </c>
      <c r="C293" s="1" t="n">
        <v>46045</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13148-2021</t>
        </is>
      </c>
      <c r="B294" s="1" t="n">
        <v>44272</v>
      </c>
      <c r="C294" s="1" t="n">
        <v>46045</v>
      </c>
      <c r="D294" t="inlineStr">
        <is>
          <t>STOCKHOLMS LÄN</t>
        </is>
      </c>
      <c r="E294" t="inlineStr">
        <is>
          <t>NORRTÄLJE</t>
        </is>
      </c>
      <c r="G294" t="n">
        <v>12.4</v>
      </c>
      <c r="H294" t="n">
        <v>0</v>
      </c>
      <c r="I294" t="n">
        <v>0</v>
      </c>
      <c r="J294" t="n">
        <v>0</v>
      </c>
      <c r="K294" t="n">
        <v>0</v>
      </c>
      <c r="L294" t="n">
        <v>0</v>
      </c>
      <c r="M294" t="n">
        <v>0</v>
      </c>
      <c r="N294" t="n">
        <v>0</v>
      </c>
      <c r="O294" t="n">
        <v>0</v>
      </c>
      <c r="P294" t="n">
        <v>0</v>
      </c>
      <c r="Q294" t="n">
        <v>0</v>
      </c>
      <c r="R294" s="2" t="inlineStr"/>
    </row>
    <row r="295" ht="15" customHeight="1">
      <c r="A295" t="inlineStr">
        <is>
          <t>A 27715-2022</t>
        </is>
      </c>
      <c r="B295" s="1" t="n">
        <v>44743.47407407407</v>
      </c>
      <c r="C295" s="1" t="n">
        <v>46045</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7565-2022</t>
        </is>
      </c>
      <c r="B296" s="1" t="n">
        <v>44607</v>
      </c>
      <c r="C296" s="1" t="n">
        <v>46045</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12111-2021</t>
        </is>
      </c>
      <c r="B297" s="1" t="n">
        <v>44266</v>
      </c>
      <c r="C297" s="1" t="n">
        <v>46045</v>
      </c>
      <c r="D297" t="inlineStr">
        <is>
          <t>STOCKHOLMS LÄN</t>
        </is>
      </c>
      <c r="E297" t="inlineStr">
        <is>
          <t>NORRTÄLJE</t>
        </is>
      </c>
      <c r="G297" t="n">
        <v>5.5</v>
      </c>
      <c r="H297" t="n">
        <v>0</v>
      </c>
      <c r="I297" t="n">
        <v>0</v>
      </c>
      <c r="J297" t="n">
        <v>0</v>
      </c>
      <c r="K297" t="n">
        <v>0</v>
      </c>
      <c r="L297" t="n">
        <v>0</v>
      </c>
      <c r="M297" t="n">
        <v>0</v>
      </c>
      <c r="N297" t="n">
        <v>0</v>
      </c>
      <c r="O297" t="n">
        <v>0</v>
      </c>
      <c r="P297" t="n">
        <v>0</v>
      </c>
      <c r="Q297" t="n">
        <v>0</v>
      </c>
      <c r="R297" s="2" t="inlineStr"/>
    </row>
    <row r="298" ht="15" customHeight="1">
      <c r="A298" t="inlineStr">
        <is>
          <t>A 33053-2021</t>
        </is>
      </c>
      <c r="B298" s="1" t="n">
        <v>44376</v>
      </c>
      <c r="C298" s="1" t="n">
        <v>46045</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41822-2021</t>
        </is>
      </c>
      <c r="B299" s="1" t="n">
        <v>44425</v>
      </c>
      <c r="C299" s="1" t="n">
        <v>46045</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41823-2021</t>
        </is>
      </c>
      <c r="B300" s="1" t="n">
        <v>44425</v>
      </c>
      <c r="C300" s="1" t="n">
        <v>46045</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11988-2021</t>
        </is>
      </c>
      <c r="B301" s="1" t="n">
        <v>44266</v>
      </c>
      <c r="C301" s="1" t="n">
        <v>46045</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12132-2021</t>
        </is>
      </c>
      <c r="B302" s="1" t="n">
        <v>44266</v>
      </c>
      <c r="C302" s="1" t="n">
        <v>46045</v>
      </c>
      <c r="D302" t="inlineStr">
        <is>
          <t>STOCKHOLMS LÄN</t>
        </is>
      </c>
      <c r="E302" t="inlineStr">
        <is>
          <t>NORRTÄLJE</t>
        </is>
      </c>
      <c r="G302" t="n">
        <v>4</v>
      </c>
      <c r="H302" t="n">
        <v>0</v>
      </c>
      <c r="I302" t="n">
        <v>0</v>
      </c>
      <c r="J302" t="n">
        <v>0</v>
      </c>
      <c r="K302" t="n">
        <v>0</v>
      </c>
      <c r="L302" t="n">
        <v>0</v>
      </c>
      <c r="M302" t="n">
        <v>0</v>
      </c>
      <c r="N302" t="n">
        <v>0</v>
      </c>
      <c r="O302" t="n">
        <v>0</v>
      </c>
      <c r="P302" t="n">
        <v>0</v>
      </c>
      <c r="Q302" t="n">
        <v>0</v>
      </c>
      <c r="R302" s="2" t="inlineStr"/>
    </row>
    <row r="303" ht="15" customHeight="1">
      <c r="A303" t="inlineStr">
        <is>
          <t>A 28042-2022</t>
        </is>
      </c>
      <c r="B303" s="1" t="n">
        <v>44744</v>
      </c>
      <c r="C303" s="1" t="n">
        <v>46045</v>
      </c>
      <c r="D303" t="inlineStr">
        <is>
          <t>STOCKHOLMS LÄN</t>
        </is>
      </c>
      <c r="E303" t="inlineStr">
        <is>
          <t>NORRTÄLJE</t>
        </is>
      </c>
      <c r="G303" t="n">
        <v>0.2</v>
      </c>
      <c r="H303" t="n">
        <v>0</v>
      </c>
      <c r="I303" t="n">
        <v>0</v>
      </c>
      <c r="J303" t="n">
        <v>0</v>
      </c>
      <c r="K303" t="n">
        <v>0</v>
      </c>
      <c r="L303" t="n">
        <v>0</v>
      </c>
      <c r="M303" t="n">
        <v>0</v>
      </c>
      <c r="N303" t="n">
        <v>0</v>
      </c>
      <c r="O303" t="n">
        <v>0</v>
      </c>
      <c r="P303" t="n">
        <v>0</v>
      </c>
      <c r="Q303" t="n">
        <v>0</v>
      </c>
      <c r="R303" s="2" t="inlineStr"/>
    </row>
    <row r="304" ht="15" customHeight="1">
      <c r="A304" t="inlineStr">
        <is>
          <t>A 20013-2025</t>
        </is>
      </c>
      <c r="B304" s="1" t="n">
        <v>45772.30436342592</v>
      </c>
      <c r="C304" s="1" t="n">
        <v>46045</v>
      </c>
      <c r="D304" t="inlineStr">
        <is>
          <t>STOCKHOLMS LÄN</t>
        </is>
      </c>
      <c r="E304" t="inlineStr">
        <is>
          <t>NORRTÄLJE</t>
        </is>
      </c>
      <c r="G304" t="n">
        <v>2.3</v>
      </c>
      <c r="H304" t="n">
        <v>0</v>
      </c>
      <c r="I304" t="n">
        <v>0</v>
      </c>
      <c r="J304" t="n">
        <v>0</v>
      </c>
      <c r="K304" t="n">
        <v>0</v>
      </c>
      <c r="L304" t="n">
        <v>0</v>
      </c>
      <c r="M304" t="n">
        <v>0</v>
      </c>
      <c r="N304" t="n">
        <v>0</v>
      </c>
      <c r="O304" t="n">
        <v>0</v>
      </c>
      <c r="P304" t="n">
        <v>0</v>
      </c>
      <c r="Q304" t="n">
        <v>0</v>
      </c>
      <c r="R304" s="2" t="inlineStr"/>
    </row>
    <row r="305" ht="15" customHeight="1">
      <c r="A305" t="inlineStr">
        <is>
          <t>A 63161-2023</t>
        </is>
      </c>
      <c r="B305" s="1" t="n">
        <v>45273</v>
      </c>
      <c r="C305" s="1" t="n">
        <v>46045</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41398-2022</t>
        </is>
      </c>
      <c r="B306" s="1" t="n">
        <v>44826</v>
      </c>
      <c r="C306" s="1" t="n">
        <v>46045</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22369-2021</t>
        </is>
      </c>
      <c r="B307" s="1" t="n">
        <v>44326</v>
      </c>
      <c r="C307" s="1" t="n">
        <v>46045</v>
      </c>
      <c r="D307" t="inlineStr">
        <is>
          <t>STOCKHOLMS LÄN</t>
        </is>
      </c>
      <c r="E307" t="inlineStr">
        <is>
          <t>NORRTÄLJE</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23271-2023</t>
        </is>
      </c>
      <c r="B308" s="1" t="n">
        <v>45075.91362268518</v>
      </c>
      <c r="C308" s="1" t="n">
        <v>46045</v>
      </c>
      <c r="D308" t="inlineStr">
        <is>
          <t>STOCKHOLMS LÄN</t>
        </is>
      </c>
      <c r="E308" t="inlineStr">
        <is>
          <t>NORRTÄLJE</t>
        </is>
      </c>
      <c r="G308" t="n">
        <v>5.1</v>
      </c>
      <c r="H308" t="n">
        <v>0</v>
      </c>
      <c r="I308" t="n">
        <v>0</v>
      </c>
      <c r="J308" t="n">
        <v>0</v>
      </c>
      <c r="K308" t="n">
        <v>0</v>
      </c>
      <c r="L308" t="n">
        <v>0</v>
      </c>
      <c r="M308" t="n">
        <v>0</v>
      </c>
      <c r="N308" t="n">
        <v>0</v>
      </c>
      <c r="O308" t="n">
        <v>0</v>
      </c>
      <c r="P308" t="n">
        <v>0</v>
      </c>
      <c r="Q308" t="n">
        <v>0</v>
      </c>
      <c r="R308" s="2" t="inlineStr"/>
    </row>
    <row r="309" ht="15" customHeight="1">
      <c r="A309" t="inlineStr">
        <is>
          <t>A 23273-2023</t>
        </is>
      </c>
      <c r="B309" s="1" t="n">
        <v>45075.91971064815</v>
      </c>
      <c r="C309" s="1" t="n">
        <v>46045</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46045</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46045</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51653-2022</t>
        </is>
      </c>
      <c r="B312" s="1" t="n">
        <v>44867</v>
      </c>
      <c r="C312" s="1" t="n">
        <v>46045</v>
      </c>
      <c r="D312" t="inlineStr">
        <is>
          <t>STOCKHOLMS LÄN</t>
        </is>
      </c>
      <c r="E312" t="inlineStr">
        <is>
          <t>NORRTÄLJE</t>
        </is>
      </c>
      <c r="G312" t="n">
        <v>6.6</v>
      </c>
      <c r="H312" t="n">
        <v>0</v>
      </c>
      <c r="I312" t="n">
        <v>0</v>
      </c>
      <c r="J312" t="n">
        <v>0</v>
      </c>
      <c r="K312" t="n">
        <v>0</v>
      </c>
      <c r="L312" t="n">
        <v>0</v>
      </c>
      <c r="M312" t="n">
        <v>0</v>
      </c>
      <c r="N312" t="n">
        <v>0</v>
      </c>
      <c r="O312" t="n">
        <v>0</v>
      </c>
      <c r="P312" t="n">
        <v>0</v>
      </c>
      <c r="Q312" t="n">
        <v>0</v>
      </c>
      <c r="R312" s="2" t="inlineStr"/>
    </row>
    <row r="313" ht="15" customHeight="1">
      <c r="A313" t="inlineStr">
        <is>
          <t>A 16008-2025</t>
        </is>
      </c>
      <c r="B313" s="1" t="n">
        <v>45749</v>
      </c>
      <c r="C313" s="1" t="n">
        <v>46045</v>
      </c>
      <c r="D313" t="inlineStr">
        <is>
          <t>STOCKHOLMS LÄN</t>
        </is>
      </c>
      <c r="E313" t="inlineStr">
        <is>
          <t>NORRTÄLJE</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20295-2022</t>
        </is>
      </c>
      <c r="B314" s="1" t="n">
        <v>44698</v>
      </c>
      <c r="C314" s="1" t="n">
        <v>46045</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9765-2024</t>
        </is>
      </c>
      <c r="B315" s="1" t="n">
        <v>45362.62811342593</v>
      </c>
      <c r="C315" s="1" t="n">
        <v>46045</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37415-2021</t>
        </is>
      </c>
      <c r="B316" s="1" t="n">
        <v>44397</v>
      </c>
      <c r="C316" s="1" t="n">
        <v>46045</v>
      </c>
      <c r="D316" t="inlineStr">
        <is>
          <t>STOCKHOLMS LÄN</t>
        </is>
      </c>
      <c r="E316" t="inlineStr">
        <is>
          <t>NORRTÄLJE</t>
        </is>
      </c>
      <c r="F316" t="inlineStr">
        <is>
          <t>Övriga Aktiebolag</t>
        </is>
      </c>
      <c r="G316" t="n">
        <v>3</v>
      </c>
      <c r="H316" t="n">
        <v>0</v>
      </c>
      <c r="I316" t="n">
        <v>0</v>
      </c>
      <c r="J316" t="n">
        <v>0</v>
      </c>
      <c r="K316" t="n">
        <v>0</v>
      </c>
      <c r="L316" t="n">
        <v>0</v>
      </c>
      <c r="M316" t="n">
        <v>0</v>
      </c>
      <c r="N316" t="n">
        <v>0</v>
      </c>
      <c r="O316" t="n">
        <v>0</v>
      </c>
      <c r="P316" t="n">
        <v>0</v>
      </c>
      <c r="Q316" t="n">
        <v>0</v>
      </c>
      <c r="R316" s="2" t="inlineStr"/>
    </row>
    <row r="317" ht="15" customHeight="1">
      <c r="A317" t="inlineStr">
        <is>
          <t>A 19398-2021</t>
        </is>
      </c>
      <c r="B317" s="1" t="n">
        <v>44309</v>
      </c>
      <c r="C317" s="1" t="n">
        <v>46045</v>
      </c>
      <c r="D317" t="inlineStr">
        <is>
          <t>STOCKHOLMS LÄN</t>
        </is>
      </c>
      <c r="E317" t="inlineStr">
        <is>
          <t>NORRTÄLJE</t>
        </is>
      </c>
      <c r="F317" t="inlineStr">
        <is>
          <t>Kommuner</t>
        </is>
      </c>
      <c r="G317" t="n">
        <v>2.1</v>
      </c>
      <c r="H317" t="n">
        <v>0</v>
      </c>
      <c r="I317" t="n">
        <v>0</v>
      </c>
      <c r="J317" t="n">
        <v>0</v>
      </c>
      <c r="K317" t="n">
        <v>0</v>
      </c>
      <c r="L317" t="n">
        <v>0</v>
      </c>
      <c r="M317" t="n">
        <v>0</v>
      </c>
      <c r="N317" t="n">
        <v>0</v>
      </c>
      <c r="O317" t="n">
        <v>0</v>
      </c>
      <c r="P317" t="n">
        <v>0</v>
      </c>
      <c r="Q317" t="n">
        <v>0</v>
      </c>
      <c r="R317" s="2" t="inlineStr"/>
    </row>
    <row r="318" ht="15" customHeight="1">
      <c r="A318" t="inlineStr">
        <is>
          <t>A 38612-2022</t>
        </is>
      </c>
      <c r="B318" s="1" t="n">
        <v>44813</v>
      </c>
      <c r="C318" s="1" t="n">
        <v>46045</v>
      </c>
      <c r="D318" t="inlineStr">
        <is>
          <t>STOCKHOLMS LÄN</t>
        </is>
      </c>
      <c r="E318" t="inlineStr">
        <is>
          <t>NORRTÄLJE</t>
        </is>
      </c>
      <c r="G318" t="n">
        <v>1.7</v>
      </c>
      <c r="H318" t="n">
        <v>0</v>
      </c>
      <c r="I318" t="n">
        <v>0</v>
      </c>
      <c r="J318" t="n">
        <v>0</v>
      </c>
      <c r="K318" t="n">
        <v>0</v>
      </c>
      <c r="L318" t="n">
        <v>0</v>
      </c>
      <c r="M318" t="n">
        <v>0</v>
      </c>
      <c r="N318" t="n">
        <v>0</v>
      </c>
      <c r="O318" t="n">
        <v>0</v>
      </c>
      <c r="P318" t="n">
        <v>0</v>
      </c>
      <c r="Q318" t="n">
        <v>0</v>
      </c>
      <c r="R318" s="2" t="inlineStr"/>
    </row>
    <row r="319" ht="15" customHeight="1">
      <c r="A319" t="inlineStr">
        <is>
          <t>A 47694-2023</t>
        </is>
      </c>
      <c r="B319" s="1" t="n">
        <v>45203.63303240741</v>
      </c>
      <c r="C319" s="1" t="n">
        <v>46045</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30286-2022</t>
        </is>
      </c>
      <c r="B320" s="1" t="n">
        <v>44760</v>
      </c>
      <c r="C320" s="1" t="n">
        <v>46045</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33040-2021</t>
        </is>
      </c>
      <c r="B321" s="1" t="n">
        <v>44376.50728009259</v>
      </c>
      <c r="C321" s="1" t="n">
        <v>46045</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8160-2022</t>
        </is>
      </c>
      <c r="B322" s="1" t="n">
        <v>44609</v>
      </c>
      <c r="C322" s="1" t="n">
        <v>46045</v>
      </c>
      <c r="D322" t="inlineStr">
        <is>
          <t>STOCKHOLMS LÄN</t>
        </is>
      </c>
      <c r="E322" t="inlineStr">
        <is>
          <t>NORRTÄLJE</t>
        </is>
      </c>
      <c r="G322" t="n">
        <v>3.9</v>
      </c>
      <c r="H322" t="n">
        <v>0</v>
      </c>
      <c r="I322" t="n">
        <v>0</v>
      </c>
      <c r="J322" t="n">
        <v>0</v>
      </c>
      <c r="K322" t="n">
        <v>0</v>
      </c>
      <c r="L322" t="n">
        <v>0</v>
      </c>
      <c r="M322" t="n">
        <v>0</v>
      </c>
      <c r="N322" t="n">
        <v>0</v>
      </c>
      <c r="O322" t="n">
        <v>0</v>
      </c>
      <c r="P322" t="n">
        <v>0</v>
      </c>
      <c r="Q322" t="n">
        <v>0</v>
      </c>
      <c r="R322" s="2" t="inlineStr"/>
    </row>
    <row r="323" ht="15" customHeight="1">
      <c r="A323" t="inlineStr">
        <is>
          <t>A 40656-2022</t>
        </is>
      </c>
      <c r="B323" s="1" t="n">
        <v>44824.36069444445</v>
      </c>
      <c r="C323" s="1" t="n">
        <v>46045</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39319-2022</t>
        </is>
      </c>
      <c r="B324" s="1" t="n">
        <v>44817.70516203704</v>
      </c>
      <c r="C324" s="1" t="n">
        <v>46045</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26117-2024</t>
        </is>
      </c>
      <c r="B325" s="1" t="n">
        <v>45468.45877314815</v>
      </c>
      <c r="C325" s="1" t="n">
        <v>46045</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40425-2021</t>
        </is>
      </c>
      <c r="B326" s="1" t="n">
        <v>44419</v>
      </c>
      <c r="C326" s="1" t="n">
        <v>46045</v>
      </c>
      <c r="D326" t="inlineStr">
        <is>
          <t>STOCKHOLMS LÄN</t>
        </is>
      </c>
      <c r="E326" t="inlineStr">
        <is>
          <t>NORRTÄLJE</t>
        </is>
      </c>
      <c r="G326" t="n">
        <v>5</v>
      </c>
      <c r="H326" t="n">
        <v>0</v>
      </c>
      <c r="I326" t="n">
        <v>0</v>
      </c>
      <c r="J326" t="n">
        <v>0</v>
      </c>
      <c r="K326" t="n">
        <v>0</v>
      </c>
      <c r="L326" t="n">
        <v>0</v>
      </c>
      <c r="M326" t="n">
        <v>0</v>
      </c>
      <c r="N326" t="n">
        <v>0</v>
      </c>
      <c r="O326" t="n">
        <v>0</v>
      </c>
      <c r="P326" t="n">
        <v>0</v>
      </c>
      <c r="Q326" t="n">
        <v>0</v>
      </c>
      <c r="R326" s="2" t="inlineStr"/>
    </row>
    <row r="327" ht="15" customHeight="1">
      <c r="A327" t="inlineStr">
        <is>
          <t>A 20014-2025</t>
        </is>
      </c>
      <c r="B327" s="1" t="n">
        <v>45772.3078125</v>
      </c>
      <c r="C327" s="1" t="n">
        <v>46045</v>
      </c>
      <c r="D327" t="inlineStr">
        <is>
          <t>STOCKHOLMS LÄN</t>
        </is>
      </c>
      <c r="E327" t="inlineStr">
        <is>
          <t>NORRTÄLJE</t>
        </is>
      </c>
      <c r="G327" t="n">
        <v>4.4</v>
      </c>
      <c r="H327" t="n">
        <v>0</v>
      </c>
      <c r="I327" t="n">
        <v>0</v>
      </c>
      <c r="J327" t="n">
        <v>0</v>
      </c>
      <c r="K327" t="n">
        <v>0</v>
      </c>
      <c r="L327" t="n">
        <v>0</v>
      </c>
      <c r="M327" t="n">
        <v>0</v>
      </c>
      <c r="N327" t="n">
        <v>0</v>
      </c>
      <c r="O327" t="n">
        <v>0</v>
      </c>
      <c r="P327" t="n">
        <v>0</v>
      </c>
      <c r="Q327" t="n">
        <v>0</v>
      </c>
      <c r="R327" s="2" t="inlineStr"/>
    </row>
    <row r="328" ht="15" customHeight="1">
      <c r="A328" t="inlineStr">
        <is>
          <t>A 61113-2023</t>
        </is>
      </c>
      <c r="B328" s="1" t="n">
        <v>45261</v>
      </c>
      <c r="C328" s="1" t="n">
        <v>46045</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56219-2021</t>
        </is>
      </c>
      <c r="B329" s="1" t="n">
        <v>44477</v>
      </c>
      <c r="C329" s="1" t="n">
        <v>46045</v>
      </c>
      <c r="D329" t="inlineStr">
        <is>
          <t>STOCKHOLMS LÄN</t>
        </is>
      </c>
      <c r="E329" t="inlineStr">
        <is>
          <t>NORRTÄLJE</t>
        </is>
      </c>
      <c r="F329" t="inlineStr">
        <is>
          <t>Kommuner</t>
        </is>
      </c>
      <c r="G329" t="n">
        <v>2.3</v>
      </c>
      <c r="H329" t="n">
        <v>0</v>
      </c>
      <c r="I329" t="n">
        <v>0</v>
      </c>
      <c r="J329" t="n">
        <v>0</v>
      </c>
      <c r="K329" t="n">
        <v>0</v>
      </c>
      <c r="L329" t="n">
        <v>0</v>
      </c>
      <c r="M329" t="n">
        <v>0</v>
      </c>
      <c r="N329" t="n">
        <v>0</v>
      </c>
      <c r="O329" t="n">
        <v>0</v>
      </c>
      <c r="P329" t="n">
        <v>0</v>
      </c>
      <c r="Q329" t="n">
        <v>0</v>
      </c>
      <c r="R329" s="2" t="inlineStr"/>
    </row>
    <row r="330" ht="15" customHeight="1">
      <c r="A330" t="inlineStr">
        <is>
          <t>A 56631-2024</t>
        </is>
      </c>
      <c r="B330" s="1" t="n">
        <v>45625</v>
      </c>
      <c r="C330" s="1" t="n">
        <v>46045</v>
      </c>
      <c r="D330" t="inlineStr">
        <is>
          <t>STOCKHOLMS LÄN</t>
        </is>
      </c>
      <c r="E330" t="inlineStr">
        <is>
          <t>NORRTÄLJE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48587-2023</t>
        </is>
      </c>
      <c r="B331" s="1" t="n">
        <v>45208</v>
      </c>
      <c r="C331" s="1" t="n">
        <v>46045</v>
      </c>
      <c r="D331" t="inlineStr">
        <is>
          <t>STOCKHOLMS LÄN</t>
        </is>
      </c>
      <c r="E331" t="inlineStr">
        <is>
          <t>NORRTÄLJE</t>
        </is>
      </c>
      <c r="G331" t="n">
        <v>7</v>
      </c>
      <c r="H331" t="n">
        <v>0</v>
      </c>
      <c r="I331" t="n">
        <v>0</v>
      </c>
      <c r="J331" t="n">
        <v>0</v>
      </c>
      <c r="K331" t="n">
        <v>0</v>
      </c>
      <c r="L331" t="n">
        <v>0</v>
      </c>
      <c r="M331" t="n">
        <v>0</v>
      </c>
      <c r="N331" t="n">
        <v>0</v>
      </c>
      <c r="O331" t="n">
        <v>0</v>
      </c>
      <c r="P331" t="n">
        <v>0</v>
      </c>
      <c r="Q331" t="n">
        <v>0</v>
      </c>
      <c r="R331" s="2" t="inlineStr"/>
    </row>
    <row r="332" ht="15" customHeight="1">
      <c r="A332" t="inlineStr">
        <is>
          <t>A 60822-2023</t>
        </is>
      </c>
      <c r="B332" s="1" t="n">
        <v>45259</v>
      </c>
      <c r="C332" s="1" t="n">
        <v>46045</v>
      </c>
      <c r="D332" t="inlineStr">
        <is>
          <t>STOCKHOLMS LÄN</t>
        </is>
      </c>
      <c r="E332" t="inlineStr">
        <is>
          <t>NORRTÄLJE</t>
        </is>
      </c>
      <c r="G332" t="n">
        <v>5.2</v>
      </c>
      <c r="H332" t="n">
        <v>0</v>
      </c>
      <c r="I332" t="n">
        <v>0</v>
      </c>
      <c r="J332" t="n">
        <v>0</v>
      </c>
      <c r="K332" t="n">
        <v>0</v>
      </c>
      <c r="L332" t="n">
        <v>0</v>
      </c>
      <c r="M332" t="n">
        <v>0</v>
      </c>
      <c r="N332" t="n">
        <v>0</v>
      </c>
      <c r="O332" t="n">
        <v>0</v>
      </c>
      <c r="P332" t="n">
        <v>0</v>
      </c>
      <c r="Q332" t="n">
        <v>0</v>
      </c>
      <c r="R332" s="2" t="inlineStr"/>
    </row>
    <row r="333" ht="15" customHeight="1">
      <c r="A333" t="inlineStr">
        <is>
          <t>A 59310-2023</t>
        </is>
      </c>
      <c r="B333" s="1" t="n">
        <v>45253.61146990741</v>
      </c>
      <c r="C333" s="1" t="n">
        <v>46045</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53600-2022</t>
        </is>
      </c>
      <c r="B334" s="1" t="n">
        <v>44879.70518518519</v>
      </c>
      <c r="C334" s="1" t="n">
        <v>46045</v>
      </c>
      <c r="D334" t="inlineStr">
        <is>
          <t>STOCKHOLMS LÄN</t>
        </is>
      </c>
      <c r="E334" t="inlineStr">
        <is>
          <t>NORRTÄLJE</t>
        </is>
      </c>
      <c r="G334" t="n">
        <v>4.3</v>
      </c>
      <c r="H334" t="n">
        <v>0</v>
      </c>
      <c r="I334" t="n">
        <v>0</v>
      </c>
      <c r="J334" t="n">
        <v>0</v>
      </c>
      <c r="K334" t="n">
        <v>0</v>
      </c>
      <c r="L334" t="n">
        <v>0</v>
      </c>
      <c r="M334" t="n">
        <v>0</v>
      </c>
      <c r="N334" t="n">
        <v>0</v>
      </c>
      <c r="O334" t="n">
        <v>0</v>
      </c>
      <c r="P334" t="n">
        <v>0</v>
      </c>
      <c r="Q334" t="n">
        <v>0</v>
      </c>
      <c r="R334" s="2" t="inlineStr"/>
    </row>
    <row r="335" ht="15" customHeight="1">
      <c r="A335" t="inlineStr">
        <is>
          <t>A 20343-2024</t>
        </is>
      </c>
      <c r="B335" s="1" t="n">
        <v>45435.43466435185</v>
      </c>
      <c r="C335" s="1" t="n">
        <v>46045</v>
      </c>
      <c r="D335" t="inlineStr">
        <is>
          <t>STOCKHOLMS LÄN</t>
        </is>
      </c>
      <c r="E335" t="inlineStr">
        <is>
          <t>NORRTÄLJE</t>
        </is>
      </c>
      <c r="G335" t="n">
        <v>2.8</v>
      </c>
      <c r="H335" t="n">
        <v>0</v>
      </c>
      <c r="I335" t="n">
        <v>0</v>
      </c>
      <c r="J335" t="n">
        <v>0</v>
      </c>
      <c r="K335" t="n">
        <v>0</v>
      </c>
      <c r="L335" t="n">
        <v>0</v>
      </c>
      <c r="M335" t="n">
        <v>0</v>
      </c>
      <c r="N335" t="n">
        <v>0</v>
      </c>
      <c r="O335" t="n">
        <v>0</v>
      </c>
      <c r="P335" t="n">
        <v>0</v>
      </c>
      <c r="Q335" t="n">
        <v>0</v>
      </c>
      <c r="R335" s="2" t="inlineStr"/>
    </row>
    <row r="336" ht="15" customHeight="1">
      <c r="A336" t="inlineStr">
        <is>
          <t>A 20345-2024</t>
        </is>
      </c>
      <c r="B336" s="1" t="n">
        <v>45435.43820601852</v>
      </c>
      <c r="C336" s="1" t="n">
        <v>46045</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32103-2022</t>
        </is>
      </c>
      <c r="B337" s="1" t="n">
        <v>44778</v>
      </c>
      <c r="C337" s="1" t="n">
        <v>46045</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55952-2024</t>
        </is>
      </c>
      <c r="B338" s="1" t="n">
        <v>45623.62563657408</v>
      </c>
      <c r="C338" s="1" t="n">
        <v>46045</v>
      </c>
      <c r="D338" t="inlineStr">
        <is>
          <t>STOCKHOLMS LÄN</t>
        </is>
      </c>
      <c r="E338" t="inlineStr">
        <is>
          <t>NORRTÄLJE</t>
        </is>
      </c>
      <c r="F338" t="inlineStr">
        <is>
          <t>Holmen skog AB</t>
        </is>
      </c>
      <c r="G338" t="n">
        <v>2.8</v>
      </c>
      <c r="H338" t="n">
        <v>0</v>
      </c>
      <c r="I338" t="n">
        <v>0</v>
      </c>
      <c r="J338" t="n">
        <v>0</v>
      </c>
      <c r="K338" t="n">
        <v>0</v>
      </c>
      <c r="L338" t="n">
        <v>0</v>
      </c>
      <c r="M338" t="n">
        <v>0</v>
      </c>
      <c r="N338" t="n">
        <v>0</v>
      </c>
      <c r="O338" t="n">
        <v>0</v>
      </c>
      <c r="P338" t="n">
        <v>0</v>
      </c>
      <c r="Q338" t="n">
        <v>0</v>
      </c>
      <c r="R338" s="2" t="inlineStr"/>
    </row>
    <row r="339" ht="15" customHeight="1">
      <c r="A339" t="inlineStr">
        <is>
          <t>A 55010-2024</t>
        </is>
      </c>
      <c r="B339" s="1" t="n">
        <v>45621.34425925926</v>
      </c>
      <c r="C339" s="1" t="n">
        <v>46045</v>
      </c>
      <c r="D339" t="inlineStr">
        <is>
          <t>STOCKHOLMS LÄN</t>
        </is>
      </c>
      <c r="E339" t="inlineStr">
        <is>
          <t>NORRTÄLJE</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55018-2024</t>
        </is>
      </c>
      <c r="B340" s="1" t="n">
        <v>45621.35712962963</v>
      </c>
      <c r="C340" s="1" t="n">
        <v>46045</v>
      </c>
      <c r="D340" t="inlineStr">
        <is>
          <t>STOCKHOLMS LÄN</t>
        </is>
      </c>
      <c r="E340" t="inlineStr">
        <is>
          <t>NORRTÄLJE</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23070-2023</t>
        </is>
      </c>
      <c r="B341" s="1" t="n">
        <v>45075</v>
      </c>
      <c r="C341" s="1" t="n">
        <v>46045</v>
      </c>
      <c r="D341" t="inlineStr">
        <is>
          <t>STOCKHOLMS LÄN</t>
        </is>
      </c>
      <c r="E341" t="inlineStr">
        <is>
          <t>NORRTÄLJE</t>
        </is>
      </c>
      <c r="G341" t="n">
        <v>1.5</v>
      </c>
      <c r="H341" t="n">
        <v>0</v>
      </c>
      <c r="I341" t="n">
        <v>0</v>
      </c>
      <c r="J341" t="n">
        <v>0</v>
      </c>
      <c r="K341" t="n">
        <v>0</v>
      </c>
      <c r="L341" t="n">
        <v>0</v>
      </c>
      <c r="M341" t="n">
        <v>0</v>
      </c>
      <c r="N341" t="n">
        <v>0</v>
      </c>
      <c r="O341" t="n">
        <v>0</v>
      </c>
      <c r="P341" t="n">
        <v>0</v>
      </c>
      <c r="Q341" t="n">
        <v>0</v>
      </c>
      <c r="R341" s="2" t="inlineStr"/>
    </row>
    <row r="342" ht="15" customHeight="1">
      <c r="A342" t="inlineStr">
        <is>
          <t>A 50113-2024</t>
        </is>
      </c>
      <c r="B342" s="1" t="n">
        <v>45600.411875</v>
      </c>
      <c r="C342" s="1" t="n">
        <v>46045</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20336-2024</t>
        </is>
      </c>
      <c r="B343" s="1" t="n">
        <v>45435.43123842592</v>
      </c>
      <c r="C343" s="1" t="n">
        <v>46045</v>
      </c>
      <c r="D343" t="inlineStr">
        <is>
          <t>STOCKHOLMS LÄN</t>
        </is>
      </c>
      <c r="E343" t="inlineStr">
        <is>
          <t>NORRTÄLJE</t>
        </is>
      </c>
      <c r="G343" t="n">
        <v>1.9</v>
      </c>
      <c r="H343" t="n">
        <v>0</v>
      </c>
      <c r="I343" t="n">
        <v>0</v>
      </c>
      <c r="J343" t="n">
        <v>0</v>
      </c>
      <c r="K343" t="n">
        <v>0</v>
      </c>
      <c r="L343" t="n">
        <v>0</v>
      </c>
      <c r="M343" t="n">
        <v>0</v>
      </c>
      <c r="N343" t="n">
        <v>0</v>
      </c>
      <c r="O343" t="n">
        <v>0</v>
      </c>
      <c r="P343" t="n">
        <v>0</v>
      </c>
      <c r="Q343" t="n">
        <v>0</v>
      </c>
      <c r="R343" s="2" t="inlineStr"/>
    </row>
    <row r="344" ht="15" customHeight="1">
      <c r="A344" t="inlineStr">
        <is>
          <t>A 42955-2022</t>
        </is>
      </c>
      <c r="B344" s="1" t="n">
        <v>44833.40876157407</v>
      </c>
      <c r="C344" s="1" t="n">
        <v>46045</v>
      </c>
      <c r="D344" t="inlineStr">
        <is>
          <t>STOCKHOLMS LÄN</t>
        </is>
      </c>
      <c r="E344" t="inlineStr">
        <is>
          <t>NORRTÄLJE</t>
        </is>
      </c>
      <c r="G344" t="n">
        <v>13.1</v>
      </c>
      <c r="H344" t="n">
        <v>0</v>
      </c>
      <c r="I344" t="n">
        <v>0</v>
      </c>
      <c r="J344" t="n">
        <v>0</v>
      </c>
      <c r="K344" t="n">
        <v>0</v>
      </c>
      <c r="L344" t="n">
        <v>0</v>
      </c>
      <c r="M344" t="n">
        <v>0</v>
      </c>
      <c r="N344" t="n">
        <v>0</v>
      </c>
      <c r="O344" t="n">
        <v>0</v>
      </c>
      <c r="P344" t="n">
        <v>0</v>
      </c>
      <c r="Q344" t="n">
        <v>0</v>
      </c>
      <c r="R344" s="2" t="inlineStr"/>
    </row>
    <row r="345" ht="15" customHeight="1">
      <c r="A345" t="inlineStr">
        <is>
          <t>A 38593-2025</t>
        </is>
      </c>
      <c r="B345" s="1" t="n">
        <v>45884.48696759259</v>
      </c>
      <c r="C345" s="1" t="n">
        <v>46045</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64899-2023</t>
        </is>
      </c>
      <c r="B346" s="1" t="n">
        <v>45282</v>
      </c>
      <c r="C346" s="1" t="n">
        <v>46045</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1847-2023</t>
        </is>
      </c>
      <c r="B347" s="1" t="n">
        <v>44938</v>
      </c>
      <c r="C347" s="1" t="n">
        <v>46045</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8792-2025</t>
        </is>
      </c>
      <c r="B348" s="1" t="n">
        <v>45712</v>
      </c>
      <c r="C348" s="1" t="n">
        <v>46045</v>
      </c>
      <c r="D348" t="inlineStr">
        <is>
          <t>STOCKHOLMS LÄN</t>
        </is>
      </c>
      <c r="E348" t="inlineStr">
        <is>
          <t>NORRTÄLJE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11122-2021</t>
        </is>
      </c>
      <c r="B349" s="1" t="n">
        <v>44260</v>
      </c>
      <c r="C349" s="1" t="n">
        <v>46045</v>
      </c>
      <c r="D349" t="inlineStr">
        <is>
          <t>STOCKHOLMS LÄN</t>
        </is>
      </c>
      <c r="E349" t="inlineStr">
        <is>
          <t>NORRTÄLJE</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7571-2024</t>
        </is>
      </c>
      <c r="B350" s="1" t="n">
        <v>45348.46300925926</v>
      </c>
      <c r="C350" s="1" t="n">
        <v>46045</v>
      </c>
      <c r="D350" t="inlineStr">
        <is>
          <t>STOCKHOLMS LÄN</t>
        </is>
      </c>
      <c r="E350" t="inlineStr">
        <is>
          <t>NORRTÄLJE</t>
        </is>
      </c>
      <c r="F350" t="inlineStr">
        <is>
          <t>Holmen skog AB</t>
        </is>
      </c>
      <c r="G350" t="n">
        <v>1.8</v>
      </c>
      <c r="H350" t="n">
        <v>0</v>
      </c>
      <c r="I350" t="n">
        <v>0</v>
      </c>
      <c r="J350" t="n">
        <v>0</v>
      </c>
      <c r="K350" t="n">
        <v>0</v>
      </c>
      <c r="L350" t="n">
        <v>0</v>
      </c>
      <c r="M350" t="n">
        <v>0</v>
      </c>
      <c r="N350" t="n">
        <v>0</v>
      </c>
      <c r="O350" t="n">
        <v>0</v>
      </c>
      <c r="P350" t="n">
        <v>0</v>
      </c>
      <c r="Q350" t="n">
        <v>0</v>
      </c>
      <c r="R350" s="2" t="inlineStr"/>
    </row>
    <row r="351" ht="15" customHeight="1">
      <c r="A351" t="inlineStr">
        <is>
          <t>A 20136-2025</t>
        </is>
      </c>
      <c r="B351" s="1" t="n">
        <v>45772.51127314815</v>
      </c>
      <c r="C351" s="1" t="n">
        <v>46045</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15978-2024</t>
        </is>
      </c>
      <c r="B352" s="1" t="n">
        <v>45405.57927083333</v>
      </c>
      <c r="C352" s="1" t="n">
        <v>46045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29362-2022</t>
        </is>
      </c>
      <c r="B353" s="1" t="n">
        <v>44753</v>
      </c>
      <c r="C353" s="1" t="n">
        <v>46045</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20291-2022</t>
        </is>
      </c>
      <c r="B354" s="1" t="n">
        <v>44698</v>
      </c>
      <c r="C354" s="1" t="n">
        <v>46045</v>
      </c>
      <c r="D354" t="inlineStr">
        <is>
          <t>STOCKHOLMS LÄN</t>
        </is>
      </c>
      <c r="E354" t="inlineStr">
        <is>
          <t>NORRTÄLJE</t>
        </is>
      </c>
      <c r="F354" t="inlineStr">
        <is>
          <t>Naturvårdsverket</t>
        </is>
      </c>
      <c r="G354" t="n">
        <v>2</v>
      </c>
      <c r="H354" t="n">
        <v>0</v>
      </c>
      <c r="I354" t="n">
        <v>0</v>
      </c>
      <c r="J354" t="n">
        <v>0</v>
      </c>
      <c r="K354" t="n">
        <v>0</v>
      </c>
      <c r="L354" t="n">
        <v>0</v>
      </c>
      <c r="M354" t="n">
        <v>0</v>
      </c>
      <c r="N354" t="n">
        <v>0</v>
      </c>
      <c r="O354" t="n">
        <v>0</v>
      </c>
      <c r="P354" t="n">
        <v>0</v>
      </c>
      <c r="Q354" t="n">
        <v>0</v>
      </c>
      <c r="R354" s="2" t="inlineStr"/>
    </row>
    <row r="355" ht="15" customHeight="1">
      <c r="A355" t="inlineStr">
        <is>
          <t>A 20473-2021</t>
        </is>
      </c>
      <c r="B355" s="1" t="n">
        <v>44315</v>
      </c>
      <c r="C355" s="1" t="n">
        <v>46045</v>
      </c>
      <c r="D355" t="inlineStr">
        <is>
          <t>STOCKHOLMS LÄN</t>
        </is>
      </c>
      <c r="E355" t="inlineStr">
        <is>
          <t>NORRTÄLJE</t>
        </is>
      </c>
      <c r="F355" t="inlineStr">
        <is>
          <t>Övriga Aktiebolag</t>
        </is>
      </c>
      <c r="G355" t="n">
        <v>3.6</v>
      </c>
      <c r="H355" t="n">
        <v>0</v>
      </c>
      <c r="I355" t="n">
        <v>0</v>
      </c>
      <c r="J355" t="n">
        <v>0</v>
      </c>
      <c r="K355" t="n">
        <v>0</v>
      </c>
      <c r="L355" t="n">
        <v>0</v>
      </c>
      <c r="M355" t="n">
        <v>0</v>
      </c>
      <c r="N355" t="n">
        <v>0</v>
      </c>
      <c r="O355" t="n">
        <v>0</v>
      </c>
      <c r="P355" t="n">
        <v>0</v>
      </c>
      <c r="Q355" t="n">
        <v>0</v>
      </c>
      <c r="R355" s="2" t="inlineStr"/>
    </row>
    <row r="356" ht="15" customHeight="1">
      <c r="A356" t="inlineStr">
        <is>
          <t>A 36269-2022</t>
        </is>
      </c>
      <c r="B356" s="1" t="n">
        <v>44803</v>
      </c>
      <c r="C356" s="1" t="n">
        <v>46045</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12302-2025</t>
        </is>
      </c>
      <c r="B357" s="1" t="n">
        <v>45729.72851851852</v>
      </c>
      <c r="C357" s="1" t="n">
        <v>46045</v>
      </c>
      <c r="D357" t="inlineStr">
        <is>
          <t>STOCKHOLMS LÄN</t>
        </is>
      </c>
      <c r="E357" t="inlineStr">
        <is>
          <t>NORRTÄLJE</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7603-2025</t>
        </is>
      </c>
      <c r="B358" s="1" t="n">
        <v>45705.66126157407</v>
      </c>
      <c r="C358" s="1" t="n">
        <v>46045</v>
      </c>
      <c r="D358" t="inlineStr">
        <is>
          <t>STOCKHOLMS LÄN</t>
        </is>
      </c>
      <c r="E358" t="inlineStr">
        <is>
          <t>NORRTÄLJE</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67921-2021</t>
        </is>
      </c>
      <c r="B359" s="1" t="n">
        <v>44525</v>
      </c>
      <c r="C359" s="1" t="n">
        <v>46045</v>
      </c>
      <c r="D359" t="inlineStr">
        <is>
          <t>STOCKHOLMS LÄN</t>
        </is>
      </c>
      <c r="E359" t="inlineStr">
        <is>
          <t>NORRTÄLJE</t>
        </is>
      </c>
      <c r="G359" t="n">
        <v>6.3</v>
      </c>
      <c r="H359" t="n">
        <v>0</v>
      </c>
      <c r="I359" t="n">
        <v>0</v>
      </c>
      <c r="J359" t="n">
        <v>0</v>
      </c>
      <c r="K359" t="n">
        <v>0</v>
      </c>
      <c r="L359" t="n">
        <v>0</v>
      </c>
      <c r="M359" t="n">
        <v>0</v>
      </c>
      <c r="N359" t="n">
        <v>0</v>
      </c>
      <c r="O359" t="n">
        <v>0</v>
      </c>
      <c r="P359" t="n">
        <v>0</v>
      </c>
      <c r="Q359" t="n">
        <v>0</v>
      </c>
      <c r="R359" s="2" t="inlineStr"/>
    </row>
    <row r="360" ht="15" customHeight="1">
      <c r="A360" t="inlineStr">
        <is>
          <t>A 31926-2022</t>
        </is>
      </c>
      <c r="B360" s="1" t="n">
        <v>44777</v>
      </c>
      <c r="C360" s="1" t="n">
        <v>46045</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5158-2024</t>
        </is>
      </c>
      <c r="B361" s="1" t="n">
        <v>45330.50098379629</v>
      </c>
      <c r="C361" s="1" t="n">
        <v>46045</v>
      </c>
      <c r="D361" t="inlineStr">
        <is>
          <t>STOCKHOLMS LÄN</t>
        </is>
      </c>
      <c r="E361" t="inlineStr">
        <is>
          <t>NORRTÄLJE</t>
        </is>
      </c>
      <c r="G361" t="n">
        <v>0.8</v>
      </c>
      <c r="H361" t="n">
        <v>0</v>
      </c>
      <c r="I361" t="n">
        <v>0</v>
      </c>
      <c r="J361" t="n">
        <v>0</v>
      </c>
      <c r="K361" t="n">
        <v>0</v>
      </c>
      <c r="L361" t="n">
        <v>0</v>
      </c>
      <c r="M361" t="n">
        <v>0</v>
      </c>
      <c r="N361" t="n">
        <v>0</v>
      </c>
      <c r="O361" t="n">
        <v>0</v>
      </c>
      <c r="P361" t="n">
        <v>0</v>
      </c>
      <c r="Q361" t="n">
        <v>0</v>
      </c>
      <c r="R361" s="2" t="inlineStr"/>
    </row>
    <row r="362" ht="15" customHeight="1">
      <c r="A362" t="inlineStr">
        <is>
          <t>A 1425-2025</t>
        </is>
      </c>
      <c r="B362" s="1" t="n">
        <v>45668.67446759259</v>
      </c>
      <c r="C362" s="1" t="n">
        <v>46045</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1453-2025</t>
        </is>
      </c>
      <c r="B363" s="1" t="n">
        <v>45670.3079050926</v>
      </c>
      <c r="C363" s="1" t="n">
        <v>46045</v>
      </c>
      <c r="D363" t="inlineStr">
        <is>
          <t>STOCKHOLMS LÄN</t>
        </is>
      </c>
      <c r="E363" t="inlineStr">
        <is>
          <t>NORRTÄLJE</t>
        </is>
      </c>
      <c r="G363" t="n">
        <v>2.6</v>
      </c>
      <c r="H363" t="n">
        <v>0</v>
      </c>
      <c r="I363" t="n">
        <v>0</v>
      </c>
      <c r="J363" t="n">
        <v>0</v>
      </c>
      <c r="K363" t="n">
        <v>0</v>
      </c>
      <c r="L363" t="n">
        <v>0</v>
      </c>
      <c r="M363" t="n">
        <v>0</v>
      </c>
      <c r="N363" t="n">
        <v>0</v>
      </c>
      <c r="O363" t="n">
        <v>0</v>
      </c>
      <c r="P363" t="n">
        <v>0</v>
      </c>
      <c r="Q363" t="n">
        <v>0</v>
      </c>
      <c r="R363" s="2" t="inlineStr"/>
    </row>
    <row r="364" ht="15" customHeight="1">
      <c r="A364" t="inlineStr">
        <is>
          <t>A 5665-2025</t>
        </is>
      </c>
      <c r="B364" s="1" t="n">
        <v>45693</v>
      </c>
      <c r="C364" s="1" t="n">
        <v>46045</v>
      </c>
      <c r="D364" t="inlineStr">
        <is>
          <t>STOCKHOLMS LÄN</t>
        </is>
      </c>
      <c r="E364" t="inlineStr">
        <is>
          <t>NORRTÄLJE</t>
        </is>
      </c>
      <c r="G364" t="n">
        <v>4</v>
      </c>
      <c r="H364" t="n">
        <v>0</v>
      </c>
      <c r="I364" t="n">
        <v>0</v>
      </c>
      <c r="J364" t="n">
        <v>0</v>
      </c>
      <c r="K364" t="n">
        <v>0</v>
      </c>
      <c r="L364" t="n">
        <v>0</v>
      </c>
      <c r="M364" t="n">
        <v>0</v>
      </c>
      <c r="N364" t="n">
        <v>0</v>
      </c>
      <c r="O364" t="n">
        <v>0</v>
      </c>
      <c r="P364" t="n">
        <v>0</v>
      </c>
      <c r="Q364" t="n">
        <v>0</v>
      </c>
      <c r="R364" s="2" t="inlineStr"/>
    </row>
    <row r="365" ht="15" customHeight="1">
      <c r="A365" t="inlineStr">
        <is>
          <t>A 13860-2023</t>
        </is>
      </c>
      <c r="B365" s="1" t="n">
        <v>45007</v>
      </c>
      <c r="C365" s="1" t="n">
        <v>46045</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6070-2022</t>
        </is>
      </c>
      <c r="B366" s="1" t="n">
        <v>44599.58428240741</v>
      </c>
      <c r="C366" s="1" t="n">
        <v>46045</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51046-2023</t>
        </is>
      </c>
      <c r="B367" s="1" t="n">
        <v>45218</v>
      </c>
      <c r="C367" s="1" t="n">
        <v>46045</v>
      </c>
      <c r="D367" t="inlineStr">
        <is>
          <t>STOCKHOLMS LÄN</t>
        </is>
      </c>
      <c r="E367" t="inlineStr">
        <is>
          <t>NORRTÄLJE</t>
        </is>
      </c>
      <c r="G367" t="n">
        <v>2.5</v>
      </c>
      <c r="H367" t="n">
        <v>0</v>
      </c>
      <c r="I367" t="n">
        <v>0</v>
      </c>
      <c r="J367" t="n">
        <v>0</v>
      </c>
      <c r="K367" t="n">
        <v>0</v>
      </c>
      <c r="L367" t="n">
        <v>0</v>
      </c>
      <c r="M367" t="n">
        <v>0</v>
      </c>
      <c r="N367" t="n">
        <v>0</v>
      </c>
      <c r="O367" t="n">
        <v>0</v>
      </c>
      <c r="P367" t="n">
        <v>0</v>
      </c>
      <c r="Q367" t="n">
        <v>0</v>
      </c>
      <c r="R367" s="2" t="inlineStr"/>
    </row>
    <row r="368" ht="15" customHeight="1">
      <c r="A368" t="inlineStr">
        <is>
          <t>A 12407-2025</t>
        </is>
      </c>
      <c r="B368" s="1" t="n">
        <v>45730.42851851852</v>
      </c>
      <c r="C368" s="1" t="n">
        <v>46045</v>
      </c>
      <c r="D368" t="inlineStr">
        <is>
          <t>STOCKHOLMS LÄN</t>
        </is>
      </c>
      <c r="E368" t="inlineStr">
        <is>
          <t>NORRTÄLJE</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9130-2025</t>
        </is>
      </c>
      <c r="B369" s="1" t="n">
        <v>45713.92623842593</v>
      </c>
      <c r="C369" s="1" t="n">
        <v>46045</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27828-2022</t>
        </is>
      </c>
      <c r="B370" s="1" t="n">
        <v>44743.59765046297</v>
      </c>
      <c r="C370" s="1" t="n">
        <v>46045</v>
      </c>
      <c r="D370" t="inlineStr">
        <is>
          <t>STOCKHOLMS LÄN</t>
        </is>
      </c>
      <c r="E370" t="inlineStr">
        <is>
          <t>NORRTÄLJE</t>
        </is>
      </c>
      <c r="F370" t="inlineStr">
        <is>
          <t>Kommuner</t>
        </is>
      </c>
      <c r="G370" t="n">
        <v>1.6</v>
      </c>
      <c r="H370" t="n">
        <v>0</v>
      </c>
      <c r="I370" t="n">
        <v>0</v>
      </c>
      <c r="J370" t="n">
        <v>0</v>
      </c>
      <c r="K370" t="n">
        <v>0</v>
      </c>
      <c r="L370" t="n">
        <v>0</v>
      </c>
      <c r="M370" t="n">
        <v>0</v>
      </c>
      <c r="N370" t="n">
        <v>0</v>
      </c>
      <c r="O370" t="n">
        <v>0</v>
      </c>
      <c r="P370" t="n">
        <v>0</v>
      </c>
      <c r="Q370" t="n">
        <v>0</v>
      </c>
      <c r="R370" s="2" t="inlineStr"/>
    </row>
    <row r="371" ht="15" customHeight="1">
      <c r="A371" t="inlineStr">
        <is>
          <t>A 26636-2023</t>
        </is>
      </c>
      <c r="B371" s="1" t="n">
        <v>45092</v>
      </c>
      <c r="C371" s="1" t="n">
        <v>46045</v>
      </c>
      <c r="D371" t="inlineStr">
        <is>
          <t>STOCKHOLMS LÄN</t>
        </is>
      </c>
      <c r="E371" t="inlineStr">
        <is>
          <t>NORRTÄLJE</t>
        </is>
      </c>
      <c r="G371" t="n">
        <v>1.7</v>
      </c>
      <c r="H371" t="n">
        <v>0</v>
      </c>
      <c r="I371" t="n">
        <v>0</v>
      </c>
      <c r="J371" t="n">
        <v>0</v>
      </c>
      <c r="K371" t="n">
        <v>0</v>
      </c>
      <c r="L371" t="n">
        <v>0</v>
      </c>
      <c r="M371" t="n">
        <v>0</v>
      </c>
      <c r="N371" t="n">
        <v>0</v>
      </c>
      <c r="O371" t="n">
        <v>0</v>
      </c>
      <c r="P371" t="n">
        <v>0</v>
      </c>
      <c r="Q371" t="n">
        <v>0</v>
      </c>
      <c r="R371" s="2" t="inlineStr"/>
    </row>
    <row r="372" ht="15" customHeight="1">
      <c r="A372" t="inlineStr">
        <is>
          <t>A 26637-2023</t>
        </is>
      </c>
      <c r="B372" s="1" t="n">
        <v>45092</v>
      </c>
      <c r="C372" s="1" t="n">
        <v>46045</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8736-2024</t>
        </is>
      </c>
      <c r="B373" s="1" t="n">
        <v>45356.4722800926</v>
      </c>
      <c r="C373" s="1" t="n">
        <v>46045</v>
      </c>
      <c r="D373" t="inlineStr">
        <is>
          <t>STOCKHOLMS LÄN</t>
        </is>
      </c>
      <c r="E373" t="inlineStr">
        <is>
          <t>NORRTÄLJE</t>
        </is>
      </c>
      <c r="G373" t="n">
        <v>8.9</v>
      </c>
      <c r="H373" t="n">
        <v>0</v>
      </c>
      <c r="I373" t="n">
        <v>0</v>
      </c>
      <c r="J373" t="n">
        <v>0</v>
      </c>
      <c r="K373" t="n">
        <v>0</v>
      </c>
      <c r="L373" t="n">
        <v>0</v>
      </c>
      <c r="M373" t="n">
        <v>0</v>
      </c>
      <c r="N373" t="n">
        <v>0</v>
      </c>
      <c r="O373" t="n">
        <v>0</v>
      </c>
      <c r="P373" t="n">
        <v>0</v>
      </c>
      <c r="Q373" t="n">
        <v>0</v>
      </c>
      <c r="R373" s="2" t="inlineStr"/>
    </row>
    <row r="374" ht="15" customHeight="1">
      <c r="A374" t="inlineStr">
        <is>
          <t>A 23266-2023</t>
        </is>
      </c>
      <c r="B374" s="1" t="n">
        <v>45075.90817129629</v>
      </c>
      <c r="C374" s="1" t="n">
        <v>46045</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15552-2021</t>
        </is>
      </c>
      <c r="B375" s="1" t="n">
        <v>44285</v>
      </c>
      <c r="C375" s="1" t="n">
        <v>46045</v>
      </c>
      <c r="D375" t="inlineStr">
        <is>
          <t>STOCKHOLMS LÄN</t>
        </is>
      </c>
      <c r="E375" t="inlineStr">
        <is>
          <t>NORRTÄLJE</t>
        </is>
      </c>
      <c r="G375" t="n">
        <v>10</v>
      </c>
      <c r="H375" t="n">
        <v>0</v>
      </c>
      <c r="I375" t="n">
        <v>0</v>
      </c>
      <c r="J375" t="n">
        <v>0</v>
      </c>
      <c r="K375" t="n">
        <v>0</v>
      </c>
      <c r="L375" t="n">
        <v>0</v>
      </c>
      <c r="M375" t="n">
        <v>0</v>
      </c>
      <c r="N375" t="n">
        <v>0</v>
      </c>
      <c r="O375" t="n">
        <v>0</v>
      </c>
      <c r="P375" t="n">
        <v>0</v>
      </c>
      <c r="Q375" t="n">
        <v>0</v>
      </c>
      <c r="R375" s="2" t="inlineStr"/>
    </row>
    <row r="376" ht="15" customHeight="1">
      <c r="A376" t="inlineStr">
        <is>
          <t>A 59873-2024</t>
        </is>
      </c>
      <c r="B376" s="1" t="n">
        <v>45640.57305555556</v>
      </c>
      <c r="C376" s="1" t="n">
        <v>46045</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22412-2021</t>
        </is>
      </c>
      <c r="B377" s="1" t="n">
        <v>44326.61967592593</v>
      </c>
      <c r="C377" s="1" t="n">
        <v>46045</v>
      </c>
      <c r="D377" t="inlineStr">
        <is>
          <t>STOCKHOLMS LÄN</t>
        </is>
      </c>
      <c r="E377" t="inlineStr">
        <is>
          <t>NORRTÄLJE</t>
        </is>
      </c>
      <c r="G377" t="n">
        <v>1.7</v>
      </c>
      <c r="H377" t="n">
        <v>0</v>
      </c>
      <c r="I377" t="n">
        <v>0</v>
      </c>
      <c r="J377" t="n">
        <v>0</v>
      </c>
      <c r="K377" t="n">
        <v>0</v>
      </c>
      <c r="L377" t="n">
        <v>0</v>
      </c>
      <c r="M377" t="n">
        <v>0</v>
      </c>
      <c r="N377" t="n">
        <v>0</v>
      </c>
      <c r="O377" t="n">
        <v>0</v>
      </c>
      <c r="P377" t="n">
        <v>0</v>
      </c>
      <c r="Q377" t="n">
        <v>0</v>
      </c>
      <c r="R377" s="2" t="inlineStr"/>
    </row>
    <row r="378" ht="15" customHeight="1">
      <c r="A378" t="inlineStr">
        <is>
          <t>A 45255-2022</t>
        </is>
      </c>
      <c r="B378" s="1" t="n">
        <v>44840</v>
      </c>
      <c r="C378" s="1" t="n">
        <v>46045</v>
      </c>
      <c r="D378" t="inlineStr">
        <is>
          <t>STOCKHOLMS LÄN</t>
        </is>
      </c>
      <c r="E378" t="inlineStr">
        <is>
          <t>NORRTÄLJE</t>
        </is>
      </c>
      <c r="G378" t="n">
        <v>4.1</v>
      </c>
      <c r="H378" t="n">
        <v>0</v>
      </c>
      <c r="I378" t="n">
        <v>0</v>
      </c>
      <c r="J378" t="n">
        <v>0</v>
      </c>
      <c r="K378" t="n">
        <v>0</v>
      </c>
      <c r="L378" t="n">
        <v>0</v>
      </c>
      <c r="M378" t="n">
        <v>0</v>
      </c>
      <c r="N378" t="n">
        <v>0</v>
      </c>
      <c r="O378" t="n">
        <v>0</v>
      </c>
      <c r="P378" t="n">
        <v>0</v>
      </c>
      <c r="Q378" t="n">
        <v>0</v>
      </c>
      <c r="R378" s="2" t="inlineStr"/>
    </row>
    <row r="379" ht="15" customHeight="1">
      <c r="A379" t="inlineStr">
        <is>
          <t>A 19915-2024</t>
        </is>
      </c>
      <c r="B379" s="1" t="n">
        <v>45433.58431712963</v>
      </c>
      <c r="C379" s="1" t="n">
        <v>46045</v>
      </c>
      <c r="D379" t="inlineStr">
        <is>
          <t>STOCKHOLMS LÄN</t>
        </is>
      </c>
      <c r="E379" t="inlineStr">
        <is>
          <t>NORRTÄLJE</t>
        </is>
      </c>
      <c r="G379" t="n">
        <v>2</v>
      </c>
      <c r="H379" t="n">
        <v>0</v>
      </c>
      <c r="I379" t="n">
        <v>0</v>
      </c>
      <c r="J379" t="n">
        <v>0</v>
      </c>
      <c r="K379" t="n">
        <v>0</v>
      </c>
      <c r="L379" t="n">
        <v>0</v>
      </c>
      <c r="M379" t="n">
        <v>0</v>
      </c>
      <c r="N379" t="n">
        <v>0</v>
      </c>
      <c r="O379" t="n">
        <v>0</v>
      </c>
      <c r="P379" t="n">
        <v>0</v>
      </c>
      <c r="Q379" t="n">
        <v>0</v>
      </c>
      <c r="R379" s="2" t="inlineStr"/>
    </row>
    <row r="380" ht="15" customHeight="1">
      <c r="A380" t="inlineStr">
        <is>
          <t>A 48161-2022</t>
        </is>
      </c>
      <c r="B380" s="1" t="n">
        <v>44858</v>
      </c>
      <c r="C380" s="1" t="n">
        <v>46045</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35161-2022</t>
        </is>
      </c>
      <c r="B381" s="1" t="n">
        <v>44797</v>
      </c>
      <c r="C381" s="1" t="n">
        <v>46045</v>
      </c>
      <c r="D381" t="inlineStr">
        <is>
          <t>STOCKHOLMS LÄN</t>
        </is>
      </c>
      <c r="E381" t="inlineStr">
        <is>
          <t>NORRTÄLJE</t>
        </is>
      </c>
      <c r="G381" t="n">
        <v>6</v>
      </c>
      <c r="H381" t="n">
        <v>0</v>
      </c>
      <c r="I381" t="n">
        <v>0</v>
      </c>
      <c r="J381" t="n">
        <v>0</v>
      </c>
      <c r="K381" t="n">
        <v>0</v>
      </c>
      <c r="L381" t="n">
        <v>0</v>
      </c>
      <c r="M381" t="n">
        <v>0</v>
      </c>
      <c r="N381" t="n">
        <v>0</v>
      </c>
      <c r="O381" t="n">
        <v>0</v>
      </c>
      <c r="P381" t="n">
        <v>0</v>
      </c>
      <c r="Q381" t="n">
        <v>0</v>
      </c>
      <c r="R381" s="2" t="inlineStr"/>
    </row>
    <row r="382" ht="15" customHeight="1">
      <c r="A382" t="inlineStr">
        <is>
          <t>A 12629-2024</t>
        </is>
      </c>
      <c r="B382" s="1" t="n">
        <v>45383</v>
      </c>
      <c r="C382" s="1" t="n">
        <v>46045</v>
      </c>
      <c r="D382" t="inlineStr">
        <is>
          <t>STOCKHOLMS LÄN</t>
        </is>
      </c>
      <c r="E382" t="inlineStr">
        <is>
          <t>NORRTÄLJE</t>
        </is>
      </c>
      <c r="G382" t="n">
        <v>2.6</v>
      </c>
      <c r="H382" t="n">
        <v>0</v>
      </c>
      <c r="I382" t="n">
        <v>0</v>
      </c>
      <c r="J382" t="n">
        <v>0</v>
      </c>
      <c r="K382" t="n">
        <v>0</v>
      </c>
      <c r="L382" t="n">
        <v>0</v>
      </c>
      <c r="M382" t="n">
        <v>0</v>
      </c>
      <c r="N382" t="n">
        <v>0</v>
      </c>
      <c r="O382" t="n">
        <v>0</v>
      </c>
      <c r="P382" t="n">
        <v>0</v>
      </c>
      <c r="Q382" t="n">
        <v>0</v>
      </c>
      <c r="R382" s="2" t="inlineStr"/>
    </row>
    <row r="383" ht="15" customHeight="1">
      <c r="A383" t="inlineStr">
        <is>
          <t>A 20428-2024</t>
        </is>
      </c>
      <c r="B383" s="1" t="n">
        <v>45435</v>
      </c>
      <c r="C383" s="1" t="n">
        <v>46045</v>
      </c>
      <c r="D383" t="inlineStr">
        <is>
          <t>STOCKHOLMS LÄN</t>
        </is>
      </c>
      <c r="E383" t="inlineStr">
        <is>
          <t>NORRTÄLJE</t>
        </is>
      </c>
      <c r="G383" t="n">
        <v>3.7</v>
      </c>
      <c r="H383" t="n">
        <v>0</v>
      </c>
      <c r="I383" t="n">
        <v>0</v>
      </c>
      <c r="J383" t="n">
        <v>0</v>
      </c>
      <c r="K383" t="n">
        <v>0</v>
      </c>
      <c r="L383" t="n">
        <v>0</v>
      </c>
      <c r="M383" t="n">
        <v>0</v>
      </c>
      <c r="N383" t="n">
        <v>0</v>
      </c>
      <c r="O383" t="n">
        <v>0</v>
      </c>
      <c r="P383" t="n">
        <v>0</v>
      </c>
      <c r="Q383" t="n">
        <v>0</v>
      </c>
      <c r="R383" s="2" t="inlineStr"/>
    </row>
    <row r="384" ht="15" customHeight="1">
      <c r="A384" t="inlineStr">
        <is>
          <t>A 43150-2023</t>
        </is>
      </c>
      <c r="B384" s="1" t="n">
        <v>45183</v>
      </c>
      <c r="C384" s="1" t="n">
        <v>46045</v>
      </c>
      <c r="D384" t="inlineStr">
        <is>
          <t>STOCKHOLMS LÄN</t>
        </is>
      </c>
      <c r="E384" t="inlineStr">
        <is>
          <t>NORRTÄLJE</t>
        </is>
      </c>
      <c r="G384" t="n">
        <v>2.4</v>
      </c>
      <c r="H384" t="n">
        <v>0</v>
      </c>
      <c r="I384" t="n">
        <v>0</v>
      </c>
      <c r="J384" t="n">
        <v>0</v>
      </c>
      <c r="K384" t="n">
        <v>0</v>
      </c>
      <c r="L384" t="n">
        <v>0</v>
      </c>
      <c r="M384" t="n">
        <v>0</v>
      </c>
      <c r="N384" t="n">
        <v>0</v>
      </c>
      <c r="O384" t="n">
        <v>0</v>
      </c>
      <c r="P384" t="n">
        <v>0</v>
      </c>
      <c r="Q384" t="n">
        <v>0</v>
      </c>
      <c r="R384" s="2" t="inlineStr"/>
    </row>
    <row r="385" ht="15" customHeight="1">
      <c r="A385" t="inlineStr">
        <is>
          <t>A 57037-2022</t>
        </is>
      </c>
      <c r="B385" s="1" t="n">
        <v>44895</v>
      </c>
      <c r="C385" s="1" t="n">
        <v>46045</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14762-2024</t>
        </is>
      </c>
      <c r="B386" s="1" t="n">
        <v>45397</v>
      </c>
      <c r="C386" s="1" t="n">
        <v>46045</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59534-2024</t>
        </is>
      </c>
      <c r="B387" s="1" t="n">
        <v>45638.5987037037</v>
      </c>
      <c r="C387" s="1" t="n">
        <v>46045</v>
      </c>
      <c r="D387" t="inlineStr">
        <is>
          <t>STOCKHOLMS LÄN</t>
        </is>
      </c>
      <c r="E387" t="inlineStr">
        <is>
          <t>NORRTÄLJE</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23307-2024</t>
        </is>
      </c>
      <c r="B388" s="1" t="n">
        <v>45453</v>
      </c>
      <c r="C388" s="1" t="n">
        <v>46045</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19450-2025</t>
        </is>
      </c>
      <c r="B389" s="1" t="n">
        <v>45770</v>
      </c>
      <c r="C389" s="1" t="n">
        <v>46045</v>
      </c>
      <c r="D389" t="inlineStr">
        <is>
          <t>STOCKHOLMS LÄN</t>
        </is>
      </c>
      <c r="E389" t="inlineStr">
        <is>
          <t>NORRTÄLJE</t>
        </is>
      </c>
      <c r="G389" t="n">
        <v>5.3</v>
      </c>
      <c r="H389" t="n">
        <v>0</v>
      </c>
      <c r="I389" t="n">
        <v>0</v>
      </c>
      <c r="J389" t="n">
        <v>0</v>
      </c>
      <c r="K389" t="n">
        <v>0</v>
      </c>
      <c r="L389" t="n">
        <v>0</v>
      </c>
      <c r="M389" t="n">
        <v>0</v>
      </c>
      <c r="N389" t="n">
        <v>0</v>
      </c>
      <c r="O389" t="n">
        <v>0</v>
      </c>
      <c r="P389" t="n">
        <v>0</v>
      </c>
      <c r="Q389" t="n">
        <v>0</v>
      </c>
      <c r="R389" s="2" t="inlineStr"/>
    </row>
    <row r="390" ht="15" customHeight="1">
      <c r="A390" t="inlineStr">
        <is>
          <t>A 2281-2024</t>
        </is>
      </c>
      <c r="B390" s="1" t="n">
        <v>45310.40628472222</v>
      </c>
      <c r="C390" s="1" t="n">
        <v>46045</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2287-2024</t>
        </is>
      </c>
      <c r="B391" s="1" t="n">
        <v>45310</v>
      </c>
      <c r="C391" s="1" t="n">
        <v>46045</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22816-2021</t>
        </is>
      </c>
      <c r="B392" s="1" t="n">
        <v>44325</v>
      </c>
      <c r="C392" s="1" t="n">
        <v>46045</v>
      </c>
      <c r="D392" t="inlineStr">
        <is>
          <t>STOCKHOLMS LÄN</t>
        </is>
      </c>
      <c r="E392" t="inlineStr">
        <is>
          <t>NORRTÄLJE</t>
        </is>
      </c>
      <c r="G392" t="n">
        <v>4.5</v>
      </c>
      <c r="H392" t="n">
        <v>0</v>
      </c>
      <c r="I392" t="n">
        <v>0</v>
      </c>
      <c r="J392" t="n">
        <v>0</v>
      </c>
      <c r="K392" t="n">
        <v>0</v>
      </c>
      <c r="L392" t="n">
        <v>0</v>
      </c>
      <c r="M392" t="n">
        <v>0</v>
      </c>
      <c r="N392" t="n">
        <v>0</v>
      </c>
      <c r="O392" t="n">
        <v>0</v>
      </c>
      <c r="P392" t="n">
        <v>0</v>
      </c>
      <c r="Q392" t="n">
        <v>0</v>
      </c>
      <c r="R392" s="2" t="inlineStr"/>
    </row>
    <row r="393" ht="15" customHeight="1">
      <c r="A393" t="inlineStr">
        <is>
          <t>A 23149-2024</t>
        </is>
      </c>
      <c r="B393" s="1" t="n">
        <v>45450.64208333333</v>
      </c>
      <c r="C393" s="1" t="n">
        <v>46045</v>
      </c>
      <c r="D393" t="inlineStr">
        <is>
          <t>STOCKHOLMS LÄN</t>
        </is>
      </c>
      <c r="E393" t="inlineStr">
        <is>
          <t>NORRTÄLJE</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23151-2024</t>
        </is>
      </c>
      <c r="B394" s="1" t="n">
        <v>45450</v>
      </c>
      <c r="C394" s="1" t="n">
        <v>46045</v>
      </c>
      <c r="D394" t="inlineStr">
        <is>
          <t>STOCKHOLMS LÄN</t>
        </is>
      </c>
      <c r="E394" t="inlineStr">
        <is>
          <t>NORRTÄLJE</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16913-2025</t>
        </is>
      </c>
      <c r="B395" s="1" t="n">
        <v>45755.36583333334</v>
      </c>
      <c r="C395" s="1" t="n">
        <v>46045</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20618-2022</t>
        </is>
      </c>
      <c r="B396" s="1" t="n">
        <v>44700.50659722222</v>
      </c>
      <c r="C396" s="1" t="n">
        <v>46045</v>
      </c>
      <c r="D396" t="inlineStr">
        <is>
          <t>STOCKHOLMS LÄN</t>
        </is>
      </c>
      <c r="E396" t="inlineStr">
        <is>
          <t>NORRTÄLJE</t>
        </is>
      </c>
      <c r="G396" t="n">
        <v>1.5</v>
      </c>
      <c r="H396" t="n">
        <v>0</v>
      </c>
      <c r="I396" t="n">
        <v>0</v>
      </c>
      <c r="J396" t="n">
        <v>0</v>
      </c>
      <c r="K396" t="n">
        <v>0</v>
      </c>
      <c r="L396" t="n">
        <v>0</v>
      </c>
      <c r="M396" t="n">
        <v>0</v>
      </c>
      <c r="N396" t="n">
        <v>0</v>
      </c>
      <c r="O396" t="n">
        <v>0</v>
      </c>
      <c r="P396" t="n">
        <v>0</v>
      </c>
      <c r="Q396" t="n">
        <v>0</v>
      </c>
      <c r="R396" s="2" t="inlineStr"/>
    </row>
    <row r="397" ht="15" customHeight="1">
      <c r="A397" t="inlineStr">
        <is>
          <t>A 51978-2023</t>
        </is>
      </c>
      <c r="B397" s="1" t="n">
        <v>45223</v>
      </c>
      <c r="C397" s="1" t="n">
        <v>46045</v>
      </c>
      <c r="D397" t="inlineStr">
        <is>
          <t>STOCKHOLMS LÄN</t>
        </is>
      </c>
      <c r="E397" t="inlineStr">
        <is>
          <t>NORRTÄLJE</t>
        </is>
      </c>
      <c r="G397" t="n">
        <v>1.9</v>
      </c>
      <c r="H397" t="n">
        <v>0</v>
      </c>
      <c r="I397" t="n">
        <v>0</v>
      </c>
      <c r="J397" t="n">
        <v>0</v>
      </c>
      <c r="K397" t="n">
        <v>0</v>
      </c>
      <c r="L397" t="n">
        <v>0</v>
      </c>
      <c r="M397" t="n">
        <v>0</v>
      </c>
      <c r="N397" t="n">
        <v>0</v>
      </c>
      <c r="O397" t="n">
        <v>0</v>
      </c>
      <c r="P397" t="n">
        <v>0</v>
      </c>
      <c r="Q397" t="n">
        <v>0</v>
      </c>
      <c r="R397" s="2" t="inlineStr"/>
    </row>
    <row r="398" ht="15" customHeight="1">
      <c r="A398" t="inlineStr">
        <is>
          <t>A 13051-2021</t>
        </is>
      </c>
      <c r="B398" s="1" t="n">
        <v>44272</v>
      </c>
      <c r="C398" s="1" t="n">
        <v>46045</v>
      </c>
      <c r="D398" t="inlineStr">
        <is>
          <t>STOCKHOLMS LÄN</t>
        </is>
      </c>
      <c r="E398" t="inlineStr">
        <is>
          <t>NORRTÄLJE</t>
        </is>
      </c>
      <c r="G398" t="n">
        <v>9.1</v>
      </c>
      <c r="H398" t="n">
        <v>0</v>
      </c>
      <c r="I398" t="n">
        <v>0</v>
      </c>
      <c r="J398" t="n">
        <v>0</v>
      </c>
      <c r="K398" t="n">
        <v>0</v>
      </c>
      <c r="L398" t="n">
        <v>0</v>
      </c>
      <c r="M398" t="n">
        <v>0</v>
      </c>
      <c r="N398" t="n">
        <v>0</v>
      </c>
      <c r="O398" t="n">
        <v>0</v>
      </c>
      <c r="P398" t="n">
        <v>0</v>
      </c>
      <c r="Q398" t="n">
        <v>0</v>
      </c>
      <c r="R398" s="2" t="inlineStr"/>
    </row>
    <row r="399" ht="15" customHeight="1">
      <c r="A399" t="inlineStr">
        <is>
          <t>A 55755-2023</t>
        </is>
      </c>
      <c r="B399" s="1" t="n">
        <v>45239</v>
      </c>
      <c r="C399" s="1" t="n">
        <v>46045</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59504-2023</t>
        </is>
      </c>
      <c r="B400" s="1" t="n">
        <v>45254</v>
      </c>
      <c r="C400" s="1" t="n">
        <v>46045</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45549-2022</t>
        </is>
      </c>
      <c r="B401" s="1" t="n">
        <v>44845.48064814815</v>
      </c>
      <c r="C401" s="1" t="n">
        <v>46045</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65499-2021</t>
        </is>
      </c>
      <c r="B402" s="1" t="n">
        <v>44516</v>
      </c>
      <c r="C402" s="1" t="n">
        <v>46045</v>
      </c>
      <c r="D402" t="inlineStr">
        <is>
          <t>STOCKHOLMS LÄN</t>
        </is>
      </c>
      <c r="E402" t="inlineStr">
        <is>
          <t>NORRTÄLJE</t>
        </is>
      </c>
      <c r="F402" t="inlineStr">
        <is>
          <t>Kommuner</t>
        </is>
      </c>
      <c r="G402" t="n">
        <v>5.2</v>
      </c>
      <c r="H402" t="n">
        <v>0</v>
      </c>
      <c r="I402" t="n">
        <v>0</v>
      </c>
      <c r="J402" t="n">
        <v>0</v>
      </c>
      <c r="K402" t="n">
        <v>0</v>
      </c>
      <c r="L402" t="n">
        <v>0</v>
      </c>
      <c r="M402" t="n">
        <v>0</v>
      </c>
      <c r="N402" t="n">
        <v>0</v>
      </c>
      <c r="O402" t="n">
        <v>0</v>
      </c>
      <c r="P402" t="n">
        <v>0</v>
      </c>
      <c r="Q402" t="n">
        <v>0</v>
      </c>
      <c r="R402" s="2" t="inlineStr"/>
    </row>
    <row r="403" ht="15" customHeight="1">
      <c r="A403" t="inlineStr">
        <is>
          <t>A 7903-2021</t>
        </is>
      </c>
      <c r="B403" s="1" t="n">
        <v>44243.33587962963</v>
      </c>
      <c r="C403" s="1" t="n">
        <v>46045</v>
      </c>
      <c r="D403" t="inlineStr">
        <is>
          <t>STOCKHOLMS LÄN</t>
        </is>
      </c>
      <c r="E403" t="inlineStr">
        <is>
          <t>NORRTÄLJE</t>
        </is>
      </c>
      <c r="G403" t="n">
        <v>3.5</v>
      </c>
      <c r="H403" t="n">
        <v>0</v>
      </c>
      <c r="I403" t="n">
        <v>0</v>
      </c>
      <c r="J403" t="n">
        <v>0</v>
      </c>
      <c r="K403" t="n">
        <v>0</v>
      </c>
      <c r="L403" t="n">
        <v>0</v>
      </c>
      <c r="M403" t="n">
        <v>0</v>
      </c>
      <c r="N403" t="n">
        <v>0</v>
      </c>
      <c r="O403" t="n">
        <v>0</v>
      </c>
      <c r="P403" t="n">
        <v>0</v>
      </c>
      <c r="Q403" t="n">
        <v>0</v>
      </c>
      <c r="R403" s="2" t="inlineStr"/>
    </row>
    <row r="404" ht="15" customHeight="1">
      <c r="A404" t="inlineStr">
        <is>
          <t>A 58863-2024</t>
        </is>
      </c>
      <c r="B404" s="1" t="n">
        <v>45636.41572916666</v>
      </c>
      <c r="C404" s="1" t="n">
        <v>46045</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40761-2024</t>
        </is>
      </c>
      <c r="B405" s="1" t="n">
        <v>45558.46283564815</v>
      </c>
      <c r="C405" s="1" t="n">
        <v>46045</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23692-2024</t>
        </is>
      </c>
      <c r="B406" s="1" t="n">
        <v>45454.65774305556</v>
      </c>
      <c r="C406" s="1" t="n">
        <v>46045</v>
      </c>
      <c r="D406" t="inlineStr">
        <is>
          <t>STOCKHOLMS LÄN</t>
        </is>
      </c>
      <c r="E406" t="inlineStr">
        <is>
          <t>NORRTÄLJE</t>
        </is>
      </c>
      <c r="G406" t="n">
        <v>3.7</v>
      </c>
      <c r="H406" t="n">
        <v>0</v>
      </c>
      <c r="I406" t="n">
        <v>0</v>
      </c>
      <c r="J406" t="n">
        <v>0</v>
      </c>
      <c r="K406" t="n">
        <v>0</v>
      </c>
      <c r="L406" t="n">
        <v>0</v>
      </c>
      <c r="M406" t="n">
        <v>0</v>
      </c>
      <c r="N406" t="n">
        <v>0</v>
      </c>
      <c r="O406" t="n">
        <v>0</v>
      </c>
      <c r="P406" t="n">
        <v>0</v>
      </c>
      <c r="Q406" t="n">
        <v>0</v>
      </c>
      <c r="R406" s="2" t="inlineStr"/>
    </row>
    <row r="407" ht="15" customHeight="1">
      <c r="A407" t="inlineStr">
        <is>
          <t>A 15447-2023</t>
        </is>
      </c>
      <c r="B407" s="1" t="n">
        <v>45020</v>
      </c>
      <c r="C407" s="1" t="n">
        <v>46045</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34391-2023</t>
        </is>
      </c>
      <c r="B408" s="1" t="n">
        <v>45139.51457175926</v>
      </c>
      <c r="C408" s="1" t="n">
        <v>46045</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25656-2023</t>
        </is>
      </c>
      <c r="B409" s="1" t="n">
        <v>45089</v>
      </c>
      <c r="C409" s="1" t="n">
        <v>46045</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38049-2023</t>
        </is>
      </c>
      <c r="B410" s="1" t="n">
        <v>45159</v>
      </c>
      <c r="C410" s="1" t="n">
        <v>46045</v>
      </c>
      <c r="D410" t="inlineStr">
        <is>
          <t>STOCKHOLMS LÄN</t>
        </is>
      </c>
      <c r="E410" t="inlineStr">
        <is>
          <t>NORRTÄLJE</t>
        </is>
      </c>
      <c r="G410" t="n">
        <v>3.6</v>
      </c>
      <c r="H410" t="n">
        <v>0</v>
      </c>
      <c r="I410" t="n">
        <v>0</v>
      </c>
      <c r="J410" t="n">
        <v>0</v>
      </c>
      <c r="K410" t="n">
        <v>0</v>
      </c>
      <c r="L410" t="n">
        <v>0</v>
      </c>
      <c r="M410" t="n">
        <v>0</v>
      </c>
      <c r="N410" t="n">
        <v>0</v>
      </c>
      <c r="O410" t="n">
        <v>0</v>
      </c>
      <c r="P410" t="n">
        <v>0</v>
      </c>
      <c r="Q410" t="n">
        <v>0</v>
      </c>
      <c r="R410" s="2" t="inlineStr"/>
    </row>
    <row r="411" ht="15" customHeight="1">
      <c r="A411" t="inlineStr">
        <is>
          <t>A 53312-2024</t>
        </is>
      </c>
      <c r="B411" s="1" t="n">
        <v>45614.39627314815</v>
      </c>
      <c r="C411" s="1" t="n">
        <v>46045</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37550-2022</t>
        </is>
      </c>
      <c r="B412" s="1" t="n">
        <v>44809</v>
      </c>
      <c r="C412" s="1" t="n">
        <v>46045</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47431-2023</t>
        </is>
      </c>
      <c r="B413" s="1" t="n">
        <v>45202</v>
      </c>
      <c r="C413" s="1" t="n">
        <v>46045</v>
      </c>
      <c r="D413" t="inlineStr">
        <is>
          <t>STOCKHOLMS LÄN</t>
        </is>
      </c>
      <c r="E413" t="inlineStr">
        <is>
          <t>NORRTÄLJE</t>
        </is>
      </c>
      <c r="F413" t="inlineStr">
        <is>
          <t>Naturvårdsverket</t>
        </is>
      </c>
      <c r="G413" t="n">
        <v>1.2</v>
      </c>
      <c r="H413" t="n">
        <v>0</v>
      </c>
      <c r="I413" t="n">
        <v>0</v>
      </c>
      <c r="J413" t="n">
        <v>0</v>
      </c>
      <c r="K413" t="n">
        <v>0</v>
      </c>
      <c r="L413" t="n">
        <v>0</v>
      </c>
      <c r="M413" t="n">
        <v>0</v>
      </c>
      <c r="N413" t="n">
        <v>0</v>
      </c>
      <c r="O413" t="n">
        <v>0</v>
      </c>
      <c r="P413" t="n">
        <v>0</v>
      </c>
      <c r="Q413" t="n">
        <v>0</v>
      </c>
      <c r="R413" s="2" t="inlineStr"/>
    </row>
    <row r="414" ht="15" customHeight="1">
      <c r="A414" t="inlineStr">
        <is>
          <t>A 3966-2024</t>
        </is>
      </c>
      <c r="B414" s="1" t="n">
        <v>45322</v>
      </c>
      <c r="C414" s="1" t="n">
        <v>46045</v>
      </c>
      <c r="D414" t="inlineStr">
        <is>
          <t>STOCKHOLMS LÄN</t>
        </is>
      </c>
      <c r="E414" t="inlineStr">
        <is>
          <t>NORRTÄLJE</t>
        </is>
      </c>
      <c r="G414" t="n">
        <v>5.3</v>
      </c>
      <c r="H414" t="n">
        <v>0</v>
      </c>
      <c r="I414" t="n">
        <v>0</v>
      </c>
      <c r="J414" t="n">
        <v>0</v>
      </c>
      <c r="K414" t="n">
        <v>0</v>
      </c>
      <c r="L414" t="n">
        <v>0</v>
      </c>
      <c r="M414" t="n">
        <v>0</v>
      </c>
      <c r="N414" t="n">
        <v>0</v>
      </c>
      <c r="O414" t="n">
        <v>0</v>
      </c>
      <c r="P414" t="n">
        <v>0</v>
      </c>
      <c r="Q414" t="n">
        <v>0</v>
      </c>
      <c r="R414" s="2" t="inlineStr"/>
    </row>
    <row r="415" ht="15" customHeight="1">
      <c r="A415" t="inlineStr">
        <is>
          <t>A 23262-2023</t>
        </is>
      </c>
      <c r="B415" s="1" t="n">
        <v>45075.90270833333</v>
      </c>
      <c r="C415" s="1" t="n">
        <v>46045</v>
      </c>
      <c r="D415" t="inlineStr">
        <is>
          <t>STOCKHOLMS LÄN</t>
        </is>
      </c>
      <c r="E415" t="inlineStr">
        <is>
          <t>NORRTÄLJE</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23268-2023</t>
        </is>
      </c>
      <c r="B416" s="1" t="n">
        <v>45075.91042824074</v>
      </c>
      <c r="C416" s="1" t="n">
        <v>46045</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23270-2023</t>
        </is>
      </c>
      <c r="B417" s="1" t="n">
        <v>45075.91265046296</v>
      </c>
      <c r="C417" s="1" t="n">
        <v>46045</v>
      </c>
      <c r="D417" t="inlineStr">
        <is>
          <t>STOCKHOLMS LÄN</t>
        </is>
      </c>
      <c r="E417" t="inlineStr">
        <is>
          <t>NORRTÄLJE</t>
        </is>
      </c>
      <c r="G417" t="n">
        <v>12.3</v>
      </c>
      <c r="H417" t="n">
        <v>0</v>
      </c>
      <c r="I417" t="n">
        <v>0</v>
      </c>
      <c r="J417" t="n">
        <v>0</v>
      </c>
      <c r="K417" t="n">
        <v>0</v>
      </c>
      <c r="L417" t="n">
        <v>0</v>
      </c>
      <c r="M417" t="n">
        <v>0</v>
      </c>
      <c r="N417" t="n">
        <v>0</v>
      </c>
      <c r="O417" t="n">
        <v>0</v>
      </c>
      <c r="P417" t="n">
        <v>0</v>
      </c>
      <c r="Q417" t="n">
        <v>0</v>
      </c>
      <c r="R417" s="2" t="inlineStr"/>
    </row>
    <row r="418" ht="15" customHeight="1">
      <c r="A418" t="inlineStr">
        <is>
          <t>A 23274-2023</t>
        </is>
      </c>
      <c r="B418" s="1" t="n">
        <v>45075.92153935185</v>
      </c>
      <c r="C418" s="1" t="n">
        <v>46045</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17348-2024</t>
        </is>
      </c>
      <c r="B419" s="1" t="n">
        <v>45414.58650462963</v>
      </c>
      <c r="C419" s="1" t="n">
        <v>46045</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5732-2023</t>
        </is>
      </c>
      <c r="B420" s="1" t="n">
        <v>44962</v>
      </c>
      <c r="C420" s="1" t="n">
        <v>46045</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21158-2022</t>
        </is>
      </c>
      <c r="B421" s="1" t="n">
        <v>44704</v>
      </c>
      <c r="C421" s="1" t="n">
        <v>46045</v>
      </c>
      <c r="D421" t="inlineStr">
        <is>
          <t>STOCKHOLMS LÄN</t>
        </is>
      </c>
      <c r="E421" t="inlineStr">
        <is>
          <t>NORRTÄLJE</t>
        </is>
      </c>
      <c r="G421" t="n">
        <v>17.8</v>
      </c>
      <c r="H421" t="n">
        <v>0</v>
      </c>
      <c r="I421" t="n">
        <v>0</v>
      </c>
      <c r="J421" t="n">
        <v>0</v>
      </c>
      <c r="K421" t="n">
        <v>0</v>
      </c>
      <c r="L421" t="n">
        <v>0</v>
      </c>
      <c r="M421" t="n">
        <v>0</v>
      </c>
      <c r="N421" t="n">
        <v>0</v>
      </c>
      <c r="O421" t="n">
        <v>0</v>
      </c>
      <c r="P421" t="n">
        <v>0</v>
      </c>
      <c r="Q421" t="n">
        <v>0</v>
      </c>
      <c r="R421" s="2" t="inlineStr"/>
    </row>
    <row r="422" ht="15" customHeight="1">
      <c r="A422" t="inlineStr">
        <is>
          <t>A 25609-2023</t>
        </is>
      </c>
      <c r="B422" s="1" t="n">
        <v>45089</v>
      </c>
      <c r="C422" s="1" t="n">
        <v>46045</v>
      </c>
      <c r="D422" t="inlineStr">
        <is>
          <t>STOCKHOLMS LÄN</t>
        </is>
      </c>
      <c r="E422" t="inlineStr">
        <is>
          <t>NORRTÄLJE</t>
        </is>
      </c>
      <c r="G422" t="n">
        <v>2.5</v>
      </c>
      <c r="H422" t="n">
        <v>0</v>
      </c>
      <c r="I422" t="n">
        <v>0</v>
      </c>
      <c r="J422" t="n">
        <v>0</v>
      </c>
      <c r="K422" t="n">
        <v>0</v>
      </c>
      <c r="L422" t="n">
        <v>0</v>
      </c>
      <c r="M422" t="n">
        <v>0</v>
      </c>
      <c r="N422" t="n">
        <v>0</v>
      </c>
      <c r="O422" t="n">
        <v>0</v>
      </c>
      <c r="P422" t="n">
        <v>0</v>
      </c>
      <c r="Q422" t="n">
        <v>0</v>
      </c>
      <c r="R422" s="2" t="inlineStr"/>
    </row>
    <row r="423" ht="15" customHeight="1">
      <c r="A423" t="inlineStr">
        <is>
          <t>A 15915-2023</t>
        </is>
      </c>
      <c r="B423" s="1" t="n">
        <v>45022</v>
      </c>
      <c r="C423" s="1" t="n">
        <v>46045</v>
      </c>
      <c r="D423" t="inlineStr">
        <is>
          <t>STOCKHOLMS LÄN</t>
        </is>
      </c>
      <c r="E423" t="inlineStr">
        <is>
          <t>NORRTÄLJE</t>
        </is>
      </c>
      <c r="G423" t="n">
        <v>2.9</v>
      </c>
      <c r="H423" t="n">
        <v>0</v>
      </c>
      <c r="I423" t="n">
        <v>0</v>
      </c>
      <c r="J423" t="n">
        <v>0</v>
      </c>
      <c r="K423" t="n">
        <v>0</v>
      </c>
      <c r="L423" t="n">
        <v>0</v>
      </c>
      <c r="M423" t="n">
        <v>0</v>
      </c>
      <c r="N423" t="n">
        <v>0</v>
      </c>
      <c r="O423" t="n">
        <v>0</v>
      </c>
      <c r="P423" t="n">
        <v>0</v>
      </c>
      <c r="Q423" t="n">
        <v>0</v>
      </c>
      <c r="R423" s="2" t="inlineStr"/>
    </row>
    <row r="424" ht="15" customHeight="1">
      <c r="A424" t="inlineStr">
        <is>
          <t>A 33569-2023</t>
        </is>
      </c>
      <c r="B424" s="1" t="n">
        <v>45131.666875</v>
      </c>
      <c r="C424" s="1" t="n">
        <v>46045</v>
      </c>
      <c r="D424" t="inlineStr">
        <is>
          <t>STOCKHOLMS LÄN</t>
        </is>
      </c>
      <c r="E424" t="inlineStr">
        <is>
          <t>NORRTÄLJE</t>
        </is>
      </c>
      <c r="G424" t="n">
        <v>2.3</v>
      </c>
      <c r="H424" t="n">
        <v>0</v>
      </c>
      <c r="I424" t="n">
        <v>0</v>
      </c>
      <c r="J424" t="n">
        <v>0</v>
      </c>
      <c r="K424" t="n">
        <v>0</v>
      </c>
      <c r="L424" t="n">
        <v>0</v>
      </c>
      <c r="M424" t="n">
        <v>0</v>
      </c>
      <c r="N424" t="n">
        <v>0</v>
      </c>
      <c r="O424" t="n">
        <v>0</v>
      </c>
      <c r="P424" t="n">
        <v>0</v>
      </c>
      <c r="Q424" t="n">
        <v>0</v>
      </c>
      <c r="R424" s="2" t="inlineStr"/>
    </row>
    <row r="425" ht="15" customHeight="1">
      <c r="A425" t="inlineStr">
        <is>
          <t>A 38591-2023</t>
        </is>
      </c>
      <c r="B425" s="1" t="n">
        <v>45162</v>
      </c>
      <c r="C425" s="1" t="n">
        <v>46045</v>
      </c>
      <c r="D425" t="inlineStr">
        <is>
          <t>STOCKHOLMS LÄN</t>
        </is>
      </c>
      <c r="E425" t="inlineStr">
        <is>
          <t>NORRTÄLJE</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3273-2025</t>
        </is>
      </c>
      <c r="B426" s="1" t="n">
        <v>45679</v>
      </c>
      <c r="C426" s="1" t="n">
        <v>46045</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58993-2022</t>
        </is>
      </c>
      <c r="B427" s="1" t="n">
        <v>44903</v>
      </c>
      <c r="C427" s="1" t="n">
        <v>46045</v>
      </c>
      <c r="D427" t="inlineStr">
        <is>
          <t>STOCKHOLMS LÄN</t>
        </is>
      </c>
      <c r="E427" t="inlineStr">
        <is>
          <t>NORRTÄLJE</t>
        </is>
      </c>
      <c r="G427" t="n">
        <v>2.3</v>
      </c>
      <c r="H427" t="n">
        <v>0</v>
      </c>
      <c r="I427" t="n">
        <v>0</v>
      </c>
      <c r="J427" t="n">
        <v>0</v>
      </c>
      <c r="K427" t="n">
        <v>0</v>
      </c>
      <c r="L427" t="n">
        <v>0</v>
      </c>
      <c r="M427" t="n">
        <v>0</v>
      </c>
      <c r="N427" t="n">
        <v>0</v>
      </c>
      <c r="O427" t="n">
        <v>0</v>
      </c>
      <c r="P427" t="n">
        <v>0</v>
      </c>
      <c r="Q427" t="n">
        <v>0</v>
      </c>
      <c r="R427" s="2" t="inlineStr"/>
    </row>
    <row r="428" ht="15" customHeight="1">
      <c r="A428" t="inlineStr">
        <is>
          <t>A 50569-2022</t>
        </is>
      </c>
      <c r="B428" s="1" t="n">
        <v>44866.63775462963</v>
      </c>
      <c r="C428" s="1" t="n">
        <v>46045</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39905-2023</t>
        </is>
      </c>
      <c r="B429" s="1" t="n">
        <v>45168.44489583333</v>
      </c>
      <c r="C429" s="1" t="n">
        <v>46045</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34461-2023</t>
        </is>
      </c>
      <c r="B430" s="1" t="n">
        <v>45139</v>
      </c>
      <c r="C430" s="1" t="n">
        <v>46045</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22833-2024</t>
        </is>
      </c>
      <c r="B431" s="1" t="n">
        <v>45448.56746527777</v>
      </c>
      <c r="C431" s="1" t="n">
        <v>46045</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39149-2025</t>
        </is>
      </c>
      <c r="B432" s="1" t="n">
        <v>45888.60714120371</v>
      </c>
      <c r="C432" s="1" t="n">
        <v>46045</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38720-2025</t>
        </is>
      </c>
      <c r="B433" s="1" t="n">
        <v>45886</v>
      </c>
      <c r="C433" s="1" t="n">
        <v>46045</v>
      </c>
      <c r="D433" t="inlineStr">
        <is>
          <t>STOCKHOLMS LÄN</t>
        </is>
      </c>
      <c r="E433" t="inlineStr">
        <is>
          <t>NORRTÄLJE</t>
        </is>
      </c>
      <c r="G433" t="n">
        <v>1.6</v>
      </c>
      <c r="H433" t="n">
        <v>0</v>
      </c>
      <c r="I433" t="n">
        <v>0</v>
      </c>
      <c r="J433" t="n">
        <v>0</v>
      </c>
      <c r="K433" t="n">
        <v>0</v>
      </c>
      <c r="L433" t="n">
        <v>0</v>
      </c>
      <c r="M433" t="n">
        <v>0</v>
      </c>
      <c r="N433" t="n">
        <v>0</v>
      </c>
      <c r="O433" t="n">
        <v>0</v>
      </c>
      <c r="P433" t="n">
        <v>0</v>
      </c>
      <c r="Q433" t="n">
        <v>0</v>
      </c>
      <c r="R433" s="2" t="inlineStr"/>
    </row>
    <row r="434" ht="15" customHeight="1">
      <c r="A434" t="inlineStr">
        <is>
          <t>A 60224-2023</t>
        </is>
      </c>
      <c r="B434" s="1" t="n">
        <v>45257</v>
      </c>
      <c r="C434" s="1" t="n">
        <v>46045</v>
      </c>
      <c r="D434" t="inlineStr">
        <is>
          <t>STOCKHOLMS LÄN</t>
        </is>
      </c>
      <c r="E434" t="inlineStr">
        <is>
          <t>NORRTÄLJE</t>
        </is>
      </c>
      <c r="G434" t="n">
        <v>8.1</v>
      </c>
      <c r="H434" t="n">
        <v>0</v>
      </c>
      <c r="I434" t="n">
        <v>0</v>
      </c>
      <c r="J434" t="n">
        <v>0</v>
      </c>
      <c r="K434" t="n">
        <v>0</v>
      </c>
      <c r="L434" t="n">
        <v>0</v>
      </c>
      <c r="M434" t="n">
        <v>0</v>
      </c>
      <c r="N434" t="n">
        <v>0</v>
      </c>
      <c r="O434" t="n">
        <v>0</v>
      </c>
      <c r="P434" t="n">
        <v>0</v>
      </c>
      <c r="Q434" t="n">
        <v>0</v>
      </c>
      <c r="R434" s="2" t="inlineStr"/>
    </row>
    <row r="435" ht="15" customHeight="1">
      <c r="A435" t="inlineStr">
        <is>
          <t>A 15217-2023</t>
        </is>
      </c>
      <c r="B435" s="1" t="n">
        <v>45019.28847222222</v>
      </c>
      <c r="C435" s="1" t="n">
        <v>46045</v>
      </c>
      <c r="D435" t="inlineStr">
        <is>
          <t>STOCKHOLMS LÄN</t>
        </is>
      </c>
      <c r="E435" t="inlineStr">
        <is>
          <t>NORRTÄLJE</t>
        </is>
      </c>
      <c r="G435" t="n">
        <v>3.6</v>
      </c>
      <c r="H435" t="n">
        <v>0</v>
      </c>
      <c r="I435" t="n">
        <v>0</v>
      </c>
      <c r="J435" t="n">
        <v>0</v>
      </c>
      <c r="K435" t="n">
        <v>0</v>
      </c>
      <c r="L435" t="n">
        <v>0</v>
      </c>
      <c r="M435" t="n">
        <v>0</v>
      </c>
      <c r="N435" t="n">
        <v>0</v>
      </c>
      <c r="O435" t="n">
        <v>0</v>
      </c>
      <c r="P435" t="n">
        <v>0</v>
      </c>
      <c r="Q435" t="n">
        <v>0</v>
      </c>
      <c r="R435" s="2" t="inlineStr"/>
    </row>
    <row r="436" ht="15" customHeight="1">
      <c r="A436" t="inlineStr">
        <is>
          <t>A 17785-2024</t>
        </is>
      </c>
      <c r="B436" s="1" t="n">
        <v>45418.6968287037</v>
      </c>
      <c r="C436" s="1" t="n">
        <v>46045</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24522-2023</t>
        </is>
      </c>
      <c r="B437" s="1" t="n">
        <v>45082.69179398148</v>
      </c>
      <c r="C437" s="1" t="n">
        <v>46045</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33793-2022</t>
        </is>
      </c>
      <c r="B438" s="1" t="n">
        <v>44790</v>
      </c>
      <c r="C438" s="1" t="n">
        <v>46045</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29684-2021</t>
        </is>
      </c>
      <c r="B439" s="1" t="n">
        <v>44362.37172453704</v>
      </c>
      <c r="C439" s="1" t="n">
        <v>46045</v>
      </c>
      <c r="D439" t="inlineStr">
        <is>
          <t>STOCKHOLMS LÄN</t>
        </is>
      </c>
      <c r="E439" t="inlineStr">
        <is>
          <t>NORRTÄLJE</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39152-2025</t>
        </is>
      </c>
      <c r="B440" s="1" t="n">
        <v>45888</v>
      </c>
      <c r="C440" s="1" t="n">
        <v>46045</v>
      </c>
      <c r="D440" t="inlineStr">
        <is>
          <t>STOCKHOLMS LÄN</t>
        </is>
      </c>
      <c r="E440" t="inlineStr">
        <is>
          <t>NORRTÄLJE</t>
        </is>
      </c>
      <c r="G440" t="n">
        <v>4.6</v>
      </c>
      <c r="H440" t="n">
        <v>0</v>
      </c>
      <c r="I440" t="n">
        <v>0</v>
      </c>
      <c r="J440" t="n">
        <v>0</v>
      </c>
      <c r="K440" t="n">
        <v>0</v>
      </c>
      <c r="L440" t="n">
        <v>0</v>
      </c>
      <c r="M440" t="n">
        <v>0</v>
      </c>
      <c r="N440" t="n">
        <v>0</v>
      </c>
      <c r="O440" t="n">
        <v>0</v>
      </c>
      <c r="P440" t="n">
        <v>0</v>
      </c>
      <c r="Q440" t="n">
        <v>0</v>
      </c>
      <c r="R440" s="2" t="inlineStr"/>
    </row>
    <row r="441" ht="15" customHeight="1">
      <c r="A441" t="inlineStr">
        <is>
          <t>A 21386-2023</t>
        </is>
      </c>
      <c r="B441" s="1" t="n">
        <v>45063.35880787037</v>
      </c>
      <c r="C441" s="1" t="n">
        <v>46045</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29176-2024</t>
        </is>
      </c>
      <c r="B442" s="1" t="n">
        <v>45482.53388888889</v>
      </c>
      <c r="C442" s="1" t="n">
        <v>46045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4593-2023</t>
        </is>
      </c>
      <c r="B443" s="1" t="n">
        <v>44956</v>
      </c>
      <c r="C443" s="1" t="n">
        <v>46045</v>
      </c>
      <c r="D443" t="inlineStr">
        <is>
          <t>STOCKHOLMS LÄN</t>
        </is>
      </c>
      <c r="E443" t="inlineStr">
        <is>
          <t>NORRTÄLJE</t>
        </is>
      </c>
      <c r="G443" t="n">
        <v>0.4</v>
      </c>
      <c r="H443" t="n">
        <v>0</v>
      </c>
      <c r="I443" t="n">
        <v>0</v>
      </c>
      <c r="J443" t="n">
        <v>0</v>
      </c>
      <c r="K443" t="n">
        <v>0</v>
      </c>
      <c r="L443" t="n">
        <v>0</v>
      </c>
      <c r="M443" t="n">
        <v>0</v>
      </c>
      <c r="N443" t="n">
        <v>0</v>
      </c>
      <c r="O443" t="n">
        <v>0</v>
      </c>
      <c r="P443" t="n">
        <v>0</v>
      </c>
      <c r="Q443" t="n">
        <v>0</v>
      </c>
      <c r="R443" s="2" t="inlineStr"/>
    </row>
    <row r="444" ht="15" customHeight="1">
      <c r="A444" t="inlineStr">
        <is>
          <t>A 17304-2024</t>
        </is>
      </c>
      <c r="B444" s="1" t="n">
        <v>45414</v>
      </c>
      <c r="C444" s="1" t="n">
        <v>46045</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54396-2021</t>
        </is>
      </c>
      <c r="B445" s="1" t="n">
        <v>44472</v>
      </c>
      <c r="C445" s="1" t="n">
        <v>46045</v>
      </c>
      <c r="D445" t="inlineStr">
        <is>
          <t>STOCKHOLMS LÄN</t>
        </is>
      </c>
      <c r="E445" t="inlineStr">
        <is>
          <t>NORRTÄLJE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32071-2023</t>
        </is>
      </c>
      <c r="B446" s="1" t="n">
        <v>45119.57728009259</v>
      </c>
      <c r="C446" s="1" t="n">
        <v>46045</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25681-2024</t>
        </is>
      </c>
      <c r="B447" s="1" t="n">
        <v>45463.80486111111</v>
      </c>
      <c r="C447" s="1" t="n">
        <v>46045</v>
      </c>
      <c r="D447" t="inlineStr">
        <is>
          <t>STOCKHOLMS LÄN</t>
        </is>
      </c>
      <c r="E447" t="inlineStr">
        <is>
          <t>NORRTÄLJE</t>
        </is>
      </c>
      <c r="G447" t="n">
        <v>2.7</v>
      </c>
      <c r="H447" t="n">
        <v>0</v>
      </c>
      <c r="I447" t="n">
        <v>0</v>
      </c>
      <c r="J447" t="n">
        <v>0</v>
      </c>
      <c r="K447" t="n">
        <v>0</v>
      </c>
      <c r="L447" t="n">
        <v>0</v>
      </c>
      <c r="M447" t="n">
        <v>0</v>
      </c>
      <c r="N447" t="n">
        <v>0</v>
      </c>
      <c r="O447" t="n">
        <v>0</v>
      </c>
      <c r="P447" t="n">
        <v>0</v>
      </c>
      <c r="Q447" t="n">
        <v>0</v>
      </c>
      <c r="R447" s="2" t="inlineStr"/>
    </row>
    <row r="448" ht="15" customHeight="1">
      <c r="A448" t="inlineStr">
        <is>
          <t>A 16852-2024</t>
        </is>
      </c>
      <c r="B448" s="1" t="n">
        <v>45411.54768518519</v>
      </c>
      <c r="C448" s="1" t="n">
        <v>46045</v>
      </c>
      <c r="D448" t="inlineStr">
        <is>
          <t>STOCKHOLMS LÄN</t>
        </is>
      </c>
      <c r="E448" t="inlineStr">
        <is>
          <t>NORRTÄLJE</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4596-2023</t>
        </is>
      </c>
      <c r="B449" s="1" t="n">
        <v>44956</v>
      </c>
      <c r="C449" s="1" t="n">
        <v>46045</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4326-2023</t>
        </is>
      </c>
      <c r="B450" s="1" t="n">
        <v>44953.70481481482</v>
      </c>
      <c r="C450" s="1" t="n">
        <v>46045</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24245-2024</t>
        </is>
      </c>
      <c r="B451" s="1" t="n">
        <v>45457</v>
      </c>
      <c r="C451" s="1" t="n">
        <v>46045</v>
      </c>
      <c r="D451" t="inlineStr">
        <is>
          <t>STOCKHOLMS LÄN</t>
        </is>
      </c>
      <c r="E451" t="inlineStr">
        <is>
          <t>NORRTÄLJE</t>
        </is>
      </c>
      <c r="F451" t="inlineStr">
        <is>
          <t>Holmen skog AB</t>
        </is>
      </c>
      <c r="G451" t="n">
        <v>3.4</v>
      </c>
      <c r="H451" t="n">
        <v>0</v>
      </c>
      <c r="I451" t="n">
        <v>0</v>
      </c>
      <c r="J451" t="n">
        <v>0</v>
      </c>
      <c r="K451" t="n">
        <v>0</v>
      </c>
      <c r="L451" t="n">
        <v>0</v>
      </c>
      <c r="M451" t="n">
        <v>0</v>
      </c>
      <c r="N451" t="n">
        <v>0</v>
      </c>
      <c r="O451" t="n">
        <v>0</v>
      </c>
      <c r="P451" t="n">
        <v>0</v>
      </c>
      <c r="Q451" t="n">
        <v>0</v>
      </c>
      <c r="R451" s="2" t="inlineStr"/>
    </row>
    <row r="452" ht="15" customHeight="1">
      <c r="A452" t="inlineStr">
        <is>
          <t>A 4438-2023</t>
        </is>
      </c>
      <c r="B452" s="1" t="n">
        <v>44956</v>
      </c>
      <c r="C452" s="1" t="n">
        <v>46045</v>
      </c>
      <c r="D452" t="inlineStr">
        <is>
          <t>STOCKHOLMS LÄN</t>
        </is>
      </c>
      <c r="E452" t="inlineStr">
        <is>
          <t>NORRTÄLJE</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24727-2023</t>
        </is>
      </c>
      <c r="B453" s="1" t="n">
        <v>45084.57695601852</v>
      </c>
      <c r="C453" s="1" t="n">
        <v>46045</v>
      </c>
      <c r="D453" t="inlineStr">
        <is>
          <t>STOCKHOLMS LÄN</t>
        </is>
      </c>
      <c r="E453" t="inlineStr">
        <is>
          <t>NORRTÄLJE</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26115-2024</t>
        </is>
      </c>
      <c r="B454" s="1" t="n">
        <v>45468.45628472222</v>
      </c>
      <c r="C454" s="1" t="n">
        <v>46045</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59904-2023</t>
        </is>
      </c>
      <c r="B455" s="1" t="n">
        <v>45257</v>
      </c>
      <c r="C455" s="1" t="n">
        <v>46045</v>
      </c>
      <c r="D455" t="inlineStr">
        <is>
          <t>STOCKHOLMS LÄN</t>
        </is>
      </c>
      <c r="E455" t="inlineStr">
        <is>
          <t>NORRTÄLJE</t>
        </is>
      </c>
      <c r="G455" t="n">
        <v>17.4</v>
      </c>
      <c r="H455" t="n">
        <v>0</v>
      </c>
      <c r="I455" t="n">
        <v>0</v>
      </c>
      <c r="J455" t="n">
        <v>0</v>
      </c>
      <c r="K455" t="n">
        <v>0</v>
      </c>
      <c r="L455" t="n">
        <v>0</v>
      </c>
      <c r="M455" t="n">
        <v>0</v>
      </c>
      <c r="N455" t="n">
        <v>0</v>
      </c>
      <c r="O455" t="n">
        <v>0</v>
      </c>
      <c r="P455" t="n">
        <v>0</v>
      </c>
      <c r="Q455" t="n">
        <v>0</v>
      </c>
      <c r="R455" s="2" t="inlineStr"/>
    </row>
    <row r="456" ht="15" customHeight="1">
      <c r="A456" t="inlineStr">
        <is>
          <t>A 36308-2022</t>
        </is>
      </c>
      <c r="B456" s="1" t="n">
        <v>44803</v>
      </c>
      <c r="C456" s="1" t="n">
        <v>46045</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39692-2025</t>
        </is>
      </c>
      <c r="B457" s="1" t="n">
        <v>45890.68083333333</v>
      </c>
      <c r="C457" s="1" t="n">
        <v>46045</v>
      </c>
      <c r="D457" t="inlineStr">
        <is>
          <t>STOCKHOLMS LÄN</t>
        </is>
      </c>
      <c r="E457" t="inlineStr">
        <is>
          <t>NORRTÄLJE</t>
        </is>
      </c>
      <c r="G457" t="n">
        <v>10.5</v>
      </c>
      <c r="H457" t="n">
        <v>0</v>
      </c>
      <c r="I457" t="n">
        <v>0</v>
      </c>
      <c r="J457" t="n">
        <v>0</v>
      </c>
      <c r="K457" t="n">
        <v>0</v>
      </c>
      <c r="L457" t="n">
        <v>0</v>
      </c>
      <c r="M457" t="n">
        <v>0</v>
      </c>
      <c r="N457" t="n">
        <v>0</v>
      </c>
      <c r="O457" t="n">
        <v>0</v>
      </c>
      <c r="P457" t="n">
        <v>0</v>
      </c>
      <c r="Q457" t="n">
        <v>0</v>
      </c>
      <c r="R457" s="2" t="inlineStr"/>
    </row>
    <row r="458" ht="15" customHeight="1">
      <c r="A458" t="inlineStr">
        <is>
          <t>A 33385-2024</t>
        </is>
      </c>
      <c r="B458" s="1" t="n">
        <v>45519</v>
      </c>
      <c r="C458" s="1" t="n">
        <v>46045</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29714-2023</t>
        </is>
      </c>
      <c r="B459" s="1" t="n">
        <v>45107.42538194444</v>
      </c>
      <c r="C459" s="1" t="n">
        <v>46045</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30508-2023</t>
        </is>
      </c>
      <c r="B460" s="1" t="n">
        <v>45111</v>
      </c>
      <c r="C460" s="1" t="n">
        <v>46045</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27677-2025</t>
        </is>
      </c>
      <c r="B461" s="1" t="n">
        <v>45813.63650462963</v>
      </c>
      <c r="C461" s="1" t="n">
        <v>46045</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12031-2021</t>
        </is>
      </c>
      <c r="B462" s="1" t="n">
        <v>44266</v>
      </c>
      <c r="C462" s="1" t="n">
        <v>46045</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54273-2021</t>
        </is>
      </c>
      <c r="B463" s="1" t="n">
        <v>44470.72987268519</v>
      </c>
      <c r="C463" s="1" t="n">
        <v>46045</v>
      </c>
      <c r="D463" t="inlineStr">
        <is>
          <t>STOCKHOLMS LÄN</t>
        </is>
      </c>
      <c r="E463" t="inlineStr">
        <is>
          <t>NORRTÄLJE</t>
        </is>
      </c>
      <c r="G463" t="n">
        <v>2.7</v>
      </c>
      <c r="H463" t="n">
        <v>0</v>
      </c>
      <c r="I463" t="n">
        <v>0</v>
      </c>
      <c r="J463" t="n">
        <v>0</v>
      </c>
      <c r="K463" t="n">
        <v>0</v>
      </c>
      <c r="L463" t="n">
        <v>0</v>
      </c>
      <c r="M463" t="n">
        <v>0</v>
      </c>
      <c r="N463" t="n">
        <v>0</v>
      </c>
      <c r="O463" t="n">
        <v>0</v>
      </c>
      <c r="P463" t="n">
        <v>0</v>
      </c>
      <c r="Q463" t="n">
        <v>0</v>
      </c>
      <c r="R463" s="2" t="inlineStr"/>
    </row>
    <row r="464" ht="15" customHeight="1">
      <c r="A464" t="inlineStr">
        <is>
          <t>A 43212-2022</t>
        </is>
      </c>
      <c r="B464" s="1" t="n">
        <v>44834.38636574074</v>
      </c>
      <c r="C464" s="1" t="n">
        <v>46045</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40230-2025</t>
        </is>
      </c>
      <c r="B465" s="1" t="n">
        <v>45894.71101851852</v>
      </c>
      <c r="C465" s="1" t="n">
        <v>46045</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18787-2022</t>
        </is>
      </c>
      <c r="B466" s="1" t="n">
        <v>44687</v>
      </c>
      <c r="C466" s="1" t="n">
        <v>46045</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40228-2025</t>
        </is>
      </c>
      <c r="B467" s="1" t="n">
        <v>45894.70854166667</v>
      </c>
      <c r="C467" s="1" t="n">
        <v>46045</v>
      </c>
      <c r="D467" t="inlineStr">
        <is>
          <t>STOCKHOLMS LÄN</t>
        </is>
      </c>
      <c r="E467" t="inlineStr">
        <is>
          <t>NORRTÄLJE</t>
        </is>
      </c>
      <c r="G467" t="n">
        <v>2.1</v>
      </c>
      <c r="H467" t="n">
        <v>0</v>
      </c>
      <c r="I467" t="n">
        <v>0</v>
      </c>
      <c r="J467" t="n">
        <v>0</v>
      </c>
      <c r="K467" t="n">
        <v>0</v>
      </c>
      <c r="L467" t="n">
        <v>0</v>
      </c>
      <c r="M467" t="n">
        <v>0</v>
      </c>
      <c r="N467" t="n">
        <v>0</v>
      </c>
      <c r="O467" t="n">
        <v>0</v>
      </c>
      <c r="P467" t="n">
        <v>0</v>
      </c>
      <c r="Q467" t="n">
        <v>0</v>
      </c>
      <c r="R467" s="2" t="inlineStr"/>
    </row>
    <row r="468" ht="15" customHeight="1">
      <c r="A468" t="inlineStr">
        <is>
          <t>A 35636-2025</t>
        </is>
      </c>
      <c r="B468" s="1" t="n">
        <v>45859</v>
      </c>
      <c r="C468" s="1" t="n">
        <v>46045</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40172-2025</t>
        </is>
      </c>
      <c r="B469" s="1" t="n">
        <v>45894.6353125</v>
      </c>
      <c r="C469" s="1" t="n">
        <v>46045</v>
      </c>
      <c r="D469" t="inlineStr">
        <is>
          <t>STOCKHOLMS LÄN</t>
        </is>
      </c>
      <c r="E469" t="inlineStr">
        <is>
          <t>NORRTÄLJE</t>
        </is>
      </c>
      <c r="G469" t="n">
        <v>6</v>
      </c>
      <c r="H469" t="n">
        <v>0</v>
      </c>
      <c r="I469" t="n">
        <v>0</v>
      </c>
      <c r="J469" t="n">
        <v>0</v>
      </c>
      <c r="K469" t="n">
        <v>0</v>
      </c>
      <c r="L469" t="n">
        <v>0</v>
      </c>
      <c r="M469" t="n">
        <v>0</v>
      </c>
      <c r="N469" t="n">
        <v>0</v>
      </c>
      <c r="O469" t="n">
        <v>0</v>
      </c>
      <c r="P469" t="n">
        <v>0</v>
      </c>
      <c r="Q469" t="n">
        <v>0</v>
      </c>
      <c r="R469" s="2" t="inlineStr"/>
    </row>
    <row r="470" ht="15" customHeight="1">
      <c r="A470" t="inlineStr">
        <is>
          <t>A 40033-2025</t>
        </is>
      </c>
      <c r="B470" s="1" t="n">
        <v>45893</v>
      </c>
      <c r="C470" s="1" t="n">
        <v>46045</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40217-2025</t>
        </is>
      </c>
      <c r="B471" s="1" t="n">
        <v>45894.68864583333</v>
      </c>
      <c r="C471" s="1" t="n">
        <v>46045</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35639-2025</t>
        </is>
      </c>
      <c r="B472" s="1" t="n">
        <v>45859</v>
      </c>
      <c r="C472" s="1" t="n">
        <v>46045</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34295-2024</t>
        </is>
      </c>
      <c r="B473" s="1" t="n">
        <v>45524</v>
      </c>
      <c r="C473" s="1" t="n">
        <v>46045</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40032-2025</t>
        </is>
      </c>
      <c r="B474" s="1" t="n">
        <v>45893</v>
      </c>
      <c r="C474" s="1" t="n">
        <v>46045</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40097-2025</t>
        </is>
      </c>
      <c r="B475" s="1" t="n">
        <v>45894.48322916667</v>
      </c>
      <c r="C475" s="1" t="n">
        <v>46045</v>
      </c>
      <c r="D475" t="inlineStr">
        <is>
          <t>STOCKHOLMS LÄN</t>
        </is>
      </c>
      <c r="E475" t="inlineStr">
        <is>
          <t>NORRTÄLJE</t>
        </is>
      </c>
      <c r="G475" t="n">
        <v>3</v>
      </c>
      <c r="H475" t="n">
        <v>0</v>
      </c>
      <c r="I475" t="n">
        <v>0</v>
      </c>
      <c r="J475" t="n">
        <v>0</v>
      </c>
      <c r="K475" t="n">
        <v>0</v>
      </c>
      <c r="L475" t="n">
        <v>0</v>
      </c>
      <c r="M475" t="n">
        <v>0</v>
      </c>
      <c r="N475" t="n">
        <v>0</v>
      </c>
      <c r="O475" t="n">
        <v>0</v>
      </c>
      <c r="P475" t="n">
        <v>0</v>
      </c>
      <c r="Q475" t="n">
        <v>0</v>
      </c>
      <c r="R475" s="2" t="inlineStr"/>
    </row>
    <row r="476" ht="15" customHeight="1">
      <c r="A476" t="inlineStr">
        <is>
          <t>A 6537-2024</t>
        </is>
      </c>
      <c r="B476" s="1" t="n">
        <v>45341.39853009259</v>
      </c>
      <c r="C476" s="1" t="n">
        <v>46045</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52260-2022</t>
        </is>
      </c>
      <c r="B477" s="1" t="n">
        <v>44869</v>
      </c>
      <c r="C477" s="1" t="n">
        <v>46045</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40529-2025</t>
        </is>
      </c>
      <c r="B478" s="1" t="n">
        <v>45896.38466435186</v>
      </c>
      <c r="C478" s="1" t="n">
        <v>46045</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40292-2025</t>
        </is>
      </c>
      <c r="B479" s="1" t="n">
        <v>45895.3867824074</v>
      </c>
      <c r="C479" s="1" t="n">
        <v>46045</v>
      </c>
      <c r="D479" t="inlineStr">
        <is>
          <t>STOCKHOLMS LÄN</t>
        </is>
      </c>
      <c r="E479" t="inlineStr">
        <is>
          <t>NORRTÄLJE</t>
        </is>
      </c>
      <c r="G479" t="n">
        <v>3.5</v>
      </c>
      <c r="H479" t="n">
        <v>0</v>
      </c>
      <c r="I479" t="n">
        <v>0</v>
      </c>
      <c r="J479" t="n">
        <v>0</v>
      </c>
      <c r="K479" t="n">
        <v>0</v>
      </c>
      <c r="L479" t="n">
        <v>0</v>
      </c>
      <c r="M479" t="n">
        <v>0</v>
      </c>
      <c r="N479" t="n">
        <v>0</v>
      </c>
      <c r="O479" t="n">
        <v>0</v>
      </c>
      <c r="P479" t="n">
        <v>0</v>
      </c>
      <c r="Q479" t="n">
        <v>0</v>
      </c>
      <c r="R479" s="2" t="inlineStr"/>
    </row>
    <row r="480" ht="15" customHeight="1">
      <c r="A480" t="inlineStr">
        <is>
          <t>A 40294-2025</t>
        </is>
      </c>
      <c r="B480" s="1" t="n">
        <v>45895.38778935185</v>
      </c>
      <c r="C480" s="1" t="n">
        <v>46045</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8296-2023</t>
        </is>
      </c>
      <c r="B481" s="1" t="n">
        <v>44974</v>
      </c>
      <c r="C481" s="1" t="n">
        <v>46045</v>
      </c>
      <c r="D481" t="inlineStr">
        <is>
          <t>STOCKHOLMS LÄN</t>
        </is>
      </c>
      <c r="E481" t="inlineStr">
        <is>
          <t>NORRTÄLJE</t>
        </is>
      </c>
      <c r="G481" t="n">
        <v>3.8</v>
      </c>
      <c r="H481" t="n">
        <v>0</v>
      </c>
      <c r="I481" t="n">
        <v>0</v>
      </c>
      <c r="J481" t="n">
        <v>0</v>
      </c>
      <c r="K481" t="n">
        <v>0</v>
      </c>
      <c r="L481" t="n">
        <v>0</v>
      </c>
      <c r="M481" t="n">
        <v>0</v>
      </c>
      <c r="N481" t="n">
        <v>0</v>
      </c>
      <c r="O481" t="n">
        <v>0</v>
      </c>
      <c r="P481" t="n">
        <v>0</v>
      </c>
      <c r="Q481" t="n">
        <v>0</v>
      </c>
      <c r="R481" s="2" t="inlineStr"/>
    </row>
    <row r="482" ht="15" customHeight="1">
      <c r="A482" t="inlineStr">
        <is>
          <t>A 55058-2021</t>
        </is>
      </c>
      <c r="B482" s="1" t="n">
        <v>44474.62141203704</v>
      </c>
      <c r="C482" s="1" t="n">
        <v>46045</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40192-2023</t>
        </is>
      </c>
      <c r="B483" s="1" t="n">
        <v>45169</v>
      </c>
      <c r="C483" s="1" t="n">
        <v>46045</v>
      </c>
      <c r="D483" t="inlineStr">
        <is>
          <t>STOCKHOLMS LÄN</t>
        </is>
      </c>
      <c r="E483" t="inlineStr">
        <is>
          <t>NORRTÄLJE</t>
        </is>
      </c>
      <c r="F483" t="inlineStr">
        <is>
          <t>Kyrkan</t>
        </is>
      </c>
      <c r="G483" t="n">
        <v>0.7</v>
      </c>
      <c r="H483" t="n">
        <v>0</v>
      </c>
      <c r="I483" t="n">
        <v>0</v>
      </c>
      <c r="J483" t="n">
        <v>0</v>
      </c>
      <c r="K483" t="n">
        <v>0</v>
      </c>
      <c r="L483" t="n">
        <v>0</v>
      </c>
      <c r="M483" t="n">
        <v>0</v>
      </c>
      <c r="N483" t="n">
        <v>0</v>
      </c>
      <c r="O483" t="n">
        <v>0</v>
      </c>
      <c r="P483" t="n">
        <v>0</v>
      </c>
      <c r="Q483" t="n">
        <v>0</v>
      </c>
      <c r="R483" s="2" t="inlineStr"/>
    </row>
    <row r="484" ht="15" customHeight="1">
      <c r="A484" t="inlineStr">
        <is>
          <t>A 4035-2023</t>
        </is>
      </c>
      <c r="B484" s="1" t="n">
        <v>44952.57989583333</v>
      </c>
      <c r="C484" s="1" t="n">
        <v>46045</v>
      </c>
      <c r="D484" t="inlineStr">
        <is>
          <t>STOCKHOLMS LÄN</t>
        </is>
      </c>
      <c r="E484" t="inlineStr">
        <is>
          <t>NORRTÄLJE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50108-2021</t>
        </is>
      </c>
      <c r="B485" s="1" t="n">
        <v>44456</v>
      </c>
      <c r="C485" s="1" t="n">
        <v>46045</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41275-2025</t>
        </is>
      </c>
      <c r="B486" s="1" t="n">
        <v>45898.62625</v>
      </c>
      <c r="C486" s="1" t="n">
        <v>46045</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40837-2025</t>
        </is>
      </c>
      <c r="B487" s="1" t="n">
        <v>45897.51328703704</v>
      </c>
      <c r="C487" s="1" t="n">
        <v>46045</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41030-2025</t>
        </is>
      </c>
      <c r="B488" s="1" t="n">
        <v>45898.37636574074</v>
      </c>
      <c r="C488" s="1" t="n">
        <v>46045</v>
      </c>
      <c r="D488" t="inlineStr">
        <is>
          <t>STOCKHOLMS LÄN</t>
        </is>
      </c>
      <c r="E488" t="inlineStr">
        <is>
          <t>NORRTÄLJE</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26644-2024</t>
        </is>
      </c>
      <c r="B489" s="1" t="n">
        <v>45469</v>
      </c>
      <c r="C489" s="1" t="n">
        <v>46045</v>
      </c>
      <c r="D489" t="inlineStr">
        <is>
          <t>STOCKHOLMS LÄN</t>
        </is>
      </c>
      <c r="E489" t="inlineStr">
        <is>
          <t>NORRTÄLJE</t>
        </is>
      </c>
      <c r="G489" t="n">
        <v>4.3</v>
      </c>
      <c r="H489" t="n">
        <v>0</v>
      </c>
      <c r="I489" t="n">
        <v>0</v>
      </c>
      <c r="J489" t="n">
        <v>0</v>
      </c>
      <c r="K489" t="n">
        <v>0</v>
      </c>
      <c r="L489" t="n">
        <v>0</v>
      </c>
      <c r="M489" t="n">
        <v>0</v>
      </c>
      <c r="N489" t="n">
        <v>0</v>
      </c>
      <c r="O489" t="n">
        <v>0</v>
      </c>
      <c r="P489" t="n">
        <v>0</v>
      </c>
      <c r="Q489" t="n">
        <v>0</v>
      </c>
      <c r="R489" s="2" t="inlineStr"/>
    </row>
    <row r="490" ht="15" customHeight="1">
      <c r="A490" t="inlineStr">
        <is>
          <t>A 26668-2024</t>
        </is>
      </c>
      <c r="B490" s="1" t="n">
        <v>45469</v>
      </c>
      <c r="C490" s="1" t="n">
        <v>46045</v>
      </c>
      <c r="D490" t="inlineStr">
        <is>
          <t>STOCKHOLMS LÄN</t>
        </is>
      </c>
      <c r="E490" t="inlineStr">
        <is>
          <t>NORRTÄLJE</t>
        </is>
      </c>
      <c r="G490" t="n">
        <v>4.8</v>
      </c>
      <c r="H490" t="n">
        <v>0</v>
      </c>
      <c r="I490" t="n">
        <v>0</v>
      </c>
      <c r="J490" t="n">
        <v>0</v>
      </c>
      <c r="K490" t="n">
        <v>0</v>
      </c>
      <c r="L490" t="n">
        <v>0</v>
      </c>
      <c r="M490" t="n">
        <v>0</v>
      </c>
      <c r="N490" t="n">
        <v>0</v>
      </c>
      <c r="O490" t="n">
        <v>0</v>
      </c>
      <c r="P490" t="n">
        <v>0</v>
      </c>
      <c r="Q490" t="n">
        <v>0</v>
      </c>
      <c r="R490" s="2" t="inlineStr"/>
    </row>
    <row r="491" ht="15" customHeight="1">
      <c r="A491" t="inlineStr">
        <is>
          <t>A 41158-2025</t>
        </is>
      </c>
      <c r="B491" s="1" t="n">
        <v>45898.5315625</v>
      </c>
      <c r="C491" s="1" t="n">
        <v>46045</v>
      </c>
      <c r="D491" t="inlineStr">
        <is>
          <t>STOCKHOLMS LÄN</t>
        </is>
      </c>
      <c r="E491" t="inlineStr">
        <is>
          <t>NORRTÄLJE</t>
        </is>
      </c>
      <c r="G491" t="n">
        <v>1.1</v>
      </c>
      <c r="H491" t="n">
        <v>0</v>
      </c>
      <c r="I491" t="n">
        <v>0</v>
      </c>
      <c r="J491" t="n">
        <v>0</v>
      </c>
      <c r="K491" t="n">
        <v>0</v>
      </c>
      <c r="L491" t="n">
        <v>0</v>
      </c>
      <c r="M491" t="n">
        <v>0</v>
      </c>
      <c r="N491" t="n">
        <v>0</v>
      </c>
      <c r="O491" t="n">
        <v>0</v>
      </c>
      <c r="P491" t="n">
        <v>0</v>
      </c>
      <c r="Q491" t="n">
        <v>0</v>
      </c>
      <c r="R491" s="2" t="inlineStr"/>
    </row>
    <row r="492" ht="15" customHeight="1">
      <c r="A492" t="inlineStr">
        <is>
          <t>A 41301-2025</t>
        </is>
      </c>
      <c r="B492" s="1" t="n">
        <v>45898.68826388889</v>
      </c>
      <c r="C492" s="1" t="n">
        <v>46045</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41106-2025</t>
        </is>
      </c>
      <c r="B493" s="1" t="n">
        <v>45898.45636574074</v>
      </c>
      <c r="C493" s="1" t="n">
        <v>46045</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41174-2025</t>
        </is>
      </c>
      <c r="B494" s="1" t="n">
        <v>45898.54921296296</v>
      </c>
      <c r="C494" s="1" t="n">
        <v>46045</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31236-2022</t>
        </is>
      </c>
      <c r="B495" s="1" t="n">
        <v>44771</v>
      </c>
      <c r="C495" s="1" t="n">
        <v>46045</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41110-2025</t>
        </is>
      </c>
      <c r="B496" s="1" t="n">
        <v>45898.45976851852</v>
      </c>
      <c r="C496" s="1" t="n">
        <v>46045</v>
      </c>
      <c r="D496" t="inlineStr">
        <is>
          <t>STOCKHOLMS LÄN</t>
        </is>
      </c>
      <c r="E496" t="inlineStr">
        <is>
          <t>NORRTÄLJE</t>
        </is>
      </c>
      <c r="F496" t="inlineStr">
        <is>
          <t>Holmen skog AB</t>
        </is>
      </c>
      <c r="G496" t="n">
        <v>6.7</v>
      </c>
      <c r="H496" t="n">
        <v>0</v>
      </c>
      <c r="I496" t="n">
        <v>0</v>
      </c>
      <c r="J496" t="n">
        <v>0</v>
      </c>
      <c r="K496" t="n">
        <v>0</v>
      </c>
      <c r="L496" t="n">
        <v>0</v>
      </c>
      <c r="M496" t="n">
        <v>0</v>
      </c>
      <c r="N496" t="n">
        <v>0</v>
      </c>
      <c r="O496" t="n">
        <v>0</v>
      </c>
      <c r="P496" t="n">
        <v>0</v>
      </c>
      <c r="Q496" t="n">
        <v>0</v>
      </c>
      <c r="R496" s="2" t="inlineStr"/>
    </row>
    <row r="497" ht="15" customHeight="1">
      <c r="A497" t="inlineStr">
        <is>
          <t>A 41259-2025</t>
        </is>
      </c>
      <c r="B497" s="1" t="n">
        <v>45898.61054398148</v>
      </c>
      <c r="C497" s="1" t="n">
        <v>46045</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41053-2025</t>
        </is>
      </c>
      <c r="B498" s="1" t="n">
        <v>45898.40480324074</v>
      </c>
      <c r="C498" s="1" t="n">
        <v>46045</v>
      </c>
      <c r="D498" t="inlineStr">
        <is>
          <t>STOCKHOLMS LÄN</t>
        </is>
      </c>
      <c r="E498" t="inlineStr">
        <is>
          <t>NORRTÄLJE</t>
        </is>
      </c>
      <c r="F498" t="inlineStr">
        <is>
          <t>Holmen skog AB</t>
        </is>
      </c>
      <c r="G498" t="n">
        <v>2.5</v>
      </c>
      <c r="H498" t="n">
        <v>0</v>
      </c>
      <c r="I498" t="n">
        <v>0</v>
      </c>
      <c r="J498" t="n">
        <v>0</v>
      </c>
      <c r="K498" t="n">
        <v>0</v>
      </c>
      <c r="L498" t="n">
        <v>0</v>
      </c>
      <c r="M498" t="n">
        <v>0</v>
      </c>
      <c r="N498" t="n">
        <v>0</v>
      </c>
      <c r="O498" t="n">
        <v>0</v>
      </c>
      <c r="P498" t="n">
        <v>0</v>
      </c>
      <c r="Q498" t="n">
        <v>0</v>
      </c>
      <c r="R498" s="2" t="inlineStr"/>
    </row>
    <row r="499" ht="15" customHeight="1">
      <c r="A499" t="inlineStr">
        <is>
          <t>A 40829-2025</t>
        </is>
      </c>
      <c r="B499" s="1" t="n">
        <v>45897.50802083333</v>
      </c>
      <c r="C499" s="1" t="n">
        <v>46045</v>
      </c>
      <c r="D499" t="inlineStr">
        <is>
          <t>STOCKHOLMS LÄN</t>
        </is>
      </c>
      <c r="E499" t="inlineStr">
        <is>
          <t>NORRTÄLJE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40831-2025</t>
        </is>
      </c>
      <c r="B500" s="1" t="n">
        <v>45897.51077546296</v>
      </c>
      <c r="C500" s="1" t="n">
        <v>46045</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25621-2022</t>
        </is>
      </c>
      <c r="B501" s="1" t="n">
        <v>44732</v>
      </c>
      <c r="C501" s="1" t="n">
        <v>46045</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20304-2023</t>
        </is>
      </c>
      <c r="B502" s="1" t="n">
        <v>45056</v>
      </c>
      <c r="C502" s="1" t="n">
        <v>46045</v>
      </c>
      <c r="D502" t="inlineStr">
        <is>
          <t>STOCKHOLMS LÄN</t>
        </is>
      </c>
      <c r="E502" t="inlineStr">
        <is>
          <t>NORRTÄLJE</t>
        </is>
      </c>
      <c r="G502" t="n">
        <v>1.5</v>
      </c>
      <c r="H502" t="n">
        <v>0</v>
      </c>
      <c r="I502" t="n">
        <v>0</v>
      </c>
      <c r="J502" t="n">
        <v>0</v>
      </c>
      <c r="K502" t="n">
        <v>0</v>
      </c>
      <c r="L502" t="n">
        <v>0</v>
      </c>
      <c r="M502" t="n">
        <v>0</v>
      </c>
      <c r="N502" t="n">
        <v>0</v>
      </c>
      <c r="O502" t="n">
        <v>0</v>
      </c>
      <c r="P502" t="n">
        <v>0</v>
      </c>
      <c r="Q502" t="n">
        <v>0</v>
      </c>
      <c r="R502" s="2" t="inlineStr"/>
    </row>
    <row r="503" ht="15" customHeight="1">
      <c r="A503" t="inlineStr">
        <is>
          <t>A 35235-2024</t>
        </is>
      </c>
      <c r="B503" s="1" t="n">
        <v>45530</v>
      </c>
      <c r="C503" s="1" t="n">
        <v>46045</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41272-2025</t>
        </is>
      </c>
      <c r="B504" s="1" t="n">
        <v>45898.62373842593</v>
      </c>
      <c r="C504" s="1" t="n">
        <v>46045</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41036-2025</t>
        </is>
      </c>
      <c r="B505" s="1" t="n">
        <v>45898.38552083333</v>
      </c>
      <c r="C505" s="1" t="n">
        <v>46045</v>
      </c>
      <c r="D505" t="inlineStr">
        <is>
          <t>STOCKHOLMS LÄN</t>
        </is>
      </c>
      <c r="E505" t="inlineStr">
        <is>
          <t>NORRTÄLJE</t>
        </is>
      </c>
      <c r="F505" t="inlineStr">
        <is>
          <t>Holmen skog AB</t>
        </is>
      </c>
      <c r="G505" t="n">
        <v>2.7</v>
      </c>
      <c r="H505" t="n">
        <v>0</v>
      </c>
      <c r="I505" t="n">
        <v>0</v>
      </c>
      <c r="J505" t="n">
        <v>0</v>
      </c>
      <c r="K505" t="n">
        <v>0</v>
      </c>
      <c r="L505" t="n">
        <v>0</v>
      </c>
      <c r="M505" t="n">
        <v>0</v>
      </c>
      <c r="N505" t="n">
        <v>0</v>
      </c>
      <c r="O505" t="n">
        <v>0</v>
      </c>
      <c r="P505" t="n">
        <v>0</v>
      </c>
      <c r="Q505" t="n">
        <v>0</v>
      </c>
      <c r="R505" s="2" t="inlineStr"/>
    </row>
    <row r="506" ht="15" customHeight="1">
      <c r="A506" t="inlineStr">
        <is>
          <t>A 51061-2023</t>
        </is>
      </c>
      <c r="B506" s="1" t="n">
        <v>45218.65849537037</v>
      </c>
      <c r="C506" s="1" t="n">
        <v>46045</v>
      </c>
      <c r="D506" t="inlineStr">
        <is>
          <t>STOCKHOLMS LÄN</t>
        </is>
      </c>
      <c r="E506" t="inlineStr">
        <is>
          <t>NORRTÄLJE</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19058-2024</t>
        </is>
      </c>
      <c r="B507" s="1" t="n">
        <v>45427.89121527778</v>
      </c>
      <c r="C507" s="1" t="n">
        <v>46045</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39213-2022</t>
        </is>
      </c>
      <c r="B508" s="1" t="n">
        <v>44817.56120370371</v>
      </c>
      <c r="C508" s="1" t="n">
        <v>46045</v>
      </c>
      <c r="D508" t="inlineStr">
        <is>
          <t>STOCKHOLMS LÄN</t>
        </is>
      </c>
      <c r="E508" t="inlineStr">
        <is>
          <t>NORRTÄLJE</t>
        </is>
      </c>
      <c r="G508" t="n">
        <v>3.4</v>
      </c>
      <c r="H508" t="n">
        <v>0</v>
      </c>
      <c r="I508" t="n">
        <v>0</v>
      </c>
      <c r="J508" t="n">
        <v>0</v>
      </c>
      <c r="K508" t="n">
        <v>0</v>
      </c>
      <c r="L508" t="n">
        <v>0</v>
      </c>
      <c r="M508" t="n">
        <v>0</v>
      </c>
      <c r="N508" t="n">
        <v>0</v>
      </c>
      <c r="O508" t="n">
        <v>0</v>
      </c>
      <c r="P508" t="n">
        <v>0</v>
      </c>
      <c r="Q508" t="n">
        <v>0</v>
      </c>
      <c r="R508" s="2" t="inlineStr"/>
    </row>
    <row r="509" ht="15" customHeight="1">
      <c r="A509" t="inlineStr">
        <is>
          <t>A 36246-2021</t>
        </is>
      </c>
      <c r="B509" s="1" t="n">
        <v>44390</v>
      </c>
      <c r="C509" s="1" t="n">
        <v>46045</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52593-2024</t>
        </is>
      </c>
      <c r="B510" s="1" t="n">
        <v>45609.70778935185</v>
      </c>
      <c r="C510" s="1" t="n">
        <v>46045</v>
      </c>
      <c r="D510" t="inlineStr">
        <is>
          <t>STOCKHOLMS LÄN</t>
        </is>
      </c>
      <c r="E510" t="inlineStr">
        <is>
          <t>NORRTÄLJE</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52617-2024</t>
        </is>
      </c>
      <c r="B511" s="1" t="n">
        <v>45609.85146990741</v>
      </c>
      <c r="C511" s="1" t="n">
        <v>46045</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19057-2024</t>
        </is>
      </c>
      <c r="B512" s="1" t="n">
        <v>45427.88731481481</v>
      </c>
      <c r="C512" s="1" t="n">
        <v>46045</v>
      </c>
      <c r="D512" t="inlineStr">
        <is>
          <t>STOCKHOLMS LÄN</t>
        </is>
      </c>
      <c r="E512" t="inlineStr">
        <is>
          <t>NORRTÄLJE</t>
        </is>
      </c>
      <c r="G512" t="n">
        <v>3</v>
      </c>
      <c r="H512" t="n">
        <v>0</v>
      </c>
      <c r="I512" t="n">
        <v>0</v>
      </c>
      <c r="J512" t="n">
        <v>0</v>
      </c>
      <c r="K512" t="n">
        <v>0</v>
      </c>
      <c r="L512" t="n">
        <v>0</v>
      </c>
      <c r="M512" t="n">
        <v>0</v>
      </c>
      <c r="N512" t="n">
        <v>0</v>
      </c>
      <c r="O512" t="n">
        <v>0</v>
      </c>
      <c r="P512" t="n">
        <v>0</v>
      </c>
      <c r="Q512" t="n">
        <v>0</v>
      </c>
      <c r="R512" s="2" t="inlineStr"/>
    </row>
    <row r="513" ht="15" customHeight="1">
      <c r="A513" t="inlineStr">
        <is>
          <t>A 37085-2021</t>
        </is>
      </c>
      <c r="B513" s="1" t="n">
        <v>44395</v>
      </c>
      <c r="C513" s="1" t="n">
        <v>46045</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15905-2023</t>
        </is>
      </c>
      <c r="B514" s="1" t="n">
        <v>45022</v>
      </c>
      <c r="C514" s="1" t="n">
        <v>46045</v>
      </c>
      <c r="D514" t="inlineStr">
        <is>
          <t>STOCKHOLMS LÄN</t>
        </is>
      </c>
      <c r="E514" t="inlineStr">
        <is>
          <t>NORRTÄLJE</t>
        </is>
      </c>
      <c r="G514" t="n">
        <v>3.2</v>
      </c>
      <c r="H514" t="n">
        <v>0</v>
      </c>
      <c r="I514" t="n">
        <v>0</v>
      </c>
      <c r="J514" t="n">
        <v>0</v>
      </c>
      <c r="K514" t="n">
        <v>0</v>
      </c>
      <c r="L514" t="n">
        <v>0</v>
      </c>
      <c r="M514" t="n">
        <v>0</v>
      </c>
      <c r="N514" t="n">
        <v>0</v>
      </c>
      <c r="O514" t="n">
        <v>0</v>
      </c>
      <c r="P514" t="n">
        <v>0</v>
      </c>
      <c r="Q514" t="n">
        <v>0</v>
      </c>
      <c r="R514" s="2" t="inlineStr"/>
    </row>
    <row r="515" ht="15" customHeight="1">
      <c r="A515" t="inlineStr">
        <is>
          <t>A 11041-2025</t>
        </is>
      </c>
      <c r="B515" s="1" t="n">
        <v>45723</v>
      </c>
      <c r="C515" s="1" t="n">
        <v>46045</v>
      </c>
      <c r="D515" t="inlineStr">
        <is>
          <t>STOCKHOLMS LÄN</t>
        </is>
      </c>
      <c r="E515" t="inlineStr">
        <is>
          <t>NORRTÄLJE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27824-2022</t>
        </is>
      </c>
      <c r="B516" s="1" t="n">
        <v>44743.59331018518</v>
      </c>
      <c r="C516" s="1" t="n">
        <v>46045</v>
      </c>
      <c r="D516" t="inlineStr">
        <is>
          <t>STOCKHOLMS LÄN</t>
        </is>
      </c>
      <c r="E516" t="inlineStr">
        <is>
          <t>NORRTÄLJE</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15733-2025</t>
        </is>
      </c>
      <c r="B517" s="1" t="n">
        <v>45748</v>
      </c>
      <c r="C517" s="1" t="n">
        <v>46045</v>
      </c>
      <c r="D517" t="inlineStr">
        <is>
          <t>STOCKHOLMS LÄN</t>
        </is>
      </c>
      <c r="E517" t="inlineStr">
        <is>
          <t>NORRTÄLJE</t>
        </is>
      </c>
      <c r="G517" t="n">
        <v>13.3</v>
      </c>
      <c r="H517" t="n">
        <v>0</v>
      </c>
      <c r="I517" t="n">
        <v>0</v>
      </c>
      <c r="J517" t="n">
        <v>0</v>
      </c>
      <c r="K517" t="n">
        <v>0</v>
      </c>
      <c r="L517" t="n">
        <v>0</v>
      </c>
      <c r="M517" t="n">
        <v>0</v>
      </c>
      <c r="N517" t="n">
        <v>0</v>
      </c>
      <c r="O517" t="n">
        <v>0</v>
      </c>
      <c r="P517" t="n">
        <v>0</v>
      </c>
      <c r="Q517" t="n">
        <v>0</v>
      </c>
      <c r="R517" s="2" t="inlineStr"/>
    </row>
    <row r="518" ht="15" customHeight="1">
      <c r="A518" t="inlineStr">
        <is>
          <t>A 10511-2025</t>
        </is>
      </c>
      <c r="B518" s="1" t="n">
        <v>45721.40780092592</v>
      </c>
      <c r="C518" s="1" t="n">
        <v>46045</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44917-2022</t>
        </is>
      </c>
      <c r="B519" s="1" t="n">
        <v>44841.52804398148</v>
      </c>
      <c r="C519" s="1" t="n">
        <v>46045</v>
      </c>
      <c r="D519" t="inlineStr">
        <is>
          <t>STOCKHOLMS LÄN</t>
        </is>
      </c>
      <c r="E519" t="inlineStr">
        <is>
          <t>NORRTÄLJE</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33173-2024</t>
        </is>
      </c>
      <c r="B520" s="1" t="n">
        <v>45518</v>
      </c>
      <c r="C520" s="1" t="n">
        <v>46045</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46988-2024</t>
        </is>
      </c>
      <c r="B521" s="1" t="n">
        <v>45586</v>
      </c>
      <c r="C521" s="1" t="n">
        <v>46045</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17551-2025</t>
        </is>
      </c>
      <c r="B522" s="1" t="n">
        <v>45757.61421296297</v>
      </c>
      <c r="C522" s="1" t="n">
        <v>46045</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71552-2021</t>
        </is>
      </c>
      <c r="B523" s="1" t="n">
        <v>44540</v>
      </c>
      <c r="C523" s="1" t="n">
        <v>46045</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47521-2024</t>
        </is>
      </c>
      <c r="B524" s="1" t="n">
        <v>45587.62565972222</v>
      </c>
      <c r="C524" s="1" t="n">
        <v>46045</v>
      </c>
      <c r="D524" t="inlineStr">
        <is>
          <t>STOCKHOLMS LÄN</t>
        </is>
      </c>
      <c r="E524" t="inlineStr">
        <is>
          <t>NORRTÄLJE</t>
        </is>
      </c>
      <c r="G524" t="n">
        <v>4.7</v>
      </c>
      <c r="H524" t="n">
        <v>0</v>
      </c>
      <c r="I524" t="n">
        <v>0</v>
      </c>
      <c r="J524" t="n">
        <v>0</v>
      </c>
      <c r="K524" t="n">
        <v>0</v>
      </c>
      <c r="L524" t="n">
        <v>0</v>
      </c>
      <c r="M524" t="n">
        <v>0</v>
      </c>
      <c r="N524" t="n">
        <v>0</v>
      </c>
      <c r="O524" t="n">
        <v>0</v>
      </c>
      <c r="P524" t="n">
        <v>0</v>
      </c>
      <c r="Q524" t="n">
        <v>0</v>
      </c>
      <c r="R524" s="2" t="inlineStr"/>
    </row>
    <row r="525" ht="15" customHeight="1">
      <c r="A525" t="inlineStr">
        <is>
          <t>A 42038-2025</t>
        </is>
      </c>
      <c r="B525" s="1" t="n">
        <v>45903.61431712963</v>
      </c>
      <c r="C525" s="1" t="n">
        <v>46045</v>
      </c>
      <c r="D525" t="inlineStr">
        <is>
          <t>STOCKHOLMS LÄN</t>
        </is>
      </c>
      <c r="E525" t="inlineStr">
        <is>
          <t>NORRTÄLJE</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17382-2024</t>
        </is>
      </c>
      <c r="B526" s="1" t="n">
        <v>45414.65855324074</v>
      </c>
      <c r="C526" s="1" t="n">
        <v>46045</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25557-2023</t>
        </is>
      </c>
      <c r="B527" s="1" t="n">
        <v>45089</v>
      </c>
      <c r="C527" s="1" t="n">
        <v>46045</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10678-2025</t>
        </is>
      </c>
      <c r="B528" s="1" t="n">
        <v>45721.89123842592</v>
      </c>
      <c r="C528" s="1" t="n">
        <v>46045</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41964-2025</t>
        </is>
      </c>
      <c r="B529" s="1" t="n">
        <v>45903.47270833333</v>
      </c>
      <c r="C529" s="1" t="n">
        <v>46045</v>
      </c>
      <c r="D529" t="inlineStr">
        <is>
          <t>STOCKHOLMS LÄN</t>
        </is>
      </c>
      <c r="E529" t="inlineStr">
        <is>
          <t>NORRTÄLJE</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41966-2025</t>
        </is>
      </c>
      <c r="B530" s="1" t="n">
        <v>45903.47456018518</v>
      </c>
      <c r="C530" s="1" t="n">
        <v>46045</v>
      </c>
      <c r="D530" t="inlineStr">
        <is>
          <t>STOCKHOLMS LÄN</t>
        </is>
      </c>
      <c r="E530" t="inlineStr">
        <is>
          <t>NORRTÄLJE</t>
        </is>
      </c>
      <c r="F530" t="inlineStr">
        <is>
          <t>Sveaskog</t>
        </is>
      </c>
      <c r="G530" t="n">
        <v>3.7</v>
      </c>
      <c r="H530" t="n">
        <v>0</v>
      </c>
      <c r="I530" t="n">
        <v>0</v>
      </c>
      <c r="J530" t="n">
        <v>0</v>
      </c>
      <c r="K530" t="n">
        <v>0</v>
      </c>
      <c r="L530" t="n">
        <v>0</v>
      </c>
      <c r="M530" t="n">
        <v>0</v>
      </c>
      <c r="N530" t="n">
        <v>0</v>
      </c>
      <c r="O530" t="n">
        <v>0</v>
      </c>
      <c r="P530" t="n">
        <v>0</v>
      </c>
      <c r="Q530" t="n">
        <v>0</v>
      </c>
      <c r="R530" s="2" t="inlineStr"/>
    </row>
    <row r="531" ht="15" customHeight="1">
      <c r="A531" t="inlineStr">
        <is>
          <t>A 8370-2025</t>
        </is>
      </c>
      <c r="B531" s="1" t="n">
        <v>45708</v>
      </c>
      <c r="C531" s="1" t="n">
        <v>46045</v>
      </c>
      <c r="D531" t="inlineStr">
        <is>
          <t>STOCKHOLMS LÄN</t>
        </is>
      </c>
      <c r="E531" t="inlineStr">
        <is>
          <t>NORRTÄLJE</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9914-2023</t>
        </is>
      </c>
      <c r="B532" s="1" t="n">
        <v>44985</v>
      </c>
      <c r="C532" s="1" t="n">
        <v>46045</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60525-2022</t>
        </is>
      </c>
      <c r="B533" s="1" t="n">
        <v>44904</v>
      </c>
      <c r="C533" s="1" t="n">
        <v>46045</v>
      </c>
      <c r="D533" t="inlineStr">
        <is>
          <t>STOCKHOLMS LÄN</t>
        </is>
      </c>
      <c r="E533" t="inlineStr">
        <is>
          <t>NORRTÄLJE</t>
        </is>
      </c>
      <c r="G533" t="n">
        <v>13.4</v>
      </c>
      <c r="H533" t="n">
        <v>0</v>
      </c>
      <c r="I533" t="n">
        <v>0</v>
      </c>
      <c r="J533" t="n">
        <v>0</v>
      </c>
      <c r="K533" t="n">
        <v>0</v>
      </c>
      <c r="L533" t="n">
        <v>0</v>
      </c>
      <c r="M533" t="n">
        <v>0</v>
      </c>
      <c r="N533" t="n">
        <v>0</v>
      </c>
      <c r="O533" t="n">
        <v>0</v>
      </c>
      <c r="P533" t="n">
        <v>0</v>
      </c>
      <c r="Q533" t="n">
        <v>0</v>
      </c>
      <c r="R533" s="2" t="inlineStr"/>
    </row>
    <row r="534" ht="15" customHeight="1">
      <c r="A534" t="inlineStr">
        <is>
          <t>A 951-2023</t>
        </is>
      </c>
      <c r="B534" s="1" t="n">
        <v>44934</v>
      </c>
      <c r="C534" s="1" t="n">
        <v>46045</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50534-2024</t>
        </is>
      </c>
      <c r="B535" s="1" t="n">
        <v>45601.56726851852</v>
      </c>
      <c r="C535" s="1" t="n">
        <v>46045</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30699-2025</t>
        </is>
      </c>
      <c r="B536" s="1" t="n">
        <v>45831.54618055555</v>
      </c>
      <c r="C536" s="1" t="n">
        <v>46045</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42094-2023</t>
        </is>
      </c>
      <c r="B537" s="1" t="n">
        <v>45177.61498842593</v>
      </c>
      <c r="C537" s="1" t="n">
        <v>46045</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32100-2022</t>
        </is>
      </c>
      <c r="B538" s="1" t="n">
        <v>44778</v>
      </c>
      <c r="C538" s="1" t="n">
        <v>46045</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58530-2024</t>
        </is>
      </c>
      <c r="B539" s="1" t="n">
        <v>45635.44788194444</v>
      </c>
      <c r="C539" s="1" t="n">
        <v>46045</v>
      </c>
      <c r="D539" t="inlineStr">
        <is>
          <t>STOCKHOLMS LÄN</t>
        </is>
      </c>
      <c r="E539" t="inlineStr">
        <is>
          <t>NORRTÄLJE</t>
        </is>
      </c>
      <c r="G539" t="n">
        <v>4.5</v>
      </c>
      <c r="H539" t="n">
        <v>0</v>
      </c>
      <c r="I539" t="n">
        <v>0</v>
      </c>
      <c r="J539" t="n">
        <v>0</v>
      </c>
      <c r="K539" t="n">
        <v>0</v>
      </c>
      <c r="L539" t="n">
        <v>0</v>
      </c>
      <c r="M539" t="n">
        <v>0</v>
      </c>
      <c r="N539" t="n">
        <v>0</v>
      </c>
      <c r="O539" t="n">
        <v>0</v>
      </c>
      <c r="P539" t="n">
        <v>0</v>
      </c>
      <c r="Q539" t="n">
        <v>0</v>
      </c>
      <c r="R539" s="2" t="inlineStr"/>
    </row>
    <row r="540" ht="15" customHeight="1">
      <c r="A540" t="inlineStr">
        <is>
          <t>A 58302-2022</t>
        </is>
      </c>
      <c r="B540" s="1" t="n">
        <v>44901</v>
      </c>
      <c r="C540" s="1" t="n">
        <v>46045</v>
      </c>
      <c r="D540" t="inlineStr">
        <is>
          <t>STOCKHOLMS LÄN</t>
        </is>
      </c>
      <c r="E540" t="inlineStr">
        <is>
          <t>NORRTÄLJE</t>
        </is>
      </c>
      <c r="G540" t="n">
        <v>3.9</v>
      </c>
      <c r="H540" t="n">
        <v>0</v>
      </c>
      <c r="I540" t="n">
        <v>0</v>
      </c>
      <c r="J540" t="n">
        <v>0</v>
      </c>
      <c r="K540" t="n">
        <v>0</v>
      </c>
      <c r="L540" t="n">
        <v>0</v>
      </c>
      <c r="M540" t="n">
        <v>0</v>
      </c>
      <c r="N540" t="n">
        <v>0</v>
      </c>
      <c r="O540" t="n">
        <v>0</v>
      </c>
      <c r="P540" t="n">
        <v>0</v>
      </c>
      <c r="Q540" t="n">
        <v>0</v>
      </c>
      <c r="R540" s="2" t="inlineStr"/>
    </row>
    <row r="541" ht="15" customHeight="1">
      <c r="A541" t="inlineStr">
        <is>
          <t>A 30620-2022</t>
        </is>
      </c>
      <c r="B541" s="1" t="n">
        <v>44763.40914351852</v>
      </c>
      <c r="C541" s="1" t="n">
        <v>46045</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2888-2022</t>
        </is>
      </c>
      <c r="B542" s="1" t="n">
        <v>44581</v>
      </c>
      <c r="C542" s="1" t="n">
        <v>46045</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57602-2024</t>
        </is>
      </c>
      <c r="B543" s="1" t="n">
        <v>45630.52866898148</v>
      </c>
      <c r="C543" s="1" t="n">
        <v>46045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11854-2025</t>
        </is>
      </c>
      <c r="B544" s="1" t="n">
        <v>45728.38924768518</v>
      </c>
      <c r="C544" s="1" t="n">
        <v>46045</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1283-2025</t>
        </is>
      </c>
      <c r="B545" s="1" t="n">
        <v>45667.49878472222</v>
      </c>
      <c r="C545" s="1" t="n">
        <v>46045</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11902-2024</t>
        </is>
      </c>
      <c r="B546" s="1" t="n">
        <v>45376.55704861111</v>
      </c>
      <c r="C546" s="1" t="n">
        <v>46045</v>
      </c>
      <c r="D546" t="inlineStr">
        <is>
          <t>STOCKHOLMS LÄN</t>
        </is>
      </c>
      <c r="E546" t="inlineStr">
        <is>
          <t>NORRTÄLJE</t>
        </is>
      </c>
      <c r="G546" t="n">
        <v>2.5</v>
      </c>
      <c r="H546" t="n">
        <v>0</v>
      </c>
      <c r="I546" t="n">
        <v>0</v>
      </c>
      <c r="J546" t="n">
        <v>0</v>
      </c>
      <c r="K546" t="n">
        <v>0</v>
      </c>
      <c r="L546" t="n">
        <v>0</v>
      </c>
      <c r="M546" t="n">
        <v>0</v>
      </c>
      <c r="N546" t="n">
        <v>0</v>
      </c>
      <c r="O546" t="n">
        <v>0</v>
      </c>
      <c r="P546" t="n">
        <v>0</v>
      </c>
      <c r="Q546" t="n">
        <v>0</v>
      </c>
      <c r="R546" s="2" t="inlineStr"/>
    </row>
    <row r="547" ht="15" customHeight="1">
      <c r="A547" t="inlineStr">
        <is>
          <t>A 42856-2025</t>
        </is>
      </c>
      <c r="B547" s="1" t="n">
        <v>45908</v>
      </c>
      <c r="C547" s="1" t="n">
        <v>46045</v>
      </c>
      <c r="D547" t="inlineStr">
        <is>
          <t>STOCKHOLMS LÄN</t>
        </is>
      </c>
      <c r="E547" t="inlineStr">
        <is>
          <t>NORRTÄLJE</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60217-2021</t>
        </is>
      </c>
      <c r="B548" s="1" t="n">
        <v>44495.5893287037</v>
      </c>
      <c r="C548" s="1" t="n">
        <v>46045</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20011-2025</t>
        </is>
      </c>
      <c r="B549" s="1" t="n">
        <v>45772.29622685185</v>
      </c>
      <c r="C549" s="1" t="n">
        <v>46045</v>
      </c>
      <c r="D549" t="inlineStr">
        <is>
          <t>STOCKHOLMS LÄN</t>
        </is>
      </c>
      <c r="E549" t="inlineStr">
        <is>
          <t>NORRTÄLJE</t>
        </is>
      </c>
      <c r="G549" t="n">
        <v>3.5</v>
      </c>
      <c r="H549" t="n">
        <v>0</v>
      </c>
      <c r="I549" t="n">
        <v>0</v>
      </c>
      <c r="J549" t="n">
        <v>0</v>
      </c>
      <c r="K549" t="n">
        <v>0</v>
      </c>
      <c r="L549" t="n">
        <v>0</v>
      </c>
      <c r="M549" t="n">
        <v>0</v>
      </c>
      <c r="N549" t="n">
        <v>0</v>
      </c>
      <c r="O549" t="n">
        <v>0</v>
      </c>
      <c r="P549" t="n">
        <v>0</v>
      </c>
      <c r="Q549" t="n">
        <v>0</v>
      </c>
      <c r="R549" s="2" t="inlineStr"/>
    </row>
    <row r="550" ht="15" customHeight="1">
      <c r="A550" t="inlineStr">
        <is>
          <t>A 23269-2023</t>
        </is>
      </c>
      <c r="B550" s="1" t="n">
        <v>45075.91148148148</v>
      </c>
      <c r="C550" s="1" t="n">
        <v>46045</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13-2024</t>
        </is>
      </c>
      <c r="B551" s="1" t="n">
        <v>45293.37263888889</v>
      </c>
      <c r="C551" s="1" t="n">
        <v>46045</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58260-2023</t>
        </is>
      </c>
      <c r="B552" s="1" t="n">
        <v>45245</v>
      </c>
      <c r="C552" s="1" t="n">
        <v>46045</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58261-2023</t>
        </is>
      </c>
      <c r="B553" s="1" t="n">
        <v>45245</v>
      </c>
      <c r="C553" s="1" t="n">
        <v>46045</v>
      </c>
      <c r="D553" t="inlineStr">
        <is>
          <t>STOCKHOLMS LÄN</t>
        </is>
      </c>
      <c r="E553" t="inlineStr">
        <is>
          <t>NORRTÄLJE</t>
        </is>
      </c>
      <c r="G553" t="n">
        <v>53.5</v>
      </c>
      <c r="H553" t="n">
        <v>0</v>
      </c>
      <c r="I553" t="n">
        <v>0</v>
      </c>
      <c r="J553" t="n">
        <v>0</v>
      </c>
      <c r="K553" t="n">
        <v>0</v>
      </c>
      <c r="L553" t="n">
        <v>0</v>
      </c>
      <c r="M553" t="n">
        <v>0</v>
      </c>
      <c r="N553" t="n">
        <v>0</v>
      </c>
      <c r="O553" t="n">
        <v>0</v>
      </c>
      <c r="P553" t="n">
        <v>0</v>
      </c>
      <c r="Q553" t="n">
        <v>0</v>
      </c>
      <c r="R553" s="2" t="inlineStr"/>
    </row>
    <row r="554" ht="15" customHeight="1">
      <c r="A554" t="inlineStr">
        <is>
          <t>A 28900-2022</t>
        </is>
      </c>
      <c r="B554" s="1" t="n">
        <v>44749.55258101852</v>
      </c>
      <c r="C554" s="1" t="n">
        <v>46045</v>
      </c>
      <c r="D554" t="inlineStr">
        <is>
          <t>STOCKHOLMS LÄN</t>
        </is>
      </c>
      <c r="E554" t="inlineStr">
        <is>
          <t>NORRTÄLJE</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32514-2022</t>
        </is>
      </c>
      <c r="B555" s="1" t="n">
        <v>44782</v>
      </c>
      <c r="C555" s="1" t="n">
        <v>46045</v>
      </c>
      <c r="D555" t="inlineStr">
        <is>
          <t>STOCKHOLMS LÄN</t>
        </is>
      </c>
      <c r="E555" t="inlineStr">
        <is>
          <t>NORRTÄLJE</t>
        </is>
      </c>
      <c r="G555" t="n">
        <v>5.1</v>
      </c>
      <c r="H555" t="n">
        <v>0</v>
      </c>
      <c r="I555" t="n">
        <v>0</v>
      </c>
      <c r="J555" t="n">
        <v>0</v>
      </c>
      <c r="K555" t="n">
        <v>0</v>
      </c>
      <c r="L555" t="n">
        <v>0</v>
      </c>
      <c r="M555" t="n">
        <v>0</v>
      </c>
      <c r="N555" t="n">
        <v>0</v>
      </c>
      <c r="O555" t="n">
        <v>0</v>
      </c>
      <c r="P555" t="n">
        <v>0</v>
      </c>
      <c r="Q555" t="n">
        <v>0</v>
      </c>
      <c r="R555" s="2" t="inlineStr"/>
    </row>
    <row r="556" ht="15" customHeight="1">
      <c r="A556" t="inlineStr">
        <is>
          <t>A 23060-2023</t>
        </is>
      </c>
      <c r="B556" s="1" t="n">
        <v>45075</v>
      </c>
      <c r="C556" s="1" t="n">
        <v>46045</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4553-2023</t>
        </is>
      </c>
      <c r="B557" s="1" t="n">
        <v>44956.65920138889</v>
      </c>
      <c r="C557" s="1" t="n">
        <v>46045</v>
      </c>
      <c r="D557" t="inlineStr">
        <is>
          <t>STOCKHOLMS LÄN</t>
        </is>
      </c>
      <c r="E557" t="inlineStr">
        <is>
          <t>NORRTÄLJE</t>
        </is>
      </c>
      <c r="G557" t="n">
        <v>7.5</v>
      </c>
      <c r="H557" t="n">
        <v>0</v>
      </c>
      <c r="I557" t="n">
        <v>0</v>
      </c>
      <c r="J557" t="n">
        <v>0</v>
      </c>
      <c r="K557" t="n">
        <v>0</v>
      </c>
      <c r="L557" t="n">
        <v>0</v>
      </c>
      <c r="M557" t="n">
        <v>0</v>
      </c>
      <c r="N557" t="n">
        <v>0</v>
      </c>
      <c r="O557" t="n">
        <v>0</v>
      </c>
      <c r="P557" t="n">
        <v>0</v>
      </c>
      <c r="Q557" t="n">
        <v>0</v>
      </c>
      <c r="R557" s="2" t="inlineStr"/>
    </row>
    <row r="558" ht="15" customHeight="1">
      <c r="A558" t="inlineStr">
        <is>
          <t>A 875-2023</t>
        </is>
      </c>
      <c r="B558" s="1" t="n">
        <v>44931.65626157408</v>
      </c>
      <c r="C558" s="1" t="n">
        <v>46045</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24575-2024</t>
        </is>
      </c>
      <c r="B559" s="1" t="n">
        <v>45460.45523148148</v>
      </c>
      <c r="C559" s="1" t="n">
        <v>46045</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19-2024</t>
        </is>
      </c>
      <c r="B560" s="1" t="n">
        <v>45293</v>
      </c>
      <c r="C560" s="1" t="n">
        <v>46045</v>
      </c>
      <c r="D560" t="inlineStr">
        <is>
          <t>STOCKHOLMS LÄN</t>
        </is>
      </c>
      <c r="E560" t="inlineStr">
        <is>
          <t>NORRTÄLJE</t>
        </is>
      </c>
      <c r="G560" t="n">
        <v>0.3</v>
      </c>
      <c r="H560" t="n">
        <v>0</v>
      </c>
      <c r="I560" t="n">
        <v>0</v>
      </c>
      <c r="J560" t="n">
        <v>0</v>
      </c>
      <c r="K560" t="n">
        <v>0</v>
      </c>
      <c r="L560" t="n">
        <v>0</v>
      </c>
      <c r="M560" t="n">
        <v>0</v>
      </c>
      <c r="N560" t="n">
        <v>0</v>
      </c>
      <c r="O560" t="n">
        <v>0</v>
      </c>
      <c r="P560" t="n">
        <v>0</v>
      </c>
      <c r="Q560" t="n">
        <v>0</v>
      </c>
      <c r="R560" s="2" t="inlineStr"/>
    </row>
    <row r="561" ht="15" customHeight="1">
      <c r="A561" t="inlineStr">
        <is>
          <t>A 52743-2024</t>
        </is>
      </c>
      <c r="B561" s="1" t="n">
        <v>45610.47414351852</v>
      </c>
      <c r="C561" s="1" t="n">
        <v>46045</v>
      </c>
      <c r="D561" t="inlineStr">
        <is>
          <t>STOCKHOLMS LÄN</t>
        </is>
      </c>
      <c r="E561" t="inlineStr">
        <is>
          <t>NORRTÄLJE</t>
        </is>
      </c>
      <c r="G561" t="n">
        <v>1.5</v>
      </c>
      <c r="H561" t="n">
        <v>0</v>
      </c>
      <c r="I561" t="n">
        <v>0</v>
      </c>
      <c r="J561" t="n">
        <v>0</v>
      </c>
      <c r="K561" t="n">
        <v>0</v>
      </c>
      <c r="L561" t="n">
        <v>0</v>
      </c>
      <c r="M561" t="n">
        <v>0</v>
      </c>
      <c r="N561" t="n">
        <v>0</v>
      </c>
      <c r="O561" t="n">
        <v>0</v>
      </c>
      <c r="P561" t="n">
        <v>0</v>
      </c>
      <c r="Q561" t="n">
        <v>0</v>
      </c>
      <c r="R561" s="2" t="inlineStr"/>
    </row>
    <row r="562" ht="15" customHeight="1">
      <c r="A562" t="inlineStr">
        <is>
          <t>A 11333-2025</t>
        </is>
      </c>
      <c r="B562" s="1" t="n">
        <v>45726.48377314815</v>
      </c>
      <c r="C562" s="1" t="n">
        <v>46045</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21529-2021</t>
        </is>
      </c>
      <c r="B563" s="1" t="n">
        <v>44321</v>
      </c>
      <c r="C563" s="1" t="n">
        <v>46045</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23125-2022</t>
        </is>
      </c>
      <c r="B564" s="1" t="n">
        <v>44719</v>
      </c>
      <c r="C564" s="1" t="n">
        <v>46045</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9329-2023</t>
        </is>
      </c>
      <c r="B565" s="1" t="n">
        <v>44980</v>
      </c>
      <c r="C565" s="1" t="n">
        <v>46045</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6855-2025</t>
        </is>
      </c>
      <c r="B566" s="1" t="n">
        <v>45700</v>
      </c>
      <c r="C566" s="1" t="n">
        <v>46045</v>
      </c>
      <c r="D566" t="inlineStr">
        <is>
          <t>STOCKHOLMS LÄN</t>
        </is>
      </c>
      <c r="E566" t="inlineStr">
        <is>
          <t>NORRTÄLJE</t>
        </is>
      </c>
      <c r="G566" t="n">
        <v>1.2</v>
      </c>
      <c r="H566" t="n">
        <v>0</v>
      </c>
      <c r="I566" t="n">
        <v>0</v>
      </c>
      <c r="J566" t="n">
        <v>0</v>
      </c>
      <c r="K566" t="n">
        <v>0</v>
      </c>
      <c r="L566" t="n">
        <v>0</v>
      </c>
      <c r="M566" t="n">
        <v>0</v>
      </c>
      <c r="N566" t="n">
        <v>0</v>
      </c>
      <c r="O566" t="n">
        <v>0</v>
      </c>
      <c r="P566" t="n">
        <v>0</v>
      </c>
      <c r="Q566" t="n">
        <v>0</v>
      </c>
      <c r="R566" s="2" t="inlineStr"/>
    </row>
    <row r="567" ht="15" customHeight="1">
      <c r="A567" t="inlineStr">
        <is>
          <t>A 31827-2023</t>
        </is>
      </c>
      <c r="B567" s="1" t="n">
        <v>45118</v>
      </c>
      <c r="C567" s="1" t="n">
        <v>46045</v>
      </c>
      <c r="D567" t="inlineStr">
        <is>
          <t>STOCKHOLMS LÄN</t>
        </is>
      </c>
      <c r="E567" t="inlineStr">
        <is>
          <t>NORRTÄLJE</t>
        </is>
      </c>
      <c r="F567" t="inlineStr">
        <is>
          <t>Kyrkan</t>
        </is>
      </c>
      <c r="G567" t="n">
        <v>4.9</v>
      </c>
      <c r="H567" t="n">
        <v>0</v>
      </c>
      <c r="I567" t="n">
        <v>0</v>
      </c>
      <c r="J567" t="n">
        <v>0</v>
      </c>
      <c r="K567" t="n">
        <v>0</v>
      </c>
      <c r="L567" t="n">
        <v>0</v>
      </c>
      <c r="M567" t="n">
        <v>0</v>
      </c>
      <c r="N567" t="n">
        <v>0</v>
      </c>
      <c r="O567" t="n">
        <v>0</v>
      </c>
      <c r="P567" t="n">
        <v>0</v>
      </c>
      <c r="Q567" t="n">
        <v>0</v>
      </c>
      <c r="R567" s="2" t="inlineStr"/>
    </row>
    <row r="568" ht="15" customHeight="1">
      <c r="A568" t="inlineStr">
        <is>
          <t>A 11499-2023</t>
        </is>
      </c>
      <c r="B568" s="1" t="n">
        <v>44993.66707175926</v>
      </c>
      <c r="C568" s="1" t="n">
        <v>46045</v>
      </c>
      <c r="D568" t="inlineStr">
        <is>
          <t>STOCKHOLMS LÄN</t>
        </is>
      </c>
      <c r="E568" t="inlineStr">
        <is>
          <t>NORRTÄLJE</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24835-2025</t>
        </is>
      </c>
      <c r="B569" s="1" t="n">
        <v>45799</v>
      </c>
      <c r="C569" s="1" t="n">
        <v>46045</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10973-2025</t>
        </is>
      </c>
      <c r="B570" s="1" t="n">
        <v>45723</v>
      </c>
      <c r="C570" s="1" t="n">
        <v>46045</v>
      </c>
      <c r="D570" t="inlineStr">
        <is>
          <t>STOCKHOLMS LÄN</t>
        </is>
      </c>
      <c r="E570" t="inlineStr">
        <is>
          <t>NORRTÄLJE</t>
        </is>
      </c>
      <c r="F570" t="inlineStr">
        <is>
          <t>Övriga Aktiebolag</t>
        </is>
      </c>
      <c r="G570" t="n">
        <v>2.7</v>
      </c>
      <c r="H570" t="n">
        <v>0</v>
      </c>
      <c r="I570" t="n">
        <v>0</v>
      </c>
      <c r="J570" t="n">
        <v>0</v>
      </c>
      <c r="K570" t="n">
        <v>0</v>
      </c>
      <c r="L570" t="n">
        <v>0</v>
      </c>
      <c r="M570" t="n">
        <v>0</v>
      </c>
      <c r="N570" t="n">
        <v>0</v>
      </c>
      <c r="O570" t="n">
        <v>0</v>
      </c>
      <c r="P570" t="n">
        <v>0</v>
      </c>
      <c r="Q570" t="n">
        <v>0</v>
      </c>
      <c r="R570" s="2" t="inlineStr"/>
    </row>
    <row r="571" ht="15" customHeight="1">
      <c r="A571" t="inlineStr">
        <is>
          <t>A 64600-2021</t>
        </is>
      </c>
      <c r="B571" s="1" t="n">
        <v>44511.70518518519</v>
      </c>
      <c r="C571" s="1" t="n">
        <v>46045</v>
      </c>
      <c r="D571" t="inlineStr">
        <is>
          <t>STOCKHOLMS LÄN</t>
        </is>
      </c>
      <c r="E571" t="inlineStr">
        <is>
          <t>NORRTÄLJE</t>
        </is>
      </c>
      <c r="G571" t="n">
        <v>6.2</v>
      </c>
      <c r="H571" t="n">
        <v>0</v>
      </c>
      <c r="I571" t="n">
        <v>0</v>
      </c>
      <c r="J571" t="n">
        <v>0</v>
      </c>
      <c r="K571" t="n">
        <v>0</v>
      </c>
      <c r="L571" t="n">
        <v>0</v>
      </c>
      <c r="M571" t="n">
        <v>0</v>
      </c>
      <c r="N571" t="n">
        <v>0</v>
      </c>
      <c r="O571" t="n">
        <v>0</v>
      </c>
      <c r="P571" t="n">
        <v>0</v>
      </c>
      <c r="Q571" t="n">
        <v>0</v>
      </c>
      <c r="R571" s="2" t="inlineStr"/>
    </row>
    <row r="572" ht="15" customHeight="1">
      <c r="A572" t="inlineStr">
        <is>
          <t>A 35640-2024</t>
        </is>
      </c>
      <c r="B572" s="1" t="n">
        <v>45531</v>
      </c>
      <c r="C572" s="1" t="n">
        <v>46045</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43169-2025</t>
        </is>
      </c>
      <c r="B573" s="1" t="n">
        <v>45910</v>
      </c>
      <c r="C573" s="1" t="n">
        <v>46045</v>
      </c>
      <c r="D573" t="inlineStr">
        <is>
          <t>STOCKHOLMS LÄN</t>
        </is>
      </c>
      <c r="E573" t="inlineStr">
        <is>
          <t>NORRTÄLJE</t>
        </is>
      </c>
      <c r="G573" t="n">
        <v>6.9</v>
      </c>
      <c r="H573" t="n">
        <v>0</v>
      </c>
      <c r="I573" t="n">
        <v>0</v>
      </c>
      <c r="J573" t="n">
        <v>0</v>
      </c>
      <c r="K573" t="n">
        <v>0</v>
      </c>
      <c r="L573" t="n">
        <v>0</v>
      </c>
      <c r="M573" t="n">
        <v>0</v>
      </c>
      <c r="N573" t="n">
        <v>0</v>
      </c>
      <c r="O573" t="n">
        <v>0</v>
      </c>
      <c r="P573" t="n">
        <v>0</v>
      </c>
      <c r="Q573" t="n">
        <v>0</v>
      </c>
      <c r="R573" s="2" t="inlineStr"/>
    </row>
    <row r="574" ht="15" customHeight="1">
      <c r="A574" t="inlineStr">
        <is>
          <t>A 43269-2025</t>
        </is>
      </c>
      <c r="B574" s="1" t="n">
        <v>45910.5819212963</v>
      </c>
      <c r="C574" s="1" t="n">
        <v>46045</v>
      </c>
      <c r="D574" t="inlineStr">
        <is>
          <t>STOCKHOLMS LÄN</t>
        </is>
      </c>
      <c r="E574" t="inlineStr">
        <is>
          <t>NORRTÄLJE</t>
        </is>
      </c>
      <c r="G574" t="n">
        <v>3.7</v>
      </c>
      <c r="H574" t="n">
        <v>0</v>
      </c>
      <c r="I574" t="n">
        <v>0</v>
      </c>
      <c r="J574" t="n">
        <v>0</v>
      </c>
      <c r="K574" t="n">
        <v>0</v>
      </c>
      <c r="L574" t="n">
        <v>0</v>
      </c>
      <c r="M574" t="n">
        <v>0</v>
      </c>
      <c r="N574" t="n">
        <v>0</v>
      </c>
      <c r="O574" t="n">
        <v>0</v>
      </c>
      <c r="P574" t="n">
        <v>0</v>
      </c>
      <c r="Q574" t="n">
        <v>0</v>
      </c>
      <c r="R574" s="2" t="inlineStr"/>
    </row>
    <row r="575" ht="15" customHeight="1">
      <c r="A575" t="inlineStr">
        <is>
          <t>A 54496-2024</t>
        </is>
      </c>
      <c r="B575" s="1" t="n">
        <v>45617.57439814815</v>
      </c>
      <c r="C575" s="1" t="n">
        <v>46045</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8586-2023</t>
        </is>
      </c>
      <c r="B576" s="1" t="n">
        <v>44977</v>
      </c>
      <c r="C576" s="1" t="n">
        <v>46045</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14873-2025</t>
        </is>
      </c>
      <c r="B577" s="1" t="n">
        <v>45743.44953703704</v>
      </c>
      <c r="C577" s="1" t="n">
        <v>46045</v>
      </c>
      <c r="D577" t="inlineStr">
        <is>
          <t>STOCKHOLMS LÄN</t>
        </is>
      </c>
      <c r="E577" t="inlineStr">
        <is>
          <t>NORRTÄLJE</t>
        </is>
      </c>
      <c r="G577" t="n">
        <v>10.2</v>
      </c>
      <c r="H577" t="n">
        <v>0</v>
      </c>
      <c r="I577" t="n">
        <v>0</v>
      </c>
      <c r="J577" t="n">
        <v>0</v>
      </c>
      <c r="K577" t="n">
        <v>0</v>
      </c>
      <c r="L577" t="n">
        <v>0</v>
      </c>
      <c r="M577" t="n">
        <v>0</v>
      </c>
      <c r="N577" t="n">
        <v>0</v>
      </c>
      <c r="O577" t="n">
        <v>0</v>
      </c>
      <c r="P577" t="n">
        <v>0</v>
      </c>
      <c r="Q577" t="n">
        <v>0</v>
      </c>
      <c r="R577" s="2" t="inlineStr"/>
    </row>
    <row r="578" ht="15" customHeight="1">
      <c r="A578" t="inlineStr">
        <is>
          <t>A 67990-2021</t>
        </is>
      </c>
      <c r="B578" s="1" t="n">
        <v>44525</v>
      </c>
      <c r="C578" s="1" t="n">
        <v>46045</v>
      </c>
      <c r="D578" t="inlineStr">
        <is>
          <t>STOCKHOLMS LÄN</t>
        </is>
      </c>
      <c r="E578" t="inlineStr">
        <is>
          <t>NORRTÄLJE</t>
        </is>
      </c>
      <c r="F578" t="inlineStr">
        <is>
          <t>Sveaskog</t>
        </is>
      </c>
      <c r="G578" t="n">
        <v>7.8</v>
      </c>
      <c r="H578" t="n">
        <v>0</v>
      </c>
      <c r="I578" t="n">
        <v>0</v>
      </c>
      <c r="J578" t="n">
        <v>0</v>
      </c>
      <c r="K578" t="n">
        <v>0</v>
      </c>
      <c r="L578" t="n">
        <v>0</v>
      </c>
      <c r="M578" t="n">
        <v>0</v>
      </c>
      <c r="N578" t="n">
        <v>0</v>
      </c>
      <c r="O578" t="n">
        <v>0</v>
      </c>
      <c r="P578" t="n">
        <v>0</v>
      </c>
      <c r="Q578" t="n">
        <v>0</v>
      </c>
      <c r="R578" s="2" t="inlineStr"/>
    </row>
    <row r="579" ht="15" customHeight="1">
      <c r="A579" t="inlineStr">
        <is>
          <t>A 8135-2025</t>
        </is>
      </c>
      <c r="B579" s="1" t="n">
        <v>45707.84997685185</v>
      </c>
      <c r="C579" s="1" t="n">
        <v>46045</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31936-2022</t>
        </is>
      </c>
      <c r="B580" s="1" t="n">
        <v>44777</v>
      </c>
      <c r="C580" s="1" t="n">
        <v>46045</v>
      </c>
      <c r="D580" t="inlineStr">
        <is>
          <t>STOCKHOLMS LÄN</t>
        </is>
      </c>
      <c r="E580" t="inlineStr">
        <is>
          <t>NORRTÄLJE</t>
        </is>
      </c>
      <c r="G580" t="n">
        <v>5.2</v>
      </c>
      <c r="H580" t="n">
        <v>0</v>
      </c>
      <c r="I580" t="n">
        <v>0</v>
      </c>
      <c r="J580" t="n">
        <v>0</v>
      </c>
      <c r="K580" t="n">
        <v>0</v>
      </c>
      <c r="L580" t="n">
        <v>0</v>
      </c>
      <c r="M580" t="n">
        <v>0</v>
      </c>
      <c r="N580" t="n">
        <v>0</v>
      </c>
      <c r="O580" t="n">
        <v>0</v>
      </c>
      <c r="P580" t="n">
        <v>0</v>
      </c>
      <c r="Q580" t="n">
        <v>0</v>
      </c>
      <c r="R580" s="2" t="inlineStr"/>
    </row>
    <row r="581" ht="15" customHeight="1">
      <c r="A581" t="inlineStr">
        <is>
          <t>A 7796-2025</t>
        </is>
      </c>
      <c r="B581" s="1" t="n">
        <v>45706.60130787037</v>
      </c>
      <c r="C581" s="1" t="n">
        <v>46045</v>
      </c>
      <c r="D581" t="inlineStr">
        <is>
          <t>STOCKHOLMS LÄN</t>
        </is>
      </c>
      <c r="E581" t="inlineStr">
        <is>
          <t>NORRTÄLJE</t>
        </is>
      </c>
      <c r="F581" t="inlineStr">
        <is>
          <t>Holmen skog AB</t>
        </is>
      </c>
      <c r="G581" t="n">
        <v>2.4</v>
      </c>
      <c r="H581" t="n">
        <v>0</v>
      </c>
      <c r="I581" t="n">
        <v>0</v>
      </c>
      <c r="J581" t="n">
        <v>0</v>
      </c>
      <c r="K581" t="n">
        <v>0</v>
      </c>
      <c r="L581" t="n">
        <v>0</v>
      </c>
      <c r="M581" t="n">
        <v>0</v>
      </c>
      <c r="N581" t="n">
        <v>0</v>
      </c>
      <c r="O581" t="n">
        <v>0</v>
      </c>
      <c r="P581" t="n">
        <v>0</v>
      </c>
      <c r="Q581" t="n">
        <v>0</v>
      </c>
      <c r="R581" s="2" t="inlineStr"/>
    </row>
    <row r="582" ht="15" customHeight="1">
      <c r="A582" t="inlineStr">
        <is>
          <t>A 24887-2023</t>
        </is>
      </c>
      <c r="B582" s="1" t="n">
        <v>45085</v>
      </c>
      <c r="C582" s="1" t="n">
        <v>46045</v>
      </c>
      <c r="D582" t="inlineStr">
        <is>
          <t>STOCKHOLMS LÄN</t>
        </is>
      </c>
      <c r="E582" t="inlineStr">
        <is>
          <t>NORRTÄLJE</t>
        </is>
      </c>
      <c r="G582" t="n">
        <v>13.9</v>
      </c>
      <c r="H582" t="n">
        <v>0</v>
      </c>
      <c r="I582" t="n">
        <v>0</v>
      </c>
      <c r="J582" t="n">
        <v>0</v>
      </c>
      <c r="K582" t="n">
        <v>0</v>
      </c>
      <c r="L582" t="n">
        <v>0</v>
      </c>
      <c r="M582" t="n">
        <v>0</v>
      </c>
      <c r="N582" t="n">
        <v>0</v>
      </c>
      <c r="O582" t="n">
        <v>0</v>
      </c>
      <c r="P582" t="n">
        <v>0</v>
      </c>
      <c r="Q582" t="n">
        <v>0</v>
      </c>
      <c r="R582" s="2" t="inlineStr"/>
    </row>
    <row r="583" ht="15" customHeight="1">
      <c r="A583" t="inlineStr">
        <is>
          <t>A 59767-2022</t>
        </is>
      </c>
      <c r="B583" s="1" t="n">
        <v>44900</v>
      </c>
      <c r="C583" s="1" t="n">
        <v>46045</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22756-2022</t>
        </is>
      </c>
      <c r="B584" s="1" t="n">
        <v>44714.92253472222</v>
      </c>
      <c r="C584" s="1" t="n">
        <v>46045</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56428-2023</t>
        </is>
      </c>
      <c r="B585" s="1" t="n">
        <v>45243.45289351852</v>
      </c>
      <c r="C585" s="1" t="n">
        <v>46045</v>
      </c>
      <c r="D585" t="inlineStr">
        <is>
          <t>STOCKHOLMS LÄN</t>
        </is>
      </c>
      <c r="E585" t="inlineStr">
        <is>
          <t>NORRTÄLJE</t>
        </is>
      </c>
      <c r="F585" t="inlineStr">
        <is>
          <t>Kyrkan</t>
        </is>
      </c>
      <c r="G585" t="n">
        <v>1.3</v>
      </c>
      <c r="H585" t="n">
        <v>0</v>
      </c>
      <c r="I585" t="n">
        <v>0</v>
      </c>
      <c r="J585" t="n">
        <v>0</v>
      </c>
      <c r="K585" t="n">
        <v>0</v>
      </c>
      <c r="L585" t="n">
        <v>0</v>
      </c>
      <c r="M585" t="n">
        <v>0</v>
      </c>
      <c r="N585" t="n">
        <v>0</v>
      </c>
      <c r="O585" t="n">
        <v>0</v>
      </c>
      <c r="P585" t="n">
        <v>0</v>
      </c>
      <c r="Q585" t="n">
        <v>0</v>
      </c>
      <c r="R585" s="2" t="inlineStr"/>
    </row>
    <row r="586" ht="15" customHeight="1">
      <c r="A586" t="inlineStr">
        <is>
          <t>A 30719-2025</t>
        </is>
      </c>
      <c r="B586" s="1" t="n">
        <v>45831</v>
      </c>
      <c r="C586" s="1" t="n">
        <v>46045</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58311-2023</t>
        </is>
      </c>
      <c r="B587" s="1" t="n">
        <v>45245</v>
      </c>
      <c r="C587" s="1" t="n">
        <v>46045</v>
      </c>
      <c r="D587" t="inlineStr">
        <is>
          <t>STOCKHOLMS LÄN</t>
        </is>
      </c>
      <c r="E587" t="inlineStr">
        <is>
          <t>NORRTÄLJE</t>
        </is>
      </c>
      <c r="G587" t="n">
        <v>2.3</v>
      </c>
      <c r="H587" t="n">
        <v>0</v>
      </c>
      <c r="I587" t="n">
        <v>0</v>
      </c>
      <c r="J587" t="n">
        <v>0</v>
      </c>
      <c r="K587" t="n">
        <v>0</v>
      </c>
      <c r="L587" t="n">
        <v>0</v>
      </c>
      <c r="M587" t="n">
        <v>0</v>
      </c>
      <c r="N587" t="n">
        <v>0</v>
      </c>
      <c r="O587" t="n">
        <v>0</v>
      </c>
      <c r="P587" t="n">
        <v>0</v>
      </c>
      <c r="Q587" t="n">
        <v>0</v>
      </c>
      <c r="R587" s="2" t="inlineStr"/>
    </row>
    <row r="588" ht="15" customHeight="1">
      <c r="A588" t="inlineStr">
        <is>
          <t>A 8739-2024</t>
        </is>
      </c>
      <c r="B588" s="1" t="n">
        <v>45356.47784722222</v>
      </c>
      <c r="C588" s="1" t="n">
        <v>46045</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44343-2025</t>
        </is>
      </c>
      <c r="B589" s="1" t="n">
        <v>45916.43378472222</v>
      </c>
      <c r="C589" s="1" t="n">
        <v>46045</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21696-2024</t>
        </is>
      </c>
      <c r="B590" s="1" t="n">
        <v>45442.45686342593</v>
      </c>
      <c r="C590" s="1" t="n">
        <v>46045</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26640-2023</t>
        </is>
      </c>
      <c r="B591" s="1" t="n">
        <v>45092</v>
      </c>
      <c r="C591" s="1" t="n">
        <v>46045</v>
      </c>
      <c r="D591" t="inlineStr">
        <is>
          <t>STOCKHOLMS LÄN</t>
        </is>
      </c>
      <c r="E591" t="inlineStr">
        <is>
          <t>NORRTÄLJE</t>
        </is>
      </c>
      <c r="G591" t="n">
        <v>5.7</v>
      </c>
      <c r="H591" t="n">
        <v>0</v>
      </c>
      <c r="I591" t="n">
        <v>0</v>
      </c>
      <c r="J591" t="n">
        <v>0</v>
      </c>
      <c r="K591" t="n">
        <v>0</v>
      </c>
      <c r="L591" t="n">
        <v>0</v>
      </c>
      <c r="M591" t="n">
        <v>0</v>
      </c>
      <c r="N591" t="n">
        <v>0</v>
      </c>
      <c r="O591" t="n">
        <v>0</v>
      </c>
      <c r="P591" t="n">
        <v>0</v>
      </c>
      <c r="Q591" t="n">
        <v>0</v>
      </c>
      <c r="R591" s="2" t="inlineStr"/>
    </row>
    <row r="592" ht="15" customHeight="1">
      <c r="A592" t="inlineStr">
        <is>
          <t>A 37136-2023</t>
        </is>
      </c>
      <c r="B592" s="1" t="n">
        <v>45155</v>
      </c>
      <c r="C592" s="1" t="n">
        <v>46045</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43916-2025</t>
        </is>
      </c>
      <c r="B593" s="1" t="n">
        <v>45914.78884259259</v>
      </c>
      <c r="C593" s="1" t="n">
        <v>46045</v>
      </c>
      <c r="D593" t="inlineStr">
        <is>
          <t>STOCKHOLMS LÄN</t>
        </is>
      </c>
      <c r="E593" t="inlineStr">
        <is>
          <t>NORRTÄLJE</t>
        </is>
      </c>
      <c r="G593" t="n">
        <v>1.5</v>
      </c>
      <c r="H593" t="n">
        <v>0</v>
      </c>
      <c r="I593" t="n">
        <v>0</v>
      </c>
      <c r="J593" t="n">
        <v>0</v>
      </c>
      <c r="K593" t="n">
        <v>0</v>
      </c>
      <c r="L593" t="n">
        <v>0</v>
      </c>
      <c r="M593" t="n">
        <v>0</v>
      </c>
      <c r="N593" t="n">
        <v>0</v>
      </c>
      <c r="O593" t="n">
        <v>0</v>
      </c>
      <c r="P593" t="n">
        <v>0</v>
      </c>
      <c r="Q593" t="n">
        <v>0</v>
      </c>
      <c r="R593" s="2" t="inlineStr"/>
    </row>
    <row r="594" ht="15" customHeight="1">
      <c r="A594" t="inlineStr">
        <is>
          <t>A 62765-2022</t>
        </is>
      </c>
      <c r="B594" s="1" t="n">
        <v>44637</v>
      </c>
      <c r="C594" s="1" t="n">
        <v>46045</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44311-2025</t>
        </is>
      </c>
      <c r="B595" s="1" t="n">
        <v>45916.38394675926</v>
      </c>
      <c r="C595" s="1" t="n">
        <v>46045</v>
      </c>
      <c r="D595" t="inlineStr">
        <is>
          <t>STOCKHOLMS LÄN</t>
        </is>
      </c>
      <c r="E595" t="inlineStr">
        <is>
          <t>NORRTÄLJE</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44349-2025</t>
        </is>
      </c>
      <c r="B596" s="1" t="n">
        <v>45916.43929398148</v>
      </c>
      <c r="C596" s="1" t="n">
        <v>46045</v>
      </c>
      <c r="D596" t="inlineStr">
        <is>
          <t>STOCKHOLMS LÄN</t>
        </is>
      </c>
      <c r="E596" t="inlineStr">
        <is>
          <t>NORRTÄLJE</t>
        </is>
      </c>
      <c r="G596" t="n">
        <v>3.5</v>
      </c>
      <c r="H596" t="n">
        <v>0</v>
      </c>
      <c r="I596" t="n">
        <v>0</v>
      </c>
      <c r="J596" t="n">
        <v>0</v>
      </c>
      <c r="K596" t="n">
        <v>0</v>
      </c>
      <c r="L596" t="n">
        <v>0</v>
      </c>
      <c r="M596" t="n">
        <v>0</v>
      </c>
      <c r="N596" t="n">
        <v>0</v>
      </c>
      <c r="O596" t="n">
        <v>0</v>
      </c>
      <c r="P596" t="n">
        <v>0</v>
      </c>
      <c r="Q596" t="n">
        <v>0</v>
      </c>
      <c r="R596" s="2" t="inlineStr"/>
    </row>
    <row r="597" ht="15" customHeight="1">
      <c r="A597" t="inlineStr">
        <is>
          <t>A 38990-2022</t>
        </is>
      </c>
      <c r="B597" s="1" t="n">
        <v>44816</v>
      </c>
      <c r="C597" s="1" t="n">
        <v>46045</v>
      </c>
      <c r="D597" t="inlineStr">
        <is>
          <t>STOCKHOLMS LÄN</t>
        </is>
      </c>
      <c r="E597" t="inlineStr">
        <is>
          <t>NORRTÄLJE</t>
        </is>
      </c>
      <c r="G597" t="n">
        <v>5.7</v>
      </c>
      <c r="H597" t="n">
        <v>0</v>
      </c>
      <c r="I597" t="n">
        <v>0</v>
      </c>
      <c r="J597" t="n">
        <v>0</v>
      </c>
      <c r="K597" t="n">
        <v>0</v>
      </c>
      <c r="L597" t="n">
        <v>0</v>
      </c>
      <c r="M597" t="n">
        <v>0</v>
      </c>
      <c r="N597" t="n">
        <v>0</v>
      </c>
      <c r="O597" t="n">
        <v>0</v>
      </c>
      <c r="P597" t="n">
        <v>0</v>
      </c>
      <c r="Q597" t="n">
        <v>0</v>
      </c>
      <c r="R597" s="2" t="inlineStr"/>
    </row>
    <row r="598" ht="15" customHeight="1">
      <c r="A598" t="inlineStr">
        <is>
          <t>A 17545-2025</t>
        </is>
      </c>
      <c r="B598" s="1" t="n">
        <v>45757.60658564815</v>
      </c>
      <c r="C598" s="1" t="n">
        <v>46045</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1740-2023</t>
        </is>
      </c>
      <c r="B599" s="1" t="n">
        <v>44938</v>
      </c>
      <c r="C599" s="1" t="n">
        <v>46045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30338-2022</t>
        </is>
      </c>
      <c r="B600" s="1" t="n">
        <v>44760</v>
      </c>
      <c r="C600" s="1" t="n">
        <v>46045</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44354-2025</t>
        </is>
      </c>
      <c r="B601" s="1" t="n">
        <v>45916.44655092592</v>
      </c>
      <c r="C601" s="1" t="n">
        <v>46045</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17956-2025</t>
        </is>
      </c>
      <c r="B602" s="1" t="n">
        <v>45760.91174768518</v>
      </c>
      <c r="C602" s="1" t="n">
        <v>46045</v>
      </c>
      <c r="D602" t="inlineStr">
        <is>
          <t>STOCKHOLMS LÄN</t>
        </is>
      </c>
      <c r="E602" t="inlineStr">
        <is>
          <t>NORRTÄLJE</t>
        </is>
      </c>
      <c r="G602" t="n">
        <v>4.3</v>
      </c>
      <c r="H602" t="n">
        <v>0</v>
      </c>
      <c r="I602" t="n">
        <v>0</v>
      </c>
      <c r="J602" t="n">
        <v>0</v>
      </c>
      <c r="K602" t="n">
        <v>0</v>
      </c>
      <c r="L602" t="n">
        <v>0</v>
      </c>
      <c r="M602" t="n">
        <v>0</v>
      </c>
      <c r="N602" t="n">
        <v>0</v>
      </c>
      <c r="O602" t="n">
        <v>0</v>
      </c>
      <c r="P602" t="n">
        <v>0</v>
      </c>
      <c r="Q602" t="n">
        <v>0</v>
      </c>
      <c r="R602" s="2" t="inlineStr"/>
    </row>
    <row r="603" ht="15" customHeight="1">
      <c r="A603" t="inlineStr">
        <is>
          <t>A 23265-2023</t>
        </is>
      </c>
      <c r="B603" s="1" t="n">
        <v>45075.90703703704</v>
      </c>
      <c r="C603" s="1" t="n">
        <v>46045</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44333-2025</t>
        </is>
      </c>
      <c r="B604" s="1" t="n">
        <v>45916.42293981482</v>
      </c>
      <c r="C604" s="1" t="n">
        <v>46045</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30268-2024</t>
        </is>
      </c>
      <c r="B605" s="1" t="n">
        <v>45490.60572916667</v>
      </c>
      <c r="C605" s="1" t="n">
        <v>46045</v>
      </c>
      <c r="D605" t="inlineStr">
        <is>
          <t>STOCKHOLMS LÄN</t>
        </is>
      </c>
      <c r="E605" t="inlineStr">
        <is>
          <t>NORRTÄLJE</t>
        </is>
      </c>
      <c r="G605" t="n">
        <v>5.6</v>
      </c>
      <c r="H605" t="n">
        <v>0</v>
      </c>
      <c r="I605" t="n">
        <v>0</v>
      </c>
      <c r="J605" t="n">
        <v>0</v>
      </c>
      <c r="K605" t="n">
        <v>0</v>
      </c>
      <c r="L605" t="n">
        <v>0</v>
      </c>
      <c r="M605" t="n">
        <v>0</v>
      </c>
      <c r="N605" t="n">
        <v>0</v>
      </c>
      <c r="O605" t="n">
        <v>0</v>
      </c>
      <c r="P605" t="n">
        <v>0</v>
      </c>
      <c r="Q605" t="n">
        <v>0</v>
      </c>
      <c r="R605" s="2" t="inlineStr"/>
    </row>
    <row r="606" ht="15" customHeight="1">
      <c r="A606" t="inlineStr">
        <is>
          <t>A 59535-2024</t>
        </is>
      </c>
      <c r="B606" s="1" t="n">
        <v>45638.59979166667</v>
      </c>
      <c r="C606" s="1" t="n">
        <v>46045</v>
      </c>
      <c r="D606" t="inlineStr">
        <is>
          <t>STOCKHOLMS LÄN</t>
        </is>
      </c>
      <c r="E606" t="inlineStr">
        <is>
          <t>NORRTÄLJE</t>
        </is>
      </c>
      <c r="F606" t="inlineStr">
        <is>
          <t>Holmen skog AB</t>
        </is>
      </c>
      <c r="G606" t="n">
        <v>1.1</v>
      </c>
      <c r="H606" t="n">
        <v>0</v>
      </c>
      <c r="I606" t="n">
        <v>0</v>
      </c>
      <c r="J606" t="n">
        <v>0</v>
      </c>
      <c r="K606" t="n">
        <v>0</v>
      </c>
      <c r="L606" t="n">
        <v>0</v>
      </c>
      <c r="M606" t="n">
        <v>0</v>
      </c>
      <c r="N606" t="n">
        <v>0</v>
      </c>
      <c r="O606" t="n">
        <v>0</v>
      </c>
      <c r="P606" t="n">
        <v>0</v>
      </c>
      <c r="Q606" t="n">
        <v>0</v>
      </c>
      <c r="R606" s="2" t="inlineStr"/>
    </row>
    <row r="607" ht="15" customHeight="1">
      <c r="A607" t="inlineStr">
        <is>
          <t>A 18541-2023</t>
        </is>
      </c>
      <c r="B607" s="1" t="n">
        <v>45042.74291666667</v>
      </c>
      <c r="C607" s="1" t="n">
        <v>46045</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9246-2024</t>
        </is>
      </c>
      <c r="B608" s="1" t="n">
        <v>45357</v>
      </c>
      <c r="C608" s="1" t="n">
        <v>46045</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44306-2025</t>
        </is>
      </c>
      <c r="B609" s="1" t="n">
        <v>45916.37736111111</v>
      </c>
      <c r="C609" s="1" t="n">
        <v>46045</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32857-2021</t>
        </is>
      </c>
      <c r="B610" s="1" t="n">
        <v>44375</v>
      </c>
      <c r="C610" s="1" t="n">
        <v>46045</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51325-2023</t>
        </is>
      </c>
      <c r="B611" s="1" t="n">
        <v>45219</v>
      </c>
      <c r="C611" s="1" t="n">
        <v>46045</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5423-2023</t>
        </is>
      </c>
      <c r="B612" s="1" t="n">
        <v>44959.74533564815</v>
      </c>
      <c r="C612" s="1" t="n">
        <v>46045</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20852-2023</t>
        </is>
      </c>
      <c r="B613" s="1" t="n">
        <v>45058.78607638889</v>
      </c>
      <c r="C613" s="1" t="n">
        <v>46045</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58492-2022</t>
        </is>
      </c>
      <c r="B614" s="1" t="n">
        <v>44902</v>
      </c>
      <c r="C614" s="1" t="n">
        <v>46045</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44937-2025</t>
        </is>
      </c>
      <c r="B615" s="1" t="n">
        <v>45918</v>
      </c>
      <c r="C615" s="1" t="n">
        <v>46045</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50355-2024</t>
        </is>
      </c>
      <c r="B616" s="1" t="n">
        <v>45600.86128472222</v>
      </c>
      <c r="C616" s="1" t="n">
        <v>46045</v>
      </c>
      <c r="D616" t="inlineStr">
        <is>
          <t>STOCKHOLMS LÄN</t>
        </is>
      </c>
      <c r="E616" t="inlineStr">
        <is>
          <t>NORRTÄLJE</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60694-2024</t>
        </is>
      </c>
      <c r="B617" s="1" t="n">
        <v>45644.47878472223</v>
      </c>
      <c r="C617" s="1" t="n">
        <v>46045</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21729-2024</t>
        </is>
      </c>
      <c r="B618" s="1" t="n">
        <v>45442</v>
      </c>
      <c r="C618" s="1" t="n">
        <v>46045</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25094-2023</t>
        </is>
      </c>
      <c r="B619" s="1" t="n">
        <v>45086.3629050926</v>
      </c>
      <c r="C619" s="1" t="n">
        <v>46045</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59276-2023</t>
        </is>
      </c>
      <c r="B620" s="1" t="n">
        <v>45253.55641203704</v>
      </c>
      <c r="C620" s="1" t="n">
        <v>46045</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13767-2025</t>
        </is>
      </c>
      <c r="B621" s="1" t="n">
        <v>45737.43347222222</v>
      </c>
      <c r="C621" s="1" t="n">
        <v>46045</v>
      </c>
      <c r="D621" t="inlineStr">
        <is>
          <t>STOCKHOLMS LÄN</t>
        </is>
      </c>
      <c r="E621" t="inlineStr">
        <is>
          <t>NORRTÄLJE</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22359-2025</t>
        </is>
      </c>
      <c r="B622" s="1" t="n">
        <v>45786</v>
      </c>
      <c r="C622" s="1" t="n">
        <v>46045</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41587-2023</t>
        </is>
      </c>
      <c r="B623" s="1" t="n">
        <v>45175</v>
      </c>
      <c r="C623" s="1" t="n">
        <v>46045</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4581-2025</t>
        </is>
      </c>
      <c r="B624" s="1" t="n">
        <v>45687</v>
      </c>
      <c r="C624" s="1" t="n">
        <v>46045</v>
      </c>
      <c r="D624" t="inlineStr">
        <is>
          <t>STOCKHOLMS LÄN</t>
        </is>
      </c>
      <c r="E624" t="inlineStr">
        <is>
          <t>NORRTÄLJE</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36157-2024</t>
        </is>
      </c>
      <c r="B625" s="1" t="n">
        <v>45534.38240740741</v>
      </c>
      <c r="C625" s="1" t="n">
        <v>46045</v>
      </c>
      <c r="D625" t="inlineStr">
        <is>
          <t>STOCKHOLMS LÄN</t>
        </is>
      </c>
      <c r="E625" t="inlineStr">
        <is>
          <t>NORRTÄLJE</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62398-2022</t>
        </is>
      </c>
      <c r="B626" s="1" t="n">
        <v>44923.90159722222</v>
      </c>
      <c r="C626" s="1" t="n">
        <v>46045</v>
      </c>
      <c r="D626" t="inlineStr">
        <is>
          <t>STOCKHOLMS LÄN</t>
        </is>
      </c>
      <c r="E626" t="inlineStr">
        <is>
          <t>NORRTÄLJE</t>
        </is>
      </c>
      <c r="G626" t="n">
        <v>4</v>
      </c>
      <c r="H626" t="n">
        <v>0</v>
      </c>
      <c r="I626" t="n">
        <v>0</v>
      </c>
      <c r="J626" t="n">
        <v>0</v>
      </c>
      <c r="K626" t="n">
        <v>0</v>
      </c>
      <c r="L626" t="n">
        <v>0</v>
      </c>
      <c r="M626" t="n">
        <v>0</v>
      </c>
      <c r="N626" t="n">
        <v>0</v>
      </c>
      <c r="O626" t="n">
        <v>0</v>
      </c>
      <c r="P626" t="n">
        <v>0</v>
      </c>
      <c r="Q626" t="n">
        <v>0</v>
      </c>
      <c r="R626" s="2" t="inlineStr"/>
    </row>
    <row r="627" ht="15" customHeight="1">
      <c r="A627" t="inlineStr">
        <is>
          <t>A 17039-2024</t>
        </is>
      </c>
      <c r="B627" s="1" t="n">
        <v>45412.4104050926</v>
      </c>
      <c r="C627" s="1" t="n">
        <v>46045</v>
      </c>
      <c r="D627" t="inlineStr">
        <is>
          <t>STOCKHOLMS LÄN</t>
        </is>
      </c>
      <c r="E627" t="inlineStr">
        <is>
          <t>NORRTÄLJE</t>
        </is>
      </c>
      <c r="G627" t="n">
        <v>5.9</v>
      </c>
      <c r="H627" t="n">
        <v>0</v>
      </c>
      <c r="I627" t="n">
        <v>0</v>
      </c>
      <c r="J627" t="n">
        <v>0</v>
      </c>
      <c r="K627" t="n">
        <v>0</v>
      </c>
      <c r="L627" t="n">
        <v>0</v>
      </c>
      <c r="M627" t="n">
        <v>0</v>
      </c>
      <c r="N627" t="n">
        <v>0</v>
      </c>
      <c r="O627" t="n">
        <v>0</v>
      </c>
      <c r="P627" t="n">
        <v>0</v>
      </c>
      <c r="Q627" t="n">
        <v>0</v>
      </c>
      <c r="R627" s="2" t="inlineStr"/>
    </row>
    <row r="628" ht="15" customHeight="1">
      <c r="A628" t="inlineStr">
        <is>
          <t>A 3509-2022</t>
        </is>
      </c>
      <c r="B628" s="1" t="n">
        <v>44585</v>
      </c>
      <c r="C628" s="1" t="n">
        <v>46045</v>
      </c>
      <c r="D628" t="inlineStr">
        <is>
          <t>STOCKHOLMS LÄN</t>
        </is>
      </c>
      <c r="E628" t="inlineStr">
        <is>
          <t>NORRTÄLJE</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7697-2025</t>
        </is>
      </c>
      <c r="B629" s="1" t="n">
        <v>45706.40086805556</v>
      </c>
      <c r="C629" s="1" t="n">
        <v>46045</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45697-2025</t>
        </is>
      </c>
      <c r="B630" s="1" t="n">
        <v>45923.39877314815</v>
      </c>
      <c r="C630" s="1" t="n">
        <v>46045</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27381-2024</t>
        </is>
      </c>
      <c r="B631" s="1" t="n">
        <v>45473.94501157408</v>
      </c>
      <c r="C631" s="1" t="n">
        <v>46045</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39669-2024</t>
        </is>
      </c>
      <c r="B632" s="1" t="n">
        <v>45552.52827546297</v>
      </c>
      <c r="C632" s="1" t="n">
        <v>46045</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60529-2023</t>
        </is>
      </c>
      <c r="B633" s="1" t="n">
        <v>45259</v>
      </c>
      <c r="C633" s="1" t="n">
        <v>46045</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35256-2025</t>
        </is>
      </c>
      <c r="B634" s="1" t="n">
        <v>45853</v>
      </c>
      <c r="C634" s="1" t="n">
        <v>46045</v>
      </c>
      <c r="D634" t="inlineStr">
        <is>
          <t>STOCKHOLMS LÄN</t>
        </is>
      </c>
      <c r="E634" t="inlineStr">
        <is>
          <t>NORRTÄLJE</t>
        </is>
      </c>
      <c r="G634" t="n">
        <v>6.4</v>
      </c>
      <c r="H634" t="n">
        <v>0</v>
      </c>
      <c r="I634" t="n">
        <v>0</v>
      </c>
      <c r="J634" t="n">
        <v>0</v>
      </c>
      <c r="K634" t="n">
        <v>0</v>
      </c>
      <c r="L634" t="n">
        <v>0</v>
      </c>
      <c r="M634" t="n">
        <v>0</v>
      </c>
      <c r="N634" t="n">
        <v>0</v>
      </c>
      <c r="O634" t="n">
        <v>0</v>
      </c>
      <c r="P634" t="n">
        <v>0</v>
      </c>
      <c r="Q634" t="n">
        <v>0</v>
      </c>
      <c r="R634" s="2" t="inlineStr"/>
    </row>
    <row r="635" ht="15" customHeight="1">
      <c r="A635" t="inlineStr">
        <is>
          <t>A 21894-2023</t>
        </is>
      </c>
      <c r="B635" s="1" t="n">
        <v>45068.51783564815</v>
      </c>
      <c r="C635" s="1" t="n">
        <v>46045</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2982-2023</t>
        </is>
      </c>
      <c r="B636" s="1" t="n">
        <v>44945.67409722223</v>
      </c>
      <c r="C636" s="1" t="n">
        <v>46045</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1448-2023</t>
        </is>
      </c>
      <c r="B637" s="1" t="n">
        <v>44937</v>
      </c>
      <c r="C637" s="1" t="n">
        <v>46045</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59326-2023</t>
        </is>
      </c>
      <c r="B638" s="1" t="n">
        <v>45253.63089120371</v>
      </c>
      <c r="C638" s="1" t="n">
        <v>46045</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35127-2023</t>
        </is>
      </c>
      <c r="B639" s="1" t="n">
        <v>45145.51</v>
      </c>
      <c r="C639" s="1" t="n">
        <v>46045</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20790-2025</t>
        </is>
      </c>
      <c r="B640" s="1" t="n">
        <v>45776.62563657408</v>
      </c>
      <c r="C640" s="1" t="n">
        <v>46045</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3152-2024</t>
        </is>
      </c>
      <c r="B641" s="1" t="n">
        <v>45316.60306712963</v>
      </c>
      <c r="C641" s="1" t="n">
        <v>46045</v>
      </c>
      <c r="D641" t="inlineStr">
        <is>
          <t>STOCKHOLMS LÄN</t>
        </is>
      </c>
      <c r="E641" t="inlineStr">
        <is>
          <t>NORRTÄLJE</t>
        </is>
      </c>
      <c r="G641" t="n">
        <v>7.9</v>
      </c>
      <c r="H641" t="n">
        <v>0</v>
      </c>
      <c r="I641" t="n">
        <v>0</v>
      </c>
      <c r="J641" t="n">
        <v>0</v>
      </c>
      <c r="K641" t="n">
        <v>0</v>
      </c>
      <c r="L641" t="n">
        <v>0</v>
      </c>
      <c r="M641" t="n">
        <v>0</v>
      </c>
      <c r="N641" t="n">
        <v>0</v>
      </c>
      <c r="O641" t="n">
        <v>0</v>
      </c>
      <c r="P641" t="n">
        <v>0</v>
      </c>
      <c r="Q641" t="n">
        <v>0</v>
      </c>
      <c r="R641" s="2" t="inlineStr"/>
    </row>
    <row r="642" ht="15" customHeight="1">
      <c r="A642" t="inlineStr">
        <is>
          <t>A 50136-2023</t>
        </is>
      </c>
      <c r="B642" s="1" t="n">
        <v>45215</v>
      </c>
      <c r="C642" s="1" t="n">
        <v>46045</v>
      </c>
      <c r="D642" t="inlineStr">
        <is>
          <t>STOCKHOLMS LÄN</t>
        </is>
      </c>
      <c r="E642" t="inlineStr">
        <is>
          <t>NORRTÄLJE</t>
        </is>
      </c>
      <c r="G642" t="n">
        <v>5.2</v>
      </c>
      <c r="H642" t="n">
        <v>0</v>
      </c>
      <c r="I642" t="n">
        <v>0</v>
      </c>
      <c r="J642" t="n">
        <v>0</v>
      </c>
      <c r="K642" t="n">
        <v>0</v>
      </c>
      <c r="L642" t="n">
        <v>0</v>
      </c>
      <c r="M642" t="n">
        <v>0</v>
      </c>
      <c r="N642" t="n">
        <v>0</v>
      </c>
      <c r="O642" t="n">
        <v>0</v>
      </c>
      <c r="P642" t="n">
        <v>0</v>
      </c>
      <c r="Q642" t="n">
        <v>0</v>
      </c>
      <c r="R642" s="2" t="inlineStr"/>
    </row>
    <row r="643" ht="15" customHeight="1">
      <c r="A643" t="inlineStr">
        <is>
          <t>A 20699-2025</t>
        </is>
      </c>
      <c r="B643" s="1" t="n">
        <v>45776.47346064815</v>
      </c>
      <c r="C643" s="1" t="n">
        <v>46045</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20779-2025</t>
        </is>
      </c>
      <c r="B644" s="1" t="n">
        <v>45776.59871527777</v>
      </c>
      <c r="C644" s="1" t="n">
        <v>46045</v>
      </c>
      <c r="D644" t="inlineStr">
        <is>
          <t>STOCKHOLMS LÄN</t>
        </is>
      </c>
      <c r="E644" t="inlineStr">
        <is>
          <t>NORRTÄLJE</t>
        </is>
      </c>
      <c r="G644" t="n">
        <v>6.9</v>
      </c>
      <c r="H644" t="n">
        <v>0</v>
      </c>
      <c r="I644" t="n">
        <v>0</v>
      </c>
      <c r="J644" t="n">
        <v>0</v>
      </c>
      <c r="K644" t="n">
        <v>0</v>
      </c>
      <c r="L644" t="n">
        <v>0</v>
      </c>
      <c r="M644" t="n">
        <v>0</v>
      </c>
      <c r="N644" t="n">
        <v>0</v>
      </c>
      <c r="O644" t="n">
        <v>0</v>
      </c>
      <c r="P644" t="n">
        <v>0</v>
      </c>
      <c r="Q644" t="n">
        <v>0</v>
      </c>
      <c r="R644" s="2" t="inlineStr"/>
    </row>
    <row r="645" ht="15" customHeight="1">
      <c r="A645" t="inlineStr">
        <is>
          <t>A 11229-2022</t>
        </is>
      </c>
      <c r="B645" s="1" t="n">
        <v>44629</v>
      </c>
      <c r="C645" s="1" t="n">
        <v>46045</v>
      </c>
      <c r="D645" t="inlineStr">
        <is>
          <t>STOCKHOLMS LÄN</t>
        </is>
      </c>
      <c r="E645" t="inlineStr">
        <is>
          <t>NORRTÄLJE</t>
        </is>
      </c>
      <c r="F645" t="inlineStr">
        <is>
          <t>Övriga Aktiebolag</t>
        </is>
      </c>
      <c r="G645" t="n">
        <v>4.1</v>
      </c>
      <c r="H645" t="n">
        <v>0</v>
      </c>
      <c r="I645" t="n">
        <v>0</v>
      </c>
      <c r="J645" t="n">
        <v>0</v>
      </c>
      <c r="K645" t="n">
        <v>0</v>
      </c>
      <c r="L645" t="n">
        <v>0</v>
      </c>
      <c r="M645" t="n">
        <v>0</v>
      </c>
      <c r="N645" t="n">
        <v>0</v>
      </c>
      <c r="O645" t="n">
        <v>0</v>
      </c>
      <c r="P645" t="n">
        <v>0</v>
      </c>
      <c r="Q645" t="n">
        <v>0</v>
      </c>
      <c r="R645" s="2" t="inlineStr"/>
    </row>
    <row r="646" ht="15" customHeight="1">
      <c r="A646" t="inlineStr">
        <is>
          <t>A 44836-2023</t>
        </is>
      </c>
      <c r="B646" s="1" t="n">
        <v>45190.55609953704</v>
      </c>
      <c r="C646" s="1" t="n">
        <v>46045</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46415-2025</t>
        </is>
      </c>
      <c r="B647" s="1" t="n">
        <v>45925.58636574074</v>
      </c>
      <c r="C647" s="1" t="n">
        <v>46045</v>
      </c>
      <c r="D647" t="inlineStr">
        <is>
          <t>STOCKHOLMS LÄN</t>
        </is>
      </c>
      <c r="E647" t="inlineStr">
        <is>
          <t>NORRTÄLJE</t>
        </is>
      </c>
      <c r="G647" t="n">
        <v>3.8</v>
      </c>
      <c r="H647" t="n">
        <v>0</v>
      </c>
      <c r="I647" t="n">
        <v>0</v>
      </c>
      <c r="J647" t="n">
        <v>0</v>
      </c>
      <c r="K647" t="n">
        <v>0</v>
      </c>
      <c r="L647" t="n">
        <v>0</v>
      </c>
      <c r="M647" t="n">
        <v>0</v>
      </c>
      <c r="N647" t="n">
        <v>0</v>
      </c>
      <c r="O647" t="n">
        <v>0</v>
      </c>
      <c r="P647" t="n">
        <v>0</v>
      </c>
      <c r="Q647" t="n">
        <v>0</v>
      </c>
      <c r="R647" s="2" t="inlineStr"/>
    </row>
    <row r="648" ht="15" customHeight="1">
      <c r="A648" t="inlineStr">
        <is>
          <t>A 9654-2022</t>
        </is>
      </c>
      <c r="B648" s="1" t="n">
        <v>44617</v>
      </c>
      <c r="C648" s="1" t="n">
        <v>46045</v>
      </c>
      <c r="D648" t="inlineStr">
        <is>
          <t>STOCKHOLMS LÄN</t>
        </is>
      </c>
      <c r="E648" t="inlineStr">
        <is>
          <t>NORRTÄLJE</t>
        </is>
      </c>
      <c r="G648" t="n">
        <v>6.4</v>
      </c>
      <c r="H648" t="n">
        <v>0</v>
      </c>
      <c r="I648" t="n">
        <v>0</v>
      </c>
      <c r="J648" t="n">
        <v>0</v>
      </c>
      <c r="K648" t="n">
        <v>0</v>
      </c>
      <c r="L648" t="n">
        <v>0</v>
      </c>
      <c r="M648" t="n">
        <v>0</v>
      </c>
      <c r="N648" t="n">
        <v>0</v>
      </c>
      <c r="O648" t="n">
        <v>0</v>
      </c>
      <c r="P648" t="n">
        <v>0</v>
      </c>
      <c r="Q648" t="n">
        <v>0</v>
      </c>
      <c r="R648" s="2" t="inlineStr"/>
    </row>
    <row r="649" ht="15" customHeight="1">
      <c r="A649" t="inlineStr">
        <is>
          <t>A 5389-2025</t>
        </is>
      </c>
      <c r="B649" s="1" t="n">
        <v>45692</v>
      </c>
      <c r="C649" s="1" t="n">
        <v>46045</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37147-2023</t>
        </is>
      </c>
      <c r="B650" s="1" t="n">
        <v>45155</v>
      </c>
      <c r="C650" s="1" t="n">
        <v>46045</v>
      </c>
      <c r="D650" t="inlineStr">
        <is>
          <t>STOCKHOLMS LÄN</t>
        </is>
      </c>
      <c r="E650" t="inlineStr">
        <is>
          <t>NORRTÄLJE</t>
        </is>
      </c>
      <c r="G650" t="n">
        <v>8</v>
      </c>
      <c r="H650" t="n">
        <v>0</v>
      </c>
      <c r="I650" t="n">
        <v>0</v>
      </c>
      <c r="J650" t="n">
        <v>0</v>
      </c>
      <c r="K650" t="n">
        <v>0</v>
      </c>
      <c r="L650" t="n">
        <v>0</v>
      </c>
      <c r="M650" t="n">
        <v>0</v>
      </c>
      <c r="N650" t="n">
        <v>0</v>
      </c>
      <c r="O650" t="n">
        <v>0</v>
      </c>
      <c r="P650" t="n">
        <v>0</v>
      </c>
      <c r="Q650" t="n">
        <v>0</v>
      </c>
      <c r="R650" s="2" t="inlineStr"/>
    </row>
    <row r="651" ht="15" customHeight="1">
      <c r="A651" t="inlineStr">
        <is>
          <t>A 21732-2023</t>
        </is>
      </c>
      <c r="B651" s="1" t="n">
        <v>45063</v>
      </c>
      <c r="C651" s="1" t="n">
        <v>46045</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59499-2023</t>
        </is>
      </c>
      <c r="B652" s="1" t="n">
        <v>45254</v>
      </c>
      <c r="C652" s="1" t="n">
        <v>46045</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60654-2023</t>
        </is>
      </c>
      <c r="B653" s="1" t="n">
        <v>45260.43225694444</v>
      </c>
      <c r="C653" s="1" t="n">
        <v>46045</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60656-2023</t>
        </is>
      </c>
      <c r="B654" s="1" t="n">
        <v>45260.4333449074</v>
      </c>
      <c r="C654" s="1" t="n">
        <v>46045</v>
      </c>
      <c r="D654" t="inlineStr">
        <is>
          <t>STOCKHOLMS LÄN</t>
        </is>
      </c>
      <c r="E654" t="inlineStr">
        <is>
          <t>NORRTÄLJE</t>
        </is>
      </c>
      <c r="G654" t="n">
        <v>4.8</v>
      </c>
      <c r="H654" t="n">
        <v>0</v>
      </c>
      <c r="I654" t="n">
        <v>0</v>
      </c>
      <c r="J654" t="n">
        <v>0</v>
      </c>
      <c r="K654" t="n">
        <v>0</v>
      </c>
      <c r="L654" t="n">
        <v>0</v>
      </c>
      <c r="M654" t="n">
        <v>0</v>
      </c>
      <c r="N654" t="n">
        <v>0</v>
      </c>
      <c r="O654" t="n">
        <v>0</v>
      </c>
      <c r="P654" t="n">
        <v>0</v>
      </c>
      <c r="Q654" t="n">
        <v>0</v>
      </c>
      <c r="R654" s="2" t="inlineStr"/>
    </row>
    <row r="655" ht="15" customHeight="1">
      <c r="A655" t="inlineStr">
        <is>
          <t>A 22697-2022</t>
        </is>
      </c>
      <c r="B655" s="1" t="n">
        <v>44714.56040509259</v>
      </c>
      <c r="C655" s="1" t="n">
        <v>46045</v>
      </c>
      <c r="D655" t="inlineStr">
        <is>
          <t>STOCKHOLMS LÄN</t>
        </is>
      </c>
      <c r="E655" t="inlineStr">
        <is>
          <t>NORRTÄLJE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7806-2025</t>
        </is>
      </c>
      <c r="B656" s="1" t="n">
        <v>45706.61178240741</v>
      </c>
      <c r="C656" s="1" t="n">
        <v>46045</v>
      </c>
      <c r="D656" t="inlineStr">
        <is>
          <t>STOCKHOLMS LÄN</t>
        </is>
      </c>
      <c r="E656" t="inlineStr">
        <is>
          <t>NORRTÄLJE</t>
        </is>
      </c>
      <c r="F656" t="inlineStr">
        <is>
          <t>Holmen skog AB</t>
        </is>
      </c>
      <c r="G656" t="n">
        <v>3.5</v>
      </c>
      <c r="H656" t="n">
        <v>0</v>
      </c>
      <c r="I656" t="n">
        <v>0</v>
      </c>
      <c r="J656" t="n">
        <v>0</v>
      </c>
      <c r="K656" t="n">
        <v>0</v>
      </c>
      <c r="L656" t="n">
        <v>0</v>
      </c>
      <c r="M656" t="n">
        <v>0</v>
      </c>
      <c r="N656" t="n">
        <v>0</v>
      </c>
      <c r="O656" t="n">
        <v>0</v>
      </c>
      <c r="P656" t="n">
        <v>0</v>
      </c>
      <c r="Q656" t="n">
        <v>0</v>
      </c>
      <c r="R656" s="2" t="inlineStr"/>
    </row>
    <row r="657" ht="15" customHeight="1">
      <c r="A657" t="inlineStr">
        <is>
          <t>A 47460-2025</t>
        </is>
      </c>
      <c r="B657" s="1" t="n">
        <v>45930.66012731481</v>
      </c>
      <c r="C657" s="1" t="n">
        <v>46045</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37444-2021</t>
        </is>
      </c>
      <c r="B658" s="1" t="n">
        <v>44398</v>
      </c>
      <c r="C658" s="1" t="n">
        <v>46045</v>
      </c>
      <c r="D658" t="inlineStr">
        <is>
          <t>STOCKHOLMS LÄN</t>
        </is>
      </c>
      <c r="E658" t="inlineStr">
        <is>
          <t>NORRTÄLJE</t>
        </is>
      </c>
      <c r="F658" t="inlineStr">
        <is>
          <t>Holmen skog AB</t>
        </is>
      </c>
      <c r="G658" t="n">
        <v>3.2</v>
      </c>
      <c r="H658" t="n">
        <v>0</v>
      </c>
      <c r="I658" t="n">
        <v>0</v>
      </c>
      <c r="J658" t="n">
        <v>0</v>
      </c>
      <c r="K658" t="n">
        <v>0</v>
      </c>
      <c r="L658" t="n">
        <v>0</v>
      </c>
      <c r="M658" t="n">
        <v>0</v>
      </c>
      <c r="N658" t="n">
        <v>0</v>
      </c>
      <c r="O658" t="n">
        <v>0</v>
      </c>
      <c r="P658" t="n">
        <v>0</v>
      </c>
      <c r="Q658" t="n">
        <v>0</v>
      </c>
      <c r="R658" s="2" t="inlineStr"/>
    </row>
    <row r="659" ht="15" customHeight="1">
      <c r="A659" t="inlineStr">
        <is>
          <t>A 21771-2025</t>
        </is>
      </c>
      <c r="B659" s="1" t="n">
        <v>45783</v>
      </c>
      <c r="C659" s="1" t="n">
        <v>46045</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46900-2025</t>
        </is>
      </c>
      <c r="B660" s="1" t="n">
        <v>45929.38712962963</v>
      </c>
      <c r="C660" s="1" t="n">
        <v>46045</v>
      </c>
      <c r="D660" t="inlineStr">
        <is>
          <t>STOCKHOLMS LÄN</t>
        </is>
      </c>
      <c r="E660" t="inlineStr">
        <is>
          <t>NORRTÄLJE</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48180-2023</t>
        </is>
      </c>
      <c r="B661" s="1" t="n">
        <v>45205</v>
      </c>
      <c r="C661" s="1" t="n">
        <v>46045</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57353-2024</t>
        </is>
      </c>
      <c r="B662" s="1" t="n">
        <v>45629.65143518519</v>
      </c>
      <c r="C662" s="1" t="n">
        <v>46045</v>
      </c>
      <c r="D662" t="inlineStr">
        <is>
          <t>STOCKHOLMS LÄN</t>
        </is>
      </c>
      <c r="E662" t="inlineStr">
        <is>
          <t>NORRTÄLJE</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47498-2025</t>
        </is>
      </c>
      <c r="B663" s="1" t="n">
        <v>45930.8134375</v>
      </c>
      <c r="C663" s="1" t="n">
        <v>46045</v>
      </c>
      <c r="D663" t="inlineStr">
        <is>
          <t>STOCKHOLMS LÄN</t>
        </is>
      </c>
      <c r="E663" t="inlineStr">
        <is>
          <t>NORRTÄLJE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21778-2025</t>
        </is>
      </c>
      <c r="B664" s="1" t="n">
        <v>45783.66429398148</v>
      </c>
      <c r="C664" s="1" t="n">
        <v>46045</v>
      </c>
      <c r="D664" t="inlineStr">
        <is>
          <t>STOCKHOLMS LÄN</t>
        </is>
      </c>
      <c r="E664" t="inlineStr">
        <is>
          <t>NORRTÄLJE</t>
        </is>
      </c>
      <c r="G664" t="n">
        <v>2</v>
      </c>
      <c r="H664" t="n">
        <v>0</v>
      </c>
      <c r="I664" t="n">
        <v>0</v>
      </c>
      <c r="J664" t="n">
        <v>0</v>
      </c>
      <c r="K664" t="n">
        <v>0</v>
      </c>
      <c r="L664" t="n">
        <v>0</v>
      </c>
      <c r="M664" t="n">
        <v>0</v>
      </c>
      <c r="N664" t="n">
        <v>0</v>
      </c>
      <c r="O664" t="n">
        <v>0</v>
      </c>
      <c r="P664" t="n">
        <v>0</v>
      </c>
      <c r="Q664" t="n">
        <v>0</v>
      </c>
      <c r="R664" s="2" t="inlineStr"/>
    </row>
    <row r="665" ht="15" customHeight="1">
      <c r="A665" t="inlineStr">
        <is>
          <t>A 55696-2022</t>
        </is>
      </c>
      <c r="B665" s="1" t="n">
        <v>44888</v>
      </c>
      <c r="C665" s="1" t="n">
        <v>46045</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50907-2022</t>
        </is>
      </c>
      <c r="B666" s="1" t="n">
        <v>44867.62090277778</v>
      </c>
      <c r="C666" s="1" t="n">
        <v>46045</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6919-2025</t>
        </is>
      </c>
      <c r="B667" s="1" t="n">
        <v>45701.44372685185</v>
      </c>
      <c r="C667" s="1" t="n">
        <v>46045</v>
      </c>
      <c r="D667" t="inlineStr">
        <is>
          <t>STOCKHOLMS LÄN</t>
        </is>
      </c>
      <c r="E667" t="inlineStr">
        <is>
          <t>NORRTÄLJE</t>
        </is>
      </c>
      <c r="G667" t="n">
        <v>3.5</v>
      </c>
      <c r="H667" t="n">
        <v>0</v>
      </c>
      <c r="I667" t="n">
        <v>0</v>
      </c>
      <c r="J667" t="n">
        <v>0</v>
      </c>
      <c r="K667" t="n">
        <v>0</v>
      </c>
      <c r="L667" t="n">
        <v>0</v>
      </c>
      <c r="M667" t="n">
        <v>0</v>
      </c>
      <c r="N667" t="n">
        <v>0</v>
      </c>
      <c r="O667" t="n">
        <v>0</v>
      </c>
      <c r="P667" t="n">
        <v>0</v>
      </c>
      <c r="Q667" t="n">
        <v>0</v>
      </c>
      <c r="R667" s="2" t="inlineStr"/>
    </row>
    <row r="668" ht="15" customHeight="1">
      <c r="A668" t="inlineStr">
        <is>
          <t>A 53362-2023</t>
        </is>
      </c>
      <c r="B668" s="1" t="n">
        <v>45223</v>
      </c>
      <c r="C668" s="1" t="n">
        <v>46045</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47496-2025</t>
        </is>
      </c>
      <c r="B669" s="1" t="n">
        <v>45930.79252314815</v>
      </c>
      <c r="C669" s="1" t="n">
        <v>46045</v>
      </c>
      <c r="D669" t="inlineStr">
        <is>
          <t>STOCKHOLMS LÄN</t>
        </is>
      </c>
      <c r="E669" t="inlineStr">
        <is>
          <t>NORRTÄLJE</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47497-2025</t>
        </is>
      </c>
      <c r="B670" s="1" t="n">
        <v>45930.80217592593</v>
      </c>
      <c r="C670" s="1" t="n">
        <v>46045</v>
      </c>
      <c r="D670" t="inlineStr">
        <is>
          <t>STOCKHOLMS LÄN</t>
        </is>
      </c>
      <c r="E670" t="inlineStr">
        <is>
          <t>NORRTÄLJE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45173-2023</t>
        </is>
      </c>
      <c r="B671" s="1" t="n">
        <v>45191</v>
      </c>
      <c r="C671" s="1" t="n">
        <v>46045</v>
      </c>
      <c r="D671" t="inlineStr">
        <is>
          <t>STOCKHOLMS LÄN</t>
        </is>
      </c>
      <c r="E671" t="inlineStr">
        <is>
          <t>NORRTÄLJE</t>
        </is>
      </c>
      <c r="F671" t="inlineStr">
        <is>
          <t>Sveaskog</t>
        </is>
      </c>
      <c r="G671" t="n">
        <v>3.6</v>
      </c>
      <c r="H671" t="n">
        <v>0</v>
      </c>
      <c r="I671" t="n">
        <v>0</v>
      </c>
      <c r="J671" t="n">
        <v>0</v>
      </c>
      <c r="K671" t="n">
        <v>0</v>
      </c>
      <c r="L671" t="n">
        <v>0</v>
      </c>
      <c r="M671" t="n">
        <v>0</v>
      </c>
      <c r="N671" t="n">
        <v>0</v>
      </c>
      <c r="O671" t="n">
        <v>0</v>
      </c>
      <c r="P671" t="n">
        <v>0</v>
      </c>
      <c r="Q671" t="n">
        <v>0</v>
      </c>
      <c r="R671" s="2" t="inlineStr"/>
    </row>
    <row r="672" ht="15" customHeight="1">
      <c r="A672" t="inlineStr">
        <is>
          <t>A 12902-2024</t>
        </is>
      </c>
      <c r="B672" s="1" t="n">
        <v>45385.38146990741</v>
      </c>
      <c r="C672" s="1" t="n">
        <v>46045</v>
      </c>
      <c r="D672" t="inlineStr">
        <is>
          <t>STOCKHOLMS LÄN</t>
        </is>
      </c>
      <c r="E672" t="inlineStr">
        <is>
          <t>NORRTÄLJE</t>
        </is>
      </c>
      <c r="G672" t="n">
        <v>3.7</v>
      </c>
      <c r="H672" t="n">
        <v>0</v>
      </c>
      <c r="I672" t="n">
        <v>0</v>
      </c>
      <c r="J672" t="n">
        <v>0</v>
      </c>
      <c r="K672" t="n">
        <v>0</v>
      </c>
      <c r="L672" t="n">
        <v>0</v>
      </c>
      <c r="M672" t="n">
        <v>0</v>
      </c>
      <c r="N672" t="n">
        <v>0</v>
      </c>
      <c r="O672" t="n">
        <v>0</v>
      </c>
      <c r="P672" t="n">
        <v>0</v>
      </c>
      <c r="Q672" t="n">
        <v>0</v>
      </c>
      <c r="R672" s="2" t="inlineStr"/>
    </row>
    <row r="673" ht="15" customHeight="1">
      <c r="A673" t="inlineStr">
        <is>
          <t>A 48718-2025</t>
        </is>
      </c>
      <c r="B673" s="1" t="n">
        <v>45936</v>
      </c>
      <c r="C673" s="1" t="n">
        <v>46045</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39237-2024</t>
        </is>
      </c>
      <c r="B674" s="1" t="n">
        <v>45549</v>
      </c>
      <c r="C674" s="1" t="n">
        <v>46045</v>
      </c>
      <c r="D674" t="inlineStr">
        <is>
          <t>STOCKHOLMS LÄN</t>
        </is>
      </c>
      <c r="E674" t="inlineStr">
        <is>
          <t>NORRTÄLJE</t>
        </is>
      </c>
      <c r="G674" t="n">
        <v>13.3</v>
      </c>
      <c r="H674" t="n">
        <v>0</v>
      </c>
      <c r="I674" t="n">
        <v>0</v>
      </c>
      <c r="J674" t="n">
        <v>0</v>
      </c>
      <c r="K674" t="n">
        <v>0</v>
      </c>
      <c r="L674" t="n">
        <v>0</v>
      </c>
      <c r="M674" t="n">
        <v>0</v>
      </c>
      <c r="N674" t="n">
        <v>0</v>
      </c>
      <c r="O674" t="n">
        <v>0</v>
      </c>
      <c r="P674" t="n">
        <v>0</v>
      </c>
      <c r="Q674" t="n">
        <v>0</v>
      </c>
      <c r="R674" s="2" t="inlineStr"/>
    </row>
    <row r="675" ht="15" customHeight="1">
      <c r="A675" t="inlineStr">
        <is>
          <t>A 48360-2025</t>
        </is>
      </c>
      <c r="B675" s="1" t="n">
        <v>45933.66253472222</v>
      </c>
      <c r="C675" s="1" t="n">
        <v>46045</v>
      </c>
      <c r="D675" t="inlineStr">
        <is>
          <t>STOCKHOLMS LÄN</t>
        </is>
      </c>
      <c r="E675" t="inlineStr">
        <is>
          <t>NORRTÄLJE</t>
        </is>
      </c>
      <c r="G675" t="n">
        <v>4.1</v>
      </c>
      <c r="H675" t="n">
        <v>0</v>
      </c>
      <c r="I675" t="n">
        <v>0</v>
      </c>
      <c r="J675" t="n">
        <v>0</v>
      </c>
      <c r="K675" t="n">
        <v>0</v>
      </c>
      <c r="L675" t="n">
        <v>0</v>
      </c>
      <c r="M675" t="n">
        <v>0</v>
      </c>
      <c r="N675" t="n">
        <v>0</v>
      </c>
      <c r="O675" t="n">
        <v>0</v>
      </c>
      <c r="P675" t="n">
        <v>0</v>
      </c>
      <c r="Q675" t="n">
        <v>0</v>
      </c>
      <c r="R675" s="2" t="inlineStr"/>
    </row>
    <row r="676" ht="15" customHeight="1">
      <c r="A676" t="inlineStr">
        <is>
          <t>A 48370-2025</t>
        </is>
      </c>
      <c r="B676" s="1" t="n">
        <v>45933.67854166667</v>
      </c>
      <c r="C676" s="1" t="n">
        <v>46045</v>
      </c>
      <c r="D676" t="inlineStr">
        <is>
          <t>STOCKHOLMS LÄN</t>
        </is>
      </c>
      <c r="E676" t="inlineStr">
        <is>
          <t>NORRTÄLJE</t>
        </is>
      </c>
      <c r="G676" t="n">
        <v>4.5</v>
      </c>
      <c r="H676" t="n">
        <v>0</v>
      </c>
      <c r="I676" t="n">
        <v>0</v>
      </c>
      <c r="J676" t="n">
        <v>0</v>
      </c>
      <c r="K676" t="n">
        <v>0</v>
      </c>
      <c r="L676" t="n">
        <v>0</v>
      </c>
      <c r="M676" t="n">
        <v>0</v>
      </c>
      <c r="N676" t="n">
        <v>0</v>
      </c>
      <c r="O676" t="n">
        <v>0</v>
      </c>
      <c r="P676" t="n">
        <v>0</v>
      </c>
      <c r="Q676" t="n">
        <v>0</v>
      </c>
      <c r="R676" s="2" t="inlineStr"/>
    </row>
    <row r="677" ht="15" customHeight="1">
      <c r="A677" t="inlineStr">
        <is>
          <t>A 44891-2023</t>
        </is>
      </c>
      <c r="B677" s="1" t="n">
        <v>45187</v>
      </c>
      <c r="C677" s="1" t="n">
        <v>46045</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13268-2025</t>
        </is>
      </c>
      <c r="B678" s="1" t="n">
        <v>45735</v>
      </c>
      <c r="C678" s="1" t="n">
        <v>46045</v>
      </c>
      <c r="D678" t="inlineStr">
        <is>
          <t>STOCKHOLMS LÄN</t>
        </is>
      </c>
      <c r="E678" t="inlineStr">
        <is>
          <t>NORRTÄLJE</t>
        </is>
      </c>
      <c r="G678" t="n">
        <v>11.4</v>
      </c>
      <c r="H678" t="n">
        <v>0</v>
      </c>
      <c r="I678" t="n">
        <v>0</v>
      </c>
      <c r="J678" t="n">
        <v>0</v>
      </c>
      <c r="K678" t="n">
        <v>0</v>
      </c>
      <c r="L678" t="n">
        <v>0</v>
      </c>
      <c r="M678" t="n">
        <v>0</v>
      </c>
      <c r="N678" t="n">
        <v>0</v>
      </c>
      <c r="O678" t="n">
        <v>0</v>
      </c>
      <c r="P678" t="n">
        <v>0</v>
      </c>
      <c r="Q678" t="n">
        <v>0</v>
      </c>
      <c r="R678" s="2" t="inlineStr"/>
    </row>
    <row r="679" ht="15" customHeight="1">
      <c r="A679" t="inlineStr">
        <is>
          <t>A 64137-2021</t>
        </is>
      </c>
      <c r="B679" s="1" t="n">
        <v>44510.51422453704</v>
      </c>
      <c r="C679" s="1" t="n">
        <v>46045</v>
      </c>
      <c r="D679" t="inlineStr">
        <is>
          <t>STOCKHOLMS LÄN</t>
        </is>
      </c>
      <c r="E679" t="inlineStr">
        <is>
          <t>NORRTÄLJE</t>
        </is>
      </c>
      <c r="F679" t="inlineStr">
        <is>
          <t>Holmen skog AB</t>
        </is>
      </c>
      <c r="G679" t="n">
        <v>1.5</v>
      </c>
      <c r="H679" t="n">
        <v>0</v>
      </c>
      <c r="I679" t="n">
        <v>0</v>
      </c>
      <c r="J679" t="n">
        <v>0</v>
      </c>
      <c r="K679" t="n">
        <v>0</v>
      </c>
      <c r="L679" t="n">
        <v>0</v>
      </c>
      <c r="M679" t="n">
        <v>0</v>
      </c>
      <c r="N679" t="n">
        <v>0</v>
      </c>
      <c r="O679" t="n">
        <v>0</v>
      </c>
      <c r="P679" t="n">
        <v>0</v>
      </c>
      <c r="Q679" t="n">
        <v>0</v>
      </c>
      <c r="R679" s="2" t="inlineStr"/>
    </row>
    <row r="680" ht="15" customHeight="1">
      <c r="A680" t="inlineStr">
        <is>
          <t>A 8414-2025</t>
        </is>
      </c>
      <c r="B680" s="1" t="n">
        <v>45709.39361111111</v>
      </c>
      <c r="C680" s="1" t="n">
        <v>46045</v>
      </c>
      <c r="D680" t="inlineStr">
        <is>
          <t>STOCKHOLMS LÄN</t>
        </is>
      </c>
      <c r="E680" t="inlineStr">
        <is>
          <t>NORRTÄLJE</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38720-2022</t>
        </is>
      </c>
      <c r="B681" s="1" t="n">
        <v>44815.74539351852</v>
      </c>
      <c r="C681" s="1" t="n">
        <v>46045</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48443-2025</t>
        </is>
      </c>
      <c r="B682" s="1" t="n">
        <v>45935.55326388889</v>
      </c>
      <c r="C682" s="1" t="n">
        <v>46045</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48127-2025</t>
        </is>
      </c>
      <c r="B683" s="1" t="n">
        <v>45933.36621527778</v>
      </c>
      <c r="C683" s="1" t="n">
        <v>46045</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48364-2025</t>
        </is>
      </c>
      <c r="B684" s="1" t="n">
        <v>45933.66796296297</v>
      </c>
      <c r="C684" s="1" t="n">
        <v>46045</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48179-2025</t>
        </is>
      </c>
      <c r="B685" s="1" t="n">
        <v>45933.44907407407</v>
      </c>
      <c r="C685" s="1" t="n">
        <v>46045</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44032-2024</t>
        </is>
      </c>
      <c r="B686" s="1" t="n">
        <v>45572.57828703704</v>
      </c>
      <c r="C686" s="1" t="n">
        <v>46045</v>
      </c>
      <c r="D686" t="inlineStr">
        <is>
          <t>STOCKHOLMS LÄN</t>
        </is>
      </c>
      <c r="E686" t="inlineStr">
        <is>
          <t>NORRTÄLJE</t>
        </is>
      </c>
      <c r="G686" t="n">
        <v>8.6</v>
      </c>
      <c r="H686" t="n">
        <v>0</v>
      </c>
      <c r="I686" t="n">
        <v>0</v>
      </c>
      <c r="J686" t="n">
        <v>0</v>
      </c>
      <c r="K686" t="n">
        <v>0</v>
      </c>
      <c r="L686" t="n">
        <v>0</v>
      </c>
      <c r="M686" t="n">
        <v>0</v>
      </c>
      <c r="N686" t="n">
        <v>0</v>
      </c>
      <c r="O686" t="n">
        <v>0</v>
      </c>
      <c r="P686" t="n">
        <v>0</v>
      </c>
      <c r="Q686" t="n">
        <v>0</v>
      </c>
      <c r="R686" s="2" t="inlineStr"/>
    </row>
    <row r="687" ht="15" customHeight="1">
      <c r="A687" t="inlineStr">
        <is>
          <t>A 24563-2024</t>
        </is>
      </c>
      <c r="B687" s="1" t="n">
        <v>45460.44347222222</v>
      </c>
      <c r="C687" s="1" t="n">
        <v>46045</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8433-2022</t>
        </is>
      </c>
      <c r="B688" s="1" t="n">
        <v>44611</v>
      </c>
      <c r="C688" s="1" t="n">
        <v>46045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22202-2025</t>
        </is>
      </c>
      <c r="B689" s="1" t="n">
        <v>45785.65300925926</v>
      </c>
      <c r="C689" s="1" t="n">
        <v>46045</v>
      </c>
      <c r="D689" t="inlineStr">
        <is>
          <t>STOCKHOLMS LÄN</t>
        </is>
      </c>
      <c r="E689" t="inlineStr">
        <is>
          <t>NORRTÄLJE</t>
        </is>
      </c>
      <c r="G689" t="n">
        <v>10.2</v>
      </c>
      <c r="H689" t="n">
        <v>0</v>
      </c>
      <c r="I689" t="n">
        <v>0</v>
      </c>
      <c r="J689" t="n">
        <v>0</v>
      </c>
      <c r="K689" t="n">
        <v>0</v>
      </c>
      <c r="L689" t="n">
        <v>0</v>
      </c>
      <c r="M689" t="n">
        <v>0</v>
      </c>
      <c r="N689" t="n">
        <v>0</v>
      </c>
      <c r="O689" t="n">
        <v>0</v>
      </c>
      <c r="P689" t="n">
        <v>0</v>
      </c>
      <c r="Q689" t="n">
        <v>0</v>
      </c>
      <c r="R689" s="2" t="inlineStr"/>
    </row>
    <row r="690" ht="15" customHeight="1">
      <c r="A690" t="inlineStr">
        <is>
          <t>A 48174-2025</t>
        </is>
      </c>
      <c r="B690" s="1" t="n">
        <v>45933.44230324074</v>
      </c>
      <c r="C690" s="1" t="n">
        <v>46045</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10215-2023</t>
        </is>
      </c>
      <c r="B691" s="1" t="n">
        <v>44986.5887962963</v>
      </c>
      <c r="C691" s="1" t="n">
        <v>46045</v>
      </c>
      <c r="D691" t="inlineStr">
        <is>
          <t>STOCKHOLMS LÄN</t>
        </is>
      </c>
      <c r="E691" t="inlineStr">
        <is>
          <t>NORRTÄLJE</t>
        </is>
      </c>
      <c r="G691" t="n">
        <v>6.5</v>
      </c>
      <c r="H691" t="n">
        <v>0</v>
      </c>
      <c r="I691" t="n">
        <v>0</v>
      </c>
      <c r="J691" t="n">
        <v>0</v>
      </c>
      <c r="K691" t="n">
        <v>0</v>
      </c>
      <c r="L691" t="n">
        <v>0</v>
      </c>
      <c r="M691" t="n">
        <v>0</v>
      </c>
      <c r="N691" t="n">
        <v>0</v>
      </c>
      <c r="O691" t="n">
        <v>0</v>
      </c>
      <c r="P691" t="n">
        <v>0</v>
      </c>
      <c r="Q691" t="n">
        <v>0</v>
      </c>
      <c r="R691" s="2" t="inlineStr"/>
    </row>
    <row r="692" ht="15" customHeight="1">
      <c r="A692" t="inlineStr">
        <is>
          <t>A 36625-2024</t>
        </is>
      </c>
      <c r="B692" s="1" t="n">
        <v>45537</v>
      </c>
      <c r="C692" s="1" t="n">
        <v>46045</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48593-2025</t>
        </is>
      </c>
      <c r="B693" s="1" t="n">
        <v>45936.4627662037</v>
      </c>
      <c r="C693" s="1" t="n">
        <v>46045</v>
      </c>
      <c r="D693" t="inlineStr">
        <is>
          <t>STOCKHOLMS LÄN</t>
        </is>
      </c>
      <c r="E693" t="inlineStr">
        <is>
          <t>NORRTÄLJE</t>
        </is>
      </c>
      <c r="G693" t="n">
        <v>4.2</v>
      </c>
      <c r="H693" t="n">
        <v>0</v>
      </c>
      <c r="I693" t="n">
        <v>0</v>
      </c>
      <c r="J693" t="n">
        <v>0</v>
      </c>
      <c r="K693" t="n">
        <v>0</v>
      </c>
      <c r="L693" t="n">
        <v>0</v>
      </c>
      <c r="M693" t="n">
        <v>0</v>
      </c>
      <c r="N693" t="n">
        <v>0</v>
      </c>
      <c r="O693" t="n">
        <v>0</v>
      </c>
      <c r="P693" t="n">
        <v>0</v>
      </c>
      <c r="Q693" t="n">
        <v>0</v>
      </c>
      <c r="R693" s="2" t="inlineStr"/>
    </row>
    <row r="694" ht="15" customHeight="1">
      <c r="A694" t="inlineStr">
        <is>
          <t>A 45746-2024</t>
        </is>
      </c>
      <c r="B694" s="1" t="n">
        <v>45579</v>
      </c>
      <c r="C694" s="1" t="n">
        <v>46045</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34432-2021</t>
        </is>
      </c>
      <c r="B695" s="1" t="n">
        <v>44380.77346064815</v>
      </c>
      <c r="C695" s="1" t="n">
        <v>46045</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49129-2025</t>
        </is>
      </c>
      <c r="B696" s="1" t="n">
        <v>45937.89517361111</v>
      </c>
      <c r="C696" s="1" t="n">
        <v>46045</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19911-2025</t>
        </is>
      </c>
      <c r="B697" s="1" t="n">
        <v>45771</v>
      </c>
      <c r="C697" s="1" t="n">
        <v>46045</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48780-2025</t>
        </is>
      </c>
      <c r="B698" s="1" t="n">
        <v>45937.30377314815</v>
      </c>
      <c r="C698" s="1" t="n">
        <v>46045</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8400-2024</t>
        </is>
      </c>
      <c r="B699" s="1" t="n">
        <v>45352.74090277778</v>
      </c>
      <c r="C699" s="1" t="n">
        <v>46045</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2182-2022</t>
        </is>
      </c>
      <c r="B700" s="1" t="n">
        <v>44578</v>
      </c>
      <c r="C700" s="1" t="n">
        <v>46045</v>
      </c>
      <c r="D700" t="inlineStr">
        <is>
          <t>STOCKHOLMS LÄN</t>
        </is>
      </c>
      <c r="E700" t="inlineStr">
        <is>
          <t>NORRTÄLJE</t>
        </is>
      </c>
      <c r="G700" t="n">
        <v>7.2</v>
      </c>
      <c r="H700" t="n">
        <v>0</v>
      </c>
      <c r="I700" t="n">
        <v>0</v>
      </c>
      <c r="J700" t="n">
        <v>0</v>
      </c>
      <c r="K700" t="n">
        <v>0</v>
      </c>
      <c r="L700" t="n">
        <v>0</v>
      </c>
      <c r="M700" t="n">
        <v>0</v>
      </c>
      <c r="N700" t="n">
        <v>0</v>
      </c>
      <c r="O700" t="n">
        <v>0</v>
      </c>
      <c r="P700" t="n">
        <v>0</v>
      </c>
      <c r="Q700" t="n">
        <v>0</v>
      </c>
      <c r="R700" s="2" t="inlineStr"/>
    </row>
    <row r="701" ht="15" customHeight="1">
      <c r="A701" t="inlineStr">
        <is>
          <t>A 14127-2025</t>
        </is>
      </c>
      <c r="B701" s="1" t="n">
        <v>45740.47055555556</v>
      </c>
      <c r="C701" s="1" t="n">
        <v>46045</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16620-2024</t>
        </is>
      </c>
      <c r="B702" s="1" t="n">
        <v>45408.57707175926</v>
      </c>
      <c r="C702" s="1" t="n">
        <v>46045</v>
      </c>
      <c r="D702" t="inlineStr">
        <is>
          <t>STOCKHOLMS LÄN</t>
        </is>
      </c>
      <c r="E702" t="inlineStr">
        <is>
          <t>NORRTÄLJE</t>
        </is>
      </c>
      <c r="G702" t="n">
        <v>2.7</v>
      </c>
      <c r="H702" t="n">
        <v>0</v>
      </c>
      <c r="I702" t="n">
        <v>0</v>
      </c>
      <c r="J702" t="n">
        <v>0</v>
      </c>
      <c r="K702" t="n">
        <v>0</v>
      </c>
      <c r="L702" t="n">
        <v>0</v>
      </c>
      <c r="M702" t="n">
        <v>0</v>
      </c>
      <c r="N702" t="n">
        <v>0</v>
      </c>
      <c r="O702" t="n">
        <v>0</v>
      </c>
      <c r="P702" t="n">
        <v>0</v>
      </c>
      <c r="Q702" t="n">
        <v>0</v>
      </c>
      <c r="R702" s="2" t="inlineStr"/>
    </row>
    <row r="703" ht="15" customHeight="1">
      <c r="A703" t="inlineStr">
        <is>
          <t>A 31559-2022</t>
        </is>
      </c>
      <c r="B703" s="1" t="n">
        <v>44775</v>
      </c>
      <c r="C703" s="1" t="n">
        <v>46045</v>
      </c>
      <c r="D703" t="inlineStr">
        <is>
          <t>STOCKHOLMS LÄN</t>
        </is>
      </c>
      <c r="E703" t="inlineStr">
        <is>
          <t>NORRTÄLJE</t>
        </is>
      </c>
      <c r="G703" t="n">
        <v>5.6</v>
      </c>
      <c r="H703" t="n">
        <v>0</v>
      </c>
      <c r="I703" t="n">
        <v>0</v>
      </c>
      <c r="J703" t="n">
        <v>0</v>
      </c>
      <c r="K703" t="n">
        <v>0</v>
      </c>
      <c r="L703" t="n">
        <v>0</v>
      </c>
      <c r="M703" t="n">
        <v>0</v>
      </c>
      <c r="N703" t="n">
        <v>0</v>
      </c>
      <c r="O703" t="n">
        <v>0</v>
      </c>
      <c r="P703" t="n">
        <v>0</v>
      </c>
      <c r="Q703" t="n">
        <v>0</v>
      </c>
      <c r="R703" s="2" t="inlineStr"/>
    </row>
    <row r="704" ht="15" customHeight="1">
      <c r="A704" t="inlineStr">
        <is>
          <t>A 52001-2023</t>
        </is>
      </c>
      <c r="B704" s="1" t="n">
        <v>45223</v>
      </c>
      <c r="C704" s="1" t="n">
        <v>46045</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22416-2025</t>
        </is>
      </c>
      <c r="B705" s="1" t="n">
        <v>45786.55645833333</v>
      </c>
      <c r="C705" s="1" t="n">
        <v>46045</v>
      </c>
      <c r="D705" t="inlineStr">
        <is>
          <t>STOCKHOLMS LÄN</t>
        </is>
      </c>
      <c r="E705" t="inlineStr">
        <is>
          <t>NORRTÄLJE</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58785-2024</t>
        </is>
      </c>
      <c r="B706" s="1" t="n">
        <v>45635.88849537037</v>
      </c>
      <c r="C706" s="1" t="n">
        <v>46045</v>
      </c>
      <c r="D706" t="inlineStr">
        <is>
          <t>STOCKHOLMS LÄN</t>
        </is>
      </c>
      <c r="E706" t="inlineStr">
        <is>
          <t>NORRTÄLJE</t>
        </is>
      </c>
      <c r="G706" t="n">
        <v>3.3</v>
      </c>
      <c r="H706" t="n">
        <v>0</v>
      </c>
      <c r="I706" t="n">
        <v>0</v>
      </c>
      <c r="J706" t="n">
        <v>0</v>
      </c>
      <c r="K706" t="n">
        <v>0</v>
      </c>
      <c r="L706" t="n">
        <v>0</v>
      </c>
      <c r="M706" t="n">
        <v>0</v>
      </c>
      <c r="N706" t="n">
        <v>0</v>
      </c>
      <c r="O706" t="n">
        <v>0</v>
      </c>
      <c r="P706" t="n">
        <v>0</v>
      </c>
      <c r="Q706" t="n">
        <v>0</v>
      </c>
      <c r="R706" s="2" t="inlineStr"/>
    </row>
    <row r="707" ht="15" customHeight="1">
      <c r="A707" t="inlineStr">
        <is>
          <t>A 49836-2025</t>
        </is>
      </c>
      <c r="B707" s="1" t="n">
        <v>45940.46862268518</v>
      </c>
      <c r="C707" s="1" t="n">
        <v>46045</v>
      </c>
      <c r="D707" t="inlineStr">
        <is>
          <t>STOCKHOLMS LÄN</t>
        </is>
      </c>
      <c r="E707" t="inlineStr">
        <is>
          <t>NORRTÄLJE</t>
        </is>
      </c>
      <c r="G707" t="n">
        <v>3.5</v>
      </c>
      <c r="H707" t="n">
        <v>0</v>
      </c>
      <c r="I707" t="n">
        <v>0</v>
      </c>
      <c r="J707" t="n">
        <v>0</v>
      </c>
      <c r="K707" t="n">
        <v>0</v>
      </c>
      <c r="L707" t="n">
        <v>0</v>
      </c>
      <c r="M707" t="n">
        <v>0</v>
      </c>
      <c r="N707" t="n">
        <v>0</v>
      </c>
      <c r="O707" t="n">
        <v>0</v>
      </c>
      <c r="P707" t="n">
        <v>0</v>
      </c>
      <c r="Q707" t="n">
        <v>0</v>
      </c>
      <c r="R707" s="2" t="inlineStr"/>
    </row>
    <row r="708" ht="15" customHeight="1">
      <c r="A708" t="inlineStr">
        <is>
          <t>A 14130-2025</t>
        </is>
      </c>
      <c r="B708" s="1" t="n">
        <v>45740.47288194444</v>
      </c>
      <c r="C708" s="1" t="n">
        <v>46045</v>
      </c>
      <c r="D708" t="inlineStr">
        <is>
          <t>STOCKHOLMS LÄN</t>
        </is>
      </c>
      <c r="E708" t="inlineStr">
        <is>
          <t>NORRTÄLJE</t>
        </is>
      </c>
      <c r="G708" t="n">
        <v>2.1</v>
      </c>
      <c r="H708" t="n">
        <v>0</v>
      </c>
      <c r="I708" t="n">
        <v>0</v>
      </c>
      <c r="J708" t="n">
        <v>0</v>
      </c>
      <c r="K708" t="n">
        <v>0</v>
      </c>
      <c r="L708" t="n">
        <v>0</v>
      </c>
      <c r="M708" t="n">
        <v>0</v>
      </c>
      <c r="N708" t="n">
        <v>0</v>
      </c>
      <c r="O708" t="n">
        <v>0</v>
      </c>
      <c r="P708" t="n">
        <v>0</v>
      </c>
      <c r="Q708" t="n">
        <v>0</v>
      </c>
      <c r="R708" s="2" t="inlineStr"/>
    </row>
    <row r="709" ht="15" customHeight="1">
      <c r="A709" t="inlineStr">
        <is>
          <t>A 12532-2025</t>
        </is>
      </c>
      <c r="B709" s="1" t="n">
        <v>45730.69143518519</v>
      </c>
      <c r="C709" s="1" t="n">
        <v>46045</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50097-2025</t>
        </is>
      </c>
      <c r="B710" s="1" t="n">
        <v>45943.50207175926</v>
      </c>
      <c r="C710" s="1" t="n">
        <v>46045</v>
      </c>
      <c r="D710" t="inlineStr">
        <is>
          <t>STOCKHOLMS LÄN</t>
        </is>
      </c>
      <c r="E710" t="inlineStr">
        <is>
          <t>NORRTÄLJE</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50333-2025</t>
        </is>
      </c>
      <c r="B711" s="1" t="n">
        <v>45944.47178240741</v>
      </c>
      <c r="C711" s="1" t="n">
        <v>46045</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40175-2024</t>
        </is>
      </c>
      <c r="B712" s="1" t="n">
        <v>45554.55707175926</v>
      </c>
      <c r="C712" s="1" t="n">
        <v>46045</v>
      </c>
      <c r="D712" t="inlineStr">
        <is>
          <t>STOCKHOLMS LÄN</t>
        </is>
      </c>
      <c r="E712" t="inlineStr">
        <is>
          <t>NORRTÄLJE</t>
        </is>
      </c>
      <c r="G712" t="n">
        <v>7.7</v>
      </c>
      <c r="H712" t="n">
        <v>0</v>
      </c>
      <c r="I712" t="n">
        <v>0</v>
      </c>
      <c r="J712" t="n">
        <v>0</v>
      </c>
      <c r="K712" t="n">
        <v>0</v>
      </c>
      <c r="L712" t="n">
        <v>0</v>
      </c>
      <c r="M712" t="n">
        <v>0</v>
      </c>
      <c r="N712" t="n">
        <v>0</v>
      </c>
      <c r="O712" t="n">
        <v>0</v>
      </c>
      <c r="P712" t="n">
        <v>0</v>
      </c>
      <c r="Q712" t="n">
        <v>0</v>
      </c>
      <c r="R712" s="2" t="inlineStr"/>
    </row>
    <row r="713" ht="15" customHeight="1">
      <c r="A713" t="inlineStr">
        <is>
          <t>A 50563-2025</t>
        </is>
      </c>
      <c r="B713" s="1" t="n">
        <v>45944</v>
      </c>
      <c r="C713" s="1" t="n">
        <v>46045</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50327-2025</t>
        </is>
      </c>
      <c r="B714" s="1" t="n">
        <v>45944.46387731482</v>
      </c>
      <c r="C714" s="1" t="n">
        <v>46045</v>
      </c>
      <c r="D714" t="inlineStr">
        <is>
          <t>STOCKHOLMS LÄN</t>
        </is>
      </c>
      <c r="E714" t="inlineStr">
        <is>
          <t>NORRTÄLJE</t>
        </is>
      </c>
      <c r="G714" t="n">
        <v>0.3</v>
      </c>
      <c r="H714" t="n">
        <v>0</v>
      </c>
      <c r="I714" t="n">
        <v>0</v>
      </c>
      <c r="J714" t="n">
        <v>0</v>
      </c>
      <c r="K714" t="n">
        <v>0</v>
      </c>
      <c r="L714" t="n">
        <v>0</v>
      </c>
      <c r="M714" t="n">
        <v>0</v>
      </c>
      <c r="N714" t="n">
        <v>0</v>
      </c>
      <c r="O714" t="n">
        <v>0</v>
      </c>
      <c r="P714" t="n">
        <v>0</v>
      </c>
      <c r="Q714" t="n">
        <v>0</v>
      </c>
      <c r="R714" s="2" t="inlineStr"/>
    </row>
    <row r="715" ht="15" customHeight="1">
      <c r="A715" t="inlineStr">
        <is>
          <t>A 16229-2022</t>
        </is>
      </c>
      <c r="B715" s="1" t="n">
        <v>44670.4190162037</v>
      </c>
      <c r="C715" s="1" t="n">
        <v>46045</v>
      </c>
      <c r="D715" t="inlineStr">
        <is>
          <t>STOCKHOLMS LÄN</t>
        </is>
      </c>
      <c r="E715" t="inlineStr">
        <is>
          <t>NORRTÄLJE</t>
        </is>
      </c>
      <c r="G715" t="n">
        <v>7.4</v>
      </c>
      <c r="H715" t="n">
        <v>0</v>
      </c>
      <c r="I715" t="n">
        <v>0</v>
      </c>
      <c r="J715" t="n">
        <v>0</v>
      </c>
      <c r="K715" t="n">
        <v>0</v>
      </c>
      <c r="L715" t="n">
        <v>0</v>
      </c>
      <c r="M715" t="n">
        <v>0</v>
      </c>
      <c r="N715" t="n">
        <v>0</v>
      </c>
      <c r="O715" t="n">
        <v>0</v>
      </c>
      <c r="P715" t="n">
        <v>0</v>
      </c>
      <c r="Q715" t="n">
        <v>0</v>
      </c>
      <c r="R715" s="2" t="inlineStr"/>
    </row>
    <row r="716" ht="15" customHeight="1">
      <c r="A716" t="inlineStr">
        <is>
          <t>A 62998-2023</t>
        </is>
      </c>
      <c r="B716" s="1" t="n">
        <v>45272.64479166667</v>
      </c>
      <c r="C716" s="1" t="n">
        <v>46045</v>
      </c>
      <c r="D716" t="inlineStr">
        <is>
          <t>STOCKHOLMS LÄN</t>
        </is>
      </c>
      <c r="E716" t="inlineStr">
        <is>
          <t>NORRTÄLJE</t>
        </is>
      </c>
      <c r="G716" t="n">
        <v>16.3</v>
      </c>
      <c r="H716" t="n">
        <v>0</v>
      </c>
      <c r="I716" t="n">
        <v>0</v>
      </c>
      <c r="J716" t="n">
        <v>0</v>
      </c>
      <c r="K716" t="n">
        <v>0</v>
      </c>
      <c r="L716" t="n">
        <v>0</v>
      </c>
      <c r="M716" t="n">
        <v>0</v>
      </c>
      <c r="N716" t="n">
        <v>0</v>
      </c>
      <c r="O716" t="n">
        <v>0</v>
      </c>
      <c r="P716" t="n">
        <v>0</v>
      </c>
      <c r="Q716" t="n">
        <v>0</v>
      </c>
      <c r="R716" s="2" t="inlineStr"/>
    </row>
    <row r="717" ht="15" customHeight="1">
      <c r="A717" t="inlineStr">
        <is>
          <t>A 63015-2023</t>
        </is>
      </c>
      <c r="B717" s="1" t="n">
        <v>45272</v>
      </c>
      <c r="C717" s="1" t="n">
        <v>46045</v>
      </c>
      <c r="D717" t="inlineStr">
        <is>
          <t>STOCKHOLMS LÄN</t>
        </is>
      </c>
      <c r="E717" t="inlineStr">
        <is>
          <t>NORRTÄLJE</t>
        </is>
      </c>
      <c r="G717" t="n">
        <v>13.1</v>
      </c>
      <c r="H717" t="n">
        <v>0</v>
      </c>
      <c r="I717" t="n">
        <v>0</v>
      </c>
      <c r="J717" t="n">
        <v>0</v>
      </c>
      <c r="K717" t="n">
        <v>0</v>
      </c>
      <c r="L717" t="n">
        <v>0</v>
      </c>
      <c r="M717" t="n">
        <v>0</v>
      </c>
      <c r="N717" t="n">
        <v>0</v>
      </c>
      <c r="O717" t="n">
        <v>0</v>
      </c>
      <c r="P717" t="n">
        <v>0</v>
      </c>
      <c r="Q717" t="n">
        <v>0</v>
      </c>
      <c r="R717" s="2" t="inlineStr"/>
    </row>
    <row r="718" ht="15" customHeight="1">
      <c r="A718" t="inlineStr">
        <is>
          <t>A 12901-2024</t>
        </is>
      </c>
      <c r="B718" s="1" t="n">
        <v>45385.37922453704</v>
      </c>
      <c r="C718" s="1" t="n">
        <v>46045</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12301-2025</t>
        </is>
      </c>
      <c r="B719" s="1" t="n">
        <v>45729.7271875</v>
      </c>
      <c r="C719" s="1" t="n">
        <v>46045</v>
      </c>
      <c r="D719" t="inlineStr">
        <is>
          <t>STOCKHOLMS LÄN</t>
        </is>
      </c>
      <c r="E719" t="inlineStr">
        <is>
          <t>NORRTÄLJE</t>
        </is>
      </c>
      <c r="G719" t="n">
        <v>3.2</v>
      </c>
      <c r="H719" t="n">
        <v>0</v>
      </c>
      <c r="I719" t="n">
        <v>0</v>
      </c>
      <c r="J719" t="n">
        <v>0</v>
      </c>
      <c r="K719" t="n">
        <v>0</v>
      </c>
      <c r="L719" t="n">
        <v>0</v>
      </c>
      <c r="M719" t="n">
        <v>0</v>
      </c>
      <c r="N719" t="n">
        <v>0</v>
      </c>
      <c r="O719" t="n">
        <v>0</v>
      </c>
      <c r="P719" t="n">
        <v>0</v>
      </c>
      <c r="Q719" t="n">
        <v>0</v>
      </c>
      <c r="R719" s="2" t="inlineStr"/>
    </row>
    <row r="720" ht="15" customHeight="1">
      <c r="A720" t="inlineStr">
        <is>
          <t>A 8950-2025</t>
        </is>
      </c>
      <c r="B720" s="1" t="n">
        <v>45713</v>
      </c>
      <c r="C720" s="1" t="n">
        <v>46045</v>
      </c>
      <c r="D720" t="inlineStr">
        <is>
          <t>STOCKHOLMS LÄN</t>
        </is>
      </c>
      <c r="E720" t="inlineStr">
        <is>
          <t>NORRTÄLJE</t>
        </is>
      </c>
      <c r="F720" t="inlineStr">
        <is>
          <t>Övriga Aktiebolag</t>
        </is>
      </c>
      <c r="G720" t="n">
        <v>3.6</v>
      </c>
      <c r="H720" t="n">
        <v>0</v>
      </c>
      <c r="I720" t="n">
        <v>0</v>
      </c>
      <c r="J720" t="n">
        <v>0</v>
      </c>
      <c r="K720" t="n">
        <v>0</v>
      </c>
      <c r="L720" t="n">
        <v>0</v>
      </c>
      <c r="M720" t="n">
        <v>0</v>
      </c>
      <c r="N720" t="n">
        <v>0</v>
      </c>
      <c r="O720" t="n">
        <v>0</v>
      </c>
      <c r="P720" t="n">
        <v>0</v>
      </c>
      <c r="Q720" t="n">
        <v>0</v>
      </c>
      <c r="R720" s="2" t="inlineStr"/>
    </row>
    <row r="721" ht="15" customHeight="1">
      <c r="A721" t="inlineStr">
        <is>
          <t>A 20730-2024</t>
        </is>
      </c>
      <c r="B721" s="1" t="n">
        <v>45436</v>
      </c>
      <c r="C721" s="1" t="n">
        <v>46045</v>
      </c>
      <c r="D721" t="inlineStr">
        <is>
          <t>STOCKHOLMS LÄN</t>
        </is>
      </c>
      <c r="E721" t="inlineStr">
        <is>
          <t>NORRTÄLJE</t>
        </is>
      </c>
      <c r="G721" t="n">
        <v>7.3</v>
      </c>
      <c r="H721" t="n">
        <v>0</v>
      </c>
      <c r="I721" t="n">
        <v>0</v>
      </c>
      <c r="J721" t="n">
        <v>0</v>
      </c>
      <c r="K721" t="n">
        <v>0</v>
      </c>
      <c r="L721" t="n">
        <v>0</v>
      </c>
      <c r="M721" t="n">
        <v>0</v>
      </c>
      <c r="N721" t="n">
        <v>0</v>
      </c>
      <c r="O721" t="n">
        <v>0</v>
      </c>
      <c r="P721" t="n">
        <v>0</v>
      </c>
      <c r="Q721" t="n">
        <v>0</v>
      </c>
      <c r="R721" s="2" t="inlineStr"/>
    </row>
    <row r="722" ht="15" customHeight="1">
      <c r="A722" t="inlineStr">
        <is>
          <t>A 33175-2024</t>
        </is>
      </c>
      <c r="B722" s="1" t="n">
        <v>45518</v>
      </c>
      <c r="C722" s="1" t="n">
        <v>46045</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13283-2025</t>
        </is>
      </c>
      <c r="B723" s="1" t="n">
        <v>45735</v>
      </c>
      <c r="C723" s="1" t="n">
        <v>46045</v>
      </c>
      <c r="D723" t="inlineStr">
        <is>
          <t>STOCKHOLMS LÄN</t>
        </is>
      </c>
      <c r="E723" t="inlineStr">
        <is>
          <t>NORRTÄLJE</t>
        </is>
      </c>
      <c r="G723" t="n">
        <v>4.9</v>
      </c>
      <c r="H723" t="n">
        <v>0</v>
      </c>
      <c r="I723" t="n">
        <v>0</v>
      </c>
      <c r="J723" t="n">
        <v>0</v>
      </c>
      <c r="K723" t="n">
        <v>0</v>
      </c>
      <c r="L723" t="n">
        <v>0</v>
      </c>
      <c r="M723" t="n">
        <v>0</v>
      </c>
      <c r="N723" t="n">
        <v>0</v>
      </c>
      <c r="O723" t="n">
        <v>0</v>
      </c>
      <c r="P723" t="n">
        <v>0</v>
      </c>
      <c r="Q723" t="n">
        <v>0</v>
      </c>
      <c r="R723" s="2" t="inlineStr"/>
    </row>
    <row r="724" ht="15" customHeight="1">
      <c r="A724" t="inlineStr">
        <is>
          <t>A 46914-2022</t>
        </is>
      </c>
      <c r="B724" s="1" t="n">
        <v>44851</v>
      </c>
      <c r="C724" s="1" t="n">
        <v>46045</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27831-2024</t>
        </is>
      </c>
      <c r="B725" s="1" t="n">
        <v>45475.61896990741</v>
      </c>
      <c r="C725" s="1" t="n">
        <v>46045</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51240-2025</t>
        </is>
      </c>
      <c r="B726" s="1" t="n">
        <v>45947.70420138889</v>
      </c>
      <c r="C726" s="1" t="n">
        <v>46045</v>
      </c>
      <c r="D726" t="inlineStr">
        <is>
          <t>STOCKHOLMS LÄN</t>
        </is>
      </c>
      <c r="E726" t="inlineStr">
        <is>
          <t>NORRTÄLJE</t>
        </is>
      </c>
      <c r="F726" t="inlineStr">
        <is>
          <t>Naturvårdsverket</t>
        </is>
      </c>
      <c r="G726" t="n">
        <v>3</v>
      </c>
      <c r="H726" t="n">
        <v>0</v>
      </c>
      <c r="I726" t="n">
        <v>0</v>
      </c>
      <c r="J726" t="n">
        <v>0</v>
      </c>
      <c r="K726" t="n">
        <v>0</v>
      </c>
      <c r="L726" t="n">
        <v>0</v>
      </c>
      <c r="M726" t="n">
        <v>0</v>
      </c>
      <c r="N726" t="n">
        <v>0</v>
      </c>
      <c r="O726" t="n">
        <v>0</v>
      </c>
      <c r="P726" t="n">
        <v>0</v>
      </c>
      <c r="Q726" t="n">
        <v>0</v>
      </c>
      <c r="R726" s="2" t="inlineStr"/>
    </row>
    <row r="727" ht="15" customHeight="1">
      <c r="A727" t="inlineStr">
        <is>
          <t>A 59477-2025</t>
        </is>
      </c>
      <c r="B727" s="1" t="n">
        <v>45989.58679398148</v>
      </c>
      <c r="C727" s="1" t="n">
        <v>46045</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51121-2025</t>
        </is>
      </c>
      <c r="B728" s="1" t="n">
        <v>45947.53293981482</v>
      </c>
      <c r="C728" s="1" t="n">
        <v>46045</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20244-2025</t>
        </is>
      </c>
      <c r="B729" s="1" t="n">
        <v>45772.71221064815</v>
      </c>
      <c r="C729" s="1" t="n">
        <v>46045</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50143-2023</t>
        </is>
      </c>
      <c r="B730" s="1" t="n">
        <v>45215</v>
      </c>
      <c r="C730" s="1" t="n">
        <v>46045</v>
      </c>
      <c r="D730" t="inlineStr">
        <is>
          <t>STOCKHOLMS LÄN</t>
        </is>
      </c>
      <c r="E730" t="inlineStr">
        <is>
          <t>NORRTÄLJE</t>
        </is>
      </c>
      <c r="G730" t="n">
        <v>10.3</v>
      </c>
      <c r="H730" t="n">
        <v>0</v>
      </c>
      <c r="I730" t="n">
        <v>0</v>
      </c>
      <c r="J730" t="n">
        <v>0</v>
      </c>
      <c r="K730" t="n">
        <v>0</v>
      </c>
      <c r="L730" t="n">
        <v>0</v>
      </c>
      <c r="M730" t="n">
        <v>0</v>
      </c>
      <c r="N730" t="n">
        <v>0</v>
      </c>
      <c r="O730" t="n">
        <v>0</v>
      </c>
      <c r="P730" t="n">
        <v>0</v>
      </c>
      <c r="Q730" t="n">
        <v>0</v>
      </c>
      <c r="R730" s="2" t="inlineStr"/>
    </row>
    <row r="731" ht="15" customHeight="1">
      <c r="A731" t="inlineStr">
        <is>
          <t>A 51532-2025</t>
        </is>
      </c>
      <c r="B731" s="1" t="n">
        <v>45950.68297453703</v>
      </c>
      <c r="C731" s="1" t="n">
        <v>46045</v>
      </c>
      <c r="D731" t="inlineStr">
        <is>
          <t>STOCKHOLMS LÄN</t>
        </is>
      </c>
      <c r="E731" t="inlineStr">
        <is>
          <t>NORRTÄLJE</t>
        </is>
      </c>
      <c r="F731" t="inlineStr">
        <is>
          <t>Naturvårdsverket</t>
        </is>
      </c>
      <c r="G731" t="n">
        <v>17.3</v>
      </c>
      <c r="H731" t="n">
        <v>0</v>
      </c>
      <c r="I731" t="n">
        <v>0</v>
      </c>
      <c r="J731" t="n">
        <v>0</v>
      </c>
      <c r="K731" t="n">
        <v>0</v>
      </c>
      <c r="L731" t="n">
        <v>0</v>
      </c>
      <c r="M731" t="n">
        <v>0</v>
      </c>
      <c r="N731" t="n">
        <v>0</v>
      </c>
      <c r="O731" t="n">
        <v>0</v>
      </c>
      <c r="P731" t="n">
        <v>0</v>
      </c>
      <c r="Q731" t="n">
        <v>0</v>
      </c>
      <c r="R731" s="2" t="inlineStr"/>
    </row>
    <row r="732" ht="15" customHeight="1">
      <c r="A732" t="inlineStr">
        <is>
          <t>A 21803-2022</t>
        </is>
      </c>
      <c r="B732" s="1" t="n">
        <v>44708.67822916667</v>
      </c>
      <c r="C732" s="1" t="n">
        <v>46045</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24687-2025</t>
        </is>
      </c>
      <c r="B733" s="1" t="n">
        <v>45798.66767361111</v>
      </c>
      <c r="C733" s="1" t="n">
        <v>46045</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51233-2025</t>
        </is>
      </c>
      <c r="B734" s="1" t="n">
        <v>45947.68232638889</v>
      </c>
      <c r="C734" s="1" t="n">
        <v>46045</v>
      </c>
      <c r="D734" t="inlineStr">
        <is>
          <t>STOCKHOLMS LÄN</t>
        </is>
      </c>
      <c r="E734" t="inlineStr">
        <is>
          <t>NORRTÄLJE</t>
        </is>
      </c>
      <c r="F734" t="inlineStr">
        <is>
          <t>Naturvårdsverket</t>
        </is>
      </c>
      <c r="G734" t="n">
        <v>8.1</v>
      </c>
      <c r="H734" t="n">
        <v>0</v>
      </c>
      <c r="I734" t="n">
        <v>0</v>
      </c>
      <c r="J734" t="n">
        <v>0</v>
      </c>
      <c r="K734" t="n">
        <v>0</v>
      </c>
      <c r="L734" t="n">
        <v>0</v>
      </c>
      <c r="M734" t="n">
        <v>0</v>
      </c>
      <c r="N734" t="n">
        <v>0</v>
      </c>
      <c r="O734" t="n">
        <v>0</v>
      </c>
      <c r="P734" t="n">
        <v>0</v>
      </c>
      <c r="Q734" t="n">
        <v>0</v>
      </c>
      <c r="R734" s="2" t="inlineStr"/>
    </row>
    <row r="735" ht="15" customHeight="1">
      <c r="A735" t="inlineStr">
        <is>
          <t>A 51236-2025</t>
        </is>
      </c>
      <c r="B735" s="1" t="n">
        <v>45947.69078703703</v>
      </c>
      <c r="C735" s="1" t="n">
        <v>46045</v>
      </c>
      <c r="D735" t="inlineStr">
        <is>
          <t>STOCKHOLMS LÄN</t>
        </is>
      </c>
      <c r="E735" t="inlineStr">
        <is>
          <t>NORRTÄLJE</t>
        </is>
      </c>
      <c r="F735" t="inlineStr">
        <is>
          <t>Naturvårdsverket</t>
        </is>
      </c>
      <c r="G735" t="n">
        <v>6.3</v>
      </c>
      <c r="H735" t="n">
        <v>0</v>
      </c>
      <c r="I735" t="n">
        <v>0</v>
      </c>
      <c r="J735" t="n">
        <v>0</v>
      </c>
      <c r="K735" t="n">
        <v>0</v>
      </c>
      <c r="L735" t="n">
        <v>0</v>
      </c>
      <c r="M735" t="n">
        <v>0</v>
      </c>
      <c r="N735" t="n">
        <v>0</v>
      </c>
      <c r="O735" t="n">
        <v>0</v>
      </c>
      <c r="P735" t="n">
        <v>0</v>
      </c>
      <c r="Q735" t="n">
        <v>0</v>
      </c>
      <c r="R735" s="2" t="inlineStr"/>
    </row>
    <row r="736" ht="15" customHeight="1">
      <c r="A736" t="inlineStr">
        <is>
          <t>A 51241-2025</t>
        </is>
      </c>
      <c r="B736" s="1" t="n">
        <v>45947.71726851852</v>
      </c>
      <c r="C736" s="1" t="n">
        <v>46045</v>
      </c>
      <c r="D736" t="inlineStr">
        <is>
          <t>STOCKHOLMS LÄN</t>
        </is>
      </c>
      <c r="E736" t="inlineStr">
        <is>
          <t>NORRTÄLJE</t>
        </is>
      </c>
      <c r="F736" t="inlineStr">
        <is>
          <t>Naturvårdsverket</t>
        </is>
      </c>
      <c r="G736" t="n">
        <v>6.4</v>
      </c>
      <c r="H736" t="n">
        <v>0</v>
      </c>
      <c r="I736" t="n">
        <v>0</v>
      </c>
      <c r="J736" t="n">
        <v>0</v>
      </c>
      <c r="K736" t="n">
        <v>0</v>
      </c>
      <c r="L736" t="n">
        <v>0</v>
      </c>
      <c r="M736" t="n">
        <v>0</v>
      </c>
      <c r="N736" t="n">
        <v>0</v>
      </c>
      <c r="O736" t="n">
        <v>0</v>
      </c>
      <c r="P736" t="n">
        <v>0</v>
      </c>
      <c r="Q736" t="n">
        <v>0</v>
      </c>
      <c r="R736" s="2" t="inlineStr"/>
    </row>
    <row r="737" ht="15" customHeight="1">
      <c r="A737" t="inlineStr">
        <is>
          <t>A 51122-2025</t>
        </is>
      </c>
      <c r="B737" s="1" t="n">
        <v>45947.53693287037</v>
      </c>
      <c r="C737" s="1" t="n">
        <v>46045</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20015-2023</t>
        </is>
      </c>
      <c r="B738" s="1" t="n">
        <v>45054</v>
      </c>
      <c r="C738" s="1" t="n">
        <v>46045</v>
      </c>
      <c r="D738" t="inlineStr">
        <is>
          <t>STOCKHOLMS LÄN</t>
        </is>
      </c>
      <c r="E738" t="inlineStr">
        <is>
          <t>NORRTÄLJE</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24690-2025</t>
        </is>
      </c>
      <c r="B739" s="1" t="n">
        <v>45798.67082175926</v>
      </c>
      <c r="C739" s="1" t="n">
        <v>46045</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24638-2025</t>
        </is>
      </c>
      <c r="B740" s="1" t="n">
        <v>45798</v>
      </c>
      <c r="C740" s="1" t="n">
        <v>46045</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24351-2025</t>
        </is>
      </c>
      <c r="B741" s="1" t="n">
        <v>45797.58399305555</v>
      </c>
      <c r="C741" s="1" t="n">
        <v>46045</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5027-2025</t>
        </is>
      </c>
      <c r="B742" s="1" t="n">
        <v>45691.41101851852</v>
      </c>
      <c r="C742" s="1" t="n">
        <v>46045</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51945-2025</t>
        </is>
      </c>
      <c r="B743" s="1" t="n">
        <v>45952.52679398148</v>
      </c>
      <c r="C743" s="1" t="n">
        <v>46045</v>
      </c>
      <c r="D743" t="inlineStr">
        <is>
          <t>STOCKHOLMS LÄN</t>
        </is>
      </c>
      <c r="E743" t="inlineStr">
        <is>
          <t>NORRTÄLJE</t>
        </is>
      </c>
      <c r="G743" t="n">
        <v>7</v>
      </c>
      <c r="H743" t="n">
        <v>0</v>
      </c>
      <c r="I743" t="n">
        <v>0</v>
      </c>
      <c r="J743" t="n">
        <v>0</v>
      </c>
      <c r="K743" t="n">
        <v>0</v>
      </c>
      <c r="L743" t="n">
        <v>0</v>
      </c>
      <c r="M743" t="n">
        <v>0</v>
      </c>
      <c r="N743" t="n">
        <v>0</v>
      </c>
      <c r="O743" t="n">
        <v>0</v>
      </c>
      <c r="P743" t="n">
        <v>0</v>
      </c>
      <c r="Q743" t="n">
        <v>0</v>
      </c>
      <c r="R743" s="2" t="inlineStr"/>
    </row>
    <row r="744" ht="15" customHeight="1">
      <c r="A744" t="inlineStr">
        <is>
          <t>A 51941-2025</t>
        </is>
      </c>
      <c r="B744" s="1" t="n">
        <v>45952.52261574074</v>
      </c>
      <c r="C744" s="1" t="n">
        <v>46045</v>
      </c>
      <c r="D744" t="inlineStr">
        <is>
          <t>STOCKHOLMS LÄN</t>
        </is>
      </c>
      <c r="E744" t="inlineStr">
        <is>
          <t>NORRTÄLJE</t>
        </is>
      </c>
      <c r="G744" t="n">
        <v>1.1</v>
      </c>
      <c r="H744" t="n">
        <v>0</v>
      </c>
      <c r="I744" t="n">
        <v>0</v>
      </c>
      <c r="J744" t="n">
        <v>0</v>
      </c>
      <c r="K744" t="n">
        <v>0</v>
      </c>
      <c r="L744" t="n">
        <v>0</v>
      </c>
      <c r="M744" t="n">
        <v>0</v>
      </c>
      <c r="N744" t="n">
        <v>0</v>
      </c>
      <c r="O744" t="n">
        <v>0</v>
      </c>
      <c r="P744" t="n">
        <v>0</v>
      </c>
      <c r="Q744" t="n">
        <v>0</v>
      </c>
      <c r="R744" s="2" t="inlineStr"/>
    </row>
    <row r="745" ht="15" customHeight="1">
      <c r="A745" t="inlineStr">
        <is>
          <t>A 52061-2025</t>
        </is>
      </c>
      <c r="B745" s="1" t="n">
        <v>45952.63679398148</v>
      </c>
      <c r="C745" s="1" t="n">
        <v>46045</v>
      </c>
      <c r="D745" t="inlineStr">
        <is>
          <t>STOCKHOLMS LÄN</t>
        </is>
      </c>
      <c r="E745" t="inlineStr">
        <is>
          <t>NORRTÄLJE</t>
        </is>
      </c>
      <c r="G745" t="n">
        <v>9.5</v>
      </c>
      <c r="H745" t="n">
        <v>0</v>
      </c>
      <c r="I745" t="n">
        <v>0</v>
      </c>
      <c r="J745" t="n">
        <v>0</v>
      </c>
      <c r="K745" t="n">
        <v>0</v>
      </c>
      <c r="L745" t="n">
        <v>0</v>
      </c>
      <c r="M745" t="n">
        <v>0</v>
      </c>
      <c r="N745" t="n">
        <v>0</v>
      </c>
      <c r="O745" t="n">
        <v>0</v>
      </c>
      <c r="P745" t="n">
        <v>0</v>
      </c>
      <c r="Q745" t="n">
        <v>0</v>
      </c>
      <c r="R745" s="2" t="inlineStr"/>
    </row>
    <row r="746" ht="15" customHeight="1">
      <c r="A746" t="inlineStr">
        <is>
          <t>A 51960-2025</t>
        </is>
      </c>
      <c r="B746" s="1" t="n">
        <v>45952.54755787037</v>
      </c>
      <c r="C746" s="1" t="n">
        <v>46045</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51789-2025</t>
        </is>
      </c>
      <c r="B747" s="1" t="n">
        <v>45951.68046296296</v>
      </c>
      <c r="C747" s="1" t="n">
        <v>46045</v>
      </c>
      <c r="D747" t="inlineStr">
        <is>
          <t>STOCKHOLMS LÄN</t>
        </is>
      </c>
      <c r="E747" t="inlineStr">
        <is>
          <t>NORRTÄLJE</t>
        </is>
      </c>
      <c r="F747" t="inlineStr">
        <is>
          <t>Naturvårdsverket</t>
        </is>
      </c>
      <c r="G747" t="n">
        <v>8.9</v>
      </c>
      <c r="H747" t="n">
        <v>0</v>
      </c>
      <c r="I747" t="n">
        <v>0</v>
      </c>
      <c r="J747" t="n">
        <v>0</v>
      </c>
      <c r="K747" t="n">
        <v>0</v>
      </c>
      <c r="L747" t="n">
        <v>0</v>
      </c>
      <c r="M747" t="n">
        <v>0</v>
      </c>
      <c r="N747" t="n">
        <v>0</v>
      </c>
      <c r="O747" t="n">
        <v>0</v>
      </c>
      <c r="P747" t="n">
        <v>0</v>
      </c>
      <c r="Q747" t="n">
        <v>0</v>
      </c>
      <c r="R747" s="2" t="inlineStr"/>
    </row>
    <row r="748" ht="15" customHeight="1">
      <c r="A748" t="inlineStr">
        <is>
          <t>A 52529-2025</t>
        </is>
      </c>
      <c r="B748" s="1" t="n">
        <v>45954.53229166667</v>
      </c>
      <c r="C748" s="1" t="n">
        <v>46045</v>
      </c>
      <c r="D748" t="inlineStr">
        <is>
          <t>STOCKHOLMS LÄN</t>
        </is>
      </c>
      <c r="E748" t="inlineStr">
        <is>
          <t>NORRTÄLJE</t>
        </is>
      </c>
      <c r="F748" t="inlineStr">
        <is>
          <t>Sveaskog</t>
        </is>
      </c>
      <c r="G748" t="n">
        <v>7.8</v>
      </c>
      <c r="H748" t="n">
        <v>0</v>
      </c>
      <c r="I748" t="n">
        <v>0</v>
      </c>
      <c r="J748" t="n">
        <v>0</v>
      </c>
      <c r="K748" t="n">
        <v>0</v>
      </c>
      <c r="L748" t="n">
        <v>0</v>
      </c>
      <c r="M748" t="n">
        <v>0</v>
      </c>
      <c r="N748" t="n">
        <v>0</v>
      </c>
      <c r="O748" t="n">
        <v>0</v>
      </c>
      <c r="P748" t="n">
        <v>0</v>
      </c>
      <c r="Q748" t="n">
        <v>0</v>
      </c>
      <c r="R748" s="2" t="inlineStr"/>
    </row>
    <row r="749" ht="15" customHeight="1">
      <c r="A749" t="inlineStr">
        <is>
          <t>A 52251-2025</t>
        </is>
      </c>
      <c r="B749" s="1" t="n">
        <v>45953.49185185185</v>
      </c>
      <c r="C749" s="1" t="n">
        <v>46045</v>
      </c>
      <c r="D749" t="inlineStr">
        <is>
          <t>STOCKHOLMS LÄN</t>
        </is>
      </c>
      <c r="E749" t="inlineStr">
        <is>
          <t>NORRTÄLJE</t>
        </is>
      </c>
      <c r="G749" t="n">
        <v>6.2</v>
      </c>
      <c r="H749" t="n">
        <v>0</v>
      </c>
      <c r="I749" t="n">
        <v>0</v>
      </c>
      <c r="J749" t="n">
        <v>0</v>
      </c>
      <c r="K749" t="n">
        <v>0</v>
      </c>
      <c r="L749" t="n">
        <v>0</v>
      </c>
      <c r="M749" t="n">
        <v>0</v>
      </c>
      <c r="N749" t="n">
        <v>0</v>
      </c>
      <c r="O749" t="n">
        <v>0</v>
      </c>
      <c r="P749" t="n">
        <v>0</v>
      </c>
      <c r="Q749" t="n">
        <v>0</v>
      </c>
      <c r="R749" s="2" t="inlineStr"/>
    </row>
    <row r="750" ht="15" customHeight="1">
      <c r="A750" t="inlineStr">
        <is>
          <t>A 52254-2025</t>
        </is>
      </c>
      <c r="B750" s="1" t="n">
        <v>45953.49519675926</v>
      </c>
      <c r="C750" s="1" t="n">
        <v>46045</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8315-2025</t>
        </is>
      </c>
      <c r="B751" s="1" t="n">
        <v>45708.61761574074</v>
      </c>
      <c r="C751" s="1" t="n">
        <v>46045</v>
      </c>
      <c r="D751" t="inlineStr">
        <is>
          <t>STOCKHOLMS LÄN</t>
        </is>
      </c>
      <c r="E751" t="inlineStr">
        <is>
          <t>NORRTÄLJE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52526-2025</t>
        </is>
      </c>
      <c r="B752" s="1" t="n">
        <v>45954.53061342592</v>
      </c>
      <c r="C752" s="1" t="n">
        <v>46045</v>
      </c>
      <c r="D752" t="inlineStr">
        <is>
          <t>STOCKHOLMS LÄN</t>
        </is>
      </c>
      <c r="E752" t="inlineStr">
        <is>
          <t>NORRTÄLJE</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28603-2024</t>
        </is>
      </c>
      <c r="B753" s="1" t="n">
        <v>45478.42887731481</v>
      </c>
      <c r="C753" s="1" t="n">
        <v>46045</v>
      </c>
      <c r="D753" t="inlineStr">
        <is>
          <t>STOCKHOLMS LÄN</t>
        </is>
      </c>
      <c r="E753" t="inlineStr">
        <is>
          <t>NORRTÄLJE</t>
        </is>
      </c>
      <c r="G753" t="n">
        <v>5.6</v>
      </c>
      <c r="H753" t="n">
        <v>0</v>
      </c>
      <c r="I753" t="n">
        <v>0</v>
      </c>
      <c r="J753" t="n">
        <v>0</v>
      </c>
      <c r="K753" t="n">
        <v>0</v>
      </c>
      <c r="L753" t="n">
        <v>0</v>
      </c>
      <c r="M753" t="n">
        <v>0</v>
      </c>
      <c r="N753" t="n">
        <v>0</v>
      </c>
      <c r="O753" t="n">
        <v>0</v>
      </c>
      <c r="P753" t="n">
        <v>0</v>
      </c>
      <c r="Q753" t="n">
        <v>0</v>
      </c>
      <c r="R753" s="2" t="inlineStr"/>
    </row>
    <row r="754" ht="15" customHeight="1">
      <c r="A754" t="inlineStr">
        <is>
          <t>A 25702-2025</t>
        </is>
      </c>
      <c r="B754" s="1" t="n">
        <v>45800</v>
      </c>
      <c r="C754" s="1" t="n">
        <v>46045</v>
      </c>
      <c r="D754" t="inlineStr">
        <is>
          <t>STOCKHOLMS LÄN</t>
        </is>
      </c>
      <c r="E754" t="inlineStr">
        <is>
          <t>NORRTÄLJE</t>
        </is>
      </c>
      <c r="G754" t="n">
        <v>5.3</v>
      </c>
      <c r="H754" t="n">
        <v>0</v>
      </c>
      <c r="I754" t="n">
        <v>0</v>
      </c>
      <c r="J754" t="n">
        <v>0</v>
      </c>
      <c r="K754" t="n">
        <v>0</v>
      </c>
      <c r="L754" t="n">
        <v>0</v>
      </c>
      <c r="M754" t="n">
        <v>0</v>
      </c>
      <c r="N754" t="n">
        <v>0</v>
      </c>
      <c r="O754" t="n">
        <v>0</v>
      </c>
      <c r="P754" t="n">
        <v>0</v>
      </c>
      <c r="Q754" t="n">
        <v>0</v>
      </c>
      <c r="R754" s="2" t="inlineStr"/>
    </row>
    <row r="755" ht="15" customHeight="1">
      <c r="A755" t="inlineStr">
        <is>
          <t>A 25721-2025</t>
        </is>
      </c>
      <c r="B755" s="1" t="n">
        <v>45800</v>
      </c>
      <c r="C755" s="1" t="n">
        <v>46045</v>
      </c>
      <c r="D755" t="inlineStr">
        <is>
          <t>STOCKHOLMS LÄN</t>
        </is>
      </c>
      <c r="E755" t="inlineStr">
        <is>
          <t>NORRTÄLJE</t>
        </is>
      </c>
      <c r="G755" t="n">
        <v>6</v>
      </c>
      <c r="H755" t="n">
        <v>0</v>
      </c>
      <c r="I755" t="n">
        <v>0</v>
      </c>
      <c r="J755" t="n">
        <v>0</v>
      </c>
      <c r="K755" t="n">
        <v>0</v>
      </c>
      <c r="L755" t="n">
        <v>0</v>
      </c>
      <c r="M755" t="n">
        <v>0</v>
      </c>
      <c r="N755" t="n">
        <v>0</v>
      </c>
      <c r="O755" t="n">
        <v>0</v>
      </c>
      <c r="P755" t="n">
        <v>0</v>
      </c>
      <c r="Q755" t="n">
        <v>0</v>
      </c>
      <c r="R755" s="2" t="inlineStr"/>
    </row>
    <row r="756" ht="15" customHeight="1">
      <c r="A756" t="inlineStr">
        <is>
          <t>A 52729-2025</t>
        </is>
      </c>
      <c r="B756" s="1" t="n">
        <v>45957.3636574074</v>
      </c>
      <c r="C756" s="1" t="n">
        <v>46045</v>
      </c>
      <c r="D756" t="inlineStr">
        <is>
          <t>STOCKHOLMS LÄN</t>
        </is>
      </c>
      <c r="E756" t="inlineStr">
        <is>
          <t>NORRTÄLJE</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52777-2025</t>
        </is>
      </c>
      <c r="B757" s="1" t="n">
        <v>45957.41832175926</v>
      </c>
      <c r="C757" s="1" t="n">
        <v>46045</v>
      </c>
      <c r="D757" t="inlineStr">
        <is>
          <t>STOCKHOLMS LÄN</t>
        </is>
      </c>
      <c r="E757" t="inlineStr">
        <is>
          <t>NORRTÄLJE</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12251-2025</t>
        </is>
      </c>
      <c r="B758" s="1" t="n">
        <v>45729.60859953704</v>
      </c>
      <c r="C758" s="1" t="n">
        <v>46045</v>
      </c>
      <c r="D758" t="inlineStr">
        <is>
          <t>STOCKHOLMS LÄN</t>
        </is>
      </c>
      <c r="E758" t="inlineStr">
        <is>
          <t>NORRTÄLJE</t>
        </is>
      </c>
      <c r="F758" t="inlineStr">
        <is>
          <t>Holmen skog AB</t>
        </is>
      </c>
      <c r="G758" t="n">
        <v>5.9</v>
      </c>
      <c r="H758" t="n">
        <v>0</v>
      </c>
      <c r="I758" t="n">
        <v>0</v>
      </c>
      <c r="J758" t="n">
        <v>0</v>
      </c>
      <c r="K758" t="n">
        <v>0</v>
      </c>
      <c r="L758" t="n">
        <v>0</v>
      </c>
      <c r="M758" t="n">
        <v>0</v>
      </c>
      <c r="N758" t="n">
        <v>0</v>
      </c>
      <c r="O758" t="n">
        <v>0</v>
      </c>
      <c r="P758" t="n">
        <v>0</v>
      </c>
      <c r="Q758" t="n">
        <v>0</v>
      </c>
      <c r="R758" s="2" t="inlineStr"/>
    </row>
    <row r="759" ht="15" customHeight="1">
      <c r="A759" t="inlineStr">
        <is>
          <t>A 52553-2025</t>
        </is>
      </c>
      <c r="B759" s="1" t="n">
        <v>45954.5624537037</v>
      </c>
      <c r="C759" s="1" t="n">
        <v>46045</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53087-2025</t>
        </is>
      </c>
      <c r="B760" s="1" t="n">
        <v>45958.41065972222</v>
      </c>
      <c r="C760" s="1" t="n">
        <v>46045</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52704-2025</t>
        </is>
      </c>
      <c r="B761" s="1" t="n">
        <v>45956.89097222222</v>
      </c>
      <c r="C761" s="1" t="n">
        <v>46045</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25733-2025</t>
        </is>
      </c>
      <c r="B762" s="1" t="n">
        <v>45800</v>
      </c>
      <c r="C762" s="1" t="n">
        <v>46045</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52734-2025</t>
        </is>
      </c>
      <c r="B763" s="1" t="n">
        <v>45957.3710300926</v>
      </c>
      <c r="C763" s="1" t="n">
        <v>46045</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25571-2025</t>
        </is>
      </c>
      <c r="B764" s="1" t="n">
        <v>45803.4675</v>
      </c>
      <c r="C764" s="1" t="n">
        <v>46045</v>
      </c>
      <c r="D764" t="inlineStr">
        <is>
          <t>STOCKHOLMS LÄN</t>
        </is>
      </c>
      <c r="E764" t="inlineStr">
        <is>
          <t>NORRTÄLJE</t>
        </is>
      </c>
      <c r="G764" t="n">
        <v>5.4</v>
      </c>
      <c r="H764" t="n">
        <v>0</v>
      </c>
      <c r="I764" t="n">
        <v>0</v>
      </c>
      <c r="J764" t="n">
        <v>0</v>
      </c>
      <c r="K764" t="n">
        <v>0</v>
      </c>
      <c r="L764" t="n">
        <v>0</v>
      </c>
      <c r="M764" t="n">
        <v>0</v>
      </c>
      <c r="N764" t="n">
        <v>0</v>
      </c>
      <c r="O764" t="n">
        <v>0</v>
      </c>
      <c r="P764" t="n">
        <v>0</v>
      </c>
      <c r="Q764" t="n">
        <v>0</v>
      </c>
      <c r="R764" s="2" t="inlineStr"/>
    </row>
    <row r="765" ht="15" customHeight="1">
      <c r="A765" t="inlineStr">
        <is>
          <t>A 52773-2025</t>
        </is>
      </c>
      <c r="B765" s="1" t="n">
        <v>45957.41457175926</v>
      </c>
      <c r="C765" s="1" t="n">
        <v>46045</v>
      </c>
      <c r="D765" t="inlineStr">
        <is>
          <t>STOCKHOLMS LÄN</t>
        </is>
      </c>
      <c r="E765" t="inlineStr">
        <is>
          <t>NORRTÄLJE</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52776-2025</t>
        </is>
      </c>
      <c r="B766" s="1" t="n">
        <v>45957.41724537037</v>
      </c>
      <c r="C766" s="1" t="n">
        <v>46045</v>
      </c>
      <c r="D766" t="inlineStr">
        <is>
          <t>STOCKHOLMS LÄN</t>
        </is>
      </c>
      <c r="E766" t="inlineStr">
        <is>
          <t>NORRTÄLJE</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52703-2025</t>
        </is>
      </c>
      <c r="B767" s="1" t="n">
        <v>45956.88643518519</v>
      </c>
      <c r="C767" s="1" t="n">
        <v>46045</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53561-2023</t>
        </is>
      </c>
      <c r="B768" s="1" t="n">
        <v>45224</v>
      </c>
      <c r="C768" s="1" t="n">
        <v>46045</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53000-2025</t>
        </is>
      </c>
      <c r="B769" s="1" t="n">
        <v>45957.74357638889</v>
      </c>
      <c r="C769" s="1" t="n">
        <v>46045</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53115-2025</t>
        </is>
      </c>
      <c r="B770" s="1" t="n">
        <v>45958.44614583333</v>
      </c>
      <c r="C770" s="1" t="n">
        <v>46045</v>
      </c>
      <c r="D770" t="inlineStr">
        <is>
          <t>STOCKHOLMS LÄN</t>
        </is>
      </c>
      <c r="E770" t="inlineStr">
        <is>
          <t>NORRTÄLJE</t>
        </is>
      </c>
      <c r="F770" t="inlineStr">
        <is>
          <t>Kyrkan</t>
        </is>
      </c>
      <c r="G770" t="n">
        <v>2.5</v>
      </c>
      <c r="H770" t="n">
        <v>0</v>
      </c>
      <c r="I770" t="n">
        <v>0</v>
      </c>
      <c r="J770" t="n">
        <v>0</v>
      </c>
      <c r="K770" t="n">
        <v>0</v>
      </c>
      <c r="L770" t="n">
        <v>0</v>
      </c>
      <c r="M770" t="n">
        <v>0</v>
      </c>
      <c r="N770" t="n">
        <v>0</v>
      </c>
      <c r="O770" t="n">
        <v>0</v>
      </c>
      <c r="P770" t="n">
        <v>0</v>
      </c>
      <c r="Q770" t="n">
        <v>0</v>
      </c>
      <c r="R770" s="2" t="inlineStr"/>
    </row>
    <row r="771" ht="15" customHeight="1">
      <c r="A771" t="inlineStr">
        <is>
          <t>A 25712-2025</t>
        </is>
      </c>
      <c r="B771" s="1" t="n">
        <v>45803.69228009259</v>
      </c>
      <c r="C771" s="1" t="n">
        <v>46045</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41218-2024</t>
        </is>
      </c>
      <c r="B772" s="1" t="n">
        <v>45559.54706018518</v>
      </c>
      <c r="C772" s="1" t="n">
        <v>46045</v>
      </c>
      <c r="D772" t="inlineStr">
        <is>
          <t>STOCKHOLMS LÄN</t>
        </is>
      </c>
      <c r="E772" t="inlineStr">
        <is>
          <t>NORRTÄLJE</t>
        </is>
      </c>
      <c r="G772" t="n">
        <v>6</v>
      </c>
      <c r="H772" t="n">
        <v>0</v>
      </c>
      <c r="I772" t="n">
        <v>0</v>
      </c>
      <c r="J772" t="n">
        <v>0</v>
      </c>
      <c r="K772" t="n">
        <v>0</v>
      </c>
      <c r="L772" t="n">
        <v>0</v>
      </c>
      <c r="M772" t="n">
        <v>0</v>
      </c>
      <c r="N772" t="n">
        <v>0</v>
      </c>
      <c r="O772" t="n">
        <v>0</v>
      </c>
      <c r="P772" t="n">
        <v>0</v>
      </c>
      <c r="Q772" t="n">
        <v>0</v>
      </c>
      <c r="R772" s="2" t="inlineStr"/>
    </row>
    <row r="773" ht="15" customHeight="1">
      <c r="A773" t="inlineStr">
        <is>
          <t>A 26051-2025</t>
        </is>
      </c>
      <c r="B773" s="1" t="n">
        <v>45804.74479166666</v>
      </c>
      <c r="C773" s="1" t="n">
        <v>46045</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54776-2023</t>
        </is>
      </c>
      <c r="B774" s="1" t="n">
        <v>45236.46369212963</v>
      </c>
      <c r="C774" s="1" t="n">
        <v>46045</v>
      </c>
      <c r="D774" t="inlineStr">
        <is>
          <t>STOCKHOLMS LÄN</t>
        </is>
      </c>
      <c r="E774" t="inlineStr">
        <is>
          <t>NORRTÄLJE</t>
        </is>
      </c>
      <c r="G774" t="n">
        <v>0.3</v>
      </c>
      <c r="H774" t="n">
        <v>0</v>
      </c>
      <c r="I774" t="n">
        <v>0</v>
      </c>
      <c r="J774" t="n">
        <v>0</v>
      </c>
      <c r="K774" t="n">
        <v>0</v>
      </c>
      <c r="L774" t="n">
        <v>0</v>
      </c>
      <c r="M774" t="n">
        <v>0</v>
      </c>
      <c r="N774" t="n">
        <v>0</v>
      </c>
      <c r="O774" t="n">
        <v>0</v>
      </c>
      <c r="P774" t="n">
        <v>0</v>
      </c>
      <c r="Q774" t="n">
        <v>0</v>
      </c>
      <c r="R774" s="2" t="inlineStr"/>
    </row>
    <row r="775" ht="15" customHeight="1">
      <c r="A775" t="inlineStr">
        <is>
          <t>A 20144-2023</t>
        </is>
      </c>
      <c r="B775" s="1" t="n">
        <v>45055.43509259259</v>
      </c>
      <c r="C775" s="1" t="n">
        <v>46045</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39238-2024</t>
        </is>
      </c>
      <c r="B776" s="1" t="n">
        <v>45549</v>
      </c>
      <c r="C776" s="1" t="n">
        <v>46045</v>
      </c>
      <c r="D776" t="inlineStr">
        <is>
          <t>STOCKHOLMS LÄN</t>
        </is>
      </c>
      <c r="E776" t="inlineStr">
        <is>
          <t>NORRTÄLJE</t>
        </is>
      </c>
      <c r="G776" t="n">
        <v>3.6</v>
      </c>
      <c r="H776" t="n">
        <v>0</v>
      </c>
      <c r="I776" t="n">
        <v>0</v>
      </c>
      <c r="J776" t="n">
        <v>0</v>
      </c>
      <c r="K776" t="n">
        <v>0</v>
      </c>
      <c r="L776" t="n">
        <v>0</v>
      </c>
      <c r="M776" t="n">
        <v>0</v>
      </c>
      <c r="N776" t="n">
        <v>0</v>
      </c>
      <c r="O776" t="n">
        <v>0</v>
      </c>
      <c r="P776" t="n">
        <v>0</v>
      </c>
      <c r="Q776" t="n">
        <v>0</v>
      </c>
      <c r="R776" s="2" t="inlineStr"/>
    </row>
    <row r="777" ht="15" customHeight="1">
      <c r="A777" t="inlineStr">
        <is>
          <t>A 53629-2025</t>
        </is>
      </c>
      <c r="B777" s="1" t="n">
        <v>45960.49570601852</v>
      </c>
      <c r="C777" s="1" t="n">
        <v>46045</v>
      </c>
      <c r="D777" t="inlineStr">
        <is>
          <t>STOCKHOLMS LÄN</t>
        </is>
      </c>
      <c r="E777" t="inlineStr">
        <is>
          <t>NORRTÄLJE</t>
        </is>
      </c>
      <c r="F777" t="inlineStr">
        <is>
          <t>Naturvårdsverket</t>
        </is>
      </c>
      <c r="G777" t="n">
        <v>7.9</v>
      </c>
      <c r="H777" t="n">
        <v>0</v>
      </c>
      <c r="I777" t="n">
        <v>0</v>
      </c>
      <c r="J777" t="n">
        <v>0</v>
      </c>
      <c r="K777" t="n">
        <v>0</v>
      </c>
      <c r="L777" t="n">
        <v>0</v>
      </c>
      <c r="M777" t="n">
        <v>0</v>
      </c>
      <c r="N777" t="n">
        <v>0</v>
      </c>
      <c r="O777" t="n">
        <v>0</v>
      </c>
      <c r="P777" t="n">
        <v>0</v>
      </c>
      <c r="Q777" t="n">
        <v>0</v>
      </c>
      <c r="R777" s="2" t="inlineStr"/>
    </row>
    <row r="778" ht="15" customHeight="1">
      <c r="A778" t="inlineStr">
        <is>
          <t>A 38449-2022</t>
        </is>
      </c>
      <c r="B778" s="1" t="n">
        <v>44813</v>
      </c>
      <c r="C778" s="1" t="n">
        <v>46045</v>
      </c>
      <c r="D778" t="inlineStr">
        <is>
          <t>STOCKHOLMS LÄN</t>
        </is>
      </c>
      <c r="E778" t="inlineStr">
        <is>
          <t>NORRTÄLJE</t>
        </is>
      </c>
      <c r="G778" t="n">
        <v>4.2</v>
      </c>
      <c r="H778" t="n">
        <v>0</v>
      </c>
      <c r="I778" t="n">
        <v>0</v>
      </c>
      <c r="J778" t="n">
        <v>0</v>
      </c>
      <c r="K778" t="n">
        <v>0</v>
      </c>
      <c r="L778" t="n">
        <v>0</v>
      </c>
      <c r="M778" t="n">
        <v>0</v>
      </c>
      <c r="N778" t="n">
        <v>0</v>
      </c>
      <c r="O778" t="n">
        <v>0</v>
      </c>
      <c r="P778" t="n">
        <v>0</v>
      </c>
      <c r="Q778" t="n">
        <v>0</v>
      </c>
      <c r="R778" s="2" t="inlineStr"/>
    </row>
    <row r="779" ht="15" customHeight="1">
      <c r="A779" t="inlineStr">
        <is>
          <t>A 13314-2025</t>
        </is>
      </c>
      <c r="B779" s="1" t="n">
        <v>45735.59287037037</v>
      </c>
      <c r="C779" s="1" t="n">
        <v>46045</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53747-2025</t>
        </is>
      </c>
      <c r="B780" s="1" t="n">
        <v>45960.65415509259</v>
      </c>
      <c r="C780" s="1" t="n">
        <v>46045</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53299-2025</t>
        </is>
      </c>
      <c r="B781" s="1" t="n">
        <v>45959.31901620371</v>
      </c>
      <c r="C781" s="1" t="n">
        <v>46045</v>
      </c>
      <c r="D781" t="inlineStr">
        <is>
          <t>STOCKHOLMS LÄN</t>
        </is>
      </c>
      <c r="E781" t="inlineStr">
        <is>
          <t>NORRTÄLJE</t>
        </is>
      </c>
      <c r="G781" t="n">
        <v>4.8</v>
      </c>
      <c r="H781" t="n">
        <v>0</v>
      </c>
      <c r="I781" t="n">
        <v>0</v>
      </c>
      <c r="J781" t="n">
        <v>0</v>
      </c>
      <c r="K781" t="n">
        <v>0</v>
      </c>
      <c r="L781" t="n">
        <v>0</v>
      </c>
      <c r="M781" t="n">
        <v>0</v>
      </c>
      <c r="N781" t="n">
        <v>0</v>
      </c>
      <c r="O781" t="n">
        <v>0</v>
      </c>
      <c r="P781" t="n">
        <v>0</v>
      </c>
      <c r="Q781" t="n">
        <v>0</v>
      </c>
      <c r="R781" s="2" t="inlineStr"/>
    </row>
    <row r="782" ht="15" customHeight="1">
      <c r="A782" t="inlineStr">
        <is>
          <t>A 25697-2025</t>
        </is>
      </c>
      <c r="B782" s="1" t="n">
        <v>45803.66587962963</v>
      </c>
      <c r="C782" s="1" t="n">
        <v>46045</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23056-2023</t>
        </is>
      </c>
      <c r="B783" s="1" t="n">
        <v>45075</v>
      </c>
      <c r="C783" s="1" t="n">
        <v>46045</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13172-2025</t>
        </is>
      </c>
      <c r="B784" s="1" t="n">
        <v>45735.36873842592</v>
      </c>
      <c r="C784" s="1" t="n">
        <v>46045</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47259-2024</t>
        </is>
      </c>
      <c r="B785" s="1" t="n">
        <v>45586</v>
      </c>
      <c r="C785" s="1" t="n">
        <v>46045</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34478-2025</t>
        </is>
      </c>
      <c r="B786" s="1" t="n">
        <v>45847.37414351852</v>
      </c>
      <c r="C786" s="1" t="n">
        <v>46045</v>
      </c>
      <c r="D786" t="inlineStr">
        <is>
          <t>STOCKHOLMS LÄN</t>
        </is>
      </c>
      <c r="E786" t="inlineStr">
        <is>
          <t>NORRTÄLJE</t>
        </is>
      </c>
      <c r="F786" t="inlineStr">
        <is>
          <t>Övriga Aktiebolag</t>
        </is>
      </c>
      <c r="G786" t="n">
        <v>10.8</v>
      </c>
      <c r="H786" t="n">
        <v>0</v>
      </c>
      <c r="I786" t="n">
        <v>0</v>
      </c>
      <c r="J786" t="n">
        <v>0</v>
      </c>
      <c r="K786" t="n">
        <v>0</v>
      </c>
      <c r="L786" t="n">
        <v>0</v>
      </c>
      <c r="M786" t="n">
        <v>0</v>
      </c>
      <c r="N786" t="n">
        <v>0</v>
      </c>
      <c r="O786" t="n">
        <v>0</v>
      </c>
      <c r="P786" t="n">
        <v>0</v>
      </c>
      <c r="Q786" t="n">
        <v>0</v>
      </c>
      <c r="R786" s="2" t="inlineStr"/>
    </row>
    <row r="787" ht="15" customHeight="1">
      <c r="A787" t="inlineStr">
        <is>
          <t>A 19025-2025</t>
        </is>
      </c>
      <c r="B787" s="1" t="n">
        <v>45764.6359837963</v>
      </c>
      <c r="C787" s="1" t="n">
        <v>46045</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26675-2025</t>
        </is>
      </c>
      <c r="B788" s="1" t="n">
        <v>45810.42393518519</v>
      </c>
      <c r="C788" s="1" t="n">
        <v>46045</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5867-2022</t>
        </is>
      </c>
      <c r="B789" s="1" t="n">
        <v>44596.66335648148</v>
      </c>
      <c r="C789" s="1" t="n">
        <v>46045</v>
      </c>
      <c r="D789" t="inlineStr">
        <is>
          <t>STOCKHOLMS LÄN</t>
        </is>
      </c>
      <c r="E789" t="inlineStr">
        <is>
          <t>NORRTÄLJE</t>
        </is>
      </c>
      <c r="F789" t="inlineStr">
        <is>
          <t>Naturvårdsverket</t>
        </is>
      </c>
      <c r="G789" t="n">
        <v>1.6</v>
      </c>
      <c r="H789" t="n">
        <v>0</v>
      </c>
      <c r="I789" t="n">
        <v>0</v>
      </c>
      <c r="J789" t="n">
        <v>0</v>
      </c>
      <c r="K789" t="n">
        <v>0</v>
      </c>
      <c r="L789" t="n">
        <v>0</v>
      </c>
      <c r="M789" t="n">
        <v>0</v>
      </c>
      <c r="N789" t="n">
        <v>0</v>
      </c>
      <c r="O789" t="n">
        <v>0</v>
      </c>
      <c r="P789" t="n">
        <v>0</v>
      </c>
      <c r="Q789" t="n">
        <v>0</v>
      </c>
      <c r="R789" s="2" t="inlineStr"/>
    </row>
    <row r="790" ht="15" customHeight="1">
      <c r="A790" t="inlineStr">
        <is>
          <t>A 23061-2025</t>
        </is>
      </c>
      <c r="B790" s="1" t="n">
        <v>45790.81410879629</v>
      </c>
      <c r="C790" s="1" t="n">
        <v>46045</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73307-2021</t>
        </is>
      </c>
      <c r="B791" s="1" t="n">
        <v>44549</v>
      </c>
      <c r="C791" s="1" t="n">
        <v>46045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62681-2025</t>
        </is>
      </c>
      <c r="B792" s="1" t="n">
        <v>46008.45534722223</v>
      </c>
      <c r="C792" s="1" t="n">
        <v>46045</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62708-2025</t>
        </is>
      </c>
      <c r="B793" s="1" t="n">
        <v>46008.50986111111</v>
      </c>
      <c r="C793" s="1" t="n">
        <v>46045</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26747-2025</t>
        </is>
      </c>
      <c r="B794" s="1" t="n">
        <v>45810.5333912037</v>
      </c>
      <c r="C794" s="1" t="n">
        <v>46045</v>
      </c>
      <c r="D794" t="inlineStr">
        <is>
          <t>STOCKHOLMS LÄN</t>
        </is>
      </c>
      <c r="E794" t="inlineStr">
        <is>
          <t>NORRTÄLJE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21731-2023</t>
        </is>
      </c>
      <c r="B795" s="1" t="n">
        <v>45063</v>
      </c>
      <c r="C795" s="1" t="n">
        <v>46045</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21745-2023</t>
        </is>
      </c>
      <c r="B796" s="1" t="n">
        <v>45065.55917824074</v>
      </c>
      <c r="C796" s="1" t="n">
        <v>46045</v>
      </c>
      <c r="D796" t="inlineStr">
        <is>
          <t>STOCKHOLMS LÄN</t>
        </is>
      </c>
      <c r="E796" t="inlineStr">
        <is>
          <t>NORRTÄLJE</t>
        </is>
      </c>
      <c r="F796" t="inlineStr">
        <is>
          <t>Holmen skog AB</t>
        </is>
      </c>
      <c r="G796" t="n">
        <v>0.7</v>
      </c>
      <c r="H796" t="n">
        <v>0</v>
      </c>
      <c r="I796" t="n">
        <v>0</v>
      </c>
      <c r="J796" t="n">
        <v>0</v>
      </c>
      <c r="K796" t="n">
        <v>0</v>
      </c>
      <c r="L796" t="n">
        <v>0</v>
      </c>
      <c r="M796" t="n">
        <v>0</v>
      </c>
      <c r="N796" t="n">
        <v>0</v>
      </c>
      <c r="O796" t="n">
        <v>0</v>
      </c>
      <c r="P796" t="n">
        <v>0</v>
      </c>
      <c r="Q796" t="n">
        <v>0</v>
      </c>
      <c r="R796" s="2" t="inlineStr"/>
    </row>
    <row r="797" ht="15" customHeight="1">
      <c r="A797" t="inlineStr">
        <is>
          <t>A 26702-2025</t>
        </is>
      </c>
      <c r="B797" s="1" t="n">
        <v>45810.45236111111</v>
      </c>
      <c r="C797" s="1" t="n">
        <v>46045</v>
      </c>
      <c r="D797" t="inlineStr">
        <is>
          <t>STOCKHOLMS LÄN</t>
        </is>
      </c>
      <c r="E797" t="inlineStr">
        <is>
          <t>NORRTÄLJE</t>
        </is>
      </c>
      <c r="G797" t="n">
        <v>7.3</v>
      </c>
      <c r="H797" t="n">
        <v>0</v>
      </c>
      <c r="I797" t="n">
        <v>0</v>
      </c>
      <c r="J797" t="n">
        <v>0</v>
      </c>
      <c r="K797" t="n">
        <v>0</v>
      </c>
      <c r="L797" t="n">
        <v>0</v>
      </c>
      <c r="M797" t="n">
        <v>0</v>
      </c>
      <c r="N797" t="n">
        <v>0</v>
      </c>
      <c r="O797" t="n">
        <v>0</v>
      </c>
      <c r="P797" t="n">
        <v>0</v>
      </c>
      <c r="Q797" t="n">
        <v>0</v>
      </c>
      <c r="R797" s="2" t="inlineStr"/>
    </row>
    <row r="798" ht="15" customHeight="1">
      <c r="A798" t="inlineStr">
        <is>
          <t>A 26708-2025</t>
        </is>
      </c>
      <c r="B798" s="1" t="n">
        <v>45810.45633101852</v>
      </c>
      <c r="C798" s="1" t="n">
        <v>46045</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27040-2025</t>
        </is>
      </c>
      <c r="B799" s="1" t="n">
        <v>45811.60451388889</v>
      </c>
      <c r="C799" s="1" t="n">
        <v>46045</v>
      </c>
      <c r="D799" t="inlineStr">
        <is>
          <t>STOCKHOLMS LÄN</t>
        </is>
      </c>
      <c r="E799" t="inlineStr">
        <is>
          <t>NORRTÄLJE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30221-2024</t>
        </is>
      </c>
      <c r="B800" s="1" t="n">
        <v>45490.45342592592</v>
      </c>
      <c r="C800" s="1" t="n">
        <v>46045</v>
      </c>
      <c r="D800" t="inlineStr">
        <is>
          <t>STOCKHOLMS LÄN</t>
        </is>
      </c>
      <c r="E800" t="inlineStr">
        <is>
          <t>NORRTÄLJE</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26365-2024</t>
        </is>
      </c>
      <c r="B801" s="1" t="n">
        <v>45469</v>
      </c>
      <c r="C801" s="1" t="n">
        <v>46045</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50602-2021</t>
        </is>
      </c>
      <c r="B802" s="1" t="n">
        <v>44459</v>
      </c>
      <c r="C802" s="1" t="n">
        <v>46045</v>
      </c>
      <c r="D802" t="inlineStr">
        <is>
          <t>STOCKHOLMS LÄN</t>
        </is>
      </c>
      <c r="E802" t="inlineStr">
        <is>
          <t>NORRTÄLJE</t>
        </is>
      </c>
      <c r="F802" t="inlineStr">
        <is>
          <t>Holmen skog AB</t>
        </is>
      </c>
      <c r="G802" t="n">
        <v>2</v>
      </c>
      <c r="H802" t="n">
        <v>0</v>
      </c>
      <c r="I802" t="n">
        <v>0</v>
      </c>
      <c r="J802" t="n">
        <v>0</v>
      </c>
      <c r="K802" t="n">
        <v>0</v>
      </c>
      <c r="L802" t="n">
        <v>0</v>
      </c>
      <c r="M802" t="n">
        <v>0</v>
      </c>
      <c r="N802" t="n">
        <v>0</v>
      </c>
      <c r="O802" t="n">
        <v>0</v>
      </c>
      <c r="P802" t="n">
        <v>0</v>
      </c>
      <c r="Q802" t="n">
        <v>0</v>
      </c>
      <c r="R802" s="2" t="inlineStr"/>
    </row>
    <row r="803" ht="15" customHeight="1">
      <c r="A803" t="inlineStr">
        <is>
          <t>A 48798-2021</t>
        </is>
      </c>
      <c r="B803" s="1" t="n">
        <v>44452</v>
      </c>
      <c r="C803" s="1" t="n">
        <v>46045</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62689-2025</t>
        </is>
      </c>
      <c r="B804" s="1" t="n">
        <v>46008.47171296296</v>
      </c>
      <c r="C804" s="1" t="n">
        <v>46045</v>
      </c>
      <c r="D804" t="inlineStr">
        <is>
          <t>STOCKHOLMS LÄN</t>
        </is>
      </c>
      <c r="E804" t="inlineStr">
        <is>
          <t>NORRTÄLJE</t>
        </is>
      </c>
      <c r="F804" t="inlineStr">
        <is>
          <t>Kyrkan</t>
        </is>
      </c>
      <c r="G804" t="n">
        <v>0.7</v>
      </c>
      <c r="H804" t="n">
        <v>0</v>
      </c>
      <c r="I804" t="n">
        <v>0</v>
      </c>
      <c r="J804" t="n">
        <v>0</v>
      </c>
      <c r="K804" t="n">
        <v>0</v>
      </c>
      <c r="L804" t="n">
        <v>0</v>
      </c>
      <c r="M804" t="n">
        <v>0</v>
      </c>
      <c r="N804" t="n">
        <v>0</v>
      </c>
      <c r="O804" t="n">
        <v>0</v>
      </c>
      <c r="P804" t="n">
        <v>0</v>
      </c>
      <c r="Q804" t="n">
        <v>0</v>
      </c>
      <c r="R804" s="2" t="inlineStr"/>
    </row>
    <row r="805" ht="15" customHeight="1">
      <c r="A805" t="inlineStr">
        <is>
          <t>A 27697-2025</t>
        </is>
      </c>
      <c r="B805" s="1" t="n">
        <v>45813.66961805556</v>
      </c>
      <c r="C805" s="1" t="n">
        <v>46045</v>
      </c>
      <c r="D805" t="inlineStr">
        <is>
          <t>STOCKHOLMS LÄN</t>
        </is>
      </c>
      <c r="E805" t="inlineStr">
        <is>
          <t>NORRTÄLJE</t>
        </is>
      </c>
      <c r="G805" t="n">
        <v>6.2</v>
      </c>
      <c r="H805" t="n">
        <v>0</v>
      </c>
      <c r="I805" t="n">
        <v>0</v>
      </c>
      <c r="J805" t="n">
        <v>0</v>
      </c>
      <c r="K805" t="n">
        <v>0</v>
      </c>
      <c r="L805" t="n">
        <v>0</v>
      </c>
      <c r="M805" t="n">
        <v>0</v>
      </c>
      <c r="N805" t="n">
        <v>0</v>
      </c>
      <c r="O805" t="n">
        <v>0</v>
      </c>
      <c r="P805" t="n">
        <v>0</v>
      </c>
      <c r="Q805" t="n">
        <v>0</v>
      </c>
      <c r="R805" s="2" t="inlineStr"/>
    </row>
    <row r="806" ht="15" customHeight="1">
      <c r="A806" t="inlineStr">
        <is>
          <t>A 27700-2025</t>
        </is>
      </c>
      <c r="B806" s="1" t="n">
        <v>45813.6799537037</v>
      </c>
      <c r="C806" s="1" t="n">
        <v>46045</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27554-2025</t>
        </is>
      </c>
      <c r="B807" s="1" t="n">
        <v>45813.4709375</v>
      </c>
      <c r="C807" s="1" t="n">
        <v>46045</v>
      </c>
      <c r="D807" t="inlineStr">
        <is>
          <t>STOCKHOLMS LÄN</t>
        </is>
      </c>
      <c r="E807" t="inlineStr">
        <is>
          <t>NORRTÄLJE</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11901-2024</t>
        </is>
      </c>
      <c r="B808" s="1" t="n">
        <v>45376.55638888889</v>
      </c>
      <c r="C808" s="1" t="n">
        <v>46045</v>
      </c>
      <c r="D808" t="inlineStr">
        <is>
          <t>STOCKHOLMS LÄN</t>
        </is>
      </c>
      <c r="E808" t="inlineStr">
        <is>
          <t>NORRTÄLJE</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54907-2025</t>
        </is>
      </c>
      <c r="B809" s="1" t="n">
        <v>45967.37137731481</v>
      </c>
      <c r="C809" s="1" t="n">
        <v>46045</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62922-2025</t>
        </is>
      </c>
      <c r="B810" s="1" t="n">
        <v>46009.38064814815</v>
      </c>
      <c r="C810" s="1" t="n">
        <v>46045</v>
      </c>
      <c r="D810" t="inlineStr">
        <is>
          <t>STOCKHOLMS LÄN</t>
        </is>
      </c>
      <c r="E810" t="inlineStr">
        <is>
          <t>NORRTÄLJE</t>
        </is>
      </c>
      <c r="G810" t="n">
        <v>0.5</v>
      </c>
      <c r="H810" t="n">
        <v>0</v>
      </c>
      <c r="I810" t="n">
        <v>0</v>
      </c>
      <c r="J810" t="n">
        <v>0</v>
      </c>
      <c r="K810" t="n">
        <v>0</v>
      </c>
      <c r="L810" t="n">
        <v>0</v>
      </c>
      <c r="M810" t="n">
        <v>0</v>
      </c>
      <c r="N810" t="n">
        <v>0</v>
      </c>
      <c r="O810" t="n">
        <v>0</v>
      </c>
      <c r="P810" t="n">
        <v>0</v>
      </c>
      <c r="Q810" t="n">
        <v>0</v>
      </c>
      <c r="R810" s="2" t="inlineStr"/>
    </row>
    <row r="811" ht="15" customHeight="1">
      <c r="A811" t="inlineStr">
        <is>
          <t>A 30283-2022</t>
        </is>
      </c>
      <c r="B811" s="1" t="n">
        <v>44760</v>
      </c>
      <c r="C811" s="1" t="n">
        <v>46045</v>
      </c>
      <c r="D811" t="inlineStr">
        <is>
          <t>STOCKHOLMS LÄN</t>
        </is>
      </c>
      <c r="E811" t="inlineStr">
        <is>
          <t>NORRTÄLJE</t>
        </is>
      </c>
      <c r="G811" t="n">
        <v>6.2</v>
      </c>
      <c r="H811" t="n">
        <v>0</v>
      </c>
      <c r="I811" t="n">
        <v>0</v>
      </c>
      <c r="J811" t="n">
        <v>0</v>
      </c>
      <c r="K811" t="n">
        <v>0</v>
      </c>
      <c r="L811" t="n">
        <v>0</v>
      </c>
      <c r="M811" t="n">
        <v>0</v>
      </c>
      <c r="N811" t="n">
        <v>0</v>
      </c>
      <c r="O811" t="n">
        <v>0</v>
      </c>
      <c r="P811" t="n">
        <v>0</v>
      </c>
      <c r="Q811" t="n">
        <v>0</v>
      </c>
      <c r="R811" s="2" t="inlineStr"/>
    </row>
    <row r="812" ht="15" customHeight="1">
      <c r="A812" t="inlineStr">
        <is>
          <t>A 30290-2022</t>
        </is>
      </c>
      <c r="B812" s="1" t="n">
        <v>44760</v>
      </c>
      <c r="C812" s="1" t="n">
        <v>46045</v>
      </c>
      <c r="D812" t="inlineStr">
        <is>
          <t>STOCKHOLMS LÄN</t>
        </is>
      </c>
      <c r="E812" t="inlineStr">
        <is>
          <t>NORRTÄLJE</t>
        </is>
      </c>
      <c r="G812" t="n">
        <v>4.8</v>
      </c>
      <c r="H812" t="n">
        <v>0</v>
      </c>
      <c r="I812" t="n">
        <v>0</v>
      </c>
      <c r="J812" t="n">
        <v>0</v>
      </c>
      <c r="K812" t="n">
        <v>0</v>
      </c>
      <c r="L812" t="n">
        <v>0</v>
      </c>
      <c r="M812" t="n">
        <v>0</v>
      </c>
      <c r="N812" t="n">
        <v>0</v>
      </c>
      <c r="O812" t="n">
        <v>0</v>
      </c>
      <c r="P812" t="n">
        <v>0</v>
      </c>
      <c r="Q812" t="n">
        <v>0</v>
      </c>
      <c r="R812" s="2" t="inlineStr"/>
    </row>
    <row r="813" ht="15" customHeight="1">
      <c r="A813" t="inlineStr">
        <is>
          <t>A 27802-2025</t>
        </is>
      </c>
      <c r="B813" s="1" t="n">
        <v>45817.2565625</v>
      </c>
      <c r="C813" s="1" t="n">
        <v>46045</v>
      </c>
      <c r="D813" t="inlineStr">
        <is>
          <t>STOCKHOLMS LÄN</t>
        </is>
      </c>
      <c r="E813" t="inlineStr">
        <is>
          <t>NORRTÄLJE</t>
        </is>
      </c>
      <c r="G813" t="n">
        <v>3</v>
      </c>
      <c r="H813" t="n">
        <v>0</v>
      </c>
      <c r="I813" t="n">
        <v>0</v>
      </c>
      <c r="J813" t="n">
        <v>0</v>
      </c>
      <c r="K813" t="n">
        <v>0</v>
      </c>
      <c r="L813" t="n">
        <v>0</v>
      </c>
      <c r="M813" t="n">
        <v>0</v>
      </c>
      <c r="N813" t="n">
        <v>0</v>
      </c>
      <c r="O813" t="n">
        <v>0</v>
      </c>
      <c r="P813" t="n">
        <v>0</v>
      </c>
      <c r="Q813" t="n">
        <v>0</v>
      </c>
      <c r="R813" s="2" t="inlineStr"/>
    </row>
    <row r="814" ht="15" customHeight="1">
      <c r="A814" t="inlineStr">
        <is>
          <t>A 27806-2025</t>
        </is>
      </c>
      <c r="B814" s="1" t="n">
        <v>45817.30329861111</v>
      </c>
      <c r="C814" s="1" t="n">
        <v>46045</v>
      </c>
      <c r="D814" t="inlineStr">
        <is>
          <t>STOCKHOLMS LÄN</t>
        </is>
      </c>
      <c r="E814" t="inlineStr">
        <is>
          <t>NORRTÄLJE</t>
        </is>
      </c>
      <c r="G814" t="n">
        <v>3</v>
      </c>
      <c r="H814" t="n">
        <v>0</v>
      </c>
      <c r="I814" t="n">
        <v>0</v>
      </c>
      <c r="J814" t="n">
        <v>0</v>
      </c>
      <c r="K814" t="n">
        <v>0</v>
      </c>
      <c r="L814" t="n">
        <v>0</v>
      </c>
      <c r="M814" t="n">
        <v>0</v>
      </c>
      <c r="N814" t="n">
        <v>0</v>
      </c>
      <c r="O814" t="n">
        <v>0</v>
      </c>
      <c r="P814" t="n">
        <v>0</v>
      </c>
      <c r="Q814" t="n">
        <v>0</v>
      </c>
      <c r="R814" s="2" t="inlineStr"/>
    </row>
    <row r="815" ht="15" customHeight="1">
      <c r="A815" t="inlineStr">
        <is>
          <t>A 27808-2025</t>
        </is>
      </c>
      <c r="B815" s="1" t="n">
        <v>45817.31085648148</v>
      </c>
      <c r="C815" s="1" t="n">
        <v>46045</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27810-2025</t>
        </is>
      </c>
      <c r="B816" s="1" t="n">
        <v>45817.31708333334</v>
      </c>
      <c r="C816" s="1" t="n">
        <v>46045</v>
      </c>
      <c r="D816" t="inlineStr">
        <is>
          <t>STOCKHOLMS LÄN</t>
        </is>
      </c>
      <c r="E816" t="inlineStr">
        <is>
          <t>NORRTÄLJE</t>
        </is>
      </c>
      <c r="G816" t="n">
        <v>3.9</v>
      </c>
      <c r="H816" t="n">
        <v>0</v>
      </c>
      <c r="I816" t="n">
        <v>0</v>
      </c>
      <c r="J816" t="n">
        <v>0</v>
      </c>
      <c r="K816" t="n">
        <v>0</v>
      </c>
      <c r="L816" t="n">
        <v>0</v>
      </c>
      <c r="M816" t="n">
        <v>0</v>
      </c>
      <c r="N816" t="n">
        <v>0</v>
      </c>
      <c r="O816" t="n">
        <v>0</v>
      </c>
      <c r="P816" t="n">
        <v>0</v>
      </c>
      <c r="Q816" t="n">
        <v>0</v>
      </c>
      <c r="R816" s="2" t="inlineStr"/>
    </row>
    <row r="817" ht="15" customHeight="1">
      <c r="A817" t="inlineStr">
        <is>
          <t>A 27811-2025</t>
        </is>
      </c>
      <c r="B817" s="1" t="n">
        <v>45817.31986111111</v>
      </c>
      <c r="C817" s="1" t="n">
        <v>46045</v>
      </c>
      <c r="D817" t="inlineStr">
        <is>
          <t>STOCKHOLMS LÄN</t>
        </is>
      </c>
      <c r="E817" t="inlineStr">
        <is>
          <t>NORRTÄLJE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27818-2025</t>
        </is>
      </c>
      <c r="B818" s="1" t="n">
        <v>45817.33503472222</v>
      </c>
      <c r="C818" s="1" t="n">
        <v>46045</v>
      </c>
      <c r="D818" t="inlineStr">
        <is>
          <t>STOCKHOLMS LÄN</t>
        </is>
      </c>
      <c r="E818" t="inlineStr">
        <is>
          <t>NORRTÄLJE</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38985-2022</t>
        </is>
      </c>
      <c r="B819" s="1" t="n">
        <v>44816</v>
      </c>
      <c r="C819" s="1" t="n">
        <v>46045</v>
      </c>
      <c r="D819" t="inlineStr">
        <is>
          <t>STOCKHOLMS LÄN</t>
        </is>
      </c>
      <c r="E819" t="inlineStr">
        <is>
          <t>NORRTÄLJE</t>
        </is>
      </c>
      <c r="G819" t="n">
        <v>10.1</v>
      </c>
      <c r="H819" t="n">
        <v>0</v>
      </c>
      <c r="I819" t="n">
        <v>0</v>
      </c>
      <c r="J819" t="n">
        <v>0</v>
      </c>
      <c r="K819" t="n">
        <v>0</v>
      </c>
      <c r="L819" t="n">
        <v>0</v>
      </c>
      <c r="M819" t="n">
        <v>0</v>
      </c>
      <c r="N819" t="n">
        <v>0</v>
      </c>
      <c r="O819" t="n">
        <v>0</v>
      </c>
      <c r="P819" t="n">
        <v>0</v>
      </c>
      <c r="Q819" t="n">
        <v>0</v>
      </c>
      <c r="R819" s="2" t="inlineStr"/>
    </row>
    <row r="820" ht="15" customHeight="1">
      <c r="A820" t="inlineStr">
        <is>
          <t>A 15528-2025</t>
        </is>
      </c>
      <c r="B820" s="1" t="n">
        <v>45747.63471064815</v>
      </c>
      <c r="C820" s="1" t="n">
        <v>46045</v>
      </c>
      <c r="D820" t="inlineStr">
        <is>
          <t>STOCKHOLMS LÄN</t>
        </is>
      </c>
      <c r="E820" t="inlineStr">
        <is>
          <t>NORRTÄLJE</t>
        </is>
      </c>
      <c r="G820" t="n">
        <v>10</v>
      </c>
      <c r="H820" t="n">
        <v>0</v>
      </c>
      <c r="I820" t="n">
        <v>0</v>
      </c>
      <c r="J820" t="n">
        <v>0</v>
      </c>
      <c r="K820" t="n">
        <v>0</v>
      </c>
      <c r="L820" t="n">
        <v>0</v>
      </c>
      <c r="M820" t="n">
        <v>0</v>
      </c>
      <c r="N820" t="n">
        <v>0</v>
      </c>
      <c r="O820" t="n">
        <v>0</v>
      </c>
      <c r="P820" t="n">
        <v>0</v>
      </c>
      <c r="Q820" t="n">
        <v>0</v>
      </c>
      <c r="R820" s="2" t="inlineStr"/>
    </row>
    <row r="821" ht="15" customHeight="1">
      <c r="A821" t="inlineStr">
        <is>
          <t>A 27803-2025</t>
        </is>
      </c>
      <c r="B821" s="1" t="n">
        <v>45817.291875</v>
      </c>
      <c r="C821" s="1" t="n">
        <v>46045</v>
      </c>
      <c r="D821" t="inlineStr">
        <is>
          <t>STOCKHOLMS LÄN</t>
        </is>
      </c>
      <c r="E821" t="inlineStr">
        <is>
          <t>NORRTÄLJE</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25625-2023</t>
        </is>
      </c>
      <c r="B822" s="1" t="n">
        <v>45089</v>
      </c>
      <c r="C822" s="1" t="n">
        <v>46045</v>
      </c>
      <c r="D822" t="inlineStr">
        <is>
          <t>STOCKHOLMS LÄN</t>
        </is>
      </c>
      <c r="E822" t="inlineStr">
        <is>
          <t>NORRTÄLJE</t>
        </is>
      </c>
      <c r="G822" t="n">
        <v>5.5</v>
      </c>
      <c r="H822" t="n">
        <v>0</v>
      </c>
      <c r="I822" t="n">
        <v>0</v>
      </c>
      <c r="J822" t="n">
        <v>0</v>
      </c>
      <c r="K822" t="n">
        <v>0</v>
      </c>
      <c r="L822" t="n">
        <v>0</v>
      </c>
      <c r="M822" t="n">
        <v>0</v>
      </c>
      <c r="N822" t="n">
        <v>0</v>
      </c>
      <c r="O822" t="n">
        <v>0</v>
      </c>
      <c r="P822" t="n">
        <v>0</v>
      </c>
      <c r="Q822" t="n">
        <v>0</v>
      </c>
      <c r="R822" s="2" t="inlineStr"/>
    </row>
    <row r="823" ht="15" customHeight="1">
      <c r="A823" t="inlineStr">
        <is>
          <t>A 27813-2025</t>
        </is>
      </c>
      <c r="B823" s="1" t="n">
        <v>45817.32538194444</v>
      </c>
      <c r="C823" s="1" t="n">
        <v>46045</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55503-2025</t>
        </is>
      </c>
      <c r="B824" s="1" t="n">
        <v>45971</v>
      </c>
      <c r="C824" s="1" t="n">
        <v>46045</v>
      </c>
      <c r="D824" t="inlineStr">
        <is>
          <t>STOCKHOLMS LÄN</t>
        </is>
      </c>
      <c r="E824" t="inlineStr">
        <is>
          <t>NORRTÄLJE</t>
        </is>
      </c>
      <c r="G824" t="n">
        <v>3</v>
      </c>
      <c r="H824" t="n">
        <v>0</v>
      </c>
      <c r="I824" t="n">
        <v>0</v>
      </c>
      <c r="J824" t="n">
        <v>0</v>
      </c>
      <c r="K824" t="n">
        <v>0</v>
      </c>
      <c r="L824" t="n">
        <v>0</v>
      </c>
      <c r="M824" t="n">
        <v>0</v>
      </c>
      <c r="N824" t="n">
        <v>0</v>
      </c>
      <c r="O824" t="n">
        <v>0</v>
      </c>
      <c r="P824" t="n">
        <v>0</v>
      </c>
      <c r="Q824" t="n">
        <v>0</v>
      </c>
      <c r="R824" s="2" t="inlineStr"/>
    </row>
    <row r="825" ht="15" customHeight="1">
      <c r="A825" t="inlineStr">
        <is>
          <t>A 27801-2025</t>
        </is>
      </c>
      <c r="B825" s="1" t="n">
        <v>45817.25471064815</v>
      </c>
      <c r="C825" s="1" t="n">
        <v>46045</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27821-2025</t>
        </is>
      </c>
      <c r="B826" s="1" t="n">
        <v>45817.34083333334</v>
      </c>
      <c r="C826" s="1" t="n">
        <v>46045</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55599-2025</t>
        </is>
      </c>
      <c r="B827" s="1" t="n">
        <v>45971.76810185185</v>
      </c>
      <c r="C827" s="1" t="n">
        <v>46045</v>
      </c>
      <c r="D827" t="inlineStr">
        <is>
          <t>STOCKHOLMS LÄN</t>
        </is>
      </c>
      <c r="E827" t="inlineStr">
        <is>
          <t>NORRTÄLJE</t>
        </is>
      </c>
      <c r="F827" t="inlineStr">
        <is>
          <t>Holmen skog AB</t>
        </is>
      </c>
      <c r="G827" t="n">
        <v>6.4</v>
      </c>
      <c r="H827" t="n">
        <v>0</v>
      </c>
      <c r="I827" t="n">
        <v>0</v>
      </c>
      <c r="J827" t="n">
        <v>0</v>
      </c>
      <c r="K827" t="n">
        <v>0</v>
      </c>
      <c r="L827" t="n">
        <v>0</v>
      </c>
      <c r="M827" t="n">
        <v>0</v>
      </c>
      <c r="N827" t="n">
        <v>0</v>
      </c>
      <c r="O827" t="n">
        <v>0</v>
      </c>
      <c r="P827" t="n">
        <v>0</v>
      </c>
      <c r="Q827" t="n">
        <v>0</v>
      </c>
      <c r="R827" s="2" t="inlineStr"/>
    </row>
    <row r="828" ht="15" customHeight="1">
      <c r="A828" t="inlineStr">
        <is>
          <t>A 44075-2023</t>
        </is>
      </c>
      <c r="B828" s="1" t="n">
        <v>45188.41637731482</v>
      </c>
      <c r="C828" s="1" t="n">
        <v>46045</v>
      </c>
      <c r="D828" t="inlineStr">
        <is>
          <t>STOCKHOLMS LÄN</t>
        </is>
      </c>
      <c r="E828" t="inlineStr">
        <is>
          <t>NORRTÄLJE</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56207-2025</t>
        </is>
      </c>
      <c r="B829" s="1" t="n">
        <v>45974.47329861111</v>
      </c>
      <c r="C829" s="1" t="n">
        <v>46045</v>
      </c>
      <c r="D829" t="inlineStr">
        <is>
          <t>STOCKHOLMS LÄN</t>
        </is>
      </c>
      <c r="E829" t="inlineStr">
        <is>
          <t>NORRTÄLJE</t>
        </is>
      </c>
      <c r="G829" t="n">
        <v>3.2</v>
      </c>
      <c r="H829" t="n">
        <v>0</v>
      </c>
      <c r="I829" t="n">
        <v>0</v>
      </c>
      <c r="J829" t="n">
        <v>0</v>
      </c>
      <c r="K829" t="n">
        <v>0</v>
      </c>
      <c r="L829" t="n">
        <v>0</v>
      </c>
      <c r="M829" t="n">
        <v>0</v>
      </c>
      <c r="N829" t="n">
        <v>0</v>
      </c>
      <c r="O829" t="n">
        <v>0</v>
      </c>
      <c r="P829" t="n">
        <v>0</v>
      </c>
      <c r="Q829" t="n">
        <v>0</v>
      </c>
      <c r="R829" s="2" t="inlineStr"/>
    </row>
    <row r="830" ht="15" customHeight="1">
      <c r="A830" t="inlineStr">
        <is>
          <t>A 14132-2025</t>
        </is>
      </c>
      <c r="B830" s="1" t="n">
        <v>45740.47550925926</v>
      </c>
      <c r="C830" s="1" t="n">
        <v>46045</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14133-2025</t>
        </is>
      </c>
      <c r="B831" s="1" t="n">
        <v>45740.47724537037</v>
      </c>
      <c r="C831" s="1" t="n">
        <v>46045</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7186-2024</t>
        </is>
      </c>
      <c r="B832" s="1" t="n">
        <v>45344</v>
      </c>
      <c r="C832" s="1" t="n">
        <v>46045</v>
      </c>
      <c r="D832" t="inlineStr">
        <is>
          <t>STOCKHOLMS LÄN</t>
        </is>
      </c>
      <c r="E832" t="inlineStr">
        <is>
          <t>NORRTÄLJE</t>
        </is>
      </c>
      <c r="G832" t="n">
        <v>4.9</v>
      </c>
      <c r="H832" t="n">
        <v>0</v>
      </c>
      <c r="I832" t="n">
        <v>0</v>
      </c>
      <c r="J832" t="n">
        <v>0</v>
      </c>
      <c r="K832" t="n">
        <v>0</v>
      </c>
      <c r="L832" t="n">
        <v>0</v>
      </c>
      <c r="M832" t="n">
        <v>0</v>
      </c>
      <c r="N832" t="n">
        <v>0</v>
      </c>
      <c r="O832" t="n">
        <v>0</v>
      </c>
      <c r="P832" t="n">
        <v>0</v>
      </c>
      <c r="Q832" t="n">
        <v>0</v>
      </c>
      <c r="R832" s="2" t="inlineStr"/>
    </row>
    <row r="833" ht="15" customHeight="1">
      <c r="A833" t="inlineStr">
        <is>
          <t>A 29250-2025</t>
        </is>
      </c>
      <c r="B833" s="1" t="n">
        <v>45824.37275462963</v>
      </c>
      <c r="C833" s="1" t="n">
        <v>46045</v>
      </c>
      <c r="D833" t="inlineStr">
        <is>
          <t>STOCKHOLMS LÄN</t>
        </is>
      </c>
      <c r="E833" t="inlineStr">
        <is>
          <t>NORRTÄLJE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56114-2025</t>
        </is>
      </c>
      <c r="B834" s="1" t="n">
        <v>45973.74474537037</v>
      </c>
      <c r="C834" s="1" t="n">
        <v>46045</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39202-2024</t>
        </is>
      </c>
      <c r="B835" s="1" t="n">
        <v>45548.72306712963</v>
      </c>
      <c r="C835" s="1" t="n">
        <v>46045</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53792-2023</t>
        </is>
      </c>
      <c r="B836" s="1" t="n">
        <v>45231.34144675926</v>
      </c>
      <c r="C836" s="1" t="n">
        <v>46045</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11280-2023</t>
        </is>
      </c>
      <c r="B837" s="1" t="n">
        <v>44992</v>
      </c>
      <c r="C837" s="1" t="n">
        <v>46045</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57442-2021</t>
        </is>
      </c>
      <c r="B838" s="1" t="n">
        <v>44483</v>
      </c>
      <c r="C838" s="1" t="n">
        <v>46045</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19952-2023</t>
        </is>
      </c>
      <c r="B839" s="1" t="n">
        <v>45054.54091435186</v>
      </c>
      <c r="C839" s="1" t="n">
        <v>46045</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19994-2023</t>
        </is>
      </c>
      <c r="B840" s="1" t="n">
        <v>45054</v>
      </c>
      <c r="C840" s="1" t="n">
        <v>46045</v>
      </c>
      <c r="D840" t="inlineStr">
        <is>
          <t>STOCKHOLMS LÄN</t>
        </is>
      </c>
      <c r="E840" t="inlineStr">
        <is>
          <t>NORRTÄLJE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29003-2023</t>
        </is>
      </c>
      <c r="B841" s="1" t="n">
        <v>45104</v>
      </c>
      <c r="C841" s="1" t="n">
        <v>46045</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15956-2023</t>
        </is>
      </c>
      <c r="B842" s="1" t="n">
        <v>45022.61003472222</v>
      </c>
      <c r="C842" s="1" t="n">
        <v>46045</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5950-2021</t>
        </is>
      </c>
      <c r="B843" s="1" t="n">
        <v>44231</v>
      </c>
      <c r="C843" s="1" t="n">
        <v>46045</v>
      </c>
      <c r="D843" t="inlineStr">
        <is>
          <t>STOCKHOLMS LÄN</t>
        </is>
      </c>
      <c r="E843" t="inlineStr">
        <is>
          <t>NORRTÄLJE</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13053-2022</t>
        </is>
      </c>
      <c r="B844" s="1" t="n">
        <v>44643</v>
      </c>
      <c r="C844" s="1" t="n">
        <v>46045</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3383-2023</t>
        </is>
      </c>
      <c r="B845" s="1" t="n">
        <v>44949</v>
      </c>
      <c r="C845" s="1" t="n">
        <v>46045</v>
      </c>
      <c r="D845" t="inlineStr">
        <is>
          <t>STOCKHOLMS LÄN</t>
        </is>
      </c>
      <c r="E845" t="inlineStr">
        <is>
          <t>NORRTÄLJE</t>
        </is>
      </c>
      <c r="G845" t="n">
        <v>14.6</v>
      </c>
      <c r="H845" t="n">
        <v>0</v>
      </c>
      <c r="I845" t="n">
        <v>0</v>
      </c>
      <c r="J845" t="n">
        <v>0</v>
      </c>
      <c r="K845" t="n">
        <v>0</v>
      </c>
      <c r="L845" t="n">
        <v>0</v>
      </c>
      <c r="M845" t="n">
        <v>0</v>
      </c>
      <c r="N845" t="n">
        <v>0</v>
      </c>
      <c r="O845" t="n">
        <v>0</v>
      </c>
      <c r="P845" t="n">
        <v>0</v>
      </c>
      <c r="Q845" t="n">
        <v>0</v>
      </c>
      <c r="R845" s="2" t="inlineStr"/>
    </row>
    <row r="846" ht="15" customHeight="1">
      <c r="A846" t="inlineStr">
        <is>
          <t>A 4316-2023</t>
        </is>
      </c>
      <c r="B846" s="1" t="n">
        <v>44953.67443287037</v>
      </c>
      <c r="C846" s="1" t="n">
        <v>46045</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5839-2023</t>
        </is>
      </c>
      <c r="B847" s="1" t="n">
        <v>44963</v>
      </c>
      <c r="C847" s="1" t="n">
        <v>46045</v>
      </c>
      <c r="D847" t="inlineStr">
        <is>
          <t>STOCKHOLMS LÄN</t>
        </is>
      </c>
      <c r="E847" t="inlineStr">
        <is>
          <t>NORRTÄLJE</t>
        </is>
      </c>
      <c r="G847" t="n">
        <v>3.6</v>
      </c>
      <c r="H847" t="n">
        <v>0</v>
      </c>
      <c r="I847" t="n">
        <v>0</v>
      </c>
      <c r="J847" t="n">
        <v>0</v>
      </c>
      <c r="K847" t="n">
        <v>0</v>
      </c>
      <c r="L847" t="n">
        <v>0</v>
      </c>
      <c r="M847" t="n">
        <v>0</v>
      </c>
      <c r="N847" t="n">
        <v>0</v>
      </c>
      <c r="O847" t="n">
        <v>0</v>
      </c>
      <c r="P847" t="n">
        <v>0</v>
      </c>
      <c r="Q847" t="n">
        <v>0</v>
      </c>
      <c r="R847" s="2" t="inlineStr"/>
    </row>
    <row r="848" ht="15" customHeight="1">
      <c r="A848" t="inlineStr">
        <is>
          <t>A 30668-2025</t>
        </is>
      </c>
      <c r="B848" s="1" t="n">
        <v>45831.51659722222</v>
      </c>
      <c r="C848" s="1" t="n">
        <v>46045</v>
      </c>
      <c r="D848" t="inlineStr">
        <is>
          <t>STOCKHOLMS LÄN</t>
        </is>
      </c>
      <c r="E848" t="inlineStr">
        <is>
          <t>NORRTÄLJE</t>
        </is>
      </c>
      <c r="G848" t="n">
        <v>4.9</v>
      </c>
      <c r="H848" t="n">
        <v>0</v>
      </c>
      <c r="I848" t="n">
        <v>0</v>
      </c>
      <c r="J848" t="n">
        <v>0</v>
      </c>
      <c r="K848" t="n">
        <v>0</v>
      </c>
      <c r="L848" t="n">
        <v>0</v>
      </c>
      <c r="M848" t="n">
        <v>0</v>
      </c>
      <c r="N848" t="n">
        <v>0</v>
      </c>
      <c r="O848" t="n">
        <v>0</v>
      </c>
      <c r="P848" t="n">
        <v>0</v>
      </c>
      <c r="Q848" t="n">
        <v>0</v>
      </c>
      <c r="R848" s="2" t="inlineStr"/>
    </row>
    <row r="849" ht="15" customHeight="1">
      <c r="A849" t="inlineStr">
        <is>
          <t>A 124-2026</t>
        </is>
      </c>
      <c r="B849" s="1" t="n">
        <v>46024.58378472222</v>
      </c>
      <c r="C849" s="1" t="n">
        <v>46045</v>
      </c>
      <c r="D849" t="inlineStr">
        <is>
          <t>STOCKHOLMS LÄN</t>
        </is>
      </c>
      <c r="E849" t="inlineStr">
        <is>
          <t>NORRTÄLJE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5804-2025</t>
        </is>
      </c>
      <c r="B850" s="1" t="n">
        <v>45694.68207175926</v>
      </c>
      <c r="C850" s="1" t="n">
        <v>46045</v>
      </c>
      <c r="D850" t="inlineStr">
        <is>
          <t>STOCKHOLMS LÄN</t>
        </is>
      </c>
      <c r="E850" t="inlineStr">
        <is>
          <t>NORRTÄLJE</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58142-2025</t>
        </is>
      </c>
      <c r="B851" s="1" t="n">
        <v>45982.63791666667</v>
      </c>
      <c r="C851" s="1" t="n">
        <v>46045</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30639-2025</t>
        </is>
      </c>
      <c r="B852" s="1" t="n">
        <v>45831.4844212963</v>
      </c>
      <c r="C852" s="1" t="n">
        <v>46045</v>
      </c>
      <c r="D852" t="inlineStr">
        <is>
          <t>STOCKHOLMS LÄN</t>
        </is>
      </c>
      <c r="E852" t="inlineStr">
        <is>
          <t>NORRTÄLJE</t>
        </is>
      </c>
      <c r="G852" t="n">
        <v>2</v>
      </c>
      <c r="H852" t="n">
        <v>0</v>
      </c>
      <c r="I852" t="n">
        <v>0</v>
      </c>
      <c r="J852" t="n">
        <v>0</v>
      </c>
      <c r="K852" t="n">
        <v>0</v>
      </c>
      <c r="L852" t="n">
        <v>0</v>
      </c>
      <c r="M852" t="n">
        <v>0</v>
      </c>
      <c r="N852" t="n">
        <v>0</v>
      </c>
      <c r="O852" t="n">
        <v>0</v>
      </c>
      <c r="P852" t="n">
        <v>0</v>
      </c>
      <c r="Q852" t="n">
        <v>0</v>
      </c>
      <c r="R852" s="2" t="inlineStr"/>
    </row>
    <row r="853" ht="15" customHeight="1">
      <c r="A853" t="inlineStr">
        <is>
          <t>A 24705-2023</t>
        </is>
      </c>
      <c r="B853" s="1" t="n">
        <v>45084.54459490741</v>
      </c>
      <c r="C853" s="1" t="n">
        <v>46045</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31170-2025</t>
        </is>
      </c>
      <c r="B854" s="1" t="n">
        <v>45832.66385416667</v>
      </c>
      <c r="C854" s="1" t="n">
        <v>46045</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57953-2025</t>
        </is>
      </c>
      <c r="B855" s="1" t="n">
        <v>45982.35016203704</v>
      </c>
      <c r="C855" s="1" t="n">
        <v>46045</v>
      </c>
      <c r="D855" t="inlineStr">
        <is>
          <t>STOCKHOLMS LÄN</t>
        </is>
      </c>
      <c r="E855" t="inlineStr">
        <is>
          <t>NORRTÄLJE</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54358-2022</t>
        </is>
      </c>
      <c r="B856" s="1" t="n">
        <v>44882</v>
      </c>
      <c r="C856" s="1" t="n">
        <v>46045</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197-2026</t>
        </is>
      </c>
      <c r="B857" s="1" t="n">
        <v>46026</v>
      </c>
      <c r="C857" s="1" t="n">
        <v>46045</v>
      </c>
      <c r="D857" t="inlineStr">
        <is>
          <t>STOCKHOLMS LÄN</t>
        </is>
      </c>
      <c r="E857" t="inlineStr">
        <is>
          <t>NORRTÄLJE</t>
        </is>
      </c>
      <c r="G857" t="n">
        <v>0.8</v>
      </c>
      <c r="H857" t="n">
        <v>0</v>
      </c>
      <c r="I857" t="n">
        <v>0</v>
      </c>
      <c r="J857" t="n">
        <v>0</v>
      </c>
      <c r="K857" t="n">
        <v>0</v>
      </c>
      <c r="L857" t="n">
        <v>0</v>
      </c>
      <c r="M857" t="n">
        <v>0</v>
      </c>
      <c r="N857" t="n">
        <v>0</v>
      </c>
      <c r="O857" t="n">
        <v>0</v>
      </c>
      <c r="P857" t="n">
        <v>0</v>
      </c>
      <c r="Q857" t="n">
        <v>0</v>
      </c>
      <c r="R857" s="2" t="inlineStr"/>
    </row>
    <row r="858" ht="15" customHeight="1">
      <c r="A858" t="inlineStr">
        <is>
          <t>A 23749-2024</t>
        </is>
      </c>
      <c r="B858" s="1" t="n">
        <v>45455.33037037037</v>
      </c>
      <c r="C858" s="1" t="n">
        <v>46045</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35698-2023</t>
        </is>
      </c>
      <c r="B859" s="1" t="n">
        <v>45147</v>
      </c>
      <c r="C859" s="1" t="n">
        <v>46045</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31874-2025</t>
        </is>
      </c>
      <c r="B860" s="1" t="n">
        <v>45834</v>
      </c>
      <c r="C860" s="1" t="n">
        <v>46045</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31868-2025</t>
        </is>
      </c>
      <c r="B861" s="1" t="n">
        <v>45834.6447337963</v>
      </c>
      <c r="C861" s="1" t="n">
        <v>46045</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6413-2025</t>
        </is>
      </c>
      <c r="B862" s="1" t="n">
        <v>45699.46283564815</v>
      </c>
      <c r="C862" s="1" t="n">
        <v>46045</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73992-2021</t>
        </is>
      </c>
      <c r="B863" s="1" t="n">
        <v>44556</v>
      </c>
      <c r="C863" s="1" t="n">
        <v>46045</v>
      </c>
      <c r="D863" t="inlineStr">
        <is>
          <t>STOCKHOLMS LÄN</t>
        </is>
      </c>
      <c r="E863" t="inlineStr">
        <is>
          <t>NORRTÄLJE</t>
        </is>
      </c>
      <c r="G863" t="n">
        <v>12.5</v>
      </c>
      <c r="H863" t="n">
        <v>0</v>
      </c>
      <c r="I863" t="n">
        <v>0</v>
      </c>
      <c r="J863" t="n">
        <v>0</v>
      </c>
      <c r="K863" t="n">
        <v>0</v>
      </c>
      <c r="L863" t="n">
        <v>0</v>
      </c>
      <c r="M863" t="n">
        <v>0</v>
      </c>
      <c r="N863" t="n">
        <v>0</v>
      </c>
      <c r="O863" t="n">
        <v>0</v>
      </c>
      <c r="P863" t="n">
        <v>0</v>
      </c>
      <c r="Q863" t="n">
        <v>0</v>
      </c>
      <c r="R863" s="2" t="inlineStr"/>
    </row>
    <row r="864" ht="15" customHeight="1">
      <c r="A864" t="inlineStr">
        <is>
          <t>A 31880-2025</t>
        </is>
      </c>
      <c r="B864" s="1" t="n">
        <v>45834.65538194445</v>
      </c>
      <c r="C864" s="1" t="n">
        <v>46045</v>
      </c>
      <c r="D864" t="inlineStr">
        <is>
          <t>STOCKHOLMS LÄN</t>
        </is>
      </c>
      <c r="E864" t="inlineStr">
        <is>
          <t>NORRTÄLJE</t>
        </is>
      </c>
      <c r="G864" t="n">
        <v>1.4</v>
      </c>
      <c r="H864" t="n">
        <v>0</v>
      </c>
      <c r="I864" t="n">
        <v>0</v>
      </c>
      <c r="J864" t="n">
        <v>0</v>
      </c>
      <c r="K864" t="n">
        <v>0</v>
      </c>
      <c r="L864" t="n">
        <v>0</v>
      </c>
      <c r="M864" t="n">
        <v>0</v>
      </c>
      <c r="N864" t="n">
        <v>0</v>
      </c>
      <c r="O864" t="n">
        <v>0</v>
      </c>
      <c r="P864" t="n">
        <v>0</v>
      </c>
      <c r="Q864" t="n">
        <v>0</v>
      </c>
      <c r="R864" s="2" t="inlineStr"/>
    </row>
    <row r="865" ht="15" customHeight="1">
      <c r="A865" t="inlineStr">
        <is>
          <t>A 21329-2022</t>
        </is>
      </c>
      <c r="B865" s="1" t="n">
        <v>44705.60626157407</v>
      </c>
      <c r="C865" s="1" t="n">
        <v>46045</v>
      </c>
      <c r="D865" t="inlineStr">
        <is>
          <t>STOCKHOLMS LÄN</t>
        </is>
      </c>
      <c r="E865" t="inlineStr">
        <is>
          <t>NORRTÄLJE</t>
        </is>
      </c>
      <c r="G865" t="n">
        <v>4.1</v>
      </c>
      <c r="H865" t="n">
        <v>0</v>
      </c>
      <c r="I865" t="n">
        <v>0</v>
      </c>
      <c r="J865" t="n">
        <v>0</v>
      </c>
      <c r="K865" t="n">
        <v>0</v>
      </c>
      <c r="L865" t="n">
        <v>0</v>
      </c>
      <c r="M865" t="n">
        <v>0</v>
      </c>
      <c r="N865" t="n">
        <v>0</v>
      </c>
      <c r="O865" t="n">
        <v>0</v>
      </c>
      <c r="P865" t="n">
        <v>0</v>
      </c>
      <c r="Q865" t="n">
        <v>0</v>
      </c>
      <c r="R865" s="2" t="inlineStr"/>
    </row>
    <row r="866" ht="15" customHeight="1">
      <c r="A866" t="inlineStr">
        <is>
          <t>A 58403-2025</t>
        </is>
      </c>
      <c r="B866" s="1" t="n">
        <v>45985.56777777777</v>
      </c>
      <c r="C866" s="1" t="n">
        <v>46045</v>
      </c>
      <c r="D866" t="inlineStr">
        <is>
          <t>STOCKHOLMS LÄN</t>
        </is>
      </c>
      <c r="E866" t="inlineStr">
        <is>
          <t>NORRTÄLJE</t>
        </is>
      </c>
      <c r="F866" t="inlineStr">
        <is>
          <t>Naturvårdsverket</t>
        </is>
      </c>
      <c r="G866" t="n">
        <v>13.5</v>
      </c>
      <c r="H866" t="n">
        <v>0</v>
      </c>
      <c r="I866" t="n">
        <v>0</v>
      </c>
      <c r="J866" t="n">
        <v>0</v>
      </c>
      <c r="K866" t="n">
        <v>0</v>
      </c>
      <c r="L866" t="n">
        <v>0</v>
      </c>
      <c r="M866" t="n">
        <v>0</v>
      </c>
      <c r="N866" t="n">
        <v>0</v>
      </c>
      <c r="O866" t="n">
        <v>0</v>
      </c>
      <c r="P866" t="n">
        <v>0</v>
      </c>
      <c r="Q866" t="n">
        <v>0</v>
      </c>
      <c r="R866" s="2" t="inlineStr"/>
    </row>
    <row r="867" ht="15" customHeight="1">
      <c r="A867" t="inlineStr">
        <is>
          <t>A 694-2026</t>
        </is>
      </c>
      <c r="B867" s="1" t="n">
        <v>46029.61375</v>
      </c>
      <c r="C867" s="1" t="n">
        <v>46045</v>
      </c>
      <c r="D867" t="inlineStr">
        <is>
          <t>STOCKHOLMS LÄN</t>
        </is>
      </c>
      <c r="E867" t="inlineStr">
        <is>
          <t>NORRTÄLJE</t>
        </is>
      </c>
      <c r="G867" t="n">
        <v>9.6</v>
      </c>
      <c r="H867" t="n">
        <v>0</v>
      </c>
      <c r="I867" t="n">
        <v>0</v>
      </c>
      <c r="J867" t="n">
        <v>0</v>
      </c>
      <c r="K867" t="n">
        <v>0</v>
      </c>
      <c r="L867" t="n">
        <v>0</v>
      </c>
      <c r="M867" t="n">
        <v>0</v>
      </c>
      <c r="N867" t="n">
        <v>0</v>
      </c>
      <c r="O867" t="n">
        <v>0</v>
      </c>
      <c r="P867" t="n">
        <v>0</v>
      </c>
      <c r="Q867" t="n">
        <v>0</v>
      </c>
      <c r="R867" s="2" t="inlineStr"/>
    </row>
    <row r="868" ht="15" customHeight="1">
      <c r="A868" t="inlineStr">
        <is>
          <t>A 32283-2025</t>
        </is>
      </c>
      <c r="B868" s="1" t="n">
        <v>45835.68076388889</v>
      </c>
      <c r="C868" s="1" t="n">
        <v>46045</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54276-2021</t>
        </is>
      </c>
      <c r="B869" s="1" t="n">
        <v>44470</v>
      </c>
      <c r="C869" s="1" t="n">
        <v>46045</v>
      </c>
      <c r="D869" t="inlineStr">
        <is>
          <t>STOCKHOLMS LÄN</t>
        </is>
      </c>
      <c r="E869" t="inlineStr">
        <is>
          <t>NORRTÄLJE</t>
        </is>
      </c>
      <c r="G869" t="n">
        <v>7.3</v>
      </c>
      <c r="H869" t="n">
        <v>0</v>
      </c>
      <c r="I869" t="n">
        <v>0</v>
      </c>
      <c r="J869" t="n">
        <v>0</v>
      </c>
      <c r="K869" t="n">
        <v>0</v>
      </c>
      <c r="L869" t="n">
        <v>0</v>
      </c>
      <c r="M869" t="n">
        <v>0</v>
      </c>
      <c r="N869" t="n">
        <v>0</v>
      </c>
      <c r="O869" t="n">
        <v>0</v>
      </c>
      <c r="P869" t="n">
        <v>0</v>
      </c>
      <c r="Q869" t="n">
        <v>0</v>
      </c>
      <c r="R869" s="2" t="inlineStr"/>
    </row>
    <row r="870" ht="15" customHeight="1">
      <c r="A870" t="inlineStr">
        <is>
          <t>A 32122-2025</t>
        </is>
      </c>
      <c r="B870" s="1" t="n">
        <v>45835.4928125</v>
      </c>
      <c r="C870" s="1" t="n">
        <v>46045</v>
      </c>
      <c r="D870" t="inlineStr">
        <is>
          <t>STOCKHOLMS LÄN</t>
        </is>
      </c>
      <c r="E870" t="inlineStr">
        <is>
          <t>NORRTÄLJE</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475-2026</t>
        </is>
      </c>
      <c r="B871" s="1" t="n">
        <v>46029.39351851852</v>
      </c>
      <c r="C871" s="1" t="n">
        <v>46045</v>
      </c>
      <c r="D871" t="inlineStr">
        <is>
          <t>STOCKHOLMS LÄN</t>
        </is>
      </c>
      <c r="E871" t="inlineStr">
        <is>
          <t>NORRTÄLJE</t>
        </is>
      </c>
      <c r="G871" t="n">
        <v>4.6</v>
      </c>
      <c r="H871" t="n">
        <v>0</v>
      </c>
      <c r="I871" t="n">
        <v>0</v>
      </c>
      <c r="J871" t="n">
        <v>0</v>
      </c>
      <c r="K871" t="n">
        <v>0</v>
      </c>
      <c r="L871" t="n">
        <v>0</v>
      </c>
      <c r="M871" t="n">
        <v>0</v>
      </c>
      <c r="N871" t="n">
        <v>0</v>
      </c>
      <c r="O871" t="n">
        <v>0</v>
      </c>
      <c r="P871" t="n">
        <v>0</v>
      </c>
      <c r="Q871" t="n">
        <v>0</v>
      </c>
      <c r="R871" s="2" t="inlineStr"/>
    </row>
    <row r="872" ht="15" customHeight="1">
      <c r="A872" t="inlineStr">
        <is>
          <t>A 693-2026</t>
        </is>
      </c>
      <c r="B872" s="1" t="n">
        <v>46029.6133449074</v>
      </c>
      <c r="C872" s="1" t="n">
        <v>46045</v>
      </c>
      <c r="D872" t="inlineStr">
        <is>
          <t>STOCKHOLMS LÄN</t>
        </is>
      </c>
      <c r="E872" t="inlineStr">
        <is>
          <t>NORRTÄLJE</t>
        </is>
      </c>
      <c r="G872" t="n">
        <v>9.6</v>
      </c>
      <c r="H872" t="n">
        <v>0</v>
      </c>
      <c r="I872" t="n">
        <v>0</v>
      </c>
      <c r="J872" t="n">
        <v>0</v>
      </c>
      <c r="K872" t="n">
        <v>0</v>
      </c>
      <c r="L872" t="n">
        <v>0</v>
      </c>
      <c r="M872" t="n">
        <v>0</v>
      </c>
      <c r="N872" t="n">
        <v>0</v>
      </c>
      <c r="O872" t="n">
        <v>0</v>
      </c>
      <c r="P872" t="n">
        <v>0</v>
      </c>
      <c r="Q872" t="n">
        <v>0</v>
      </c>
      <c r="R872" s="2" t="inlineStr"/>
    </row>
    <row r="873" ht="15" customHeight="1">
      <c r="A873" t="inlineStr">
        <is>
          <t>A 717-2026</t>
        </is>
      </c>
      <c r="B873" s="1" t="n">
        <v>46029.63028935185</v>
      </c>
      <c r="C873" s="1" t="n">
        <v>46045</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10090-2022</t>
        </is>
      </c>
      <c r="B874" s="1" t="n">
        <v>44621</v>
      </c>
      <c r="C874" s="1" t="n">
        <v>46045</v>
      </c>
      <c r="D874" t="inlineStr">
        <is>
          <t>STOCKHOLMS LÄN</t>
        </is>
      </c>
      <c r="E874" t="inlineStr">
        <is>
          <t>NORRTÄLJE</t>
        </is>
      </c>
      <c r="G874" t="n">
        <v>5.2</v>
      </c>
      <c r="H874" t="n">
        <v>0</v>
      </c>
      <c r="I874" t="n">
        <v>0</v>
      </c>
      <c r="J874" t="n">
        <v>0</v>
      </c>
      <c r="K874" t="n">
        <v>0</v>
      </c>
      <c r="L874" t="n">
        <v>0</v>
      </c>
      <c r="M874" t="n">
        <v>0</v>
      </c>
      <c r="N874" t="n">
        <v>0</v>
      </c>
      <c r="O874" t="n">
        <v>0</v>
      </c>
      <c r="P874" t="n">
        <v>0</v>
      </c>
      <c r="Q874" t="n">
        <v>0</v>
      </c>
      <c r="R874" s="2" t="inlineStr"/>
    </row>
    <row r="875" ht="15" customHeight="1">
      <c r="A875" t="inlineStr">
        <is>
          <t>A 718-2026</t>
        </is>
      </c>
      <c r="B875" s="1" t="n">
        <v>46029.63174768518</v>
      </c>
      <c r="C875" s="1" t="n">
        <v>46045</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13785-2024</t>
        </is>
      </c>
      <c r="B876" s="1" t="n">
        <v>45391.3395949074</v>
      </c>
      <c r="C876" s="1" t="n">
        <v>46045</v>
      </c>
      <c r="D876" t="inlineStr">
        <is>
          <t>STOCKHOLMS LÄN</t>
        </is>
      </c>
      <c r="E876" t="inlineStr">
        <is>
          <t>NORRTÄLJE</t>
        </is>
      </c>
      <c r="G876" t="n">
        <v>5</v>
      </c>
      <c r="H876" t="n">
        <v>0</v>
      </c>
      <c r="I876" t="n">
        <v>0</v>
      </c>
      <c r="J876" t="n">
        <v>0</v>
      </c>
      <c r="K876" t="n">
        <v>0</v>
      </c>
      <c r="L876" t="n">
        <v>0</v>
      </c>
      <c r="M876" t="n">
        <v>0</v>
      </c>
      <c r="N876" t="n">
        <v>0</v>
      </c>
      <c r="O876" t="n">
        <v>0</v>
      </c>
      <c r="P876" t="n">
        <v>0</v>
      </c>
      <c r="Q876" t="n">
        <v>0</v>
      </c>
      <c r="R876" s="2" t="inlineStr"/>
    </row>
    <row r="877" ht="15" customHeight="1">
      <c r="A877" t="inlineStr">
        <is>
          <t>A 32094-2025</t>
        </is>
      </c>
      <c r="B877" s="1" t="n">
        <v>45835.46034722222</v>
      </c>
      <c r="C877" s="1" t="n">
        <v>46045</v>
      </c>
      <c r="D877" t="inlineStr">
        <is>
          <t>STOCKHOLMS LÄN</t>
        </is>
      </c>
      <c r="E877" t="inlineStr">
        <is>
          <t>NORRTÄLJE</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32016-2025</t>
        </is>
      </c>
      <c r="B878" s="1" t="n">
        <v>45835</v>
      </c>
      <c r="C878" s="1" t="n">
        <v>46045</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32396-2025</t>
        </is>
      </c>
      <c r="B879" s="1" t="n">
        <v>45837</v>
      </c>
      <c r="C879" s="1" t="n">
        <v>46045</v>
      </c>
      <c r="D879" t="inlineStr">
        <is>
          <t>STOCKHOLMS LÄN</t>
        </is>
      </c>
      <c r="E879" t="inlineStr">
        <is>
          <t>NORRTÄLJE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32397-2025</t>
        </is>
      </c>
      <c r="B880" s="1" t="n">
        <v>45837.94081018519</v>
      </c>
      <c r="C880" s="1" t="n">
        <v>46045</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32480-2025</t>
        </is>
      </c>
      <c r="B881" s="1" t="n">
        <v>45838.43261574074</v>
      </c>
      <c r="C881" s="1" t="n">
        <v>46045</v>
      </c>
      <c r="D881" t="inlineStr">
        <is>
          <t>STOCKHOLMS LÄN</t>
        </is>
      </c>
      <c r="E881" t="inlineStr">
        <is>
          <t>NORRTÄLJE</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51116-2022</t>
        </is>
      </c>
      <c r="B882" s="1" t="n">
        <v>44868.45741898148</v>
      </c>
      <c r="C882" s="1" t="n">
        <v>46045</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812-2026</t>
        </is>
      </c>
      <c r="B883" s="1" t="n">
        <v>46030.33358796296</v>
      </c>
      <c r="C883" s="1" t="n">
        <v>46045</v>
      </c>
      <c r="D883" t="inlineStr">
        <is>
          <t>STOCKHOLMS LÄN</t>
        </is>
      </c>
      <c r="E883" t="inlineStr">
        <is>
          <t>NORRTÄLJE</t>
        </is>
      </c>
      <c r="G883" t="n">
        <v>2.4</v>
      </c>
      <c r="H883" t="n">
        <v>0</v>
      </c>
      <c r="I883" t="n">
        <v>0</v>
      </c>
      <c r="J883" t="n">
        <v>0</v>
      </c>
      <c r="K883" t="n">
        <v>0</v>
      </c>
      <c r="L883" t="n">
        <v>0</v>
      </c>
      <c r="M883" t="n">
        <v>0</v>
      </c>
      <c r="N883" t="n">
        <v>0</v>
      </c>
      <c r="O883" t="n">
        <v>0</v>
      </c>
      <c r="P883" t="n">
        <v>0</v>
      </c>
      <c r="Q883" t="n">
        <v>0</v>
      </c>
      <c r="R883" s="2" t="inlineStr"/>
    </row>
    <row r="884" ht="15" customHeight="1">
      <c r="A884" t="inlineStr">
        <is>
          <t>A 32395-2025</t>
        </is>
      </c>
      <c r="B884" s="1" t="n">
        <v>45837.93730324074</v>
      </c>
      <c r="C884" s="1" t="n">
        <v>46045</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58939-2025</t>
        </is>
      </c>
      <c r="B885" s="1" t="n">
        <v>45987.5681712963</v>
      </c>
      <c r="C885" s="1" t="n">
        <v>46045</v>
      </c>
      <c r="D885" t="inlineStr">
        <is>
          <t>STOCKHOLMS LÄN</t>
        </is>
      </c>
      <c r="E885" t="inlineStr">
        <is>
          <t>NORRTÄLJE</t>
        </is>
      </c>
      <c r="G885" t="n">
        <v>2</v>
      </c>
      <c r="H885" t="n">
        <v>0</v>
      </c>
      <c r="I885" t="n">
        <v>0</v>
      </c>
      <c r="J885" t="n">
        <v>0</v>
      </c>
      <c r="K885" t="n">
        <v>0</v>
      </c>
      <c r="L885" t="n">
        <v>0</v>
      </c>
      <c r="M885" t="n">
        <v>0</v>
      </c>
      <c r="N885" t="n">
        <v>0</v>
      </c>
      <c r="O885" t="n">
        <v>0</v>
      </c>
      <c r="P885" t="n">
        <v>0</v>
      </c>
      <c r="Q885" t="n">
        <v>0</v>
      </c>
      <c r="R885" s="2" t="inlineStr"/>
    </row>
    <row r="886" ht="15" customHeight="1">
      <c r="A886" t="inlineStr">
        <is>
          <t>A 29972-2024</t>
        </is>
      </c>
      <c r="B886" s="1" t="n">
        <v>45485</v>
      </c>
      <c r="C886" s="1" t="n">
        <v>46045</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33211-2025</t>
        </is>
      </c>
      <c r="B887" s="1" t="n">
        <v>45840.62755787037</v>
      </c>
      <c r="C887" s="1" t="n">
        <v>46045</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32903-2025</t>
        </is>
      </c>
      <c r="B888" s="1" t="n">
        <v>45839.62398148148</v>
      </c>
      <c r="C888" s="1" t="n">
        <v>46045</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33265-2025</t>
        </is>
      </c>
      <c r="B889" s="1" t="n">
        <v>45840.67829861111</v>
      </c>
      <c r="C889" s="1" t="n">
        <v>46045</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32872-2025</t>
        </is>
      </c>
      <c r="B890" s="1" t="n">
        <v>45839</v>
      </c>
      <c r="C890" s="1" t="n">
        <v>46045</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33702-2025</t>
        </is>
      </c>
      <c r="B891" s="1" t="n">
        <v>45841.74596064815</v>
      </c>
      <c r="C891" s="1" t="n">
        <v>46045</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33336-2025</t>
        </is>
      </c>
      <c r="B892" s="1" t="n">
        <v>45841.35611111111</v>
      </c>
      <c r="C892" s="1" t="n">
        <v>46045</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28809-2023</t>
        </is>
      </c>
      <c r="B893" s="1" t="n">
        <v>45104</v>
      </c>
      <c r="C893" s="1" t="n">
        <v>46045</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28813-2023</t>
        </is>
      </c>
      <c r="B894" s="1" t="n">
        <v>45104</v>
      </c>
      <c r="C894" s="1" t="n">
        <v>46045</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33552-2025</t>
        </is>
      </c>
      <c r="B895" s="1" t="n">
        <v>45841.5737962963</v>
      </c>
      <c r="C895" s="1" t="n">
        <v>46045</v>
      </c>
      <c r="D895" t="inlineStr">
        <is>
          <t>STOCKHOLMS LÄN</t>
        </is>
      </c>
      <c r="E895" t="inlineStr">
        <is>
          <t>NORRTÄLJE</t>
        </is>
      </c>
      <c r="G895" t="n">
        <v>8.9</v>
      </c>
      <c r="H895" t="n">
        <v>0</v>
      </c>
      <c r="I895" t="n">
        <v>0</v>
      </c>
      <c r="J895" t="n">
        <v>0</v>
      </c>
      <c r="K895" t="n">
        <v>0</v>
      </c>
      <c r="L895" t="n">
        <v>0</v>
      </c>
      <c r="M895" t="n">
        <v>0</v>
      </c>
      <c r="N895" t="n">
        <v>0</v>
      </c>
      <c r="O895" t="n">
        <v>0</v>
      </c>
      <c r="P895" t="n">
        <v>0</v>
      </c>
      <c r="Q895" t="n">
        <v>0</v>
      </c>
      <c r="R895" s="2" t="inlineStr"/>
    </row>
    <row r="896" ht="15" customHeight="1">
      <c r="A896" t="inlineStr">
        <is>
          <t>A 57788-2025</t>
        </is>
      </c>
      <c r="B896" s="1" t="n">
        <v>45981.5778125</v>
      </c>
      <c r="C896" s="1" t="n">
        <v>46045</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33824-2025</t>
        </is>
      </c>
      <c r="B897" s="1" t="n">
        <v>45842.46885416667</v>
      </c>
      <c r="C897" s="1" t="n">
        <v>46045</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19131-2025</t>
        </is>
      </c>
      <c r="B898" s="1" t="n">
        <v>45769</v>
      </c>
      <c r="C898" s="1" t="n">
        <v>46045</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11929-2024</t>
        </is>
      </c>
      <c r="B899" s="1" t="n">
        <v>45376.64532407407</v>
      </c>
      <c r="C899" s="1" t="n">
        <v>46045</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1755-2026</t>
        </is>
      </c>
      <c r="B900" s="1" t="n">
        <v>46034.66230324074</v>
      </c>
      <c r="C900" s="1" t="n">
        <v>46045</v>
      </c>
      <c r="D900" t="inlineStr">
        <is>
          <t>STOCKHOLMS LÄN</t>
        </is>
      </c>
      <c r="E900" t="inlineStr">
        <is>
          <t>NORRTÄLJE</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53499-2025</t>
        </is>
      </c>
      <c r="B901" s="1" t="n">
        <v>45960</v>
      </c>
      <c r="C901" s="1" t="n">
        <v>46045</v>
      </c>
      <c r="D901" t="inlineStr">
        <is>
          <t>STOCKHOLMS LÄN</t>
        </is>
      </c>
      <c r="E901" t="inlineStr">
        <is>
          <t>NORRTÄLJE</t>
        </is>
      </c>
      <c r="G901" t="n">
        <v>23.8</v>
      </c>
      <c r="H901" t="n">
        <v>0</v>
      </c>
      <c r="I901" t="n">
        <v>0</v>
      </c>
      <c r="J901" t="n">
        <v>0</v>
      </c>
      <c r="K901" t="n">
        <v>0</v>
      </c>
      <c r="L901" t="n">
        <v>0</v>
      </c>
      <c r="M901" t="n">
        <v>0</v>
      </c>
      <c r="N901" t="n">
        <v>0</v>
      </c>
      <c r="O901" t="n">
        <v>0</v>
      </c>
      <c r="P901" t="n">
        <v>0</v>
      </c>
      <c r="Q901" t="n">
        <v>0</v>
      </c>
      <c r="R901" s="2" t="inlineStr"/>
    </row>
    <row r="902" ht="15" customHeight="1">
      <c r="A902" t="inlineStr">
        <is>
          <t>A 46073-2024</t>
        </is>
      </c>
      <c r="B902" s="1" t="n">
        <v>45581</v>
      </c>
      <c r="C902" s="1" t="n">
        <v>46045</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64145-2021</t>
        </is>
      </c>
      <c r="B903" s="1" t="n">
        <v>44510</v>
      </c>
      <c r="C903" s="1" t="n">
        <v>46045</v>
      </c>
      <c r="D903" t="inlineStr">
        <is>
          <t>STOCKHOLMS LÄN</t>
        </is>
      </c>
      <c r="E903" t="inlineStr">
        <is>
          <t>NORRTÄLJE</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59672-2025</t>
        </is>
      </c>
      <c r="B904" s="1" t="n">
        <v>45992.45884259259</v>
      </c>
      <c r="C904" s="1" t="n">
        <v>46045</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36689-2023</t>
        </is>
      </c>
      <c r="B905" s="1" t="n">
        <v>45152</v>
      </c>
      <c r="C905" s="1" t="n">
        <v>46045</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45451-2024</t>
        </is>
      </c>
      <c r="B906" s="1" t="n">
        <v>45576</v>
      </c>
      <c r="C906" s="1" t="n">
        <v>46045</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34139-2025</t>
        </is>
      </c>
      <c r="B907" s="1" t="n">
        <v>45845</v>
      </c>
      <c r="C907" s="1" t="n">
        <v>46045</v>
      </c>
      <c r="D907" t="inlineStr">
        <is>
          <t>STOCKHOLMS LÄN</t>
        </is>
      </c>
      <c r="E907" t="inlineStr">
        <is>
          <t>NORRTÄLJE</t>
        </is>
      </c>
      <c r="G907" t="n">
        <v>5.5</v>
      </c>
      <c r="H907" t="n">
        <v>0</v>
      </c>
      <c r="I907" t="n">
        <v>0</v>
      </c>
      <c r="J907" t="n">
        <v>0</v>
      </c>
      <c r="K907" t="n">
        <v>0</v>
      </c>
      <c r="L907" t="n">
        <v>0</v>
      </c>
      <c r="M907" t="n">
        <v>0</v>
      </c>
      <c r="N907" t="n">
        <v>0</v>
      </c>
      <c r="O907" t="n">
        <v>0</v>
      </c>
      <c r="P907" t="n">
        <v>0</v>
      </c>
      <c r="Q907" t="n">
        <v>0</v>
      </c>
      <c r="R907" s="2" t="inlineStr"/>
    </row>
    <row r="908" ht="15" customHeight="1">
      <c r="A908" t="inlineStr">
        <is>
          <t>A 34006-2025</t>
        </is>
      </c>
      <c r="B908" s="1" t="n">
        <v>45844.62609953704</v>
      </c>
      <c r="C908" s="1" t="n">
        <v>46045</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34010-2025</t>
        </is>
      </c>
      <c r="B909" s="1" t="n">
        <v>45844.91234953704</v>
      </c>
      <c r="C909" s="1" t="n">
        <v>46045</v>
      </c>
      <c r="D909" t="inlineStr">
        <is>
          <t>STOCKHOLMS LÄN</t>
        </is>
      </c>
      <c r="E909" t="inlineStr">
        <is>
          <t>NORRTÄLJE</t>
        </is>
      </c>
      <c r="F909" t="inlineStr">
        <is>
          <t>Övriga Aktiebolag</t>
        </is>
      </c>
      <c r="G909" t="n">
        <v>1.1</v>
      </c>
      <c r="H909" t="n">
        <v>0</v>
      </c>
      <c r="I909" t="n">
        <v>0</v>
      </c>
      <c r="J909" t="n">
        <v>0</v>
      </c>
      <c r="K909" t="n">
        <v>0</v>
      </c>
      <c r="L909" t="n">
        <v>0</v>
      </c>
      <c r="M909" t="n">
        <v>0</v>
      </c>
      <c r="N909" t="n">
        <v>0</v>
      </c>
      <c r="O909" t="n">
        <v>0</v>
      </c>
      <c r="P909" t="n">
        <v>0</v>
      </c>
      <c r="Q909" t="n">
        <v>0</v>
      </c>
      <c r="R909" s="2" t="inlineStr"/>
    </row>
    <row r="910" ht="15" customHeight="1">
      <c r="A910" t="inlineStr">
        <is>
          <t>A 60223-2025</t>
        </is>
      </c>
      <c r="B910" s="1" t="n">
        <v>45994.54497685185</v>
      </c>
      <c r="C910" s="1" t="n">
        <v>46045</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59914-2025</t>
        </is>
      </c>
      <c r="B911" s="1" t="n">
        <v>45993.37056712963</v>
      </c>
      <c r="C911" s="1" t="n">
        <v>46045</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59041-2025</t>
        </is>
      </c>
      <c r="B912" s="1" t="n">
        <v>45988</v>
      </c>
      <c r="C912" s="1" t="n">
        <v>46045</v>
      </c>
      <c r="D912" t="inlineStr">
        <is>
          <t>STOCKHOLMS LÄN</t>
        </is>
      </c>
      <c r="E912" t="inlineStr">
        <is>
          <t>NORRTÄLJE</t>
        </is>
      </c>
      <c r="G912" t="n">
        <v>6.6</v>
      </c>
      <c r="H912" t="n">
        <v>0</v>
      </c>
      <c r="I912" t="n">
        <v>0</v>
      </c>
      <c r="J912" t="n">
        <v>0</v>
      </c>
      <c r="K912" t="n">
        <v>0</v>
      </c>
      <c r="L912" t="n">
        <v>0</v>
      </c>
      <c r="M912" t="n">
        <v>0</v>
      </c>
      <c r="N912" t="n">
        <v>0</v>
      </c>
      <c r="O912" t="n">
        <v>0</v>
      </c>
      <c r="P912" t="n">
        <v>0</v>
      </c>
      <c r="Q912" t="n">
        <v>0</v>
      </c>
      <c r="R912" s="2" t="inlineStr"/>
    </row>
    <row r="913" ht="15" customHeight="1">
      <c r="A913" t="inlineStr">
        <is>
          <t>A 33279-2025</t>
        </is>
      </c>
      <c r="B913" s="1" t="n">
        <v>45840</v>
      </c>
      <c r="C913" s="1" t="n">
        <v>46045</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60214-2025</t>
        </is>
      </c>
      <c r="B914" s="1" t="n">
        <v>45994.53761574074</v>
      </c>
      <c r="C914" s="1" t="n">
        <v>46045</v>
      </c>
      <c r="D914" t="inlineStr">
        <is>
          <t>STOCKHOLMS LÄN</t>
        </is>
      </c>
      <c r="E914" t="inlineStr">
        <is>
          <t>NORRTÄLJE</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2116-2026</t>
        </is>
      </c>
      <c r="B915" s="1" t="n">
        <v>46036.38108796296</v>
      </c>
      <c r="C915" s="1" t="n">
        <v>46045</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2088-2026</t>
        </is>
      </c>
      <c r="B916" s="1" t="n">
        <v>46036.35909722222</v>
      </c>
      <c r="C916" s="1" t="n">
        <v>46045</v>
      </c>
      <c r="D916" t="inlineStr">
        <is>
          <t>STOCKHOLMS LÄN</t>
        </is>
      </c>
      <c r="E916" t="inlineStr">
        <is>
          <t>NORRTÄLJE</t>
        </is>
      </c>
      <c r="G916" t="n">
        <v>7</v>
      </c>
      <c r="H916" t="n">
        <v>0</v>
      </c>
      <c r="I916" t="n">
        <v>0</v>
      </c>
      <c r="J916" t="n">
        <v>0</v>
      </c>
      <c r="K916" t="n">
        <v>0</v>
      </c>
      <c r="L916" t="n">
        <v>0</v>
      </c>
      <c r="M916" t="n">
        <v>0</v>
      </c>
      <c r="N916" t="n">
        <v>0</v>
      </c>
      <c r="O916" t="n">
        <v>0</v>
      </c>
      <c r="P916" t="n">
        <v>0</v>
      </c>
      <c r="Q916" t="n">
        <v>0</v>
      </c>
      <c r="R916" s="2" t="inlineStr"/>
    </row>
    <row r="917" ht="15" customHeight="1">
      <c r="A917" t="inlineStr">
        <is>
          <t>A 60253-2025</t>
        </is>
      </c>
      <c r="B917" s="1" t="n">
        <v>45994.59827546297</v>
      </c>
      <c r="C917" s="1" t="n">
        <v>46045</v>
      </c>
      <c r="D917" t="inlineStr">
        <is>
          <t>STOCKHOLMS LÄN</t>
        </is>
      </c>
      <c r="E917" t="inlineStr">
        <is>
          <t>NORRTÄLJE</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35110-2025</t>
        </is>
      </c>
      <c r="B918" s="1" t="n">
        <v>45852.58030092593</v>
      </c>
      <c r="C918" s="1" t="n">
        <v>46045</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59907-2025</t>
        </is>
      </c>
      <c r="B919" s="1" t="n">
        <v>45993.35350694445</v>
      </c>
      <c r="C919" s="1" t="n">
        <v>46045</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59924-2025</t>
        </is>
      </c>
      <c r="B920" s="1" t="n">
        <v>45993.38928240741</v>
      </c>
      <c r="C920" s="1" t="n">
        <v>46045</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17843-2024</t>
        </is>
      </c>
      <c r="B921" s="1" t="n">
        <v>45418</v>
      </c>
      <c r="C921" s="1" t="n">
        <v>46045</v>
      </c>
      <c r="D921" t="inlineStr">
        <is>
          <t>STOCKHOLMS LÄN</t>
        </is>
      </c>
      <c r="E921" t="inlineStr">
        <is>
          <t>NORRTÄLJE</t>
        </is>
      </c>
      <c r="G921" t="n">
        <v>5.4</v>
      </c>
      <c r="H921" t="n">
        <v>0</v>
      </c>
      <c r="I921" t="n">
        <v>0</v>
      </c>
      <c r="J921" t="n">
        <v>0</v>
      </c>
      <c r="K921" t="n">
        <v>0</v>
      </c>
      <c r="L921" t="n">
        <v>0</v>
      </c>
      <c r="M921" t="n">
        <v>0</v>
      </c>
      <c r="N921" t="n">
        <v>0</v>
      </c>
      <c r="O921" t="n">
        <v>0</v>
      </c>
      <c r="P921" t="n">
        <v>0</v>
      </c>
      <c r="Q921" t="n">
        <v>0</v>
      </c>
      <c r="R921" s="2" t="inlineStr"/>
    </row>
    <row r="922" ht="15" customHeight="1">
      <c r="A922" t="inlineStr">
        <is>
          <t>A 35254-2025</t>
        </is>
      </c>
      <c r="B922" s="1" t="n">
        <v>45853</v>
      </c>
      <c r="C922" s="1" t="n">
        <v>46045</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35479-2025</t>
        </is>
      </c>
      <c r="B923" s="1" t="n">
        <v>45855.69387731481</v>
      </c>
      <c r="C923" s="1" t="n">
        <v>46045</v>
      </c>
      <c r="D923" t="inlineStr">
        <is>
          <t>STOCKHOLMS LÄN</t>
        </is>
      </c>
      <c r="E923" t="inlineStr">
        <is>
          <t>NORRTÄLJE</t>
        </is>
      </c>
      <c r="F923" t="inlineStr">
        <is>
          <t>Holmen skog AB</t>
        </is>
      </c>
      <c r="G923" t="n">
        <v>1.8</v>
      </c>
      <c r="H923" t="n">
        <v>0</v>
      </c>
      <c r="I923" t="n">
        <v>0</v>
      </c>
      <c r="J923" t="n">
        <v>0</v>
      </c>
      <c r="K923" t="n">
        <v>0</v>
      </c>
      <c r="L923" t="n">
        <v>0</v>
      </c>
      <c r="M923" t="n">
        <v>0</v>
      </c>
      <c r="N923" t="n">
        <v>0</v>
      </c>
      <c r="O923" t="n">
        <v>0</v>
      </c>
      <c r="P923" t="n">
        <v>0</v>
      </c>
      <c r="Q923" t="n">
        <v>0</v>
      </c>
      <c r="R923" s="2" t="inlineStr"/>
    </row>
    <row r="924" ht="15" customHeight="1">
      <c r="A924" t="inlineStr">
        <is>
          <t>A 1789-2026</t>
        </is>
      </c>
      <c r="B924" s="1" t="n">
        <v>46034</v>
      </c>
      <c r="C924" s="1" t="n">
        <v>46045</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35451-2025</t>
        </is>
      </c>
      <c r="B925" s="1" t="n">
        <v>45855.57033564815</v>
      </c>
      <c r="C925" s="1" t="n">
        <v>46045</v>
      </c>
      <c r="D925" t="inlineStr">
        <is>
          <t>STOCKHOLMS LÄN</t>
        </is>
      </c>
      <c r="E925" t="inlineStr">
        <is>
          <t>NORRTÄLJE</t>
        </is>
      </c>
      <c r="F925" t="inlineStr">
        <is>
          <t>Holmen skog AB</t>
        </is>
      </c>
      <c r="G925" t="n">
        <v>7.4</v>
      </c>
      <c r="H925" t="n">
        <v>0</v>
      </c>
      <c r="I925" t="n">
        <v>0</v>
      </c>
      <c r="J925" t="n">
        <v>0</v>
      </c>
      <c r="K925" t="n">
        <v>0</v>
      </c>
      <c r="L925" t="n">
        <v>0</v>
      </c>
      <c r="M925" t="n">
        <v>0</v>
      </c>
      <c r="N925" t="n">
        <v>0</v>
      </c>
      <c r="O925" t="n">
        <v>0</v>
      </c>
      <c r="P925" t="n">
        <v>0</v>
      </c>
      <c r="Q925" t="n">
        <v>0</v>
      </c>
      <c r="R925" s="2" t="inlineStr"/>
    </row>
    <row r="926" ht="15" customHeight="1">
      <c r="A926" t="inlineStr">
        <is>
          <t>A 35478-2025</t>
        </is>
      </c>
      <c r="B926" s="1" t="n">
        <v>45855.68413194444</v>
      </c>
      <c r="C926" s="1" t="n">
        <v>46045</v>
      </c>
      <c r="D926" t="inlineStr">
        <is>
          <t>STOCKHOLMS LÄN</t>
        </is>
      </c>
      <c r="E926" t="inlineStr">
        <is>
          <t>NORRTÄLJE</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12890-2024</t>
        </is>
      </c>
      <c r="B927" s="1" t="n">
        <v>45385.36243055556</v>
      </c>
      <c r="C927" s="1" t="n">
        <v>46045</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36430-2024</t>
        </is>
      </c>
      <c r="B928" s="1" t="n">
        <v>45536</v>
      </c>
      <c r="C928" s="1" t="n">
        <v>46045</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60649-2025</t>
        </is>
      </c>
      <c r="B929" s="1" t="n">
        <v>45996.4560300926</v>
      </c>
      <c r="C929" s="1" t="n">
        <v>46045</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41172-2023</t>
        </is>
      </c>
      <c r="B930" s="1" t="n">
        <v>45170</v>
      </c>
      <c r="C930" s="1" t="n">
        <v>46045</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20698-2025</t>
        </is>
      </c>
      <c r="B931" s="1" t="n">
        <v>45776.47122685185</v>
      </c>
      <c r="C931" s="1" t="n">
        <v>46045</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67921-2021</t>
        </is>
      </c>
      <c r="B932" s="1" t="n">
        <v>44525</v>
      </c>
      <c r="C932" s="1" t="n">
        <v>46045</v>
      </c>
      <c r="D932" t="inlineStr">
        <is>
          <t>STOCKHOLMS LÄN</t>
        </is>
      </c>
      <c r="E932" t="inlineStr">
        <is>
          <t>NORRTÄLJE</t>
        </is>
      </c>
      <c r="G932" t="n">
        <v>6.3</v>
      </c>
      <c r="H932" t="n">
        <v>0</v>
      </c>
      <c r="I932" t="n">
        <v>0</v>
      </c>
      <c r="J932" t="n">
        <v>0</v>
      </c>
      <c r="K932" t="n">
        <v>0</v>
      </c>
      <c r="L932" t="n">
        <v>0</v>
      </c>
      <c r="M932" t="n">
        <v>0</v>
      </c>
      <c r="N932" t="n">
        <v>0</v>
      </c>
      <c r="O932" t="n">
        <v>0</v>
      </c>
      <c r="P932" t="n">
        <v>0</v>
      </c>
      <c r="Q932" t="n">
        <v>0</v>
      </c>
      <c r="R932" s="2" t="inlineStr"/>
    </row>
    <row r="933" ht="15" customHeight="1">
      <c r="A933" t="inlineStr">
        <is>
          <t>A 72704-2021</t>
        </is>
      </c>
      <c r="B933" s="1" t="n">
        <v>44546</v>
      </c>
      <c r="C933" s="1" t="n">
        <v>46045</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3549-2026</t>
        </is>
      </c>
      <c r="B934" s="1" t="n">
        <v>46042.64372685185</v>
      </c>
      <c r="C934" s="1" t="n">
        <v>46045</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36396-2025</t>
        </is>
      </c>
      <c r="B935" s="1" t="n">
        <v>45868.62267361111</v>
      </c>
      <c r="C935" s="1" t="n">
        <v>46045</v>
      </c>
      <c r="D935" t="inlineStr">
        <is>
          <t>STOCKHOLMS LÄN</t>
        </is>
      </c>
      <c r="E935" t="inlineStr">
        <is>
          <t>NORRTÄLJE</t>
        </is>
      </c>
      <c r="G935" t="n">
        <v>4.1</v>
      </c>
      <c r="H935" t="n">
        <v>0</v>
      </c>
      <c r="I935" t="n">
        <v>0</v>
      </c>
      <c r="J935" t="n">
        <v>0</v>
      </c>
      <c r="K935" t="n">
        <v>0</v>
      </c>
      <c r="L935" t="n">
        <v>0</v>
      </c>
      <c r="M935" t="n">
        <v>0</v>
      </c>
      <c r="N935" t="n">
        <v>0</v>
      </c>
      <c r="O935" t="n">
        <v>0</v>
      </c>
      <c r="P935" t="n">
        <v>0</v>
      </c>
      <c r="Q935" t="n">
        <v>0</v>
      </c>
      <c r="R935" s="2" t="inlineStr"/>
    </row>
    <row r="936" ht="15" customHeight="1">
      <c r="A936" t="inlineStr">
        <is>
          <t>A 65499-2021</t>
        </is>
      </c>
      <c r="B936" s="1" t="n">
        <v>44516</v>
      </c>
      <c r="C936" s="1" t="n">
        <v>46045</v>
      </c>
      <c r="D936" t="inlineStr">
        <is>
          <t>STOCKHOLMS LÄN</t>
        </is>
      </c>
      <c r="E936" t="inlineStr">
        <is>
          <t>NORRTÄLJE</t>
        </is>
      </c>
      <c r="F936" t="inlineStr">
        <is>
          <t>Kommuner</t>
        </is>
      </c>
      <c r="G936" t="n">
        <v>5.2</v>
      </c>
      <c r="H936" t="n">
        <v>0</v>
      </c>
      <c r="I936" t="n">
        <v>0</v>
      </c>
      <c r="J936" t="n">
        <v>0</v>
      </c>
      <c r="K936" t="n">
        <v>0</v>
      </c>
      <c r="L936" t="n">
        <v>0</v>
      </c>
      <c r="M936" t="n">
        <v>0</v>
      </c>
      <c r="N936" t="n">
        <v>0</v>
      </c>
      <c r="O936" t="n">
        <v>0</v>
      </c>
      <c r="P936" t="n">
        <v>0</v>
      </c>
      <c r="Q936" t="n">
        <v>0</v>
      </c>
      <c r="R936" s="2" t="inlineStr"/>
    </row>
    <row r="937" ht="15" customHeight="1">
      <c r="A937" t="inlineStr">
        <is>
          <t>A 65511-2021</t>
        </is>
      </c>
      <c r="B937" s="1" t="n">
        <v>44516.40674768519</v>
      </c>
      <c r="C937" s="1" t="n">
        <v>46045</v>
      </c>
      <c r="D937" t="inlineStr">
        <is>
          <t>STOCKHOLMS LÄN</t>
        </is>
      </c>
      <c r="E937" t="inlineStr">
        <is>
          <t>NORRTÄLJE</t>
        </is>
      </c>
      <c r="F937" t="inlineStr">
        <is>
          <t>Kommuner</t>
        </is>
      </c>
      <c r="G937" t="n">
        <v>2.8</v>
      </c>
      <c r="H937" t="n">
        <v>0</v>
      </c>
      <c r="I937" t="n">
        <v>0</v>
      </c>
      <c r="J937" t="n">
        <v>0</v>
      </c>
      <c r="K937" t="n">
        <v>0</v>
      </c>
      <c r="L937" t="n">
        <v>0</v>
      </c>
      <c r="M937" t="n">
        <v>0</v>
      </c>
      <c r="N937" t="n">
        <v>0</v>
      </c>
      <c r="O937" t="n">
        <v>0</v>
      </c>
      <c r="P937" t="n">
        <v>0</v>
      </c>
      <c r="Q937" t="n">
        <v>0</v>
      </c>
      <c r="R937" s="2" t="inlineStr"/>
    </row>
    <row r="938" ht="15" customHeight="1">
      <c r="A938" t="inlineStr">
        <is>
          <t>A 60745-2025</t>
        </is>
      </c>
      <c r="B938" s="1" t="n">
        <v>45999.37753472223</v>
      </c>
      <c r="C938" s="1" t="n">
        <v>46045</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22232-2024</t>
        </is>
      </c>
      <c r="B939" s="1" t="n">
        <v>45446.4287962963</v>
      </c>
      <c r="C939" s="1" t="n">
        <v>46045</v>
      </c>
      <c r="D939" t="inlineStr">
        <is>
          <t>STOCKHOLMS LÄN</t>
        </is>
      </c>
      <c r="E939" t="inlineStr">
        <is>
          <t>NORRTÄLJE</t>
        </is>
      </c>
      <c r="G939" t="n">
        <v>12.8</v>
      </c>
      <c r="H939" t="n">
        <v>0</v>
      </c>
      <c r="I939" t="n">
        <v>0</v>
      </c>
      <c r="J939" t="n">
        <v>0</v>
      </c>
      <c r="K939" t="n">
        <v>0</v>
      </c>
      <c r="L939" t="n">
        <v>0</v>
      </c>
      <c r="M939" t="n">
        <v>0</v>
      </c>
      <c r="N939" t="n">
        <v>0</v>
      </c>
      <c r="O939" t="n">
        <v>0</v>
      </c>
      <c r="P939" t="n">
        <v>0</v>
      </c>
      <c r="Q939" t="n">
        <v>0</v>
      </c>
      <c r="R939" s="2" t="inlineStr"/>
    </row>
    <row r="940" ht="15" customHeight="1">
      <c r="A940" t="inlineStr">
        <is>
          <t>A 34444-2024</t>
        </is>
      </c>
      <c r="B940" s="1" t="n">
        <v>45525</v>
      </c>
      <c r="C940" s="1" t="n">
        <v>46045</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26113-2024</t>
        </is>
      </c>
      <c r="B941" s="1" t="n">
        <v>45468.45541666666</v>
      </c>
      <c r="C941" s="1" t="n">
        <v>46045</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26116-2024</t>
        </is>
      </c>
      <c r="B942" s="1" t="n">
        <v>45468.45747685185</v>
      </c>
      <c r="C942" s="1" t="n">
        <v>46045</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52686-2024</t>
        </is>
      </c>
      <c r="B943" s="1" t="n">
        <v>45610.39271990741</v>
      </c>
      <c r="C943" s="1" t="n">
        <v>46045</v>
      </c>
      <c r="D943" t="inlineStr">
        <is>
          <t>STOCKHOLMS LÄN</t>
        </is>
      </c>
      <c r="E943" t="inlineStr">
        <is>
          <t>NORRTÄLJE</t>
        </is>
      </c>
      <c r="G943" t="n">
        <v>5.7</v>
      </c>
      <c r="H943" t="n">
        <v>0</v>
      </c>
      <c r="I943" t="n">
        <v>0</v>
      </c>
      <c r="J943" t="n">
        <v>0</v>
      </c>
      <c r="K943" t="n">
        <v>0</v>
      </c>
      <c r="L943" t="n">
        <v>0</v>
      </c>
      <c r="M943" t="n">
        <v>0</v>
      </c>
      <c r="N943" t="n">
        <v>0</v>
      </c>
      <c r="O943" t="n">
        <v>0</v>
      </c>
      <c r="P943" t="n">
        <v>0</v>
      </c>
      <c r="Q943" t="n">
        <v>0</v>
      </c>
      <c r="R943" s="2" t="inlineStr"/>
    </row>
    <row r="944" ht="15" customHeight="1">
      <c r="A944" t="inlineStr">
        <is>
          <t>A 60928-2025</t>
        </is>
      </c>
      <c r="B944" s="1" t="n">
        <v>45999.633125</v>
      </c>
      <c r="C944" s="1" t="n">
        <v>46045</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60948-2025</t>
        </is>
      </c>
      <c r="B945" s="1" t="n">
        <v>45999.650625</v>
      </c>
      <c r="C945" s="1" t="n">
        <v>46045</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61160-2025</t>
        </is>
      </c>
      <c r="B946" s="1" t="n">
        <v>46000.55262731481</v>
      </c>
      <c r="C946" s="1" t="n">
        <v>46045</v>
      </c>
      <c r="D946" t="inlineStr">
        <is>
          <t>STOCKHOLMS LÄN</t>
        </is>
      </c>
      <c r="E946" t="inlineStr">
        <is>
          <t>NORRTÄLJE</t>
        </is>
      </c>
      <c r="G946" t="n">
        <v>5.3</v>
      </c>
      <c r="H946" t="n">
        <v>0</v>
      </c>
      <c r="I946" t="n">
        <v>0</v>
      </c>
      <c r="J946" t="n">
        <v>0</v>
      </c>
      <c r="K946" t="n">
        <v>0</v>
      </c>
      <c r="L946" t="n">
        <v>0</v>
      </c>
      <c r="M946" t="n">
        <v>0</v>
      </c>
      <c r="N946" t="n">
        <v>0</v>
      </c>
      <c r="O946" t="n">
        <v>0</v>
      </c>
      <c r="P946" t="n">
        <v>0</v>
      </c>
      <c r="Q946" t="n">
        <v>0</v>
      </c>
      <c r="R946" s="2" t="inlineStr"/>
    </row>
    <row r="947" ht="15" customHeight="1">
      <c r="A947" t="inlineStr">
        <is>
          <t>A 31105-2022</t>
        </is>
      </c>
      <c r="B947" s="1" t="n">
        <v>44769.66039351852</v>
      </c>
      <c r="C947" s="1" t="n">
        <v>46045</v>
      </c>
      <c r="D947" t="inlineStr">
        <is>
          <t>STOCKHOLMS LÄN</t>
        </is>
      </c>
      <c r="E947" t="inlineStr">
        <is>
          <t>NORRTÄLJE</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39610-2025</t>
        </is>
      </c>
      <c r="B948" s="1" t="n">
        <v>45890</v>
      </c>
      <c r="C948" s="1" t="n">
        <v>46045</v>
      </c>
      <c r="D948" t="inlineStr">
        <is>
          <t>STOCKHOLMS LÄN</t>
        </is>
      </c>
      <c r="E948" t="inlineStr">
        <is>
          <t>NORRTÄLJE</t>
        </is>
      </c>
      <c r="G948" t="n">
        <v>28.6</v>
      </c>
      <c r="H948" t="n">
        <v>0</v>
      </c>
      <c r="I948" t="n">
        <v>0</v>
      </c>
      <c r="J948" t="n">
        <v>0</v>
      </c>
      <c r="K948" t="n">
        <v>0</v>
      </c>
      <c r="L948" t="n">
        <v>0</v>
      </c>
      <c r="M948" t="n">
        <v>0</v>
      </c>
      <c r="N948" t="n">
        <v>0</v>
      </c>
      <c r="O948" t="n">
        <v>0</v>
      </c>
      <c r="P948" t="n">
        <v>0</v>
      </c>
      <c r="Q948" t="n">
        <v>0</v>
      </c>
      <c r="R948" s="2" t="inlineStr"/>
    </row>
    <row r="949" ht="15" customHeight="1">
      <c r="A949" t="inlineStr">
        <is>
          <t>A 4227-2026</t>
        </is>
      </c>
      <c r="B949" s="1" t="n">
        <v>46044.87450231481</v>
      </c>
      <c r="C949" s="1" t="n">
        <v>46045</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3933-2026</t>
        </is>
      </c>
      <c r="B950" s="1" t="n">
        <v>46043.79916666666</v>
      </c>
      <c r="C950" s="1" t="n">
        <v>46045</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61769-2025</t>
        </is>
      </c>
      <c r="B951" s="1" t="n">
        <v>46002.64556712963</v>
      </c>
      <c r="C951" s="1" t="n">
        <v>46045</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37261-2025</t>
        </is>
      </c>
      <c r="B952" s="1" t="n">
        <v>45876.45253472222</v>
      </c>
      <c r="C952" s="1" t="n">
        <v>46045</v>
      </c>
      <c r="D952" t="inlineStr">
        <is>
          <t>STOCKHOLMS LÄN</t>
        </is>
      </c>
      <c r="E952" t="inlineStr">
        <is>
          <t>NORRTÄLJE</t>
        </is>
      </c>
      <c r="F952" t="inlineStr">
        <is>
          <t>Kommuner</t>
        </is>
      </c>
      <c r="G952" t="n">
        <v>2.2</v>
      </c>
      <c r="H952" t="n">
        <v>0</v>
      </c>
      <c r="I952" t="n">
        <v>0</v>
      </c>
      <c r="J952" t="n">
        <v>0</v>
      </c>
      <c r="K952" t="n">
        <v>0</v>
      </c>
      <c r="L952" t="n">
        <v>0</v>
      </c>
      <c r="M952" t="n">
        <v>0</v>
      </c>
      <c r="N952" t="n">
        <v>0</v>
      </c>
      <c r="O952" t="n">
        <v>0</v>
      </c>
      <c r="P952" t="n">
        <v>0</v>
      </c>
      <c r="Q952" t="n">
        <v>0</v>
      </c>
      <c r="R952" s="2" t="inlineStr"/>
    </row>
    <row r="953" ht="15" customHeight="1">
      <c r="A953" t="inlineStr">
        <is>
          <t>A 62644-2023</t>
        </is>
      </c>
      <c r="B953" s="1" t="n">
        <v>45271</v>
      </c>
      <c r="C953" s="1" t="n">
        <v>46045</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20692-2025</t>
        </is>
      </c>
      <c r="B954" s="1" t="n">
        <v>45776.46369212963</v>
      </c>
      <c r="C954" s="1" t="n">
        <v>46045</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60185-2024</t>
        </is>
      </c>
      <c r="B955" s="1" t="n">
        <v>45642.64634259259</v>
      </c>
      <c r="C955" s="1" t="n">
        <v>46045</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60765-2023</t>
        </is>
      </c>
      <c r="B956" s="1" t="n">
        <v>45260</v>
      </c>
      <c r="C956" s="1" t="n">
        <v>46045</v>
      </c>
      <c r="D956" t="inlineStr">
        <is>
          <t>STOCKHOLMS LÄN</t>
        </is>
      </c>
      <c r="E956" t="inlineStr">
        <is>
          <t>NORRTÄLJE</t>
        </is>
      </c>
      <c r="G956" t="n">
        <v>3.7</v>
      </c>
      <c r="H956" t="n">
        <v>0</v>
      </c>
      <c r="I956" t="n">
        <v>0</v>
      </c>
      <c r="J956" t="n">
        <v>0</v>
      </c>
      <c r="K956" t="n">
        <v>0</v>
      </c>
      <c r="L956" t="n">
        <v>0</v>
      </c>
      <c r="M956" t="n">
        <v>0</v>
      </c>
      <c r="N956" t="n">
        <v>0</v>
      </c>
      <c r="O956" t="n">
        <v>0</v>
      </c>
      <c r="P956" t="n">
        <v>0</v>
      </c>
      <c r="Q956" t="n">
        <v>0</v>
      </c>
      <c r="R956" s="2" t="inlineStr"/>
    </row>
    <row r="957" ht="15" customHeight="1">
      <c r="A957" t="inlineStr">
        <is>
          <t>A 61764-2025</t>
        </is>
      </c>
      <c r="B957" s="1" t="n">
        <v>46002.62763888889</v>
      </c>
      <c r="C957" s="1" t="n">
        <v>46045</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46071-2024</t>
        </is>
      </c>
      <c r="B958" s="1" t="n">
        <v>45581</v>
      </c>
      <c r="C958" s="1" t="n">
        <v>46045</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12268-2022</t>
        </is>
      </c>
      <c r="B959" s="1" t="n">
        <v>44637</v>
      </c>
      <c r="C959" s="1" t="n">
        <v>46045</v>
      </c>
      <c r="D959" t="inlineStr">
        <is>
          <t>STOCKHOLMS LÄN</t>
        </is>
      </c>
      <c r="E959" t="inlineStr">
        <is>
          <t>NORRTÄLJE</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29369-2024</t>
        </is>
      </c>
      <c r="B960" s="1" t="n">
        <v>45483.57244212963</v>
      </c>
      <c r="C960" s="1" t="n">
        <v>46045</v>
      </c>
      <c r="D960" t="inlineStr">
        <is>
          <t>STOCKHOLMS LÄN</t>
        </is>
      </c>
      <c r="E960" t="inlineStr">
        <is>
          <t>NORRTÄLJE</t>
        </is>
      </c>
      <c r="G960" t="n">
        <v>15.9</v>
      </c>
      <c r="H960" t="n">
        <v>0</v>
      </c>
      <c r="I960" t="n">
        <v>0</v>
      </c>
      <c r="J960" t="n">
        <v>0</v>
      </c>
      <c r="K960" t="n">
        <v>0</v>
      </c>
      <c r="L960" t="n">
        <v>0</v>
      </c>
      <c r="M960" t="n">
        <v>0</v>
      </c>
      <c r="N960" t="n">
        <v>0</v>
      </c>
      <c r="O960" t="n">
        <v>0</v>
      </c>
      <c r="P960" t="n">
        <v>0</v>
      </c>
      <c r="Q960" t="n">
        <v>0</v>
      </c>
      <c r="R960" s="2" t="inlineStr"/>
    </row>
    <row r="961" ht="15" customHeight="1">
      <c r="A961" t="inlineStr">
        <is>
          <t>A 37630-2025</t>
        </is>
      </c>
      <c r="B961" s="1" t="n">
        <v>45880.46372685185</v>
      </c>
      <c r="C961" s="1" t="n">
        <v>46045</v>
      </c>
      <c r="D961" t="inlineStr">
        <is>
          <t>STOCKHOLMS LÄN</t>
        </is>
      </c>
      <c r="E961" t="inlineStr">
        <is>
          <t>NORRTÄLJE</t>
        </is>
      </c>
      <c r="F961" t="inlineStr">
        <is>
          <t>Sveaskog</t>
        </is>
      </c>
      <c r="G961" t="n">
        <v>12.9</v>
      </c>
      <c r="H961" t="n">
        <v>0</v>
      </c>
      <c r="I961" t="n">
        <v>0</v>
      </c>
      <c r="J961" t="n">
        <v>0</v>
      </c>
      <c r="K961" t="n">
        <v>0</v>
      </c>
      <c r="L961" t="n">
        <v>0</v>
      </c>
      <c r="M961" t="n">
        <v>0</v>
      </c>
      <c r="N961" t="n">
        <v>0</v>
      </c>
      <c r="O961" t="n">
        <v>0</v>
      </c>
      <c r="P961" t="n">
        <v>0</v>
      </c>
      <c r="Q961" t="n">
        <v>0</v>
      </c>
      <c r="R961" s="2" t="inlineStr"/>
    </row>
    <row r="962" ht="15" customHeight="1">
      <c r="A962" t="inlineStr">
        <is>
          <t>A 61289-2025</t>
        </is>
      </c>
      <c r="B962" s="1" t="n">
        <v>46000.73659722223</v>
      </c>
      <c r="C962" s="1" t="n">
        <v>46045</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37632-2025</t>
        </is>
      </c>
      <c r="B963" s="1" t="n">
        <v>45880.46524305556</v>
      </c>
      <c r="C963" s="1" t="n">
        <v>46045</v>
      </c>
      <c r="D963" t="inlineStr">
        <is>
          <t>STOCKHOLMS LÄN</t>
        </is>
      </c>
      <c r="E963" t="inlineStr">
        <is>
          <t>NORRTÄLJE</t>
        </is>
      </c>
      <c r="F963" t="inlineStr">
        <is>
          <t>Sveaskog</t>
        </is>
      </c>
      <c r="G963" t="n">
        <v>6.4</v>
      </c>
      <c r="H963" t="n">
        <v>0</v>
      </c>
      <c r="I963" t="n">
        <v>0</v>
      </c>
      <c r="J963" t="n">
        <v>0</v>
      </c>
      <c r="K963" t="n">
        <v>0</v>
      </c>
      <c r="L963" t="n">
        <v>0</v>
      </c>
      <c r="M963" t="n">
        <v>0</v>
      </c>
      <c r="N963" t="n">
        <v>0</v>
      </c>
      <c r="O963" t="n">
        <v>0</v>
      </c>
      <c r="P963" t="n">
        <v>0</v>
      </c>
      <c r="Q963" t="n">
        <v>0</v>
      </c>
      <c r="R963" s="2" t="inlineStr"/>
    </row>
    <row r="964" ht="15" customHeight="1">
      <c r="A964" t="inlineStr">
        <is>
          <t>A 29841-2024</t>
        </is>
      </c>
      <c r="B964" s="1" t="n">
        <v>45485.60261574074</v>
      </c>
      <c r="C964" s="1" t="n">
        <v>46045</v>
      </c>
      <c r="D964" t="inlineStr">
        <is>
          <t>STOCKHOLMS LÄN</t>
        </is>
      </c>
      <c r="E964" t="inlineStr">
        <is>
          <t>NORRTÄLJE</t>
        </is>
      </c>
      <c r="G964" t="n">
        <v>15.9</v>
      </c>
      <c r="H964" t="n">
        <v>0</v>
      </c>
      <c r="I964" t="n">
        <v>0</v>
      </c>
      <c r="J964" t="n">
        <v>0</v>
      </c>
      <c r="K964" t="n">
        <v>0</v>
      </c>
      <c r="L964" t="n">
        <v>0</v>
      </c>
      <c r="M964" t="n">
        <v>0</v>
      </c>
      <c r="N964" t="n">
        <v>0</v>
      </c>
      <c r="O964" t="n">
        <v>0</v>
      </c>
      <c r="P964" t="n">
        <v>0</v>
      </c>
      <c r="Q964" t="n">
        <v>0</v>
      </c>
      <c r="R964" s="2" t="inlineStr"/>
    </row>
    <row r="965" ht="15" customHeight="1">
      <c r="A965" t="inlineStr">
        <is>
          <t>A 61419-2025</t>
        </is>
      </c>
      <c r="B965" s="1" t="n">
        <v>46001.54137731482</v>
      </c>
      <c r="C965" s="1" t="n">
        <v>46045</v>
      </c>
      <c r="D965" t="inlineStr">
        <is>
          <t>STOCKHOLMS LÄN</t>
        </is>
      </c>
      <c r="E965" t="inlineStr">
        <is>
          <t>NORRTÄLJE</t>
        </is>
      </c>
      <c r="G965" t="n">
        <v>5.2</v>
      </c>
      <c r="H965" t="n">
        <v>0</v>
      </c>
      <c r="I965" t="n">
        <v>0</v>
      </c>
      <c r="J965" t="n">
        <v>0</v>
      </c>
      <c r="K965" t="n">
        <v>0</v>
      </c>
      <c r="L965" t="n">
        <v>0</v>
      </c>
      <c r="M965" t="n">
        <v>0</v>
      </c>
      <c r="N965" t="n">
        <v>0</v>
      </c>
      <c r="O965" t="n">
        <v>0</v>
      </c>
      <c r="P965" t="n">
        <v>0</v>
      </c>
      <c r="Q965" t="n">
        <v>0</v>
      </c>
      <c r="R965" s="2" t="inlineStr"/>
    </row>
    <row r="966" ht="15" customHeight="1">
      <c r="A966" t="inlineStr">
        <is>
          <t>A 61430-2025</t>
        </is>
      </c>
      <c r="B966" s="1" t="n">
        <v>46001.55583333333</v>
      </c>
      <c r="C966" s="1" t="n">
        <v>46045</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61452-2025</t>
        </is>
      </c>
      <c r="B967" s="1" t="n">
        <v>46001.58043981482</v>
      </c>
      <c r="C967" s="1" t="n">
        <v>46045</v>
      </c>
      <c r="D967" t="inlineStr">
        <is>
          <t>STOCKHOLMS LÄN</t>
        </is>
      </c>
      <c r="E967" t="inlineStr">
        <is>
          <t>NORRTÄLJE</t>
        </is>
      </c>
      <c r="F967" t="inlineStr">
        <is>
          <t>Holmen skog AB</t>
        </is>
      </c>
      <c r="G967" t="n">
        <v>3.7</v>
      </c>
      <c r="H967" t="n">
        <v>0</v>
      </c>
      <c r="I967" t="n">
        <v>0</v>
      </c>
      <c r="J967" t="n">
        <v>0</v>
      </c>
      <c r="K967" t="n">
        <v>0</v>
      </c>
      <c r="L967" t="n">
        <v>0</v>
      </c>
      <c r="M967" t="n">
        <v>0</v>
      </c>
      <c r="N967" t="n">
        <v>0</v>
      </c>
      <c r="O967" t="n">
        <v>0</v>
      </c>
      <c r="P967" t="n">
        <v>0</v>
      </c>
      <c r="Q967" t="n">
        <v>0</v>
      </c>
      <c r="R967" s="2" t="inlineStr"/>
    </row>
    <row r="968" ht="15" customHeight="1">
      <c r="A968" t="inlineStr">
        <is>
          <t>A 37628-2025</t>
        </is>
      </c>
      <c r="B968" s="1" t="n">
        <v>45880.46189814815</v>
      </c>
      <c r="C968" s="1" t="n">
        <v>46045</v>
      </c>
      <c r="D968" t="inlineStr">
        <is>
          <t>STOCKHOLMS LÄN</t>
        </is>
      </c>
      <c r="E968" t="inlineStr">
        <is>
          <t>NORRTÄLJE</t>
        </is>
      </c>
      <c r="F968" t="inlineStr">
        <is>
          <t>Sveaskog</t>
        </is>
      </c>
      <c r="G968" t="n">
        <v>2.6</v>
      </c>
      <c r="H968" t="n">
        <v>0</v>
      </c>
      <c r="I968" t="n">
        <v>0</v>
      </c>
      <c r="J968" t="n">
        <v>0</v>
      </c>
      <c r="K968" t="n">
        <v>0</v>
      </c>
      <c r="L968" t="n">
        <v>0</v>
      </c>
      <c r="M968" t="n">
        <v>0</v>
      </c>
      <c r="N968" t="n">
        <v>0</v>
      </c>
      <c r="O968" t="n">
        <v>0</v>
      </c>
      <c r="P968" t="n">
        <v>0</v>
      </c>
      <c r="Q968" t="n">
        <v>0</v>
      </c>
      <c r="R968" s="2" t="inlineStr"/>
    </row>
    <row r="969" ht="15" customHeight="1">
      <c r="A969" t="inlineStr">
        <is>
          <t>A 4230-2026</t>
        </is>
      </c>
      <c r="B969" s="1" t="n">
        <v>46044.89366898148</v>
      </c>
      <c r="C969" s="1" t="n">
        <v>46045</v>
      </c>
      <c r="D969" t="inlineStr">
        <is>
          <t>STOCKHOLMS LÄN</t>
        </is>
      </c>
      <c r="E969" t="inlineStr">
        <is>
          <t>NORRTÄLJE</t>
        </is>
      </c>
      <c r="G969" t="n">
        <v>10.8</v>
      </c>
      <c r="H969" t="n">
        <v>0</v>
      </c>
      <c r="I969" t="n">
        <v>0</v>
      </c>
      <c r="J969" t="n">
        <v>0</v>
      </c>
      <c r="K969" t="n">
        <v>0</v>
      </c>
      <c r="L969" t="n">
        <v>0</v>
      </c>
      <c r="M969" t="n">
        <v>0</v>
      </c>
      <c r="N969" t="n">
        <v>0</v>
      </c>
      <c r="O969" t="n">
        <v>0</v>
      </c>
      <c r="P969" t="n">
        <v>0</v>
      </c>
      <c r="Q969" t="n">
        <v>0</v>
      </c>
      <c r="R969" s="2" t="inlineStr"/>
    </row>
    <row r="970" ht="15" customHeight="1">
      <c r="A970" t="inlineStr">
        <is>
          <t>A 4231-2026</t>
        </is>
      </c>
      <c r="B970" s="1" t="n">
        <v>46044.89506944444</v>
      </c>
      <c r="C970" s="1" t="n">
        <v>46045</v>
      </c>
      <c r="D970" t="inlineStr">
        <is>
          <t>STOCKHOLMS LÄN</t>
        </is>
      </c>
      <c r="E970" t="inlineStr">
        <is>
          <t>NORRTÄLJE</t>
        </is>
      </c>
      <c r="G970" t="n">
        <v>2.9</v>
      </c>
      <c r="H970" t="n">
        <v>0</v>
      </c>
      <c r="I970" t="n">
        <v>0</v>
      </c>
      <c r="J970" t="n">
        <v>0</v>
      </c>
      <c r="K970" t="n">
        <v>0</v>
      </c>
      <c r="L970" t="n">
        <v>0</v>
      </c>
      <c r="M970" t="n">
        <v>0</v>
      </c>
      <c r="N970" t="n">
        <v>0</v>
      </c>
      <c r="O970" t="n">
        <v>0</v>
      </c>
      <c r="P970" t="n">
        <v>0</v>
      </c>
      <c r="Q970" t="n">
        <v>0</v>
      </c>
      <c r="R970" s="2" t="inlineStr"/>
    </row>
    <row r="971" ht="15" customHeight="1">
      <c r="A971" t="inlineStr">
        <is>
          <t>A 4232-2026</t>
        </is>
      </c>
      <c r="B971" s="1" t="n">
        <v>46044.89594907407</v>
      </c>
      <c r="C971" s="1" t="n">
        <v>46045</v>
      </c>
      <c r="D971" t="inlineStr">
        <is>
          <t>STOCKHOLMS LÄN</t>
        </is>
      </c>
      <c r="E971" t="inlineStr">
        <is>
          <t>NORRTÄLJE</t>
        </is>
      </c>
      <c r="G971" t="n">
        <v>3.8</v>
      </c>
      <c r="H971" t="n">
        <v>0</v>
      </c>
      <c r="I971" t="n">
        <v>0</v>
      </c>
      <c r="J971" t="n">
        <v>0</v>
      </c>
      <c r="K971" t="n">
        <v>0</v>
      </c>
      <c r="L971" t="n">
        <v>0</v>
      </c>
      <c r="M971" t="n">
        <v>0</v>
      </c>
      <c r="N971" t="n">
        <v>0</v>
      </c>
      <c r="O971" t="n">
        <v>0</v>
      </c>
      <c r="P971" t="n">
        <v>0</v>
      </c>
      <c r="Q971" t="n">
        <v>0</v>
      </c>
      <c r="R971" s="2" t="inlineStr"/>
    </row>
    <row r="972" ht="15" customHeight="1">
      <c r="A972" t="inlineStr">
        <is>
          <t>A 4235-2026</t>
        </is>
      </c>
      <c r="B972" s="1" t="n">
        <v>46044.89895833333</v>
      </c>
      <c r="C972" s="1" t="n">
        <v>46045</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22832-2021</t>
        </is>
      </c>
      <c r="B973" s="1" t="n">
        <v>44325</v>
      </c>
      <c r="C973" s="1" t="n">
        <v>46045</v>
      </c>
      <c r="D973" t="inlineStr">
        <is>
          <t>STOCKHOLMS LÄN</t>
        </is>
      </c>
      <c r="E973" t="inlineStr">
        <is>
          <t>NORRTÄLJE</t>
        </is>
      </c>
      <c r="G973" t="n">
        <v>6.8</v>
      </c>
      <c r="H973" t="n">
        <v>0</v>
      </c>
      <c r="I973" t="n">
        <v>0</v>
      </c>
      <c r="J973" t="n">
        <v>0</v>
      </c>
      <c r="K973" t="n">
        <v>0</v>
      </c>
      <c r="L973" t="n">
        <v>0</v>
      </c>
      <c r="M973" t="n">
        <v>0</v>
      </c>
      <c r="N973" t="n">
        <v>0</v>
      </c>
      <c r="O973" t="n">
        <v>0</v>
      </c>
      <c r="P973" t="n">
        <v>0</v>
      </c>
      <c r="Q973" t="n">
        <v>0</v>
      </c>
      <c r="R973" s="2" t="inlineStr"/>
    </row>
    <row r="974" ht="15" customHeight="1">
      <c r="A974" t="inlineStr">
        <is>
          <t>A 51315-2021</t>
        </is>
      </c>
      <c r="B974" s="1" t="n">
        <v>44461</v>
      </c>
      <c r="C974" s="1" t="n">
        <v>46045</v>
      </c>
      <c r="D974" t="inlineStr">
        <is>
          <t>STOCKHOLMS LÄN</t>
        </is>
      </c>
      <c r="E974" t="inlineStr">
        <is>
          <t>NORRTÄLJE</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24350-2025</t>
        </is>
      </c>
      <c r="B975" s="1" t="n">
        <v>45797.58350694444</v>
      </c>
      <c r="C975" s="1" t="n">
        <v>46045</v>
      </c>
      <c r="D975" t="inlineStr">
        <is>
          <t>STOCKHOLMS LÄN</t>
        </is>
      </c>
      <c r="E975" t="inlineStr">
        <is>
          <t>NORRTÄLJE</t>
        </is>
      </c>
      <c r="G975" t="n">
        <v>4.5</v>
      </c>
      <c r="H975" t="n">
        <v>0</v>
      </c>
      <c r="I975" t="n">
        <v>0</v>
      </c>
      <c r="J975" t="n">
        <v>0</v>
      </c>
      <c r="K975" t="n">
        <v>0</v>
      </c>
      <c r="L975" t="n">
        <v>0</v>
      </c>
      <c r="M975" t="n">
        <v>0</v>
      </c>
      <c r="N975" t="n">
        <v>0</v>
      </c>
      <c r="O975" t="n">
        <v>0</v>
      </c>
      <c r="P975" t="n">
        <v>0</v>
      </c>
      <c r="Q975" t="n">
        <v>0</v>
      </c>
      <c r="R975" s="2" t="inlineStr"/>
    </row>
    <row r="976" ht="15" customHeight="1">
      <c r="A976" t="inlineStr">
        <is>
          <t>A 26703-2025</t>
        </is>
      </c>
      <c r="B976" s="1" t="n">
        <v>45810.45263888889</v>
      </c>
      <c r="C976" s="1" t="n">
        <v>46045</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22008-2024</t>
        </is>
      </c>
      <c r="B977" s="1" t="n">
        <v>45443</v>
      </c>
      <c r="C977" s="1" t="n">
        <v>46045</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13137-2024</t>
        </is>
      </c>
      <c r="B978" s="1" t="n">
        <v>45386.34175925926</v>
      </c>
      <c r="C978" s="1" t="n">
        <v>46045</v>
      </c>
      <c r="D978" t="inlineStr">
        <is>
          <t>STOCKHOLMS LÄN</t>
        </is>
      </c>
      <c r="E978" t="inlineStr">
        <is>
          <t>NORRTÄLJE</t>
        </is>
      </c>
      <c r="G978" t="n">
        <v>5</v>
      </c>
      <c r="H978" t="n">
        <v>0</v>
      </c>
      <c r="I978" t="n">
        <v>0</v>
      </c>
      <c r="J978" t="n">
        <v>0</v>
      </c>
      <c r="K978" t="n">
        <v>0</v>
      </c>
      <c r="L978" t="n">
        <v>0</v>
      </c>
      <c r="M978" t="n">
        <v>0</v>
      </c>
      <c r="N978" t="n">
        <v>0</v>
      </c>
      <c r="O978" t="n">
        <v>0</v>
      </c>
      <c r="P978" t="n">
        <v>0</v>
      </c>
      <c r="Q978" t="n">
        <v>0</v>
      </c>
      <c r="R978" s="2" t="inlineStr"/>
    </row>
    <row r="979" ht="15" customHeight="1">
      <c r="A979" t="inlineStr">
        <is>
          <t>A 38153-2025</t>
        </is>
      </c>
      <c r="B979" s="1" t="n">
        <v>45882.59722222222</v>
      </c>
      <c r="C979" s="1" t="n">
        <v>46045</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58277-2023</t>
        </is>
      </c>
      <c r="B980" s="1" t="n">
        <v>45245</v>
      </c>
      <c r="C980" s="1" t="n">
        <v>46045</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9480-2025</t>
        </is>
      </c>
      <c r="B981" s="1" t="n">
        <v>45715</v>
      </c>
      <c r="C981" s="1" t="n">
        <v>46045</v>
      </c>
      <c r="D981" t="inlineStr">
        <is>
          <t>STOCKHOLMS LÄN</t>
        </is>
      </c>
      <c r="E981" t="inlineStr">
        <is>
          <t>NORRTÄLJE</t>
        </is>
      </c>
      <c r="F981" t="inlineStr">
        <is>
          <t>Övriga Aktiebolag</t>
        </is>
      </c>
      <c r="G981" t="n">
        <v>3.9</v>
      </c>
      <c r="H981" t="n">
        <v>0</v>
      </c>
      <c r="I981" t="n">
        <v>0</v>
      </c>
      <c r="J981" t="n">
        <v>0</v>
      </c>
      <c r="K981" t="n">
        <v>0</v>
      </c>
      <c r="L981" t="n">
        <v>0</v>
      </c>
      <c r="M981" t="n">
        <v>0</v>
      </c>
      <c r="N981" t="n">
        <v>0</v>
      </c>
      <c r="O981" t="n">
        <v>0</v>
      </c>
      <c r="P981" t="n">
        <v>0</v>
      </c>
      <c r="Q981" t="n">
        <v>0</v>
      </c>
      <c r="R981" s="2" t="inlineStr"/>
    </row>
    <row r="982" ht="15" customHeight="1">
      <c r="A982" t="inlineStr">
        <is>
          <t>A 4322-2023</t>
        </is>
      </c>
      <c r="B982" s="1" t="n">
        <v>44953.69298611111</v>
      </c>
      <c r="C982" s="1" t="n">
        <v>46045</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35916-2024</t>
        </is>
      </c>
      <c r="B983" s="1" t="n">
        <v>45533</v>
      </c>
      <c r="C983" s="1" t="n">
        <v>46045</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38889-2024</t>
        </is>
      </c>
      <c r="B984" s="1" t="n">
        <v>45547</v>
      </c>
      <c r="C984" s="1" t="n">
        <v>46045</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3299-2022</t>
        </is>
      </c>
      <c r="B985" s="1" t="n">
        <v>44584.91001157407</v>
      </c>
      <c r="C985" s="1" t="n">
        <v>46045</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42075-2023</t>
        </is>
      </c>
      <c r="B986" s="1" t="n">
        <v>45177</v>
      </c>
      <c r="C986" s="1" t="n">
        <v>46045</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10676-2025</t>
        </is>
      </c>
      <c r="B987" s="1" t="n">
        <v>45721.88684027778</v>
      </c>
      <c r="C987" s="1" t="n">
        <v>46045</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50154-2024</t>
        </is>
      </c>
      <c r="B988" s="1" t="n">
        <v>45600.4558912037</v>
      </c>
      <c r="C988" s="1" t="n">
        <v>46045</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37273-2024</t>
        </is>
      </c>
      <c r="B989" s="1" t="n">
        <v>45540</v>
      </c>
      <c r="C989" s="1" t="n">
        <v>46045</v>
      </c>
      <c r="D989" t="inlineStr">
        <is>
          <t>STOCKHOLMS LÄN</t>
        </is>
      </c>
      <c r="E989" t="inlineStr">
        <is>
          <t>NORRTÄLJE</t>
        </is>
      </c>
      <c r="F989" t="inlineStr">
        <is>
          <t>Sveaskog</t>
        </is>
      </c>
      <c r="G989" t="n">
        <v>12.5</v>
      </c>
      <c r="H989" t="n">
        <v>0</v>
      </c>
      <c r="I989" t="n">
        <v>0</v>
      </c>
      <c r="J989" t="n">
        <v>0</v>
      </c>
      <c r="K989" t="n">
        <v>0</v>
      </c>
      <c r="L989" t="n">
        <v>0</v>
      </c>
      <c r="M989" t="n">
        <v>0</v>
      </c>
      <c r="N989" t="n">
        <v>0</v>
      </c>
      <c r="O989" t="n">
        <v>0</v>
      </c>
      <c r="P989" t="n">
        <v>0</v>
      </c>
      <c r="Q989" t="n">
        <v>0</v>
      </c>
      <c r="R989" s="2" t="inlineStr"/>
    </row>
    <row r="990" ht="15" customHeight="1">
      <c r="A990" t="inlineStr">
        <is>
          <t>A 34773-2022</t>
        </is>
      </c>
      <c r="B990" s="1" t="n">
        <v>44795</v>
      </c>
      <c r="C990" s="1" t="n">
        <v>46045</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23263-2023</t>
        </is>
      </c>
      <c r="B991" s="1" t="n">
        <v>45075</v>
      </c>
      <c r="C991" s="1" t="n">
        <v>46045</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23264-2023</t>
        </is>
      </c>
      <c r="B992" s="1" t="n">
        <v>45075</v>
      </c>
      <c r="C992" s="1" t="n">
        <v>46045</v>
      </c>
      <c r="D992" t="inlineStr">
        <is>
          <t>STOCKHOLMS LÄN</t>
        </is>
      </c>
      <c r="E992" t="inlineStr">
        <is>
          <t>NORRTÄLJE</t>
        </is>
      </c>
      <c r="G992" t="n">
        <v>2.9</v>
      </c>
      <c r="H992" t="n">
        <v>0</v>
      </c>
      <c r="I992" t="n">
        <v>0</v>
      </c>
      <c r="J992" t="n">
        <v>0</v>
      </c>
      <c r="K992" t="n">
        <v>0</v>
      </c>
      <c r="L992" t="n">
        <v>0</v>
      </c>
      <c r="M992" t="n">
        <v>0</v>
      </c>
      <c r="N992" t="n">
        <v>0</v>
      </c>
      <c r="O992" t="n">
        <v>0</v>
      </c>
      <c r="P992" t="n">
        <v>0</v>
      </c>
      <c r="Q992" t="n">
        <v>0</v>
      </c>
      <c r="R992" s="2" t="inlineStr"/>
    </row>
    <row r="993" ht="15" customHeight="1">
      <c r="A993" t="inlineStr">
        <is>
          <t>A 23267-2023</t>
        </is>
      </c>
      <c r="B993" s="1" t="n">
        <v>45075.90934027778</v>
      </c>
      <c r="C993" s="1" t="n">
        <v>46045</v>
      </c>
      <c r="D993" t="inlineStr">
        <is>
          <t>STOCKHOLMS LÄN</t>
        </is>
      </c>
      <c r="E993" t="inlineStr">
        <is>
          <t>NORRTÄLJE</t>
        </is>
      </c>
      <c r="G993" t="n">
        <v>0.5</v>
      </c>
      <c r="H993" t="n">
        <v>0</v>
      </c>
      <c r="I993" t="n">
        <v>0</v>
      </c>
      <c r="J993" t="n">
        <v>0</v>
      </c>
      <c r="K993" t="n">
        <v>0</v>
      </c>
      <c r="L993" t="n">
        <v>0</v>
      </c>
      <c r="M993" t="n">
        <v>0</v>
      </c>
      <c r="N993" t="n">
        <v>0</v>
      </c>
      <c r="O993" t="n">
        <v>0</v>
      </c>
      <c r="P993" t="n">
        <v>0</v>
      </c>
      <c r="Q993" t="n">
        <v>0</v>
      </c>
      <c r="R993" s="2" t="inlineStr"/>
    </row>
    <row r="994" ht="15" customHeight="1">
      <c r="A994" t="inlineStr">
        <is>
          <t>A 25654-2023</t>
        </is>
      </c>
      <c r="B994" s="1" t="n">
        <v>45089</v>
      </c>
      <c r="C994" s="1" t="n">
        <v>46045</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47758-2023</t>
        </is>
      </c>
      <c r="B995" s="1" t="n">
        <v>45203.83891203703</v>
      </c>
      <c r="C995" s="1" t="n">
        <v>46045</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48151-2024</t>
        </is>
      </c>
      <c r="B996" s="1" t="n">
        <v>45589.68289351852</v>
      </c>
      <c r="C996" s="1" t="n">
        <v>46045</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5831-2022</t>
        </is>
      </c>
      <c r="B997" s="1" t="n">
        <v>44596</v>
      </c>
      <c r="C997" s="1" t="n">
        <v>46045</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58853-2024</t>
        </is>
      </c>
      <c r="B998" s="1" t="n">
        <v>45636.38974537037</v>
      </c>
      <c r="C998" s="1" t="n">
        <v>46045</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59712-2024</t>
        </is>
      </c>
      <c r="B999" s="1" t="n">
        <v>45639.45166666667</v>
      </c>
      <c r="C999" s="1" t="n">
        <v>46045</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59721-2024</t>
        </is>
      </c>
      <c r="B1000" s="1" t="n">
        <v>45639.47385416667</v>
      </c>
      <c r="C1000" s="1" t="n">
        <v>46045</v>
      </c>
      <c r="D1000" t="inlineStr">
        <is>
          <t>STOCKHOLMS LÄN</t>
        </is>
      </c>
      <c r="E1000" t="inlineStr">
        <is>
          <t>NORRTÄLJE</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60884-2024</t>
        </is>
      </c>
      <c r="B1001" s="1" t="n">
        <v>45644.90815972222</v>
      </c>
      <c r="C1001" s="1" t="n">
        <v>46045</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23150-2024</t>
        </is>
      </c>
      <c r="B1002" s="1" t="n">
        <v>45450.64643518518</v>
      </c>
      <c r="C1002" s="1" t="n">
        <v>46045</v>
      </c>
      <c r="D1002" t="inlineStr">
        <is>
          <t>STOCKHOLMS LÄN</t>
        </is>
      </c>
      <c r="E1002" t="inlineStr">
        <is>
          <t>NORRTÄLJE</t>
        </is>
      </c>
      <c r="F1002" t="inlineStr">
        <is>
          <t>Kommuner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59878-2024</t>
        </is>
      </c>
      <c r="B1003" s="1" t="n">
        <v>45640.60240740741</v>
      </c>
      <c r="C1003" s="1" t="n">
        <v>46045</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50182-2024</t>
        </is>
      </c>
      <c r="B1004" s="1" t="n">
        <v>45600.47275462963</v>
      </c>
      <c r="C1004" s="1" t="n">
        <v>46045</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2549-2022</t>
        </is>
      </c>
      <c r="B1005" s="1" t="n">
        <v>44580</v>
      </c>
      <c r="C1005" s="1" t="n">
        <v>46045</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31140-2023</t>
        </is>
      </c>
      <c r="B1006" s="1" t="n">
        <v>45113</v>
      </c>
      <c r="C1006" s="1" t="n">
        <v>46045</v>
      </c>
      <c r="D1006" t="inlineStr">
        <is>
          <t>STOCKHOLMS LÄN</t>
        </is>
      </c>
      <c r="E1006" t="inlineStr">
        <is>
          <t>NORRTÄLJE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31149-2023</t>
        </is>
      </c>
      <c r="B1007" s="1" t="n">
        <v>45113</v>
      </c>
      <c r="C1007" s="1" t="n">
        <v>46045</v>
      </c>
      <c r="D1007" t="inlineStr">
        <is>
          <t>STOCKHOLMS LÄN</t>
        </is>
      </c>
      <c r="E1007" t="inlineStr">
        <is>
          <t>NORRTÄLJE</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16835-2022</t>
        </is>
      </c>
      <c r="B1008" s="1" t="n">
        <v>44673</v>
      </c>
      <c r="C1008" s="1" t="n">
        <v>46045</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13701-2022</t>
        </is>
      </c>
      <c r="B1009" s="1" t="n">
        <v>44648</v>
      </c>
      <c r="C1009" s="1" t="n">
        <v>46045</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13089-2022</t>
        </is>
      </c>
      <c r="B1010" s="1" t="n">
        <v>44643</v>
      </c>
      <c r="C1010" s="1" t="n">
        <v>46045</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38759-2022</t>
        </is>
      </c>
      <c r="B1011" s="1" t="n">
        <v>44816</v>
      </c>
      <c r="C1011" s="1" t="n">
        <v>46045</v>
      </c>
      <c r="D1011" t="inlineStr">
        <is>
          <t>STOCKHOLMS LÄN</t>
        </is>
      </c>
      <c r="E1011" t="inlineStr">
        <is>
          <t>NORRTÄLJE</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23998-2024</t>
        </is>
      </c>
      <c r="B1012" s="1" t="n">
        <v>45456</v>
      </c>
      <c r="C1012" s="1" t="n">
        <v>46045</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54504-2024</t>
        </is>
      </c>
      <c r="B1013" s="1" t="n">
        <v>45617.58453703704</v>
      </c>
      <c r="C1013" s="1" t="n">
        <v>46045</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32595-2023</t>
        </is>
      </c>
      <c r="B1014" s="1" t="n">
        <v>45121</v>
      </c>
      <c r="C1014" s="1" t="n">
        <v>46045</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11332-2025</t>
        </is>
      </c>
      <c r="B1015" s="1" t="n">
        <v>45726.48152777777</v>
      </c>
      <c r="C1015" s="1" t="n">
        <v>46045</v>
      </c>
      <c r="D1015" t="inlineStr">
        <is>
          <t>STOCKHOLMS LÄN</t>
        </is>
      </c>
      <c r="E1015" t="inlineStr">
        <is>
          <t>NORRTÄLJE</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13718-2022</t>
        </is>
      </c>
      <c r="B1016" s="1" t="n">
        <v>44649</v>
      </c>
      <c r="C1016" s="1" t="n">
        <v>46045</v>
      </c>
      <c r="D1016" t="inlineStr">
        <is>
          <t>STOCKHOLMS LÄN</t>
        </is>
      </c>
      <c r="E1016" t="inlineStr">
        <is>
          <t>NORRTÄLJE</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54259-2023</t>
        </is>
      </c>
      <c r="B1017" s="1" t="n">
        <v>45232</v>
      </c>
      <c r="C1017" s="1" t="n">
        <v>46045</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13171-2025</t>
        </is>
      </c>
      <c r="B1018" s="1" t="n">
        <v>45735.36594907408</v>
      </c>
      <c r="C1018" s="1" t="n">
        <v>46045</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12299-2025</t>
        </is>
      </c>
      <c r="B1019" s="1" t="n">
        <v>45729.71065972222</v>
      </c>
      <c r="C1019" s="1" t="n">
        <v>46045</v>
      </c>
      <c r="D1019" t="inlineStr">
        <is>
          <t>STOCKHOLMS LÄN</t>
        </is>
      </c>
      <c r="E1019" t="inlineStr">
        <is>
          <t>NORRTÄLJE</t>
        </is>
      </c>
      <c r="F1019" t="inlineStr">
        <is>
          <t>Holmen skog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11900-2024</t>
        </is>
      </c>
      <c r="B1020" s="1" t="n">
        <v>45376.55484953704</v>
      </c>
      <c r="C1020" s="1" t="n">
        <v>46045</v>
      </c>
      <c r="D1020" t="inlineStr">
        <is>
          <t>STOCKHOLMS LÄN</t>
        </is>
      </c>
      <c r="E1020" t="inlineStr">
        <is>
          <t>NORRTÄLJE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43300-2023</t>
        </is>
      </c>
      <c r="B1021" s="1" t="n">
        <v>45183</v>
      </c>
      <c r="C1021" s="1" t="n">
        <v>46045</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13276-2022</t>
        </is>
      </c>
      <c r="B1022" s="1" t="n">
        <v>44644</v>
      </c>
      <c r="C1022" s="1" t="n">
        <v>46045</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11900-2022</t>
        </is>
      </c>
      <c r="B1023" s="1" t="n">
        <v>44635</v>
      </c>
      <c r="C1023" s="1" t="n">
        <v>46045</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14724-2022</t>
        </is>
      </c>
      <c r="B1024" s="1" t="n">
        <v>44656</v>
      </c>
      <c r="C1024" s="1" t="n">
        <v>46045</v>
      </c>
      <c r="D1024" t="inlineStr">
        <is>
          <t>STOCKHOLMS LÄN</t>
        </is>
      </c>
      <c r="E1024" t="inlineStr">
        <is>
          <t>NORRTÄLJE</t>
        </is>
      </c>
      <c r="F1024" t="inlineStr">
        <is>
          <t>Sveaskog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4580-2025</t>
        </is>
      </c>
      <c r="B1025" s="1" t="n">
        <v>45687.5038425926</v>
      </c>
      <c r="C1025" s="1" t="n">
        <v>46045</v>
      </c>
      <c r="D1025" t="inlineStr">
        <is>
          <t>STOCKHOLMS LÄN</t>
        </is>
      </c>
      <c r="E1025" t="inlineStr">
        <is>
          <t>NORRTÄLJE</t>
        </is>
      </c>
      <c r="F1025" t="inlineStr">
        <is>
          <t>Holmen skog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16202-2022</t>
        </is>
      </c>
      <c r="B1026" s="1" t="n">
        <v>44670</v>
      </c>
      <c r="C1026" s="1" t="n">
        <v>46045</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6003-2025</t>
        </is>
      </c>
      <c r="B1027" s="1" t="n">
        <v>45695.57881944445</v>
      </c>
      <c r="C1027" s="1" t="n">
        <v>46045</v>
      </c>
      <c r="D1027" t="inlineStr">
        <is>
          <t>STOCKHOLMS LÄN</t>
        </is>
      </c>
      <c r="E1027" t="inlineStr">
        <is>
          <t>NORRTÄLJE</t>
        </is>
      </c>
      <c r="F1027" t="inlineStr">
        <is>
          <t>Holmen skog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52321-2024</t>
        </is>
      </c>
      <c r="B1028" s="1" t="n">
        <v>45608</v>
      </c>
      <c r="C1028" s="1" t="n">
        <v>46045</v>
      </c>
      <c r="D1028" t="inlineStr">
        <is>
          <t>STOCKHOLMS LÄN</t>
        </is>
      </c>
      <c r="E1028" t="inlineStr">
        <is>
          <t>NORRTÄLJE</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54558-2024</t>
        </is>
      </c>
      <c r="B1029" s="1" t="n">
        <v>45617.62358796296</v>
      </c>
      <c r="C1029" s="1" t="n">
        <v>46045</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22157-2023</t>
        </is>
      </c>
      <c r="B1030" s="1" t="n">
        <v>45069</v>
      </c>
      <c r="C1030" s="1" t="n">
        <v>46045</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c r="U1030">
        <f>HYPERLINK("https://klasma.github.io/Logging_0188/knärot/A 22157-2023 karta knärot.png", "A 22157-2023")</f>
        <v/>
      </c>
      <c r="V1030">
        <f>HYPERLINK("https://klasma.github.io/Logging_0188/klagomål/A 22157-2023 FSC-klagomål.docx", "A 22157-2023")</f>
        <v/>
      </c>
      <c r="W1030">
        <f>HYPERLINK("https://klasma.github.io/Logging_0188/klagomålsmail/A 22157-2023 FSC-klagomål mail.docx", "A 22157-2023")</f>
        <v/>
      </c>
      <c r="X1030">
        <f>HYPERLINK("https://klasma.github.io/Logging_0188/tillsyn/A 22157-2023 tillsynsbegäran.docx", "A 22157-2023")</f>
        <v/>
      </c>
      <c r="Y1030">
        <f>HYPERLINK("https://klasma.github.io/Logging_0188/tillsynsmail/A 22157-2023 tillsynsbegäran mail.docx", "A 22157-2023")</f>
        <v/>
      </c>
    </row>
    <row r="1031" ht="15" customHeight="1">
      <c r="A1031" t="inlineStr">
        <is>
          <t>A 48633-2023</t>
        </is>
      </c>
      <c r="B1031" s="1" t="n">
        <v>45208.58004629629</v>
      </c>
      <c r="C1031" s="1" t="n">
        <v>46045</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47419-2023</t>
        </is>
      </c>
      <c r="B1032" s="1" t="n">
        <v>45202.65660879629</v>
      </c>
      <c r="C1032" s="1" t="n">
        <v>46045</v>
      </c>
      <c r="D1032" t="inlineStr">
        <is>
          <t>STOCKHOLMS LÄN</t>
        </is>
      </c>
      <c r="E1032" t="inlineStr">
        <is>
          <t>NORRTÄLJE</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652-2025</t>
        </is>
      </c>
      <c r="B1033" s="1" t="n">
        <v>45664</v>
      </c>
      <c r="C1033" s="1" t="n">
        <v>46045</v>
      </c>
      <c r="D1033" t="inlineStr">
        <is>
          <t>STOCKHOLMS LÄN</t>
        </is>
      </c>
      <c r="E1033" t="inlineStr">
        <is>
          <t>NORRTÄLJE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10653-2022</t>
        </is>
      </c>
      <c r="B1034" s="1" t="n">
        <v>44624.59434027778</v>
      </c>
      <c r="C1034" s="1" t="n">
        <v>46045</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35695-2023</t>
        </is>
      </c>
      <c r="B1035" s="1" t="n">
        <v>45147.65407407407</v>
      </c>
      <c r="C1035" s="1" t="n">
        <v>46045</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18665-2022</t>
        </is>
      </c>
      <c r="B1036" s="1" t="n">
        <v>44687</v>
      </c>
      <c r="C1036" s="1" t="n">
        <v>46045</v>
      </c>
      <c r="D1036" t="inlineStr">
        <is>
          <t>STOCKHOLMS LÄN</t>
        </is>
      </c>
      <c r="E1036" t="inlineStr">
        <is>
          <t>NORRTÄLJE</t>
        </is>
      </c>
      <c r="F1036" t="inlineStr">
        <is>
          <t>Kyrkan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17574-2025</t>
        </is>
      </c>
      <c r="B1037" s="1" t="n">
        <v>45757.65178240741</v>
      </c>
      <c r="C1037" s="1" t="n">
        <v>46045</v>
      </c>
      <c r="D1037" t="inlineStr">
        <is>
          <t>STOCKHOLMS LÄN</t>
        </is>
      </c>
      <c r="E1037" t="inlineStr">
        <is>
          <t>NORRTÄLJE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20370-2025</t>
        </is>
      </c>
      <c r="B1038" s="1" t="n">
        <v>45775.41451388889</v>
      </c>
      <c r="C1038" s="1" t="n">
        <v>46045</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19982-2022</t>
        </is>
      </c>
      <c r="B1039" s="1" t="n">
        <v>44697</v>
      </c>
      <c r="C1039" s="1" t="n">
        <v>46045</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35438-2023</t>
        </is>
      </c>
      <c r="B1040" s="1" t="n">
        <v>45146</v>
      </c>
      <c r="C1040" s="1" t="n">
        <v>46045</v>
      </c>
      <c r="D1040" t="inlineStr">
        <is>
          <t>STOCKHOLMS LÄN</t>
        </is>
      </c>
      <c r="E1040" t="inlineStr">
        <is>
          <t>NORRTÄLJE</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33878-2024</t>
        </is>
      </c>
      <c r="B1041" s="1" t="n">
        <v>45522.44414351852</v>
      </c>
      <c r="C1041" s="1" t="n">
        <v>46045</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4183-2025</t>
        </is>
      </c>
      <c r="B1042" s="1" t="n">
        <v>45685.44592592592</v>
      </c>
      <c r="C1042" s="1" t="n">
        <v>46045</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17556-2025</t>
        </is>
      </c>
      <c r="B1043" s="1" t="n">
        <v>45757.62482638889</v>
      </c>
      <c r="C1043" s="1" t="n">
        <v>46045</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41335-2023</t>
        </is>
      </c>
      <c r="B1044" s="1" t="n">
        <v>45174.68702546296</v>
      </c>
      <c r="C1044" s="1" t="n">
        <v>46045</v>
      </c>
      <c r="D1044" t="inlineStr">
        <is>
          <t>STOCKHOLMS LÄN</t>
        </is>
      </c>
      <c r="E1044" t="inlineStr">
        <is>
          <t>NORRTÄLJE</t>
        </is>
      </c>
      <c r="F1044" t="inlineStr">
        <is>
          <t>Holmen skog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4484-2025</t>
        </is>
      </c>
      <c r="B1045" s="1" t="n">
        <v>45686.65545138889</v>
      </c>
      <c r="C1045" s="1" t="n">
        <v>46045</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8419-2025</t>
        </is>
      </c>
      <c r="B1046" s="1" t="n">
        <v>45709.40231481481</v>
      </c>
      <c r="C1046" s="1" t="n">
        <v>46045</v>
      </c>
      <c r="D1046" t="inlineStr">
        <is>
          <t>STOCKHOLMS LÄN</t>
        </is>
      </c>
      <c r="E1046" t="inlineStr">
        <is>
          <t>NORRTÄLJE</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21480-2022</t>
        </is>
      </c>
      <c r="B1047" s="1" t="n">
        <v>44704</v>
      </c>
      <c r="C1047" s="1" t="n">
        <v>46045</v>
      </c>
      <c r="D1047" t="inlineStr">
        <is>
          <t>STOCKHOLMS LÄN</t>
        </is>
      </c>
      <c r="E1047" t="inlineStr">
        <is>
          <t>NORRTÄLJE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1654-2025</t>
        </is>
      </c>
      <c r="B1048" s="1" t="n">
        <v>45670.65921296296</v>
      </c>
      <c r="C1048" s="1" t="n">
        <v>46045</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48686-2023</t>
        </is>
      </c>
      <c r="B1049" s="1" t="n">
        <v>45208</v>
      </c>
      <c r="C1049" s="1" t="n">
        <v>46045</v>
      </c>
      <c r="D1049" t="inlineStr">
        <is>
          <t>STOCKHOLMS LÄN</t>
        </is>
      </c>
      <c r="E1049" t="inlineStr">
        <is>
          <t>NORRTÄLJE</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48691-2023</t>
        </is>
      </c>
      <c r="B1050" s="1" t="n">
        <v>45208</v>
      </c>
      <c r="C1050" s="1" t="n">
        <v>46045</v>
      </c>
      <c r="D1050" t="inlineStr">
        <is>
          <t>STOCKHOLMS LÄN</t>
        </is>
      </c>
      <c r="E1050" t="inlineStr">
        <is>
          <t>NORRTÄLJE</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55243-2023</t>
        </is>
      </c>
      <c r="B1051" s="1" t="n">
        <v>45237</v>
      </c>
      <c r="C1051" s="1" t="n">
        <v>46045</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35210-2023</t>
        </is>
      </c>
      <c r="B1052" s="1" t="n">
        <v>45145.63584490741</v>
      </c>
      <c r="C1052" s="1" t="n">
        <v>46045</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6678-2025</t>
        </is>
      </c>
      <c r="B1053" s="1" t="n">
        <v>45700</v>
      </c>
      <c r="C1053" s="1" t="n">
        <v>46045</v>
      </c>
      <c r="D1053" t="inlineStr">
        <is>
          <t>STOCKHOLMS LÄN</t>
        </is>
      </c>
      <c r="E1053" t="inlineStr">
        <is>
          <t>NORRTÄLJE</t>
        </is>
      </c>
      <c r="F1053" t="inlineStr">
        <is>
          <t>Övriga Aktiebolag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17612-2022</t>
        </is>
      </c>
      <c r="B1054" s="1" t="n">
        <v>44680</v>
      </c>
      <c r="C1054" s="1" t="n">
        <v>46045</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58297-2023</t>
        </is>
      </c>
      <c r="B1055" s="1" t="n">
        <v>45245</v>
      </c>
      <c r="C1055" s="1" t="n">
        <v>46045</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21726-2022</t>
        </is>
      </c>
      <c r="B1056" s="1" t="n">
        <v>44708</v>
      </c>
      <c r="C1056" s="1" t="n">
        <v>46045</v>
      </c>
      <c r="D1056" t="inlineStr">
        <is>
          <t>STOCKHOLMS LÄN</t>
        </is>
      </c>
      <c r="E1056" t="inlineStr">
        <is>
          <t>NORRTÄLJE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21739-2022</t>
        </is>
      </c>
      <c r="B1057" s="1" t="n">
        <v>44708.36708333333</v>
      </c>
      <c r="C1057" s="1" t="n">
        <v>46045</v>
      </c>
      <c r="D1057" t="inlineStr">
        <is>
          <t>STOCKHOLMS LÄN</t>
        </is>
      </c>
      <c r="E1057" t="inlineStr">
        <is>
          <t>NORRTÄLJE</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28182-2022</t>
        </is>
      </c>
      <c r="B1058" s="1" t="n">
        <v>44746.58530092592</v>
      </c>
      <c r="C1058" s="1" t="n">
        <v>46045</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3283-2025</t>
        </is>
      </c>
      <c r="B1059" s="1" t="n">
        <v>45679</v>
      </c>
      <c r="C1059" s="1" t="n">
        <v>46045</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18092-2022</t>
        </is>
      </c>
      <c r="B1060" s="1" t="n">
        <v>44684</v>
      </c>
      <c r="C1060" s="1" t="n">
        <v>46045</v>
      </c>
      <c r="D1060" t="inlineStr">
        <is>
          <t>STOCKHOLMS LÄN</t>
        </is>
      </c>
      <c r="E1060" t="inlineStr">
        <is>
          <t>NORRTÄLJE</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33295-2023</t>
        </is>
      </c>
      <c r="B1061" s="1" t="n">
        <v>45127.69371527778</v>
      </c>
      <c r="C1061" s="1" t="n">
        <v>46045</v>
      </c>
      <c r="D1061" t="inlineStr">
        <is>
          <t>STOCKHOLMS LÄN</t>
        </is>
      </c>
      <c r="E1061" t="inlineStr">
        <is>
          <t>NORRTÄLJE</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58404-2023</t>
        </is>
      </c>
      <c r="B1062" s="1" t="n">
        <v>45245</v>
      </c>
      <c r="C1062" s="1" t="n">
        <v>46045</v>
      </c>
      <c r="D1062" t="inlineStr">
        <is>
          <t>STOCKHOLMS LÄN</t>
        </is>
      </c>
      <c r="E1062" t="inlineStr">
        <is>
          <t>NORRTÄLJE</t>
        </is>
      </c>
      <c r="G1062" t="n">
        <v>53.5</v>
      </c>
      <c r="H1062" t="n">
        <v>0</v>
      </c>
      <c r="I1062" t="n">
        <v>0</v>
      </c>
      <c r="J1062" t="n">
        <v>0</v>
      </c>
      <c r="K1062" t="n">
        <v>0</v>
      </c>
      <c r="L1062" t="n">
        <v>0</v>
      </c>
      <c r="M1062" t="n">
        <v>0</v>
      </c>
      <c r="N1062" t="n">
        <v>0</v>
      </c>
      <c r="O1062" t="n">
        <v>0</v>
      </c>
      <c r="P1062" t="n">
        <v>0</v>
      </c>
      <c r="Q1062" t="n">
        <v>0</v>
      </c>
      <c r="R1062" s="2" t="inlineStr"/>
    </row>
    <row r="1063" ht="15" customHeight="1">
      <c r="A1063" t="inlineStr">
        <is>
          <t>A 27885-2022</t>
        </is>
      </c>
      <c r="B1063" s="1" t="n">
        <v>44743.67418981482</v>
      </c>
      <c r="C1063" s="1" t="n">
        <v>46045</v>
      </c>
      <c r="D1063" t="inlineStr">
        <is>
          <t>STOCKHOLMS LÄN</t>
        </is>
      </c>
      <c r="E1063" t="inlineStr">
        <is>
          <t>NORRTÄLJE</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25525-2022</t>
        </is>
      </c>
      <c r="B1064" s="1" t="n">
        <v>44732</v>
      </c>
      <c r="C1064" s="1" t="n">
        <v>46045</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48722-2023</t>
        </is>
      </c>
      <c r="B1065" s="1" t="n">
        <v>45208.70996527778</v>
      </c>
      <c r="C1065" s="1" t="n">
        <v>46045</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23801-2022</t>
        </is>
      </c>
      <c r="B1066" s="1" t="n">
        <v>44722</v>
      </c>
      <c r="C1066" s="1" t="n">
        <v>46045</v>
      </c>
      <c r="D1066" t="inlineStr">
        <is>
          <t>STOCKHOLMS LÄN</t>
        </is>
      </c>
      <c r="E1066" t="inlineStr">
        <is>
          <t>NORRTÄLJE</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33353-2023</t>
        </is>
      </c>
      <c r="B1067" s="1" t="n">
        <v>45128</v>
      </c>
      <c r="C1067" s="1" t="n">
        <v>46045</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35708-2022</t>
        </is>
      </c>
      <c r="B1068" s="1" t="n">
        <v>44799.65013888889</v>
      </c>
      <c r="C1068" s="1" t="n">
        <v>46045</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3426-2025</t>
        </is>
      </c>
      <c r="B1069" s="1" t="n">
        <v>45680.42665509259</v>
      </c>
      <c r="C1069" s="1" t="n">
        <v>46045</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9-2024</t>
        </is>
      </c>
      <c r="B1070" s="1" t="n">
        <v>45293</v>
      </c>
      <c r="C1070" s="1" t="n">
        <v>46045</v>
      </c>
      <c r="D1070" t="inlineStr">
        <is>
          <t>STOCKHOLMS LÄN</t>
        </is>
      </c>
      <c r="E1070" t="inlineStr">
        <is>
          <t>NORRTÄLJE</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51312-2023</t>
        </is>
      </c>
      <c r="B1071" s="1" t="n">
        <v>45219.56697916667</v>
      </c>
      <c r="C1071" s="1" t="n">
        <v>46045</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11849-2025</t>
        </is>
      </c>
      <c r="B1072" s="1" t="n">
        <v>45728.38409722222</v>
      </c>
      <c r="C1072" s="1" t="n">
        <v>46045</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38610-2022</t>
        </is>
      </c>
      <c r="B1073" s="1" t="n">
        <v>44813.59915509259</v>
      </c>
      <c r="C1073" s="1" t="n">
        <v>46045</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22816-2021</t>
        </is>
      </c>
      <c r="B1074" s="1" t="n">
        <v>44325</v>
      </c>
      <c r="C1074" s="1" t="n">
        <v>46045</v>
      </c>
      <c r="D1074" t="inlineStr">
        <is>
          <t>STOCKHOLMS LÄN</t>
        </is>
      </c>
      <c r="E1074" t="inlineStr">
        <is>
          <t>NORRTÄLJE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59468-2023</t>
        </is>
      </c>
      <c r="B1075" s="1" t="n">
        <v>45254.41509259259</v>
      </c>
      <c r="C1075" s="1" t="n">
        <v>46045</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18846-2022</t>
        </is>
      </c>
      <c r="B1076" s="1" t="n">
        <v>44690</v>
      </c>
      <c r="C1076" s="1" t="n">
        <v>46045</v>
      </c>
      <c r="D1076" t="inlineStr">
        <is>
          <t>STOCKHOLMS LÄN</t>
        </is>
      </c>
      <c r="E1076" t="inlineStr">
        <is>
          <t>NORRTÄLJE</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12535-2025</t>
        </is>
      </c>
      <c r="B1077" s="1" t="n">
        <v>45730.69502314815</v>
      </c>
      <c r="C1077" s="1" t="n">
        <v>46045</v>
      </c>
      <c r="D1077" t="inlineStr">
        <is>
          <t>STOCKHOLMS LÄN</t>
        </is>
      </c>
      <c r="E1077" t="inlineStr">
        <is>
          <t>NORRTÄLJE</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574-2023</t>
        </is>
      </c>
      <c r="B1078" s="1" t="n">
        <v>44925</v>
      </c>
      <c r="C1078" s="1" t="n">
        <v>46045</v>
      </c>
      <c r="D1078" t="inlineStr">
        <is>
          <t>STOCKHOLMS LÄN</t>
        </is>
      </c>
      <c r="E1078" t="inlineStr">
        <is>
          <t>NORRTÄLJE</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37010-2022</t>
        </is>
      </c>
      <c r="B1079" s="1" t="n">
        <v>44806.41576388889</v>
      </c>
      <c r="C1079" s="1" t="n">
        <v>46045</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32705-2022</t>
        </is>
      </c>
      <c r="B1080" s="1" t="n">
        <v>44783</v>
      </c>
      <c r="C1080" s="1" t="n">
        <v>46045</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33149-2022</t>
        </is>
      </c>
      <c r="B1081" s="1" t="n">
        <v>44785</v>
      </c>
      <c r="C1081" s="1" t="n">
        <v>46045</v>
      </c>
      <c r="D1081" t="inlineStr">
        <is>
          <t>STOCKHOLMS LÄN</t>
        </is>
      </c>
      <c r="E1081" t="inlineStr">
        <is>
          <t>NORRTÄLJE</t>
        </is>
      </c>
      <c r="F1081" t="inlineStr">
        <is>
          <t>Holmen skog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14559-2024</t>
        </is>
      </c>
      <c r="B1082" s="1" t="n">
        <v>45394.72869212963</v>
      </c>
      <c r="C1082" s="1" t="n">
        <v>46045</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11-2024</t>
        </is>
      </c>
      <c r="B1083" s="1" t="n">
        <v>45293</v>
      </c>
      <c r="C1083" s="1" t="n">
        <v>46045</v>
      </c>
      <c r="D1083" t="inlineStr">
        <is>
          <t>STOCKHOLMS LÄN</t>
        </is>
      </c>
      <c r="E1083" t="inlineStr">
        <is>
          <t>NORRTÄLJE</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15256-2023</t>
        </is>
      </c>
      <c r="B1084" s="1" t="n">
        <v>45019.3959837963</v>
      </c>
      <c r="C1084" s="1" t="n">
        <v>46045</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7413-2024</t>
        </is>
      </c>
      <c r="B1085" s="1" t="n">
        <v>45345.6059837963</v>
      </c>
      <c r="C1085" s="1" t="n">
        <v>46045</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58040-2024</t>
        </is>
      </c>
      <c r="B1086" s="1" t="n">
        <v>45631.73952546297</v>
      </c>
      <c r="C1086" s="1" t="n">
        <v>46045</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58041-2024</t>
        </is>
      </c>
      <c r="B1087" s="1" t="n">
        <v>45631.74673611111</v>
      </c>
      <c r="C1087" s="1" t="n">
        <v>46045</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31057-2022</t>
        </is>
      </c>
      <c r="B1088" s="1" t="n">
        <v>44769</v>
      </c>
      <c r="C1088" s="1" t="n">
        <v>46045</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25619-2022</t>
        </is>
      </c>
      <c r="B1089" s="1" t="n">
        <v>44732</v>
      </c>
      <c r="C1089" s="1" t="n">
        <v>46045</v>
      </c>
      <c r="D1089" t="inlineStr">
        <is>
          <t>STOCKHOLMS LÄN</t>
        </is>
      </c>
      <c r="E1089" t="inlineStr">
        <is>
          <t>NORRTÄLJE</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15422-2024</t>
        </is>
      </c>
      <c r="B1090" s="1" t="n">
        <v>45401.3653125</v>
      </c>
      <c r="C1090" s="1" t="n">
        <v>46045</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48716-2023</t>
        </is>
      </c>
      <c r="B1091" s="1" t="n">
        <v>45208.69671296296</v>
      </c>
      <c r="C1091" s="1" t="n">
        <v>46045</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55369-2023</t>
        </is>
      </c>
      <c r="B1092" s="1" t="n">
        <v>45238</v>
      </c>
      <c r="C1092" s="1" t="n">
        <v>46045</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20121-2022</t>
        </is>
      </c>
      <c r="B1093" s="1" t="n">
        <v>44698</v>
      </c>
      <c r="C1093" s="1" t="n">
        <v>46045</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26407-2024</t>
        </is>
      </c>
      <c r="B1094" s="1" t="n">
        <v>45469</v>
      </c>
      <c r="C1094" s="1" t="n">
        <v>46045</v>
      </c>
      <c r="D1094" t="inlineStr">
        <is>
          <t>STOCKHOLMS LÄN</t>
        </is>
      </c>
      <c r="E1094" t="inlineStr">
        <is>
          <t>NORRTÄLJE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10098-2022</t>
        </is>
      </c>
      <c r="B1095" s="1" t="n">
        <v>44621</v>
      </c>
      <c r="C1095" s="1" t="n">
        <v>46045</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49700-2023</t>
        </is>
      </c>
      <c r="B1096" s="1" t="n">
        <v>45212</v>
      </c>
      <c r="C1096" s="1" t="n">
        <v>46045</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59875-2024</t>
        </is>
      </c>
      <c r="B1097" s="1" t="n">
        <v>45640.58716435185</v>
      </c>
      <c r="C1097" s="1" t="n">
        <v>46045</v>
      </c>
      <c r="D1097" t="inlineStr">
        <is>
          <t>STOCKHOLMS LÄN</t>
        </is>
      </c>
      <c r="E1097" t="inlineStr">
        <is>
          <t>NORRTÄLJE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45220-2024</t>
        </is>
      </c>
      <c r="B1098" s="1" t="n">
        <v>45575</v>
      </c>
      <c r="C1098" s="1" t="n">
        <v>46045</v>
      </c>
      <c r="D1098" t="inlineStr">
        <is>
          <t>STOCKHOLMS LÄN</t>
        </is>
      </c>
      <c r="E1098" t="inlineStr">
        <is>
          <t>NORRTÄLJE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4658-2024</t>
        </is>
      </c>
      <c r="B1099" s="1" t="n">
        <v>45328.46336805556</v>
      </c>
      <c r="C1099" s="1" t="n">
        <v>46045</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48145-2024</t>
        </is>
      </c>
      <c r="B1100" s="1" t="n">
        <v>45589.6756712963</v>
      </c>
      <c r="C1100" s="1" t="n">
        <v>46045</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10642-2025</t>
        </is>
      </c>
      <c r="B1101" s="1" t="n">
        <v>45721.65858796296</v>
      </c>
      <c r="C1101" s="1" t="n">
        <v>46045</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24024-2024</t>
        </is>
      </c>
      <c r="B1102" s="1" t="n">
        <v>45456</v>
      </c>
      <c r="C1102" s="1" t="n">
        <v>46045</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35532-2024</t>
        </is>
      </c>
      <c r="B1103" s="1" t="n">
        <v>45531</v>
      </c>
      <c r="C1103" s="1" t="n">
        <v>46045</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21291-2021</t>
        </is>
      </c>
      <c r="B1104" s="1" t="n">
        <v>44319</v>
      </c>
      <c r="C1104" s="1" t="n">
        <v>46045</v>
      </c>
      <c r="D1104" t="inlineStr">
        <is>
          <t>STOCKHOLMS LÄN</t>
        </is>
      </c>
      <c r="E1104" t="inlineStr">
        <is>
          <t>NORRTÄLJE</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19118-2022</t>
        </is>
      </c>
      <c r="B1105" s="1" t="n">
        <v>44691.5652662037</v>
      </c>
      <c r="C1105" s="1" t="n">
        <v>46045</v>
      </c>
      <c r="D1105" t="inlineStr">
        <is>
          <t>STOCKHOLMS LÄN</t>
        </is>
      </c>
      <c r="E1105" t="inlineStr">
        <is>
          <t>NORRTÄLJE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22421-2021</t>
        </is>
      </c>
      <c r="B1106" s="1" t="n">
        <v>44326</v>
      </c>
      <c r="C1106" s="1" t="n">
        <v>46045</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59893-2022</t>
        </is>
      </c>
      <c r="B1107" s="1" t="n">
        <v>44908.77368055555</v>
      </c>
      <c r="C1107" s="1" t="n">
        <v>46045</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46045</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33226-2024</t>
        </is>
      </c>
      <c r="B1109" s="1" t="n">
        <v>45518</v>
      </c>
      <c r="C1109" s="1" t="n">
        <v>46045</v>
      </c>
      <c r="D1109" t="inlineStr">
        <is>
          <t>STOCKHOLMS LÄN</t>
        </is>
      </c>
      <c r="E1109" t="inlineStr">
        <is>
          <t>NORRTÄLJE</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16980-2023</t>
        </is>
      </c>
      <c r="B1110" s="1" t="n">
        <v>45033</v>
      </c>
      <c r="C1110" s="1" t="n">
        <v>46045</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31107-2022</t>
        </is>
      </c>
      <c r="B1111" s="1" t="n">
        <v>44769.66864583334</v>
      </c>
      <c r="C1111" s="1" t="n">
        <v>46045</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18539-2021</t>
        </is>
      </c>
      <c r="B1112" s="1" t="n">
        <v>44306</v>
      </c>
      <c r="C1112" s="1" t="n">
        <v>46045</v>
      </c>
      <c r="D1112" t="inlineStr">
        <is>
          <t>STOCKHOLMS LÄN</t>
        </is>
      </c>
      <c r="E1112" t="inlineStr">
        <is>
          <t>NORRTÄLJE</t>
        </is>
      </c>
      <c r="F1112" t="inlineStr">
        <is>
          <t>Holmen skog AB</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43170-2023</t>
        </is>
      </c>
      <c r="B1113" s="1" t="n">
        <v>45183</v>
      </c>
      <c r="C1113" s="1" t="n">
        <v>46045</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47626-2022</t>
        </is>
      </c>
      <c r="B1114" s="1" t="n">
        <v>44854</v>
      </c>
      <c r="C1114" s="1" t="n">
        <v>46045</v>
      </c>
      <c r="D1114" t="inlineStr">
        <is>
          <t>STOCKHOLMS LÄN</t>
        </is>
      </c>
      <c r="E1114" t="inlineStr">
        <is>
          <t>NORRTÄLJE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32101-2022</t>
        </is>
      </c>
      <c r="B1115" s="1" t="n">
        <v>44778.69210648148</v>
      </c>
      <c r="C1115" s="1" t="n">
        <v>46045</v>
      </c>
      <c r="D1115" t="inlineStr">
        <is>
          <t>STOCKHOLMS LÄN</t>
        </is>
      </c>
      <c r="E1115" t="inlineStr">
        <is>
          <t>NORRTÄLJE</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28365-2022</t>
        </is>
      </c>
      <c r="B1116" s="1" t="n">
        <v>44747</v>
      </c>
      <c r="C1116" s="1" t="n">
        <v>46045</v>
      </c>
      <c r="D1116" t="inlineStr">
        <is>
          <t>STOCKHOLMS LÄN</t>
        </is>
      </c>
      <c r="E1116" t="inlineStr">
        <is>
          <t>NORRTÄLJE</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42867-2022</t>
        </is>
      </c>
      <c r="B1117" s="1" t="n">
        <v>44832</v>
      </c>
      <c r="C1117" s="1" t="n">
        <v>46045</v>
      </c>
      <c r="D1117" t="inlineStr">
        <is>
          <t>STOCKHOLMS LÄN</t>
        </is>
      </c>
      <c r="E1117" t="inlineStr">
        <is>
          <t>NORRTÄLJE</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5645-2023</t>
        </is>
      </c>
      <c r="B1118" s="1" t="n">
        <v>44960.60469907407</v>
      </c>
      <c r="C1118" s="1" t="n">
        <v>46045</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17775-2022</t>
        </is>
      </c>
      <c r="B1119" s="1" t="n">
        <v>44682.78430555556</v>
      </c>
      <c r="C1119" s="1" t="n">
        <v>46045</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9703-2021</t>
        </is>
      </c>
      <c r="B1120" s="1" t="n">
        <v>44252</v>
      </c>
      <c r="C1120" s="1" t="n">
        <v>46045</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47481-2024</t>
        </is>
      </c>
      <c r="B1121" s="1" t="n">
        <v>45587</v>
      </c>
      <c r="C1121" s="1" t="n">
        <v>46045</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24933-2023</t>
        </is>
      </c>
      <c r="B1122" s="1" t="n">
        <v>45085.5309375</v>
      </c>
      <c r="C1122" s="1" t="n">
        <v>46045</v>
      </c>
      <c r="D1122" t="inlineStr">
        <is>
          <t>STOCKHOLMS LÄN</t>
        </is>
      </c>
      <c r="E1122" t="inlineStr">
        <is>
          <t>NORRTÄLJE</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11062-2024</t>
        </is>
      </c>
      <c r="B1123" s="1" t="n">
        <v>45370</v>
      </c>
      <c r="C1123" s="1" t="n">
        <v>46045</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576-2023</t>
        </is>
      </c>
      <c r="B1124" s="1" t="n">
        <v>44925</v>
      </c>
      <c r="C1124" s="1" t="n">
        <v>46045</v>
      </c>
      <c r="D1124" t="inlineStr">
        <is>
          <t>STOCKHOLMS LÄN</t>
        </is>
      </c>
      <c r="E1124" t="inlineStr">
        <is>
          <t>NORRTÄLJE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12908-2025</t>
        </is>
      </c>
      <c r="B1125" s="1" t="n">
        <v>45733.82105324074</v>
      </c>
      <c r="C1125" s="1" t="n">
        <v>46045</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68361-2021</t>
        </is>
      </c>
      <c r="B1126" s="1" t="n">
        <v>44528.91494212963</v>
      </c>
      <c r="C1126" s="1" t="n">
        <v>46045</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50469-2022</t>
        </is>
      </c>
      <c r="B1127" s="1" t="n">
        <v>44866.49827546296</v>
      </c>
      <c r="C1127" s="1" t="n">
        <v>46045</v>
      </c>
      <c r="D1127" t="inlineStr">
        <is>
          <t>STOCKHOLMS LÄN</t>
        </is>
      </c>
      <c r="E1127" t="inlineStr">
        <is>
          <t>NORRTÄLJE</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41976-2024</t>
        </is>
      </c>
      <c r="B1128" s="1" t="n">
        <v>45561.62141203704</v>
      </c>
      <c r="C1128" s="1" t="n">
        <v>46045</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62206-2022</t>
        </is>
      </c>
      <c r="B1129" s="1" t="n">
        <v>44922</v>
      </c>
      <c r="C1129" s="1" t="n">
        <v>46045</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30886-2022</t>
        </is>
      </c>
      <c r="B1130" s="1" t="n">
        <v>44767.60601851852</v>
      </c>
      <c r="C1130" s="1" t="n">
        <v>46045</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58989-2021</t>
        </is>
      </c>
      <c r="B1131" s="1" t="n">
        <v>44490.02482638889</v>
      </c>
      <c r="C1131" s="1" t="n">
        <v>46045</v>
      </c>
      <c r="D1131" t="inlineStr">
        <is>
          <t>STOCKHOLMS LÄN</t>
        </is>
      </c>
      <c r="E1131" t="inlineStr">
        <is>
          <t>NORRTÄLJE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58990-2021</t>
        </is>
      </c>
      <c r="B1132" s="1" t="n">
        <v>44490.03621527777</v>
      </c>
      <c r="C1132" s="1" t="n">
        <v>46045</v>
      </c>
      <c r="D1132" t="inlineStr">
        <is>
          <t>STOCKHOLMS LÄN</t>
        </is>
      </c>
      <c r="E1132" t="inlineStr">
        <is>
          <t>NORRTÄLJE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11940-2023</t>
        </is>
      </c>
      <c r="B1133" s="1" t="n">
        <v>44995</v>
      </c>
      <c r="C1133" s="1" t="n">
        <v>46045</v>
      </c>
      <c r="D1133" t="inlineStr">
        <is>
          <t>STOCKHOLMS LÄN</t>
        </is>
      </c>
      <c r="E1133" t="inlineStr">
        <is>
          <t>NORRTÄLJE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29266-2022</t>
        </is>
      </c>
      <c r="B1134" s="1" t="n">
        <v>44750.66068287037</v>
      </c>
      <c r="C1134" s="1" t="n">
        <v>46045</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29278-2022</t>
        </is>
      </c>
      <c r="B1135" s="1" t="n">
        <v>44750</v>
      </c>
      <c r="C1135" s="1" t="n">
        <v>46045</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6401-2024</t>
        </is>
      </c>
      <c r="B1136" s="1" t="n">
        <v>45338</v>
      </c>
      <c r="C1136" s="1" t="n">
        <v>46045</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24501-2023</t>
        </is>
      </c>
      <c r="B1137" s="1" t="n">
        <v>45082</v>
      </c>
      <c r="C1137" s="1" t="n">
        <v>46045</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24520-2023</t>
        </is>
      </c>
      <c r="B1138" s="1" t="n">
        <v>45082.68922453704</v>
      </c>
      <c r="C1138" s="1" t="n">
        <v>46045</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c r="A1139" t="inlineStr">
        <is>
          <t>A 31281-2022</t>
        </is>
      </c>
      <c r="B1139" s="1" t="n">
        <v>44771</v>
      </c>
      <c r="C1139" s="1" t="n">
        <v>46045</v>
      </c>
      <c r="D1139" t="inlineStr">
        <is>
          <t>STOCKHOLMS LÄN</t>
        </is>
      </c>
      <c r="E1139" t="inlineStr">
        <is>
          <t>NORRTÄLJE</t>
        </is>
      </c>
      <c r="F1139" t="inlineStr">
        <is>
          <t>Holmen skog AB</t>
        </is>
      </c>
      <c r="G1139" t="n">
        <v>5.2</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2026-01-23T10:55:52Z</dcterms:created>
  <dcterms:modified xmlns:dcterms="http://purl.org/dc/terms/" xmlns:xsi="http://www.w3.org/2001/XMLSchema-instance" xsi:type="dcterms:W3CDTF">2026-01-23T10:55:53Z</dcterms:modified>
</cp:coreProperties>
</file>