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46133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46133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46133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46133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46133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46133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46133</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46133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46133</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46133</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46133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46133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46133</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46133</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46133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46133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46133</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46133</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46133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46133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46133</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46133</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46133</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46133</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46133</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46133</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46133</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46133</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46133</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3444-2023</t>
        </is>
      </c>
      <c r="B40" s="1" t="n">
        <v>44949</v>
      </c>
      <c r="C40" s="1" t="n">
        <v>46133</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72111-2021</t>
        </is>
      </c>
      <c r="B41" s="1" t="n">
        <v>44544</v>
      </c>
      <c r="C41" s="1" t="n">
        <v>46133</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46133</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46133</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17645-2026</t>
        </is>
      </c>
      <c r="B44" s="1" t="n">
        <v>46121.51921296296</v>
      </c>
      <c r="C44" s="1" t="n">
        <v>46133</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46133</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46133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46133</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46133</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46133</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34521-2025</t>
        </is>
      </c>
      <c r="B51" s="1" t="n">
        <v>45847.47052083333</v>
      </c>
      <c r="C51" s="1" t="n">
        <v>46133</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47212-2025</t>
        </is>
      </c>
      <c r="B52" s="1" t="n">
        <v>45930</v>
      </c>
      <c r="C52" s="1" t="n">
        <v>46133</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24052-2021</t>
        </is>
      </c>
      <c r="B53" s="1" t="n">
        <v>44336</v>
      </c>
      <c r="C53" s="1" t="n">
        <v>46133</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46133</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46133</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45113-2022</t>
        </is>
      </c>
      <c r="B56" s="1" t="n">
        <v>44843</v>
      </c>
      <c r="C56" s="1" t="n">
        <v>46133</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46133</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46133</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46133</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46133</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46133</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46133</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46133</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22190-2024</t>
        </is>
      </c>
      <c r="B64" s="1" t="n">
        <v>45446.35888888889</v>
      </c>
      <c r="C64" s="1" t="n">
        <v>46133</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52726-2025</t>
        </is>
      </c>
      <c r="B65" s="1" t="n">
        <v>45957.34722222222</v>
      </c>
      <c r="C65" s="1" t="n">
        <v>46133</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27870-2022</t>
        </is>
      </c>
      <c r="B66" s="1" t="n">
        <v>44743.64592592593</v>
      </c>
      <c r="C66" s="1" t="n">
        <v>46133</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46133</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46133</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46133</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46133</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46133</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46133</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46133</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46133</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46133</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46133</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50697-2025</t>
        </is>
      </c>
      <c r="B77" s="1" t="n">
        <v>45945.90854166666</v>
      </c>
      <c r="C77" s="1" t="n">
        <v>46133</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46133</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46133</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15925-2026</t>
        </is>
      </c>
      <c r="B80" s="1" t="n">
        <v>46107.66046296297</v>
      </c>
      <c r="C80" s="1" t="n">
        <v>46133</v>
      </c>
      <c r="D80" t="inlineStr">
        <is>
          <t>STOCKHOLMS LÄN</t>
        </is>
      </c>
      <c r="E80" t="inlineStr">
        <is>
          <t>NORRTÄLJE</t>
        </is>
      </c>
      <c r="G80" t="n">
        <v>2.9</v>
      </c>
      <c r="H80" t="n">
        <v>1</v>
      </c>
      <c r="I80" t="n">
        <v>1</v>
      </c>
      <c r="J80" t="n">
        <v>0</v>
      </c>
      <c r="K80" t="n">
        <v>0</v>
      </c>
      <c r="L80" t="n">
        <v>0</v>
      </c>
      <c r="M80" t="n">
        <v>0</v>
      </c>
      <c r="N80" t="n">
        <v>0</v>
      </c>
      <c r="O80" t="n">
        <v>0</v>
      </c>
      <c r="P80" t="n">
        <v>0</v>
      </c>
      <c r="Q80" t="n">
        <v>2</v>
      </c>
      <c r="R80" s="2" t="inlineStr">
        <is>
          <t>Fjällig taggsvamp s.str.
Blåsippa</t>
        </is>
      </c>
      <c r="S80">
        <f>HYPERLINK("https://klasma.github.io/Logging_0188/artfynd/A 15925-2026 artfynd.xlsx", "A 15925-2026")</f>
        <v/>
      </c>
      <c r="T80">
        <f>HYPERLINK("https://klasma.github.io/Logging_0188/kartor/A 15925-2026 karta.png", "A 15925-2026")</f>
        <v/>
      </c>
      <c r="V80">
        <f>HYPERLINK("https://klasma.github.io/Logging_0188/klagomål/A 15925-2026 FSC-klagomål.docx", "A 15925-2026")</f>
        <v/>
      </c>
      <c r="W80">
        <f>HYPERLINK("https://klasma.github.io/Logging_0188/klagomålsmail/A 15925-2026 FSC-klagomål mail.docx", "A 15925-2026")</f>
        <v/>
      </c>
      <c r="X80">
        <f>HYPERLINK("https://klasma.github.io/Logging_0188/tillsyn/A 15925-2026 tillsynsbegäran.docx", "A 15925-2026")</f>
        <v/>
      </c>
      <c r="Y80">
        <f>HYPERLINK("https://klasma.github.io/Logging_0188/tillsynsmail/A 15925-2026 tillsynsbegäran mail.docx", "A 15925-2026")</f>
        <v/>
      </c>
    </row>
    <row r="81" ht="15" customHeight="1">
      <c r="A81" t="inlineStr">
        <is>
          <t>A 51220-2023</t>
        </is>
      </c>
      <c r="B81" s="1" t="n">
        <v>45219</v>
      </c>
      <c r="C81" s="1" t="n">
        <v>46133</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53608-2025</t>
        </is>
      </c>
      <c r="B82" s="1" t="n">
        <v>45960</v>
      </c>
      <c r="C82" s="1" t="n">
        <v>46133</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52124-2022</t>
        </is>
      </c>
      <c r="B83" s="1" t="n">
        <v>44868</v>
      </c>
      <c r="C83" s="1" t="n">
        <v>46133</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46133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46133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46133</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46133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46133</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9955-2022</t>
        </is>
      </c>
      <c r="B93" s="1" t="n">
        <v>44620</v>
      </c>
      <c r="C93" s="1" t="n">
        <v>46133</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62715-2025</t>
        </is>
      </c>
      <c r="B94" s="1" t="n">
        <v>46008.52034722222</v>
      </c>
      <c r="C94" s="1" t="n">
        <v>46133</v>
      </c>
      <c r="D94" t="inlineStr">
        <is>
          <t>STOCKHOLMS LÄN</t>
        </is>
      </c>
      <c r="E94" t="inlineStr">
        <is>
          <t>NORRTÄLJE</t>
        </is>
      </c>
      <c r="G94" t="n">
        <v>0.8</v>
      </c>
      <c r="H94" t="n">
        <v>0</v>
      </c>
      <c r="I94" t="n">
        <v>1</v>
      </c>
      <c r="J94" t="n">
        <v>0</v>
      </c>
      <c r="K94" t="n">
        <v>0</v>
      </c>
      <c r="L94" t="n">
        <v>0</v>
      </c>
      <c r="M94" t="n">
        <v>0</v>
      </c>
      <c r="N94" t="n">
        <v>0</v>
      </c>
      <c r="O94" t="n">
        <v>0</v>
      </c>
      <c r="P94" t="n">
        <v>0</v>
      </c>
      <c r="Q94" t="n">
        <v>1</v>
      </c>
      <c r="R94" s="2" t="inlineStr">
        <is>
          <t>Granbarkgnagare</t>
        </is>
      </c>
      <c r="S94">
        <f>HYPERLINK("https://klasma.github.io/Logging_0188/artfynd/A 62715-2025 artfynd.xlsx", "A 62715-2025")</f>
        <v/>
      </c>
      <c r="T94">
        <f>HYPERLINK("https://klasma.github.io/Logging_0188/kartor/A 62715-2025 karta.png", "A 62715-2025")</f>
        <v/>
      </c>
      <c r="V94">
        <f>HYPERLINK("https://klasma.github.io/Logging_0188/klagomål/A 62715-2025 FSC-klagomål.docx", "A 62715-2025")</f>
        <v/>
      </c>
      <c r="W94">
        <f>HYPERLINK("https://klasma.github.io/Logging_0188/klagomålsmail/A 62715-2025 FSC-klagomål mail.docx", "A 62715-2025")</f>
        <v/>
      </c>
      <c r="X94">
        <f>HYPERLINK("https://klasma.github.io/Logging_0188/tillsyn/A 62715-2025 tillsynsbegäran.docx", "A 62715-2025")</f>
        <v/>
      </c>
      <c r="Y94">
        <f>HYPERLINK("https://klasma.github.io/Logging_0188/tillsynsmail/A 62715-2025 tillsynsbegäran mail.docx", "A 62715-2025")</f>
        <v/>
      </c>
    </row>
    <row r="95" ht="15" customHeight="1">
      <c r="A95" t="inlineStr">
        <is>
          <t>A 4595-2023</t>
        </is>
      </c>
      <c r="B95" s="1" t="n">
        <v>44956</v>
      </c>
      <c r="C95" s="1" t="n">
        <v>46133</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46133</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25669-2025</t>
        </is>
      </c>
      <c r="B97" s="1" t="n">
        <v>45803.62766203703</v>
      </c>
      <c r="C97" s="1" t="n">
        <v>46133</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35764-2024</t>
        </is>
      </c>
      <c r="B98" s="1" t="n">
        <v>45532</v>
      </c>
      <c r="C98" s="1" t="n">
        <v>46133</v>
      </c>
      <c r="D98" t="inlineStr">
        <is>
          <t>STOCKHOLMS LÄN</t>
        </is>
      </c>
      <c r="E98" t="inlineStr">
        <is>
          <t>NORRTÄLJE</t>
        </is>
      </c>
      <c r="G98" t="n">
        <v>14.2</v>
      </c>
      <c r="H98" t="n">
        <v>1</v>
      </c>
      <c r="I98" t="n">
        <v>0</v>
      </c>
      <c r="J98" t="n">
        <v>0</v>
      </c>
      <c r="K98" t="n">
        <v>1</v>
      </c>
      <c r="L98" t="n">
        <v>0</v>
      </c>
      <c r="M98" t="n">
        <v>0</v>
      </c>
      <c r="N98" t="n">
        <v>0</v>
      </c>
      <c r="O98" t="n">
        <v>1</v>
      </c>
      <c r="P98" t="n">
        <v>1</v>
      </c>
      <c r="Q98" t="n">
        <v>1</v>
      </c>
      <c r="R98" s="2" t="inlineStr">
        <is>
          <t>Knärot</t>
        </is>
      </c>
      <c r="S98">
        <f>HYPERLINK("https://klasma.github.io/Logging_0188/artfynd/A 35764-2024 artfynd.xlsx", "A 35764-2024")</f>
        <v/>
      </c>
      <c r="T98">
        <f>HYPERLINK("https://klasma.github.io/Logging_0188/kartor/A 35764-2024 karta.png", "A 35764-2024")</f>
        <v/>
      </c>
      <c r="U98">
        <f>HYPERLINK("https://klasma.github.io/Logging_0188/knärot/A 35764-2024 karta knärot.png", "A 35764-2024")</f>
        <v/>
      </c>
      <c r="V98">
        <f>HYPERLINK("https://klasma.github.io/Logging_0188/klagomål/A 35764-2024 FSC-klagomål.docx", "A 35764-2024")</f>
        <v/>
      </c>
      <c r="W98">
        <f>HYPERLINK("https://klasma.github.io/Logging_0188/klagomålsmail/A 35764-2024 FSC-klagomål mail.docx", "A 35764-2024")</f>
        <v/>
      </c>
      <c r="X98">
        <f>HYPERLINK("https://klasma.github.io/Logging_0188/tillsyn/A 35764-2024 tillsynsbegäran.docx", "A 35764-2024")</f>
        <v/>
      </c>
      <c r="Y98">
        <f>HYPERLINK("https://klasma.github.io/Logging_0188/tillsynsmail/A 35764-2024 tillsynsbegäran mail.docx", "A 35764-2024")</f>
        <v/>
      </c>
    </row>
    <row r="99" ht="15" customHeight="1">
      <c r="A99" t="inlineStr">
        <is>
          <t>A 25725-2025</t>
        </is>
      </c>
      <c r="B99" s="1" t="n">
        <v>45800</v>
      </c>
      <c r="C99" s="1" t="n">
        <v>46133</v>
      </c>
      <c r="D99" t="inlineStr">
        <is>
          <t>STOCKHOLMS LÄN</t>
        </is>
      </c>
      <c r="E99" t="inlineStr">
        <is>
          <t>NORRTÄLJE</t>
        </is>
      </c>
      <c r="G99" t="n">
        <v>5.2</v>
      </c>
      <c r="H99" t="n">
        <v>0</v>
      </c>
      <c r="I99" t="n">
        <v>0</v>
      </c>
      <c r="J99" t="n">
        <v>1</v>
      </c>
      <c r="K99" t="n">
        <v>0</v>
      </c>
      <c r="L99" t="n">
        <v>0</v>
      </c>
      <c r="M99" t="n">
        <v>0</v>
      </c>
      <c r="N99" t="n">
        <v>0</v>
      </c>
      <c r="O99" t="n">
        <v>1</v>
      </c>
      <c r="P99" t="n">
        <v>0</v>
      </c>
      <c r="Q99" t="n">
        <v>1</v>
      </c>
      <c r="R99" s="2" t="inlineStr">
        <is>
          <t>Tallticka</t>
        </is>
      </c>
      <c r="S99">
        <f>HYPERLINK("https://klasma.github.io/Logging_0188/artfynd/A 25725-2025 artfynd.xlsx", "A 25725-2025")</f>
        <v/>
      </c>
      <c r="T99">
        <f>HYPERLINK("https://klasma.github.io/Logging_0188/kartor/A 25725-2025 karta.png", "A 25725-2025")</f>
        <v/>
      </c>
      <c r="V99">
        <f>HYPERLINK("https://klasma.github.io/Logging_0188/klagomål/A 25725-2025 FSC-klagomål.docx", "A 25725-2025")</f>
        <v/>
      </c>
      <c r="W99">
        <f>HYPERLINK("https://klasma.github.io/Logging_0188/klagomålsmail/A 25725-2025 FSC-klagomål mail.docx", "A 25725-2025")</f>
        <v/>
      </c>
      <c r="X99">
        <f>HYPERLINK("https://klasma.github.io/Logging_0188/tillsyn/A 25725-2025 tillsynsbegäran.docx", "A 25725-2025")</f>
        <v/>
      </c>
      <c r="Y99">
        <f>HYPERLINK("https://klasma.github.io/Logging_0188/tillsynsmail/A 25725-2025 tillsynsbegäran mail.docx", "A 25725-2025")</f>
        <v/>
      </c>
    </row>
    <row r="100" ht="15" customHeight="1">
      <c r="A100" t="inlineStr">
        <is>
          <t>A 25709-2025</t>
        </is>
      </c>
      <c r="B100" s="1" t="n">
        <v>45800</v>
      </c>
      <c r="C100" s="1" t="n">
        <v>46133</v>
      </c>
      <c r="D100" t="inlineStr">
        <is>
          <t>STOCKHOLMS LÄN</t>
        </is>
      </c>
      <c r="E100" t="inlineStr">
        <is>
          <t>NORRTÄLJE</t>
        </is>
      </c>
      <c r="G100" t="n">
        <v>4.6</v>
      </c>
      <c r="H100" t="n">
        <v>0</v>
      </c>
      <c r="I100" t="n">
        <v>0</v>
      </c>
      <c r="J100" t="n">
        <v>1</v>
      </c>
      <c r="K100" t="n">
        <v>0</v>
      </c>
      <c r="L100" t="n">
        <v>0</v>
      </c>
      <c r="M100" t="n">
        <v>0</v>
      </c>
      <c r="N100" t="n">
        <v>0</v>
      </c>
      <c r="O100" t="n">
        <v>1</v>
      </c>
      <c r="P100" t="n">
        <v>0</v>
      </c>
      <c r="Q100" t="n">
        <v>1</v>
      </c>
      <c r="R100" s="2" t="inlineStr">
        <is>
          <t>Ullticka</t>
        </is>
      </c>
      <c r="S100">
        <f>HYPERLINK("https://klasma.github.io/Logging_0188/artfynd/A 25709-2025 artfynd.xlsx", "A 25709-2025")</f>
        <v/>
      </c>
      <c r="T100">
        <f>HYPERLINK("https://klasma.github.io/Logging_0188/kartor/A 25709-2025 karta.png", "A 25709-2025")</f>
        <v/>
      </c>
      <c r="V100">
        <f>HYPERLINK("https://klasma.github.io/Logging_0188/klagomål/A 25709-2025 FSC-klagomål.docx", "A 25709-2025")</f>
        <v/>
      </c>
      <c r="W100">
        <f>HYPERLINK("https://klasma.github.io/Logging_0188/klagomålsmail/A 25709-2025 FSC-klagomål mail.docx", "A 25709-2025")</f>
        <v/>
      </c>
      <c r="X100">
        <f>HYPERLINK("https://klasma.github.io/Logging_0188/tillsyn/A 25709-2025 tillsynsbegäran.docx", "A 25709-2025")</f>
        <v/>
      </c>
      <c r="Y100">
        <f>HYPERLINK("https://klasma.github.io/Logging_0188/tillsynsmail/A 25709-2025 tillsynsbegäran mail.docx", "A 25709-2025")</f>
        <v/>
      </c>
    </row>
    <row r="101" ht="15" customHeight="1">
      <c r="A101" t="inlineStr">
        <is>
          <t>A 24535-2023</t>
        </is>
      </c>
      <c r="B101" s="1" t="n">
        <v>45082</v>
      </c>
      <c r="C101" s="1" t="n">
        <v>46133</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35649-2023</t>
        </is>
      </c>
      <c r="B102" s="1" t="n">
        <v>45146</v>
      </c>
      <c r="C102" s="1" t="n">
        <v>46133</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40861-2025</t>
        </is>
      </c>
      <c r="B103" s="1" t="n">
        <v>45897.56356481482</v>
      </c>
      <c r="C103" s="1" t="n">
        <v>46133</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46133</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63292-2025</t>
        </is>
      </c>
      <c r="B105" s="1" t="n">
        <v>46010.59232638889</v>
      </c>
      <c r="C105" s="1" t="n">
        <v>46133</v>
      </c>
      <c r="D105" t="inlineStr">
        <is>
          <t>STOCKHOLMS LÄN</t>
        </is>
      </c>
      <c r="E105" t="inlineStr">
        <is>
          <t>NORRTÄLJE</t>
        </is>
      </c>
      <c r="G105" t="n">
        <v>11.1</v>
      </c>
      <c r="H105" t="n">
        <v>1</v>
      </c>
      <c r="I105" t="n">
        <v>1</v>
      </c>
      <c r="J105" t="n">
        <v>0</v>
      </c>
      <c r="K105" t="n">
        <v>0</v>
      </c>
      <c r="L105" t="n">
        <v>0</v>
      </c>
      <c r="M105" t="n">
        <v>0</v>
      </c>
      <c r="N105" t="n">
        <v>0</v>
      </c>
      <c r="O105" t="n">
        <v>0</v>
      </c>
      <c r="P105" t="n">
        <v>0</v>
      </c>
      <c r="Q105" t="n">
        <v>1</v>
      </c>
      <c r="R105" s="2" t="inlineStr">
        <is>
          <t>Nästrot</t>
        </is>
      </c>
      <c r="S105">
        <f>HYPERLINK("https://klasma.github.io/Logging_0188/artfynd/A 63292-2025 artfynd.xlsx", "A 63292-2025")</f>
        <v/>
      </c>
      <c r="T105">
        <f>HYPERLINK("https://klasma.github.io/Logging_0188/kartor/A 63292-2025 karta.png", "A 63292-2025")</f>
        <v/>
      </c>
      <c r="V105">
        <f>HYPERLINK("https://klasma.github.io/Logging_0188/klagomål/A 63292-2025 FSC-klagomål.docx", "A 63292-2025")</f>
        <v/>
      </c>
      <c r="W105">
        <f>HYPERLINK("https://klasma.github.io/Logging_0188/klagomålsmail/A 63292-2025 FSC-klagomål mail.docx", "A 63292-2025")</f>
        <v/>
      </c>
      <c r="X105">
        <f>HYPERLINK("https://klasma.github.io/Logging_0188/tillsyn/A 63292-2025 tillsynsbegäran.docx", "A 63292-2025")</f>
        <v/>
      </c>
      <c r="Y105">
        <f>HYPERLINK("https://klasma.github.io/Logging_0188/tillsynsmail/A 63292-2025 tillsynsbegäran mail.docx", "A 63292-2025")</f>
        <v/>
      </c>
    </row>
    <row r="106" ht="15" customHeight="1">
      <c r="A106" t="inlineStr">
        <is>
          <t>A 31281-2022</t>
        </is>
      </c>
      <c r="B106" s="1" t="n">
        <v>44771</v>
      </c>
      <c r="C106" s="1" t="n">
        <v>46133</v>
      </c>
      <c r="D106" t="inlineStr">
        <is>
          <t>STOCKHOLMS LÄN</t>
        </is>
      </c>
      <c r="E106" t="inlineStr">
        <is>
          <t>NORRTÄLJE</t>
        </is>
      </c>
      <c r="F106" t="inlineStr">
        <is>
          <t>Holmen skog AB</t>
        </is>
      </c>
      <c r="G106" t="n">
        <v>5.2</v>
      </c>
      <c r="H106" t="n">
        <v>1</v>
      </c>
      <c r="I106" t="n">
        <v>0</v>
      </c>
      <c r="J106" t="n">
        <v>1</v>
      </c>
      <c r="K106" t="n">
        <v>0</v>
      </c>
      <c r="L106" t="n">
        <v>0</v>
      </c>
      <c r="M106" t="n">
        <v>0</v>
      </c>
      <c r="N106" t="n">
        <v>0</v>
      </c>
      <c r="O106" t="n">
        <v>1</v>
      </c>
      <c r="P106" t="n">
        <v>0</v>
      </c>
      <c r="Q106" t="n">
        <v>1</v>
      </c>
      <c r="R106" s="2" t="inlineStr">
        <is>
          <t>Kråka</t>
        </is>
      </c>
      <c r="S106">
        <f>HYPERLINK("https://klasma.github.io/Logging_0188/artfynd/A 31281-2022 artfynd.xlsx", "A 31281-2022")</f>
        <v/>
      </c>
      <c r="T106">
        <f>HYPERLINK("https://klasma.github.io/Logging_0188/kartor/A 31281-2022 karta.png", "A 31281-2022")</f>
        <v/>
      </c>
      <c r="V106">
        <f>HYPERLINK("https://klasma.github.io/Logging_0188/klagomål/A 31281-2022 FSC-klagomål.docx", "A 31281-2022")</f>
        <v/>
      </c>
      <c r="W106">
        <f>HYPERLINK("https://klasma.github.io/Logging_0188/klagomålsmail/A 31281-2022 FSC-klagomål mail.docx", "A 31281-2022")</f>
        <v/>
      </c>
      <c r="X106">
        <f>HYPERLINK("https://klasma.github.io/Logging_0188/tillsyn/A 31281-2022 tillsynsbegäran.docx", "A 31281-2022")</f>
        <v/>
      </c>
      <c r="Y106">
        <f>HYPERLINK("https://klasma.github.io/Logging_0188/tillsynsmail/A 31281-2022 tillsynsbegäran mail.docx", "A 31281-2022")</f>
        <v/>
      </c>
      <c r="Z106">
        <f>HYPERLINK("https://klasma.github.io/Logging_0188/fåglar/A 31281-2022 prioriterade fågelarter.docx", "A 31281-2022")</f>
        <v/>
      </c>
    </row>
    <row r="107" ht="15" customHeight="1">
      <c r="A107" t="inlineStr">
        <is>
          <t>A 4532-2025</t>
        </is>
      </c>
      <c r="B107" s="1" t="n">
        <v>45687.34177083334</v>
      </c>
      <c r="C107" s="1" t="n">
        <v>46133</v>
      </c>
      <c r="D107" t="inlineStr">
        <is>
          <t>STOCKHOLMS LÄN</t>
        </is>
      </c>
      <c r="E107" t="inlineStr">
        <is>
          <t>NORRTÄLJE</t>
        </is>
      </c>
      <c r="F107" t="inlineStr">
        <is>
          <t>Holmen skog AB</t>
        </is>
      </c>
      <c r="G107" t="n">
        <v>6.4</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4532-2025 artfynd.xlsx", "A 4532-2025")</f>
        <v/>
      </c>
      <c r="T107">
        <f>HYPERLINK("https://klasma.github.io/Logging_0188/kartor/A 4532-2025 karta.png", "A 4532-2025")</f>
        <v/>
      </c>
      <c r="V107">
        <f>HYPERLINK("https://klasma.github.io/Logging_0188/klagomål/A 4532-2025 FSC-klagomål.docx", "A 4532-2025")</f>
        <v/>
      </c>
      <c r="W107">
        <f>HYPERLINK("https://klasma.github.io/Logging_0188/klagomålsmail/A 4532-2025 FSC-klagomål mail.docx", "A 4532-2025")</f>
        <v/>
      </c>
      <c r="X107">
        <f>HYPERLINK("https://klasma.github.io/Logging_0188/tillsyn/A 4532-2025 tillsynsbegäran.docx", "A 4532-2025")</f>
        <v/>
      </c>
      <c r="Y107">
        <f>HYPERLINK("https://klasma.github.io/Logging_0188/tillsynsmail/A 4532-2025 tillsynsbegäran mail.docx", "A 4532-2025")</f>
        <v/>
      </c>
    </row>
    <row r="108" ht="15" customHeight="1">
      <c r="A108" t="inlineStr">
        <is>
          <t>A 42313-2025</t>
        </is>
      </c>
      <c r="B108" s="1" t="n">
        <v>45904.6575</v>
      </c>
      <c r="C108" s="1" t="n">
        <v>46133</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35691-2023</t>
        </is>
      </c>
      <c r="B109" s="1" t="n">
        <v>45147.65222222222</v>
      </c>
      <c r="C109" s="1" t="n">
        <v>46133</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46133</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6381-2023</t>
        </is>
      </c>
      <c r="B111" s="1" t="n">
        <v>44965</v>
      </c>
      <c r="C111" s="1" t="n">
        <v>46133</v>
      </c>
      <c r="D111" t="inlineStr">
        <is>
          <t>STOCKHOLMS LÄN</t>
        </is>
      </c>
      <c r="E111" t="inlineStr">
        <is>
          <t>NORRTÄLJE</t>
        </is>
      </c>
      <c r="G111" t="n">
        <v>3.5</v>
      </c>
      <c r="H111" t="n">
        <v>1</v>
      </c>
      <c r="I111" t="n">
        <v>1</v>
      </c>
      <c r="J111" t="n">
        <v>0</v>
      </c>
      <c r="K111" t="n">
        <v>0</v>
      </c>
      <c r="L111" t="n">
        <v>0</v>
      </c>
      <c r="M111" t="n">
        <v>0</v>
      </c>
      <c r="N111" t="n">
        <v>0</v>
      </c>
      <c r="O111" t="n">
        <v>0</v>
      </c>
      <c r="P111" t="n">
        <v>0</v>
      </c>
      <c r="Q111" t="n">
        <v>1</v>
      </c>
      <c r="R111" s="2" t="inlineStr">
        <is>
          <t>Guckusko</t>
        </is>
      </c>
      <c r="S111">
        <f>HYPERLINK("https://klasma.github.io/Logging_0188/artfynd/A 6381-2023 artfynd.xlsx", "A 6381-2023")</f>
        <v/>
      </c>
      <c r="T111">
        <f>HYPERLINK("https://klasma.github.io/Logging_0188/kartor/A 6381-2023 karta.png", "A 6381-2023")</f>
        <v/>
      </c>
      <c r="V111">
        <f>HYPERLINK("https://klasma.github.io/Logging_0188/klagomål/A 6381-2023 FSC-klagomål.docx", "A 6381-2023")</f>
        <v/>
      </c>
      <c r="W111">
        <f>HYPERLINK("https://klasma.github.io/Logging_0188/klagomålsmail/A 6381-2023 FSC-klagomål mail.docx", "A 6381-2023")</f>
        <v/>
      </c>
      <c r="X111">
        <f>HYPERLINK("https://klasma.github.io/Logging_0188/tillsyn/A 6381-2023 tillsynsbegäran.docx", "A 6381-2023")</f>
        <v/>
      </c>
      <c r="Y111">
        <f>HYPERLINK("https://klasma.github.io/Logging_0188/tillsynsmail/A 6381-2023 tillsynsbegäran mail.docx", "A 6381-2023")</f>
        <v/>
      </c>
    </row>
    <row r="112" ht="15" customHeight="1">
      <c r="A112" t="inlineStr">
        <is>
          <t>A 29946-2025</t>
        </is>
      </c>
      <c r="B112" s="1" t="n">
        <v>45826.46392361111</v>
      </c>
      <c r="C112" s="1" t="n">
        <v>46133</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50854-2022</t>
        </is>
      </c>
      <c r="B113" s="1" t="n">
        <v>44863</v>
      </c>
      <c r="C113" s="1" t="n">
        <v>46133</v>
      </c>
      <c r="D113" t="inlineStr">
        <is>
          <t>STOCKHOLMS LÄN</t>
        </is>
      </c>
      <c r="E113" t="inlineStr">
        <is>
          <t>NORRTÄLJE</t>
        </is>
      </c>
      <c r="G113" t="n">
        <v>2.9</v>
      </c>
      <c r="H113" t="n">
        <v>0</v>
      </c>
      <c r="I113" t="n">
        <v>1</v>
      </c>
      <c r="J113" t="n">
        <v>0</v>
      </c>
      <c r="K113" t="n">
        <v>0</v>
      </c>
      <c r="L113" t="n">
        <v>0</v>
      </c>
      <c r="M113" t="n">
        <v>0</v>
      </c>
      <c r="N113" t="n">
        <v>0</v>
      </c>
      <c r="O113" t="n">
        <v>0</v>
      </c>
      <c r="P113" t="n">
        <v>0</v>
      </c>
      <c r="Q113" t="n">
        <v>1</v>
      </c>
      <c r="R113" s="2" t="inlineStr">
        <is>
          <t>Tibast</t>
        </is>
      </c>
      <c r="S113">
        <f>HYPERLINK("https://klasma.github.io/Logging_0188/artfynd/A 50854-2022 artfynd.xlsx", "A 50854-2022")</f>
        <v/>
      </c>
      <c r="T113">
        <f>HYPERLINK("https://klasma.github.io/Logging_0188/kartor/A 50854-2022 karta.png", "A 50854-2022")</f>
        <v/>
      </c>
      <c r="V113">
        <f>HYPERLINK("https://klasma.github.io/Logging_0188/klagomål/A 50854-2022 FSC-klagomål.docx", "A 50854-2022")</f>
        <v/>
      </c>
      <c r="W113">
        <f>HYPERLINK("https://klasma.github.io/Logging_0188/klagomålsmail/A 50854-2022 FSC-klagomål mail.docx", "A 50854-2022")</f>
        <v/>
      </c>
      <c r="X113">
        <f>HYPERLINK("https://klasma.github.io/Logging_0188/tillsyn/A 50854-2022 tillsynsbegäran.docx", "A 50854-2022")</f>
        <v/>
      </c>
      <c r="Y113">
        <f>HYPERLINK("https://klasma.github.io/Logging_0188/tillsynsmail/A 50854-2022 tillsynsbegäran mail.docx", "A 50854-2022")</f>
        <v/>
      </c>
    </row>
    <row r="114" ht="15" customHeight="1">
      <c r="A114" t="inlineStr">
        <is>
          <t>A 33546-2025</t>
        </is>
      </c>
      <c r="B114" s="1" t="n">
        <v>45841.56996527778</v>
      </c>
      <c r="C114" s="1" t="n">
        <v>46133</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364-2026</t>
        </is>
      </c>
      <c r="B115" s="1" t="n">
        <v>46027.67134259259</v>
      </c>
      <c r="C115" s="1" t="n">
        <v>46133</v>
      </c>
      <c r="D115" t="inlineStr">
        <is>
          <t>STOCKHOLMS LÄN</t>
        </is>
      </c>
      <c r="E115" t="inlineStr">
        <is>
          <t>NORRTÄLJE</t>
        </is>
      </c>
      <c r="F115" t="inlineStr">
        <is>
          <t>Holmen skog AB</t>
        </is>
      </c>
      <c r="G115" t="n">
        <v>4.3</v>
      </c>
      <c r="H115" t="n">
        <v>1</v>
      </c>
      <c r="I115" t="n">
        <v>0</v>
      </c>
      <c r="J115" t="n">
        <v>0</v>
      </c>
      <c r="K115" t="n">
        <v>0</v>
      </c>
      <c r="L115" t="n">
        <v>1</v>
      </c>
      <c r="M115" t="n">
        <v>0</v>
      </c>
      <c r="N115" t="n">
        <v>0</v>
      </c>
      <c r="O115" t="n">
        <v>1</v>
      </c>
      <c r="P115" t="n">
        <v>1</v>
      </c>
      <c r="Q115" t="n">
        <v>1</v>
      </c>
      <c r="R115" s="2" t="inlineStr">
        <is>
          <t>Asknätfjäril</t>
        </is>
      </c>
      <c r="S115">
        <f>HYPERLINK("https://klasma.github.io/Logging_0188/artfynd/A 364-2026 artfynd.xlsx", "A 364-2026")</f>
        <v/>
      </c>
      <c r="T115">
        <f>HYPERLINK("https://klasma.github.io/Logging_0188/kartor/A 364-2026 karta.png", "A 364-2026")</f>
        <v/>
      </c>
      <c r="V115">
        <f>HYPERLINK("https://klasma.github.io/Logging_0188/klagomål/A 364-2026 FSC-klagomål.docx", "A 364-2026")</f>
        <v/>
      </c>
      <c r="W115">
        <f>HYPERLINK("https://klasma.github.io/Logging_0188/klagomålsmail/A 364-2026 FSC-klagomål mail.docx", "A 364-2026")</f>
        <v/>
      </c>
      <c r="X115">
        <f>HYPERLINK("https://klasma.github.io/Logging_0188/tillsyn/A 364-2026 tillsynsbegäran.docx", "A 364-2026")</f>
        <v/>
      </c>
      <c r="Y115">
        <f>HYPERLINK("https://klasma.github.io/Logging_0188/tillsynsmail/A 364-2026 tillsynsbegäran mail.docx", "A 364-2026")</f>
        <v/>
      </c>
    </row>
    <row r="116" ht="15" customHeight="1">
      <c r="A116" t="inlineStr">
        <is>
          <t>A 26120-2024</t>
        </is>
      </c>
      <c r="B116" s="1" t="n">
        <v>45468.45995370371</v>
      </c>
      <c r="C116" s="1" t="n">
        <v>46133</v>
      </c>
      <c r="D116" t="inlineStr">
        <is>
          <t>STOCKHOLMS LÄN</t>
        </is>
      </c>
      <c r="E116" t="inlineStr">
        <is>
          <t>NORRTÄLJE</t>
        </is>
      </c>
      <c r="G116" t="n">
        <v>1.8</v>
      </c>
      <c r="H116" t="n">
        <v>0</v>
      </c>
      <c r="I116" t="n">
        <v>0</v>
      </c>
      <c r="J116" t="n">
        <v>1</v>
      </c>
      <c r="K116" t="n">
        <v>0</v>
      </c>
      <c r="L116" t="n">
        <v>0</v>
      </c>
      <c r="M116" t="n">
        <v>0</v>
      </c>
      <c r="N116" t="n">
        <v>0</v>
      </c>
      <c r="O116" t="n">
        <v>1</v>
      </c>
      <c r="P116" t="n">
        <v>0</v>
      </c>
      <c r="Q116" t="n">
        <v>1</v>
      </c>
      <c r="R116" s="2" t="inlineStr">
        <is>
          <t>Majviva</t>
        </is>
      </c>
      <c r="S116">
        <f>HYPERLINK("https://klasma.github.io/Logging_0188/artfynd/A 26120-2024 artfynd.xlsx", "A 26120-2024")</f>
        <v/>
      </c>
      <c r="T116">
        <f>HYPERLINK("https://klasma.github.io/Logging_0188/kartor/A 26120-2024 karta.png", "A 26120-2024")</f>
        <v/>
      </c>
      <c r="V116">
        <f>HYPERLINK("https://klasma.github.io/Logging_0188/klagomål/A 26120-2024 FSC-klagomål.docx", "A 26120-2024")</f>
        <v/>
      </c>
      <c r="W116">
        <f>HYPERLINK("https://klasma.github.io/Logging_0188/klagomålsmail/A 26120-2024 FSC-klagomål mail.docx", "A 26120-2024")</f>
        <v/>
      </c>
      <c r="X116">
        <f>HYPERLINK("https://klasma.github.io/Logging_0188/tillsyn/A 26120-2024 tillsynsbegäran.docx", "A 26120-2024")</f>
        <v/>
      </c>
      <c r="Y116">
        <f>HYPERLINK("https://klasma.github.io/Logging_0188/tillsynsmail/A 26120-2024 tillsynsbegäran mail.docx", "A 26120-2024")</f>
        <v/>
      </c>
    </row>
    <row r="117" ht="15" customHeight="1">
      <c r="A117" t="inlineStr">
        <is>
          <t>A 13291-2025</t>
        </is>
      </c>
      <c r="B117" s="1" t="n">
        <v>45735</v>
      </c>
      <c r="C117" s="1" t="n">
        <v>46133</v>
      </c>
      <c r="D117" t="inlineStr">
        <is>
          <t>STOCKHOLMS LÄN</t>
        </is>
      </c>
      <c r="E117" t="inlineStr">
        <is>
          <t>NORRTÄLJE</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HYPERLINK("https://klasma.github.io/Logging_0188/artfynd/A 13291-2025 artfynd.xlsx", "A 13291-2025")</f>
        <v/>
      </c>
      <c r="T117">
        <f>HYPERLINK("https://klasma.github.io/Logging_0188/kartor/A 13291-2025 karta.png", "A 13291-2025")</f>
        <v/>
      </c>
      <c r="V117">
        <f>HYPERLINK("https://klasma.github.io/Logging_0188/klagomål/A 13291-2025 FSC-klagomål.docx", "A 13291-2025")</f>
        <v/>
      </c>
      <c r="W117">
        <f>HYPERLINK("https://klasma.github.io/Logging_0188/klagomålsmail/A 13291-2025 FSC-klagomål mail.docx", "A 13291-2025")</f>
        <v/>
      </c>
      <c r="X117">
        <f>HYPERLINK("https://klasma.github.io/Logging_0188/tillsyn/A 13291-2025 tillsynsbegäran.docx", "A 13291-2025")</f>
        <v/>
      </c>
      <c r="Y117">
        <f>HYPERLINK("https://klasma.github.io/Logging_0188/tillsynsmail/A 13291-2025 tillsynsbegäran mail.docx", "A 13291-2025")</f>
        <v/>
      </c>
    </row>
    <row r="118" ht="15" customHeight="1">
      <c r="A118" t="inlineStr">
        <is>
          <t>A 39158-2025</t>
        </is>
      </c>
      <c r="B118" s="1" t="n">
        <v>45888</v>
      </c>
      <c r="C118" s="1" t="n">
        <v>46133</v>
      </c>
      <c r="D118" t="inlineStr">
        <is>
          <t>STOCKHOLMS LÄN</t>
        </is>
      </c>
      <c r="E118" t="inlineStr">
        <is>
          <t>NORRTÄLJE</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HYPERLINK("https://klasma.github.io/Logging_0188/artfynd/A 39158-2025 artfynd.xlsx", "A 39158-2025")</f>
        <v/>
      </c>
      <c r="T118">
        <f>HYPERLINK("https://klasma.github.io/Logging_0188/kartor/A 39158-2025 karta.png", "A 39158-2025")</f>
        <v/>
      </c>
      <c r="V118">
        <f>HYPERLINK("https://klasma.github.io/Logging_0188/klagomål/A 39158-2025 FSC-klagomål.docx", "A 39158-2025")</f>
        <v/>
      </c>
      <c r="W118">
        <f>HYPERLINK("https://klasma.github.io/Logging_0188/klagomålsmail/A 39158-2025 FSC-klagomål mail.docx", "A 39158-2025")</f>
        <v/>
      </c>
      <c r="X118">
        <f>HYPERLINK("https://klasma.github.io/Logging_0188/tillsyn/A 39158-2025 tillsynsbegäran.docx", "A 39158-2025")</f>
        <v/>
      </c>
      <c r="Y118">
        <f>HYPERLINK("https://klasma.github.io/Logging_0188/tillsynsmail/A 39158-2025 tillsynsbegäran mail.docx", "A 39158-2025")</f>
        <v/>
      </c>
    </row>
    <row r="119" ht="15" customHeight="1">
      <c r="A119" t="inlineStr">
        <is>
          <t>A 64456-2023</t>
        </is>
      </c>
      <c r="B119" s="1" t="n">
        <v>45280</v>
      </c>
      <c r="C119" s="1" t="n">
        <v>46133</v>
      </c>
      <c r="D119" t="inlineStr">
        <is>
          <t>STOCKHOLMS LÄN</t>
        </is>
      </c>
      <c r="E119" t="inlineStr">
        <is>
          <t>NORRTÄLJE</t>
        </is>
      </c>
      <c r="G119" t="n">
        <v>2.5</v>
      </c>
      <c r="H119" t="n">
        <v>0</v>
      </c>
      <c r="I119" t="n">
        <v>1</v>
      </c>
      <c r="J119" t="n">
        <v>0</v>
      </c>
      <c r="K119" t="n">
        <v>0</v>
      </c>
      <c r="L119" t="n">
        <v>0</v>
      </c>
      <c r="M119" t="n">
        <v>0</v>
      </c>
      <c r="N119" t="n">
        <v>0</v>
      </c>
      <c r="O119" t="n">
        <v>0</v>
      </c>
      <c r="P119" t="n">
        <v>0</v>
      </c>
      <c r="Q119" t="n">
        <v>1</v>
      </c>
      <c r="R119" s="2" t="inlineStr">
        <is>
          <t>Rödgul trumpetsvamp</t>
        </is>
      </c>
      <c r="S119">
        <f>HYPERLINK("https://klasma.github.io/Logging_0188/artfynd/A 64456-2023 artfynd.xlsx", "A 64456-2023")</f>
        <v/>
      </c>
      <c r="T119">
        <f>HYPERLINK("https://klasma.github.io/Logging_0188/kartor/A 64456-2023 karta.png", "A 64456-2023")</f>
        <v/>
      </c>
      <c r="V119">
        <f>HYPERLINK("https://klasma.github.io/Logging_0188/klagomål/A 64456-2023 FSC-klagomål.docx", "A 64456-2023")</f>
        <v/>
      </c>
      <c r="W119">
        <f>HYPERLINK("https://klasma.github.io/Logging_0188/klagomålsmail/A 64456-2023 FSC-klagomål mail.docx", "A 64456-2023")</f>
        <v/>
      </c>
      <c r="X119">
        <f>HYPERLINK("https://klasma.github.io/Logging_0188/tillsyn/A 64456-2023 tillsynsbegäran.docx", "A 64456-2023")</f>
        <v/>
      </c>
      <c r="Y119">
        <f>HYPERLINK("https://klasma.github.io/Logging_0188/tillsynsmail/A 64456-2023 tillsynsbegäran mail.docx", "A 64456-2023")</f>
        <v/>
      </c>
    </row>
    <row r="120" ht="15" customHeight="1">
      <c r="A120" t="inlineStr">
        <is>
          <t>A 8371-2025</t>
        </is>
      </c>
      <c r="B120" s="1" t="n">
        <v>45708</v>
      </c>
      <c r="C120" s="1" t="n">
        <v>46133</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52775-2025</t>
        </is>
      </c>
      <c r="B121" s="1" t="n">
        <v>45957.41608796296</v>
      </c>
      <c r="C121" s="1" t="n">
        <v>46133</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24330-2023</t>
        </is>
      </c>
      <c r="B122" s="1" t="n">
        <v>45081</v>
      </c>
      <c r="C122" s="1" t="n">
        <v>46133</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46133</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53716-2025</t>
        </is>
      </c>
      <c r="B124" s="1" t="n">
        <v>45960.61782407408</v>
      </c>
      <c r="C124" s="1" t="n">
        <v>46133</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46133</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52611-2024</t>
        </is>
      </c>
      <c r="B126" s="1" t="n">
        <v>45609.83747685186</v>
      </c>
      <c r="C126" s="1" t="n">
        <v>46133</v>
      </c>
      <c r="D126" t="inlineStr">
        <is>
          <t>STOCKHOLMS LÄN</t>
        </is>
      </c>
      <c r="E126" t="inlineStr">
        <is>
          <t>NORRTÄLJE</t>
        </is>
      </c>
      <c r="G126" t="n">
        <v>10.6</v>
      </c>
      <c r="H126" t="n">
        <v>1</v>
      </c>
      <c r="I126" t="n">
        <v>0</v>
      </c>
      <c r="J126" t="n">
        <v>0</v>
      </c>
      <c r="K126" t="n">
        <v>0</v>
      </c>
      <c r="L126" t="n">
        <v>0</v>
      </c>
      <c r="M126" t="n">
        <v>0</v>
      </c>
      <c r="N126" t="n">
        <v>0</v>
      </c>
      <c r="O126" t="n">
        <v>0</v>
      </c>
      <c r="P126" t="n">
        <v>0</v>
      </c>
      <c r="Q126" t="n">
        <v>1</v>
      </c>
      <c r="R126" s="2" t="inlineStr">
        <is>
          <t>Blåsippa</t>
        </is>
      </c>
      <c r="S126">
        <f>HYPERLINK("https://klasma.github.io/Logging_0188/artfynd/A 52611-2024 artfynd.xlsx", "A 52611-2024")</f>
        <v/>
      </c>
      <c r="T126">
        <f>HYPERLINK("https://klasma.github.io/Logging_0188/kartor/A 52611-2024 karta.png", "A 52611-2024")</f>
        <v/>
      </c>
      <c r="V126">
        <f>HYPERLINK("https://klasma.github.io/Logging_0188/klagomål/A 52611-2024 FSC-klagomål.docx", "A 52611-2024")</f>
        <v/>
      </c>
      <c r="W126">
        <f>HYPERLINK("https://klasma.github.io/Logging_0188/klagomålsmail/A 52611-2024 FSC-klagomål mail.docx", "A 52611-2024")</f>
        <v/>
      </c>
      <c r="X126">
        <f>HYPERLINK("https://klasma.github.io/Logging_0188/tillsyn/A 52611-2024 tillsynsbegäran.docx", "A 52611-2024")</f>
        <v/>
      </c>
      <c r="Y126">
        <f>HYPERLINK("https://klasma.github.io/Logging_0188/tillsynsmail/A 52611-2024 tillsynsbegäran mail.docx", "A 52611-2024")</f>
        <v/>
      </c>
    </row>
    <row r="127" ht="15" customHeight="1">
      <c r="A127" t="inlineStr">
        <is>
          <t>A 59682-2025</t>
        </is>
      </c>
      <c r="B127" s="1" t="n">
        <v>45992.47116898148</v>
      </c>
      <c r="C127" s="1" t="n">
        <v>46133</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26635-2023</t>
        </is>
      </c>
      <c r="B128" s="1" t="n">
        <v>45092</v>
      </c>
      <c r="C128" s="1" t="n">
        <v>46133</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7734-2026</t>
        </is>
      </c>
      <c r="B129" s="1" t="n">
        <v>46062.52902777777</v>
      </c>
      <c r="C129" s="1" t="n">
        <v>46133</v>
      </c>
      <c r="D129" t="inlineStr">
        <is>
          <t>STOCKHOLMS LÄN</t>
        </is>
      </c>
      <c r="E129" t="inlineStr">
        <is>
          <t>NORRTÄLJE</t>
        </is>
      </c>
      <c r="G129" t="n">
        <v>6.6</v>
      </c>
      <c r="H129" t="n">
        <v>0</v>
      </c>
      <c r="I129" t="n">
        <v>1</v>
      </c>
      <c r="J129" t="n">
        <v>0</v>
      </c>
      <c r="K129" t="n">
        <v>0</v>
      </c>
      <c r="L129" t="n">
        <v>0</v>
      </c>
      <c r="M129" t="n">
        <v>0</v>
      </c>
      <c r="N129" t="n">
        <v>0</v>
      </c>
      <c r="O129" t="n">
        <v>0</v>
      </c>
      <c r="P129" t="n">
        <v>0</v>
      </c>
      <c r="Q129" t="n">
        <v>1</v>
      </c>
      <c r="R129" s="2" t="inlineStr">
        <is>
          <t>Kastanjefjällskivling</t>
        </is>
      </c>
      <c r="S129">
        <f>HYPERLINK("https://klasma.github.io/Logging_0188/artfynd/A 7734-2026 artfynd.xlsx", "A 7734-2026")</f>
        <v/>
      </c>
      <c r="T129">
        <f>HYPERLINK("https://klasma.github.io/Logging_0188/kartor/A 7734-2026 karta.png", "A 7734-2026")</f>
        <v/>
      </c>
      <c r="V129">
        <f>HYPERLINK("https://klasma.github.io/Logging_0188/klagomål/A 7734-2026 FSC-klagomål.docx", "A 7734-2026")</f>
        <v/>
      </c>
      <c r="W129">
        <f>HYPERLINK("https://klasma.github.io/Logging_0188/klagomålsmail/A 7734-2026 FSC-klagomål mail.docx", "A 7734-2026")</f>
        <v/>
      </c>
      <c r="X129">
        <f>HYPERLINK("https://klasma.github.io/Logging_0188/tillsyn/A 7734-2026 tillsynsbegäran.docx", "A 7734-2026")</f>
        <v/>
      </c>
      <c r="Y129">
        <f>HYPERLINK("https://klasma.github.io/Logging_0188/tillsynsmail/A 7734-2026 tillsynsbegäran mail.docx", "A 7734-2026")</f>
        <v/>
      </c>
    </row>
    <row r="130" ht="15" customHeight="1">
      <c r="A130" t="inlineStr">
        <is>
          <t>A 15886-2026</t>
        </is>
      </c>
      <c r="B130" s="1" t="n">
        <v>46107</v>
      </c>
      <c r="C130" s="1" t="n">
        <v>46133</v>
      </c>
      <c r="D130" t="inlineStr">
        <is>
          <t>STOCKHOLMS LÄN</t>
        </is>
      </c>
      <c r="E130" t="inlineStr">
        <is>
          <t>NORRTÄLJE</t>
        </is>
      </c>
      <c r="G130" t="n">
        <v>1.3</v>
      </c>
      <c r="H130" t="n">
        <v>1</v>
      </c>
      <c r="I130" t="n">
        <v>0</v>
      </c>
      <c r="J130" t="n">
        <v>0</v>
      </c>
      <c r="K130" t="n">
        <v>0</v>
      </c>
      <c r="L130" t="n">
        <v>1</v>
      </c>
      <c r="M130" t="n">
        <v>0</v>
      </c>
      <c r="N130" t="n">
        <v>0</v>
      </c>
      <c r="O130" t="n">
        <v>1</v>
      </c>
      <c r="P130" t="n">
        <v>1</v>
      </c>
      <c r="Q130" t="n">
        <v>1</v>
      </c>
      <c r="R130" s="2" t="inlineStr">
        <is>
          <t>Grönfink</t>
        </is>
      </c>
      <c r="S130">
        <f>HYPERLINK("https://klasma.github.io/Logging_0188/artfynd/A 15886-2026 artfynd.xlsx", "A 15886-2026")</f>
        <v/>
      </c>
      <c r="T130">
        <f>HYPERLINK("https://klasma.github.io/Logging_0188/kartor/A 15886-2026 karta.png", "A 15886-2026")</f>
        <v/>
      </c>
      <c r="V130">
        <f>HYPERLINK("https://klasma.github.io/Logging_0188/klagomål/A 15886-2026 FSC-klagomål.docx", "A 15886-2026")</f>
        <v/>
      </c>
      <c r="W130">
        <f>HYPERLINK("https://klasma.github.io/Logging_0188/klagomålsmail/A 15886-2026 FSC-klagomål mail.docx", "A 15886-2026")</f>
        <v/>
      </c>
      <c r="X130">
        <f>HYPERLINK("https://klasma.github.io/Logging_0188/tillsyn/A 15886-2026 tillsynsbegäran.docx", "A 15886-2026")</f>
        <v/>
      </c>
      <c r="Y130">
        <f>HYPERLINK("https://klasma.github.io/Logging_0188/tillsynsmail/A 15886-2026 tillsynsbegäran mail.docx", "A 15886-2026")</f>
        <v/>
      </c>
      <c r="Z130">
        <f>HYPERLINK("https://klasma.github.io/Logging_0188/fåglar/A 15886-2026 prioriterade fågelarter.docx", "A 15886-2026")</f>
        <v/>
      </c>
    </row>
    <row r="131" ht="15" customHeight="1">
      <c r="A131" t="inlineStr">
        <is>
          <t>A 47898-2022</t>
        </is>
      </c>
      <c r="B131" s="1" t="n">
        <v>44855</v>
      </c>
      <c r="C131" s="1" t="n">
        <v>46133</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14365-2025</t>
        </is>
      </c>
      <c r="B132" s="1" t="n">
        <v>45741.38688657407</v>
      </c>
      <c r="C132" s="1" t="n">
        <v>46133</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46133</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46133</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46133</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46133</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46133</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46133</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46133</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46133</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46133</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46133</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46133</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46133</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12877-2022</t>
        </is>
      </c>
      <c r="B145" s="1" t="n">
        <v>44642</v>
      </c>
      <c r="C145" s="1" t="n">
        <v>46133</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46133</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46133</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46133</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46133</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46133</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46133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46133</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46133</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46133</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46133</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46133</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46133</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46133</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46133</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46133</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46133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46133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46133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46133</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46133</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46133</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46133</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46133</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46133</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46133</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46133</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46133</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46133</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46133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46133</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46133</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46133</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46133</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46133</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46133</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46133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46133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46133</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46133</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46133</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46133</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46133</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46133</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46133</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46133</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46133</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46133</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46133</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46133</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46133</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46133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46133</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46133</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46133</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46133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46133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46133</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46133</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46133</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46133</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46133</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46133</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46133</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46133</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46133</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46133</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46133</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46133</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46133</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46133</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46133</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46133</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46133</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46133</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46133</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46133</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53884-2022</t>
        </is>
      </c>
      <c r="B222" s="1" t="n">
        <v>44880.68423611111</v>
      </c>
      <c r="C222" s="1" t="n">
        <v>46133</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12357-2022</t>
        </is>
      </c>
      <c r="B223" s="1" t="n">
        <v>44637</v>
      </c>
      <c r="C223" s="1" t="n">
        <v>46133</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46133</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30624-2022</t>
        </is>
      </c>
      <c r="B225" s="1" t="n">
        <v>44763.4182175926</v>
      </c>
      <c r="C225" s="1" t="n">
        <v>46133</v>
      </c>
      <c r="D225" t="inlineStr">
        <is>
          <t>STOCKHOLMS LÄN</t>
        </is>
      </c>
      <c r="E225" t="inlineStr">
        <is>
          <t>NORRTÄLJE</t>
        </is>
      </c>
      <c r="G225" t="n">
        <v>0.7</v>
      </c>
      <c r="H225" t="n">
        <v>0</v>
      </c>
      <c r="I225" t="n">
        <v>0</v>
      </c>
      <c r="J225" t="n">
        <v>0</v>
      </c>
      <c r="K225" t="n">
        <v>0</v>
      </c>
      <c r="L225" t="n">
        <v>0</v>
      </c>
      <c r="M225" t="n">
        <v>0</v>
      </c>
      <c r="N225" t="n">
        <v>0</v>
      </c>
      <c r="O225" t="n">
        <v>0</v>
      </c>
      <c r="P225" t="n">
        <v>0</v>
      </c>
      <c r="Q225" t="n">
        <v>0</v>
      </c>
      <c r="R225" s="2" t="inlineStr"/>
    </row>
    <row r="226" ht="15" customHeight="1">
      <c r="A226" t="inlineStr">
        <is>
          <t>A 52449-2021</t>
        </is>
      </c>
      <c r="B226" s="1" t="n">
        <v>44466.37496527778</v>
      </c>
      <c r="C226" s="1" t="n">
        <v>46133</v>
      </c>
      <c r="D226" t="inlineStr">
        <is>
          <t>STOCKHOLMS LÄN</t>
        </is>
      </c>
      <c r="E226" t="inlineStr">
        <is>
          <t>NORRTÄLJE</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46133</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46133</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46133</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46133</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46133</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46133</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14051-2022</t>
        </is>
      </c>
      <c r="B233" s="1" t="n">
        <v>44650.92714120371</v>
      </c>
      <c r="C233" s="1" t="n">
        <v>46133</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46133</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46133</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46133</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46133</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46133</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46133</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46133</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46133</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28042-2022</t>
        </is>
      </c>
      <c r="B242" s="1" t="n">
        <v>44744</v>
      </c>
      <c r="C242" s="1" t="n">
        <v>46133</v>
      </c>
      <c r="D242" t="inlineStr">
        <is>
          <t>STOCKHOLMS LÄN</t>
        </is>
      </c>
      <c r="E242" t="inlineStr">
        <is>
          <t>NORRTÄLJE</t>
        </is>
      </c>
      <c r="G242" t="n">
        <v>0.2</v>
      </c>
      <c r="H242" t="n">
        <v>0</v>
      </c>
      <c r="I242" t="n">
        <v>0</v>
      </c>
      <c r="J242" t="n">
        <v>0</v>
      </c>
      <c r="K242" t="n">
        <v>0</v>
      </c>
      <c r="L242" t="n">
        <v>0</v>
      </c>
      <c r="M242" t="n">
        <v>0</v>
      </c>
      <c r="N242" t="n">
        <v>0</v>
      </c>
      <c r="O242" t="n">
        <v>0</v>
      </c>
      <c r="P242" t="n">
        <v>0</v>
      </c>
      <c r="Q242" t="n">
        <v>0</v>
      </c>
      <c r="R242" s="2" t="inlineStr"/>
    </row>
    <row r="243" ht="15" customHeight="1">
      <c r="A243" t="inlineStr">
        <is>
          <t>A 41398-2022</t>
        </is>
      </c>
      <c r="B243" s="1" t="n">
        <v>44826</v>
      </c>
      <c r="C243" s="1" t="n">
        <v>46133</v>
      </c>
      <c r="D243" t="inlineStr">
        <is>
          <t>STOCKHOLMS LÄN</t>
        </is>
      </c>
      <c r="E243" t="inlineStr">
        <is>
          <t>NORRTÄLJE</t>
        </is>
      </c>
      <c r="G243" t="n">
        <v>1.4</v>
      </c>
      <c r="H243" t="n">
        <v>0</v>
      </c>
      <c r="I243" t="n">
        <v>0</v>
      </c>
      <c r="J243" t="n">
        <v>0</v>
      </c>
      <c r="K243" t="n">
        <v>0</v>
      </c>
      <c r="L243" t="n">
        <v>0</v>
      </c>
      <c r="M243" t="n">
        <v>0</v>
      </c>
      <c r="N243" t="n">
        <v>0</v>
      </c>
      <c r="O243" t="n">
        <v>0</v>
      </c>
      <c r="P243" t="n">
        <v>0</v>
      </c>
      <c r="Q243" t="n">
        <v>0</v>
      </c>
      <c r="R243" s="2" t="inlineStr"/>
    </row>
    <row r="244" ht="15" customHeight="1">
      <c r="A244" t="inlineStr">
        <is>
          <t>A 22369-2021</t>
        </is>
      </c>
      <c r="B244" s="1" t="n">
        <v>44326</v>
      </c>
      <c r="C244" s="1" t="n">
        <v>46133</v>
      </c>
      <c r="D244" t="inlineStr">
        <is>
          <t>STOCKHOLMS LÄN</t>
        </is>
      </c>
      <c r="E244" t="inlineStr">
        <is>
          <t>NORRTÄLJE</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19398-2021</t>
        </is>
      </c>
      <c r="B245" s="1" t="n">
        <v>44309</v>
      </c>
      <c r="C245" s="1" t="n">
        <v>46133</v>
      </c>
      <c r="D245" t="inlineStr">
        <is>
          <t>STOCKHOLMS LÄN</t>
        </is>
      </c>
      <c r="E245" t="inlineStr">
        <is>
          <t>NORRTÄLJE</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45541-2022</t>
        </is>
      </c>
      <c r="B246" s="1" t="n">
        <v>44845.47672453704</v>
      </c>
      <c r="C246" s="1" t="n">
        <v>46133</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68273-2021</t>
        </is>
      </c>
      <c r="B247" s="1" t="n">
        <v>44526</v>
      </c>
      <c r="C247" s="1" t="n">
        <v>46133</v>
      </c>
      <c r="D247" t="inlineStr">
        <is>
          <t>STOCKHOLMS LÄN</t>
        </is>
      </c>
      <c r="E247" t="inlineStr">
        <is>
          <t>NORRTÄLJE</t>
        </is>
      </c>
      <c r="G247" t="n">
        <v>5.3</v>
      </c>
      <c r="H247" t="n">
        <v>0</v>
      </c>
      <c r="I247" t="n">
        <v>0</v>
      </c>
      <c r="J247" t="n">
        <v>0</v>
      </c>
      <c r="K247" t="n">
        <v>0</v>
      </c>
      <c r="L247" t="n">
        <v>0</v>
      </c>
      <c r="M247" t="n">
        <v>0</v>
      </c>
      <c r="N247" t="n">
        <v>0</v>
      </c>
      <c r="O247" t="n">
        <v>0</v>
      </c>
      <c r="P247" t="n">
        <v>0</v>
      </c>
      <c r="Q247" t="n">
        <v>0</v>
      </c>
      <c r="R247" s="2" t="inlineStr"/>
    </row>
    <row r="248" ht="15" customHeight="1">
      <c r="A248" t="inlineStr">
        <is>
          <t>A 52139-2022</t>
        </is>
      </c>
      <c r="B248" s="1" t="n">
        <v>44868</v>
      </c>
      <c r="C248" s="1" t="n">
        <v>46133</v>
      </c>
      <c r="D248" t="inlineStr">
        <is>
          <t>STOCKHOLMS LÄN</t>
        </is>
      </c>
      <c r="E248" t="inlineStr">
        <is>
          <t>NORRTÄLJE</t>
        </is>
      </c>
      <c r="G248" t="n">
        <v>3.2</v>
      </c>
      <c r="H248" t="n">
        <v>0</v>
      </c>
      <c r="I248" t="n">
        <v>0</v>
      </c>
      <c r="J248" t="n">
        <v>0</v>
      </c>
      <c r="K248" t="n">
        <v>0</v>
      </c>
      <c r="L248" t="n">
        <v>0</v>
      </c>
      <c r="M248" t="n">
        <v>0</v>
      </c>
      <c r="N248" t="n">
        <v>0</v>
      </c>
      <c r="O248" t="n">
        <v>0</v>
      </c>
      <c r="P248" t="n">
        <v>0</v>
      </c>
      <c r="Q248" t="n">
        <v>0</v>
      </c>
      <c r="R248" s="2" t="inlineStr"/>
      <c r="U248">
        <f>HYPERLINK("https://klasma.github.io/Logging_0188/knärot/A 52139-2022 karta knärot.png", "A 52139-2022")</f>
        <v/>
      </c>
      <c r="V248">
        <f>HYPERLINK("https://klasma.github.io/Logging_0188/klagomål/A 52139-2022 FSC-klagomål.docx", "A 52139-2022")</f>
        <v/>
      </c>
      <c r="W248">
        <f>HYPERLINK("https://klasma.github.io/Logging_0188/klagomålsmail/A 52139-2022 FSC-klagomål mail.docx", "A 52139-2022")</f>
        <v/>
      </c>
      <c r="X248">
        <f>HYPERLINK("https://klasma.github.io/Logging_0188/tillsyn/A 52139-2022 tillsynsbegäran.docx", "A 52139-2022")</f>
        <v/>
      </c>
      <c r="Y248">
        <f>HYPERLINK("https://klasma.github.io/Logging_0188/tillsynsmail/A 52139-2022 tillsynsbegäran mail.docx", "A 52139-2022")</f>
        <v/>
      </c>
    </row>
    <row r="249" ht="15" customHeight="1">
      <c r="A249" t="inlineStr">
        <is>
          <t>A 27217-2021</t>
        </is>
      </c>
      <c r="B249" s="1" t="n">
        <v>44350</v>
      </c>
      <c r="C249" s="1" t="n">
        <v>46133</v>
      </c>
      <c r="D249" t="inlineStr">
        <is>
          <t>STOCKHOLMS LÄN</t>
        </is>
      </c>
      <c r="E249" t="inlineStr">
        <is>
          <t>NORRTÄLJE</t>
        </is>
      </c>
      <c r="G249" t="n">
        <v>5.5</v>
      </c>
      <c r="H249" t="n">
        <v>0</v>
      </c>
      <c r="I249" t="n">
        <v>0</v>
      </c>
      <c r="J249" t="n">
        <v>0</v>
      </c>
      <c r="K249" t="n">
        <v>0</v>
      </c>
      <c r="L249" t="n">
        <v>0</v>
      </c>
      <c r="M249" t="n">
        <v>0</v>
      </c>
      <c r="N249" t="n">
        <v>0</v>
      </c>
      <c r="O249" t="n">
        <v>0</v>
      </c>
      <c r="P249" t="n">
        <v>0</v>
      </c>
      <c r="Q249" t="n">
        <v>0</v>
      </c>
      <c r="R249" s="2" t="inlineStr"/>
    </row>
    <row r="250" ht="15" customHeight="1">
      <c r="A250" t="inlineStr">
        <is>
          <t>A 62030-2021</t>
        </is>
      </c>
      <c r="B250" s="1" t="n">
        <v>44502</v>
      </c>
      <c r="C250" s="1" t="n">
        <v>46133</v>
      </c>
      <c r="D250" t="inlineStr">
        <is>
          <t>STOCKHOLMS LÄN</t>
        </is>
      </c>
      <c r="E250" t="inlineStr">
        <is>
          <t>NORRTÄLJE</t>
        </is>
      </c>
      <c r="G250" t="n">
        <v>4.7</v>
      </c>
      <c r="H250" t="n">
        <v>0</v>
      </c>
      <c r="I250" t="n">
        <v>0</v>
      </c>
      <c r="J250" t="n">
        <v>0</v>
      </c>
      <c r="K250" t="n">
        <v>0</v>
      </c>
      <c r="L250" t="n">
        <v>0</v>
      </c>
      <c r="M250" t="n">
        <v>0</v>
      </c>
      <c r="N250" t="n">
        <v>0</v>
      </c>
      <c r="O250" t="n">
        <v>0</v>
      </c>
      <c r="P250" t="n">
        <v>0</v>
      </c>
      <c r="Q250" t="n">
        <v>0</v>
      </c>
      <c r="R250" s="2" t="inlineStr"/>
    </row>
    <row r="251" ht="15" customHeight="1">
      <c r="A251" t="inlineStr">
        <is>
          <t>A 12875-2022</t>
        </is>
      </c>
      <c r="B251" s="1" t="n">
        <v>44642.55565972222</v>
      </c>
      <c r="C251" s="1" t="n">
        <v>46133</v>
      </c>
      <c r="D251" t="inlineStr">
        <is>
          <t>STOCKHOLMS LÄN</t>
        </is>
      </c>
      <c r="E251" t="inlineStr">
        <is>
          <t>NORRTÄLJE</t>
        </is>
      </c>
      <c r="G251" t="n">
        <v>1.6</v>
      </c>
      <c r="H251" t="n">
        <v>0</v>
      </c>
      <c r="I251" t="n">
        <v>0</v>
      </c>
      <c r="J251" t="n">
        <v>0</v>
      </c>
      <c r="K251" t="n">
        <v>0</v>
      </c>
      <c r="L251" t="n">
        <v>0</v>
      </c>
      <c r="M251" t="n">
        <v>0</v>
      </c>
      <c r="N251" t="n">
        <v>0</v>
      </c>
      <c r="O251" t="n">
        <v>0</v>
      </c>
      <c r="P251" t="n">
        <v>0</v>
      </c>
      <c r="Q251" t="n">
        <v>0</v>
      </c>
      <c r="R251" s="2" t="inlineStr"/>
    </row>
    <row r="252" ht="15" customHeight="1">
      <c r="A252" t="inlineStr">
        <is>
          <t>A 23453-2021</t>
        </is>
      </c>
      <c r="B252" s="1" t="n">
        <v>44333</v>
      </c>
      <c r="C252" s="1" t="n">
        <v>46133</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27214-2021</t>
        </is>
      </c>
      <c r="B253" s="1" t="n">
        <v>44350</v>
      </c>
      <c r="C253" s="1" t="n">
        <v>46133</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12355-2022</t>
        </is>
      </c>
      <c r="B254" s="1" t="n">
        <v>44637</v>
      </c>
      <c r="C254" s="1" t="n">
        <v>46133</v>
      </c>
      <c r="D254" t="inlineStr">
        <is>
          <t>STOCKHOLMS LÄN</t>
        </is>
      </c>
      <c r="E254" t="inlineStr">
        <is>
          <t>NORRTÄLJE</t>
        </is>
      </c>
      <c r="G254" t="n">
        <v>10.4</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46133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46133</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7565-2022</t>
        </is>
      </c>
      <c r="B257" s="1" t="n">
        <v>44607</v>
      </c>
      <c r="C257" s="1" t="n">
        <v>46133</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20295-2022</t>
        </is>
      </c>
      <c r="B258" s="1" t="n">
        <v>44698</v>
      </c>
      <c r="C258" s="1" t="n">
        <v>46133</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37415-2021</t>
        </is>
      </c>
      <c r="B259" s="1" t="n">
        <v>44397</v>
      </c>
      <c r="C259" s="1" t="n">
        <v>46133</v>
      </c>
      <c r="D259" t="inlineStr">
        <is>
          <t>STOCKHOLMS LÄN</t>
        </is>
      </c>
      <c r="E259" t="inlineStr">
        <is>
          <t>NORRTÄLJE</t>
        </is>
      </c>
      <c r="F259" t="inlineStr">
        <is>
          <t>Övriga Aktiebolag</t>
        </is>
      </c>
      <c r="G259" t="n">
        <v>3</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46133</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30286-2022</t>
        </is>
      </c>
      <c r="B261" s="1" t="n">
        <v>44760</v>
      </c>
      <c r="C261" s="1" t="n">
        <v>46133</v>
      </c>
      <c r="D261" t="inlineStr">
        <is>
          <t>STOCKHOLMS LÄN</t>
        </is>
      </c>
      <c r="E261" t="inlineStr">
        <is>
          <t>NORRTÄLJE</t>
        </is>
      </c>
      <c r="G261" t="n">
        <v>0.3</v>
      </c>
      <c r="H261" t="n">
        <v>0</v>
      </c>
      <c r="I261" t="n">
        <v>0</v>
      </c>
      <c r="J261" t="n">
        <v>0</v>
      </c>
      <c r="K261" t="n">
        <v>0</v>
      </c>
      <c r="L261" t="n">
        <v>0</v>
      </c>
      <c r="M261" t="n">
        <v>0</v>
      </c>
      <c r="N261" t="n">
        <v>0</v>
      </c>
      <c r="O261" t="n">
        <v>0</v>
      </c>
      <c r="P261" t="n">
        <v>0</v>
      </c>
      <c r="Q261" t="n">
        <v>0</v>
      </c>
      <c r="R261" s="2" t="inlineStr"/>
    </row>
    <row r="262" ht="15" customHeight="1">
      <c r="A262" t="inlineStr">
        <is>
          <t>A 39319-2022</t>
        </is>
      </c>
      <c r="B262" s="1" t="n">
        <v>44817.70516203704</v>
      </c>
      <c r="C262" s="1" t="n">
        <v>46133</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56219-2021</t>
        </is>
      </c>
      <c r="B263" s="1" t="n">
        <v>44477</v>
      </c>
      <c r="C263" s="1" t="n">
        <v>46133</v>
      </c>
      <c r="D263" t="inlineStr">
        <is>
          <t>STOCKHOLMS LÄN</t>
        </is>
      </c>
      <c r="E263" t="inlineStr">
        <is>
          <t>NORRTÄLJE</t>
        </is>
      </c>
      <c r="F263" t="inlineStr">
        <is>
          <t>Kommuner</t>
        </is>
      </c>
      <c r="G263" t="n">
        <v>2.3</v>
      </c>
      <c r="H263" t="n">
        <v>0</v>
      </c>
      <c r="I263" t="n">
        <v>0</v>
      </c>
      <c r="J263" t="n">
        <v>0</v>
      </c>
      <c r="K263" t="n">
        <v>0</v>
      </c>
      <c r="L263" t="n">
        <v>0</v>
      </c>
      <c r="M263" t="n">
        <v>0</v>
      </c>
      <c r="N263" t="n">
        <v>0</v>
      </c>
      <c r="O263" t="n">
        <v>0</v>
      </c>
      <c r="P263" t="n">
        <v>0</v>
      </c>
      <c r="Q263" t="n">
        <v>0</v>
      </c>
      <c r="R263" s="2" t="inlineStr"/>
    </row>
    <row r="264" ht="15" customHeight="1">
      <c r="A264" t="inlineStr">
        <is>
          <t>A 15226-2022</t>
        </is>
      </c>
      <c r="B264" s="1" t="n">
        <v>44658</v>
      </c>
      <c r="C264" s="1" t="n">
        <v>46133</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3300-2022</t>
        </is>
      </c>
      <c r="B265" s="1" t="n">
        <v>44584.91538194445</v>
      </c>
      <c r="C265" s="1" t="n">
        <v>46133</v>
      </c>
      <c r="D265" t="inlineStr">
        <is>
          <t>STOCKHOLMS LÄN</t>
        </is>
      </c>
      <c r="E265" t="inlineStr">
        <is>
          <t>NORRTÄLJE</t>
        </is>
      </c>
      <c r="G265" t="n">
        <v>0.4</v>
      </c>
      <c r="H265" t="n">
        <v>0</v>
      </c>
      <c r="I265" t="n">
        <v>0</v>
      </c>
      <c r="J265" t="n">
        <v>0</v>
      </c>
      <c r="K265" t="n">
        <v>0</v>
      </c>
      <c r="L265" t="n">
        <v>0</v>
      </c>
      <c r="M265" t="n">
        <v>0</v>
      </c>
      <c r="N265" t="n">
        <v>0</v>
      </c>
      <c r="O265" t="n">
        <v>0</v>
      </c>
      <c r="P265" t="n">
        <v>0</v>
      </c>
      <c r="Q265" t="n">
        <v>0</v>
      </c>
      <c r="R265" s="2" t="inlineStr"/>
    </row>
    <row r="266" ht="15" customHeight="1">
      <c r="A266" t="inlineStr">
        <is>
          <t>A 17388-2022</t>
        </is>
      </c>
      <c r="B266" s="1" t="n">
        <v>44678</v>
      </c>
      <c r="C266" s="1" t="n">
        <v>46133</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46133</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17771-2022</t>
        </is>
      </c>
      <c r="B268" s="1" t="n">
        <v>44682.75924768519</v>
      </c>
      <c r="C268" s="1" t="n">
        <v>46133</v>
      </c>
      <c r="D268" t="inlineStr">
        <is>
          <t>STOCKHOLMS LÄN</t>
        </is>
      </c>
      <c r="E268" t="inlineStr">
        <is>
          <t>NORRTÄLJE</t>
        </is>
      </c>
      <c r="G268" t="n">
        <v>13.3</v>
      </c>
      <c r="H268" t="n">
        <v>0</v>
      </c>
      <c r="I268" t="n">
        <v>0</v>
      </c>
      <c r="J268" t="n">
        <v>0</v>
      </c>
      <c r="K268" t="n">
        <v>0</v>
      </c>
      <c r="L268" t="n">
        <v>0</v>
      </c>
      <c r="M268" t="n">
        <v>0</v>
      </c>
      <c r="N268" t="n">
        <v>0</v>
      </c>
      <c r="O268" t="n">
        <v>0</v>
      </c>
      <c r="P268" t="n">
        <v>0</v>
      </c>
      <c r="Q268" t="n">
        <v>0</v>
      </c>
      <c r="R268" s="2" t="inlineStr"/>
    </row>
    <row r="269" ht="15" customHeight="1">
      <c r="A269" t="inlineStr">
        <is>
          <t>A 17773-2022</t>
        </is>
      </c>
      <c r="B269" s="1" t="n">
        <v>44682.77616898148</v>
      </c>
      <c r="C269" s="1" t="n">
        <v>46133</v>
      </c>
      <c r="D269" t="inlineStr">
        <is>
          <t>STOCKHOLMS LÄN</t>
        </is>
      </c>
      <c r="E269" t="inlineStr">
        <is>
          <t>NORRTÄLJE</t>
        </is>
      </c>
      <c r="G269" t="n">
        <v>10.8</v>
      </c>
      <c r="H269" t="n">
        <v>0</v>
      </c>
      <c r="I269" t="n">
        <v>0</v>
      </c>
      <c r="J269" t="n">
        <v>0</v>
      </c>
      <c r="K269" t="n">
        <v>0</v>
      </c>
      <c r="L269" t="n">
        <v>0</v>
      </c>
      <c r="M269" t="n">
        <v>0</v>
      </c>
      <c r="N269" t="n">
        <v>0</v>
      </c>
      <c r="O269" t="n">
        <v>0</v>
      </c>
      <c r="P269" t="n">
        <v>0</v>
      </c>
      <c r="Q269" t="n">
        <v>0</v>
      </c>
      <c r="R269" s="2" t="inlineStr"/>
    </row>
    <row r="270" ht="15" customHeight="1">
      <c r="A270" t="inlineStr">
        <is>
          <t>A 16117-2022</t>
        </is>
      </c>
      <c r="B270" s="1" t="n">
        <v>44665.65474537037</v>
      </c>
      <c r="C270" s="1" t="n">
        <v>46133</v>
      </c>
      <c r="D270" t="inlineStr">
        <is>
          <t>STOCKHOLMS LÄN</t>
        </is>
      </c>
      <c r="E270" t="inlineStr">
        <is>
          <t>NORRTÄLJE</t>
        </is>
      </c>
      <c r="G270" t="n">
        <v>8.1</v>
      </c>
      <c r="H270" t="n">
        <v>0</v>
      </c>
      <c r="I270" t="n">
        <v>0</v>
      </c>
      <c r="J270" t="n">
        <v>0</v>
      </c>
      <c r="K270" t="n">
        <v>0</v>
      </c>
      <c r="L270" t="n">
        <v>0</v>
      </c>
      <c r="M270" t="n">
        <v>0</v>
      </c>
      <c r="N270" t="n">
        <v>0</v>
      </c>
      <c r="O270" t="n">
        <v>0</v>
      </c>
      <c r="P270" t="n">
        <v>0</v>
      </c>
      <c r="Q270" t="n">
        <v>0</v>
      </c>
      <c r="R270" s="2" t="inlineStr"/>
    </row>
    <row r="271" ht="15" customHeight="1">
      <c r="A271" t="inlineStr">
        <is>
          <t>A 16132-2022</t>
        </is>
      </c>
      <c r="B271" s="1" t="n">
        <v>44665.78351851852</v>
      </c>
      <c r="C271" s="1" t="n">
        <v>46133</v>
      </c>
      <c r="D271" t="inlineStr">
        <is>
          <t>STOCKHOLMS LÄN</t>
        </is>
      </c>
      <c r="E271" t="inlineStr">
        <is>
          <t>NORRTÄLJE</t>
        </is>
      </c>
      <c r="G271" t="n">
        <v>4.4</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46133</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25463-2021</t>
        </is>
      </c>
      <c r="B273" s="1" t="n">
        <v>44342</v>
      </c>
      <c r="C273" s="1" t="n">
        <v>46133</v>
      </c>
      <c r="D273" t="inlineStr">
        <is>
          <t>STOCKHOLMS LÄN</t>
        </is>
      </c>
      <c r="E273" t="inlineStr">
        <is>
          <t>NORRTÄLJE</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71880-2021</t>
        </is>
      </c>
      <c r="B274" s="1" t="n">
        <v>44543</v>
      </c>
      <c r="C274" s="1" t="n">
        <v>46133</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21102-2022</t>
        </is>
      </c>
      <c r="B275" s="1" t="n">
        <v>44704</v>
      </c>
      <c r="C275" s="1" t="n">
        <v>46133</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17772-2022</t>
        </is>
      </c>
      <c r="B276" s="1" t="n">
        <v>44682.76528935185</v>
      </c>
      <c r="C276" s="1" t="n">
        <v>46133</v>
      </c>
      <c r="D276" t="inlineStr">
        <is>
          <t>STOCKHOLMS LÄN</t>
        </is>
      </c>
      <c r="E276" t="inlineStr">
        <is>
          <t>NORRTÄLJE</t>
        </is>
      </c>
      <c r="G276" t="n">
        <v>4</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46133</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67285-2021</t>
        </is>
      </c>
      <c r="B278" s="1" t="n">
        <v>44523.61635416667</v>
      </c>
      <c r="C278" s="1" t="n">
        <v>46133</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5611-2022</t>
        </is>
      </c>
      <c r="B279" s="1" t="n">
        <v>44595</v>
      </c>
      <c r="C279" s="1" t="n">
        <v>46133</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32055-2021</t>
        </is>
      </c>
      <c r="B280" s="1" t="n">
        <v>44370.72197916666</v>
      </c>
      <c r="C280" s="1" t="n">
        <v>46133</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38721-2022</t>
        </is>
      </c>
      <c r="B281" s="1" t="n">
        <v>44815</v>
      </c>
      <c r="C281" s="1" t="n">
        <v>46133</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60184-2021</t>
        </is>
      </c>
      <c r="B282" s="1" t="n">
        <v>44495</v>
      </c>
      <c r="C282" s="1" t="n">
        <v>46133</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27828-2022</t>
        </is>
      </c>
      <c r="B283" s="1" t="n">
        <v>44743.59765046297</v>
      </c>
      <c r="C283" s="1" t="n">
        <v>46133</v>
      </c>
      <c r="D283" t="inlineStr">
        <is>
          <t>STOCKHOLMS LÄN</t>
        </is>
      </c>
      <c r="E283" t="inlineStr">
        <is>
          <t>NORRTÄLJE</t>
        </is>
      </c>
      <c r="F283" t="inlineStr">
        <is>
          <t>Kommuner</t>
        </is>
      </c>
      <c r="G283" t="n">
        <v>1.6</v>
      </c>
      <c r="H283" t="n">
        <v>0</v>
      </c>
      <c r="I283" t="n">
        <v>0</v>
      </c>
      <c r="J283" t="n">
        <v>0</v>
      </c>
      <c r="K283" t="n">
        <v>0</v>
      </c>
      <c r="L283" t="n">
        <v>0</v>
      </c>
      <c r="M283" t="n">
        <v>0</v>
      </c>
      <c r="N283" t="n">
        <v>0</v>
      </c>
      <c r="O283" t="n">
        <v>0</v>
      </c>
      <c r="P283" t="n">
        <v>0</v>
      </c>
      <c r="Q283" t="n">
        <v>0</v>
      </c>
      <c r="R283" s="2" t="inlineStr"/>
    </row>
    <row r="284" ht="15" customHeight="1">
      <c r="A284" t="inlineStr">
        <is>
          <t>A 16229-2022</t>
        </is>
      </c>
      <c r="B284" s="1" t="n">
        <v>44670.4190162037</v>
      </c>
      <c r="C284" s="1" t="n">
        <v>46133</v>
      </c>
      <c r="D284" t="inlineStr">
        <is>
          <t>STOCKHOLMS LÄN</t>
        </is>
      </c>
      <c r="E284" t="inlineStr">
        <is>
          <t>NORRTÄLJE</t>
        </is>
      </c>
      <c r="G284" t="n">
        <v>7.4</v>
      </c>
      <c r="H284" t="n">
        <v>0</v>
      </c>
      <c r="I284" t="n">
        <v>0</v>
      </c>
      <c r="J284" t="n">
        <v>0</v>
      </c>
      <c r="K284" t="n">
        <v>0</v>
      </c>
      <c r="L284" t="n">
        <v>0</v>
      </c>
      <c r="M284" t="n">
        <v>0</v>
      </c>
      <c r="N284" t="n">
        <v>0</v>
      </c>
      <c r="O284" t="n">
        <v>0</v>
      </c>
      <c r="P284" t="n">
        <v>0</v>
      </c>
      <c r="Q284" t="n">
        <v>0</v>
      </c>
      <c r="R284" s="2" t="inlineStr"/>
    </row>
    <row r="285" ht="15" customHeight="1">
      <c r="A285" t="inlineStr">
        <is>
          <t>A 55243-2023</t>
        </is>
      </c>
      <c r="B285" s="1" t="n">
        <v>45237</v>
      </c>
      <c r="C285" s="1" t="n">
        <v>46133</v>
      </c>
      <c r="D285" t="inlineStr">
        <is>
          <t>STOCKHOLMS LÄN</t>
        </is>
      </c>
      <c r="E285" t="inlineStr">
        <is>
          <t>NORRTÄLJE</t>
        </is>
      </c>
      <c r="G285" t="n">
        <v>6.5</v>
      </c>
      <c r="H285" t="n">
        <v>0</v>
      </c>
      <c r="I285" t="n">
        <v>0</v>
      </c>
      <c r="J285" t="n">
        <v>0</v>
      </c>
      <c r="K285" t="n">
        <v>0</v>
      </c>
      <c r="L285" t="n">
        <v>0</v>
      </c>
      <c r="M285" t="n">
        <v>0</v>
      </c>
      <c r="N285" t="n">
        <v>0</v>
      </c>
      <c r="O285" t="n">
        <v>0</v>
      </c>
      <c r="P285" t="n">
        <v>0</v>
      </c>
      <c r="Q285" t="n">
        <v>0</v>
      </c>
      <c r="R285" s="2" t="inlineStr"/>
    </row>
    <row r="286" ht="15" customHeight="1">
      <c r="A286" t="inlineStr">
        <is>
          <t>A 33226-2024</t>
        </is>
      </c>
      <c r="B286" s="1" t="n">
        <v>45518</v>
      </c>
      <c r="C286" s="1" t="n">
        <v>46133</v>
      </c>
      <c r="D286" t="inlineStr">
        <is>
          <t>STOCKHOLMS LÄN</t>
        </is>
      </c>
      <c r="E286" t="inlineStr">
        <is>
          <t>NORRTÄLJE</t>
        </is>
      </c>
      <c r="G286" t="n">
        <v>13.8</v>
      </c>
      <c r="H286" t="n">
        <v>0</v>
      </c>
      <c r="I286" t="n">
        <v>0</v>
      </c>
      <c r="J286" t="n">
        <v>0</v>
      </c>
      <c r="K286" t="n">
        <v>0</v>
      </c>
      <c r="L286" t="n">
        <v>0</v>
      </c>
      <c r="M286" t="n">
        <v>0</v>
      </c>
      <c r="N286" t="n">
        <v>0</v>
      </c>
      <c r="O286" t="n">
        <v>0</v>
      </c>
      <c r="P286" t="n">
        <v>0</v>
      </c>
      <c r="Q286" t="n">
        <v>0</v>
      </c>
      <c r="R286" s="2" t="inlineStr"/>
    </row>
    <row r="287" ht="15" customHeight="1">
      <c r="A287" t="inlineStr">
        <is>
          <t>A 55696-2022</t>
        </is>
      </c>
      <c r="B287" s="1" t="n">
        <v>44888</v>
      </c>
      <c r="C287" s="1" t="n">
        <v>46133</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22412-2021</t>
        </is>
      </c>
      <c r="B288" s="1" t="n">
        <v>44326.61967592593</v>
      </c>
      <c r="C288" s="1" t="n">
        <v>46133</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52260-2022</t>
        </is>
      </c>
      <c r="B289" s="1" t="n">
        <v>44869</v>
      </c>
      <c r="C289" s="1" t="n">
        <v>46133</v>
      </c>
      <c r="D289" t="inlineStr">
        <is>
          <t>STOCKHOLMS LÄN</t>
        </is>
      </c>
      <c r="E289" t="inlineStr">
        <is>
          <t>NORRTÄLJE</t>
        </is>
      </c>
      <c r="G289" t="n">
        <v>3.1</v>
      </c>
      <c r="H289" t="n">
        <v>0</v>
      </c>
      <c r="I289" t="n">
        <v>0</v>
      </c>
      <c r="J289" t="n">
        <v>0</v>
      </c>
      <c r="K289" t="n">
        <v>0</v>
      </c>
      <c r="L289" t="n">
        <v>0</v>
      </c>
      <c r="M289" t="n">
        <v>0</v>
      </c>
      <c r="N289" t="n">
        <v>0</v>
      </c>
      <c r="O289" t="n">
        <v>0</v>
      </c>
      <c r="P289" t="n">
        <v>0</v>
      </c>
      <c r="Q289" t="n">
        <v>0</v>
      </c>
      <c r="R289" s="2" t="inlineStr"/>
    </row>
    <row r="290" ht="15" customHeight="1">
      <c r="A290" t="inlineStr">
        <is>
          <t>A 22008-2024</t>
        </is>
      </c>
      <c r="B290" s="1" t="n">
        <v>45443</v>
      </c>
      <c r="C290" s="1" t="n">
        <v>46133</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25557-2023</t>
        </is>
      </c>
      <c r="B291" s="1" t="n">
        <v>45089</v>
      </c>
      <c r="C291" s="1" t="n">
        <v>46133</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27715-2022</t>
        </is>
      </c>
      <c r="B292" s="1" t="n">
        <v>44743.47407407407</v>
      </c>
      <c r="C292" s="1" t="n">
        <v>46133</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13053-2022</t>
        </is>
      </c>
      <c r="B293" s="1" t="n">
        <v>44643</v>
      </c>
      <c r="C293" s="1" t="n">
        <v>46133</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64137-2021</t>
        </is>
      </c>
      <c r="B294" s="1" t="n">
        <v>44510.51422453704</v>
      </c>
      <c r="C294" s="1" t="n">
        <v>46133</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29972-2024</t>
        </is>
      </c>
      <c r="B295" s="1" t="n">
        <v>45485</v>
      </c>
      <c r="C295" s="1" t="n">
        <v>46133</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48716-2023</t>
        </is>
      </c>
      <c r="B296" s="1" t="n">
        <v>45208.69671296296</v>
      </c>
      <c r="C296" s="1" t="n">
        <v>46133</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5027-2025</t>
        </is>
      </c>
      <c r="B297" s="1" t="n">
        <v>45691.41101851852</v>
      </c>
      <c r="C297" s="1" t="n">
        <v>46133</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15915-2023</t>
        </is>
      </c>
      <c r="B298" s="1" t="n">
        <v>45022</v>
      </c>
      <c r="C298" s="1" t="n">
        <v>46133</v>
      </c>
      <c r="D298" t="inlineStr">
        <is>
          <t>STOCKHOLMS LÄN</t>
        </is>
      </c>
      <c r="E298" t="inlineStr">
        <is>
          <t>NORRTÄLJE</t>
        </is>
      </c>
      <c r="G298" t="n">
        <v>2.9</v>
      </c>
      <c r="H298" t="n">
        <v>0</v>
      </c>
      <c r="I298" t="n">
        <v>0</v>
      </c>
      <c r="J298" t="n">
        <v>0</v>
      </c>
      <c r="K298" t="n">
        <v>0</v>
      </c>
      <c r="L298" t="n">
        <v>0</v>
      </c>
      <c r="M298" t="n">
        <v>0</v>
      </c>
      <c r="N298" t="n">
        <v>0</v>
      </c>
      <c r="O298" t="n">
        <v>0</v>
      </c>
      <c r="P298" t="n">
        <v>0</v>
      </c>
      <c r="Q298" t="n">
        <v>0</v>
      </c>
      <c r="R298" s="2" t="inlineStr"/>
    </row>
    <row r="299" ht="15" customHeight="1">
      <c r="A299" t="inlineStr">
        <is>
          <t>A 12268-2022</t>
        </is>
      </c>
      <c r="B299" s="1" t="n">
        <v>44637</v>
      </c>
      <c r="C299" s="1" t="n">
        <v>46133</v>
      </c>
      <c r="D299" t="inlineStr">
        <is>
          <t>STOCKHOLMS LÄN</t>
        </is>
      </c>
      <c r="E299" t="inlineStr">
        <is>
          <t>NORRTÄLJE</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20015-2023</t>
        </is>
      </c>
      <c r="B300" s="1" t="n">
        <v>45054</v>
      </c>
      <c r="C300" s="1" t="n">
        <v>46133</v>
      </c>
      <c r="D300" t="inlineStr">
        <is>
          <t>STOCKHOLMS LÄN</t>
        </is>
      </c>
      <c r="E300" t="inlineStr">
        <is>
          <t>NORRTÄLJE</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3273-2025</t>
        </is>
      </c>
      <c r="B301" s="1" t="n">
        <v>45679</v>
      </c>
      <c r="C301" s="1" t="n">
        <v>46133</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24245-2024</t>
        </is>
      </c>
      <c r="B302" s="1" t="n">
        <v>45457</v>
      </c>
      <c r="C302" s="1" t="n">
        <v>46133</v>
      </c>
      <c r="D302" t="inlineStr">
        <is>
          <t>STOCKHOLMS LÄN</t>
        </is>
      </c>
      <c r="E302" t="inlineStr">
        <is>
          <t>NORRTÄLJE</t>
        </is>
      </c>
      <c r="F302" t="inlineStr">
        <is>
          <t>Holmen skog AB</t>
        </is>
      </c>
      <c r="G302" t="n">
        <v>3.4</v>
      </c>
      <c r="H302" t="n">
        <v>0</v>
      </c>
      <c r="I302" t="n">
        <v>0</v>
      </c>
      <c r="J302" t="n">
        <v>0</v>
      </c>
      <c r="K302" t="n">
        <v>0</v>
      </c>
      <c r="L302" t="n">
        <v>0</v>
      </c>
      <c r="M302" t="n">
        <v>0</v>
      </c>
      <c r="N302" t="n">
        <v>0</v>
      </c>
      <c r="O302" t="n">
        <v>0</v>
      </c>
      <c r="P302" t="n">
        <v>0</v>
      </c>
      <c r="Q302" t="n">
        <v>0</v>
      </c>
      <c r="R302" s="2" t="inlineStr"/>
    </row>
    <row r="303" ht="15" customHeight="1">
      <c r="A303" t="inlineStr">
        <is>
          <t>A 13172-2025</t>
        </is>
      </c>
      <c r="B303" s="1" t="n">
        <v>45735.36873842592</v>
      </c>
      <c r="C303" s="1" t="n">
        <v>46133</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21291-2021</t>
        </is>
      </c>
      <c r="B304" s="1" t="n">
        <v>44319</v>
      </c>
      <c r="C304" s="1" t="n">
        <v>46133</v>
      </c>
      <c r="D304" t="inlineStr">
        <is>
          <t>STOCKHOLMS LÄN</t>
        </is>
      </c>
      <c r="E304" t="inlineStr">
        <is>
          <t>NORRTÄLJE</t>
        </is>
      </c>
      <c r="G304" t="n">
        <v>12.7</v>
      </c>
      <c r="H304" t="n">
        <v>0</v>
      </c>
      <c r="I304" t="n">
        <v>0</v>
      </c>
      <c r="J304" t="n">
        <v>0</v>
      </c>
      <c r="K304" t="n">
        <v>0</v>
      </c>
      <c r="L304" t="n">
        <v>0</v>
      </c>
      <c r="M304" t="n">
        <v>0</v>
      </c>
      <c r="N304" t="n">
        <v>0</v>
      </c>
      <c r="O304" t="n">
        <v>0</v>
      </c>
      <c r="P304" t="n">
        <v>0</v>
      </c>
      <c r="Q304" t="n">
        <v>0</v>
      </c>
      <c r="R304" s="2" t="inlineStr"/>
    </row>
    <row r="305" ht="15" customHeight="1">
      <c r="A305" t="inlineStr">
        <is>
          <t>A 15256-2023</t>
        </is>
      </c>
      <c r="B305" s="1" t="n">
        <v>45019.3959837963</v>
      </c>
      <c r="C305" s="1" t="n">
        <v>46133</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20428-2024</t>
        </is>
      </c>
      <c r="B306" s="1" t="n">
        <v>45435</v>
      </c>
      <c r="C306" s="1" t="n">
        <v>46133</v>
      </c>
      <c r="D306" t="inlineStr">
        <is>
          <t>STOCKHOLMS LÄN</t>
        </is>
      </c>
      <c r="E306" t="inlineStr">
        <is>
          <t>NORRTÄLJE</t>
        </is>
      </c>
      <c r="G306" t="n">
        <v>3.7</v>
      </c>
      <c r="H306" t="n">
        <v>0</v>
      </c>
      <c r="I306" t="n">
        <v>0</v>
      </c>
      <c r="J306" t="n">
        <v>0</v>
      </c>
      <c r="K306" t="n">
        <v>0</v>
      </c>
      <c r="L306" t="n">
        <v>0</v>
      </c>
      <c r="M306" t="n">
        <v>0</v>
      </c>
      <c r="N306" t="n">
        <v>0</v>
      </c>
      <c r="O306" t="n">
        <v>0</v>
      </c>
      <c r="P306" t="n">
        <v>0</v>
      </c>
      <c r="Q306" t="n">
        <v>0</v>
      </c>
      <c r="R306" s="2" t="inlineStr"/>
    </row>
    <row r="307" ht="15" customHeight="1">
      <c r="A307" t="inlineStr">
        <is>
          <t>A 64145-2021</t>
        </is>
      </c>
      <c r="B307" s="1" t="n">
        <v>44510</v>
      </c>
      <c r="C307" s="1" t="n">
        <v>46133</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1740-2023</t>
        </is>
      </c>
      <c r="B308" s="1" t="n">
        <v>44938</v>
      </c>
      <c r="C308" s="1" t="n">
        <v>46133</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4596-2023</t>
        </is>
      </c>
      <c r="B309" s="1" t="n">
        <v>44956</v>
      </c>
      <c r="C309" s="1" t="n">
        <v>46133</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22456-2023</t>
        </is>
      </c>
      <c r="B310" s="1" t="n">
        <v>45070</v>
      </c>
      <c r="C310" s="1" t="n">
        <v>46133</v>
      </c>
      <c r="D310" t="inlineStr">
        <is>
          <t>STOCKHOLMS LÄN</t>
        </is>
      </c>
      <c r="E310" t="inlineStr">
        <is>
          <t>NORRTÄLJE</t>
        </is>
      </c>
      <c r="G310" t="n">
        <v>3.1</v>
      </c>
      <c r="H310" t="n">
        <v>0</v>
      </c>
      <c r="I310" t="n">
        <v>0</v>
      </c>
      <c r="J310" t="n">
        <v>0</v>
      </c>
      <c r="K310" t="n">
        <v>0</v>
      </c>
      <c r="L310" t="n">
        <v>0</v>
      </c>
      <c r="M310" t="n">
        <v>0</v>
      </c>
      <c r="N310" t="n">
        <v>0</v>
      </c>
      <c r="O310" t="n">
        <v>0</v>
      </c>
      <c r="P310" t="n">
        <v>0</v>
      </c>
      <c r="Q310" t="n">
        <v>0</v>
      </c>
      <c r="R310" s="2" t="inlineStr"/>
    </row>
    <row r="311" ht="15" customHeight="1">
      <c r="A311" t="inlineStr">
        <is>
          <t>A 17785-2024</t>
        </is>
      </c>
      <c r="B311" s="1" t="n">
        <v>45418.6968287037</v>
      </c>
      <c r="C311" s="1" t="n">
        <v>46133</v>
      </c>
      <c r="D311" t="inlineStr">
        <is>
          <t>STOCKHOLMS LÄN</t>
        </is>
      </c>
      <c r="E311" t="inlineStr">
        <is>
          <t>NORRTÄLJE</t>
        </is>
      </c>
      <c r="G311" t="n">
        <v>1</v>
      </c>
      <c r="H311" t="n">
        <v>0</v>
      </c>
      <c r="I311" t="n">
        <v>0</v>
      </c>
      <c r="J311" t="n">
        <v>0</v>
      </c>
      <c r="K311" t="n">
        <v>0</v>
      </c>
      <c r="L311" t="n">
        <v>0</v>
      </c>
      <c r="M311" t="n">
        <v>0</v>
      </c>
      <c r="N311" t="n">
        <v>0</v>
      </c>
      <c r="O311" t="n">
        <v>0</v>
      </c>
      <c r="P311" t="n">
        <v>0</v>
      </c>
      <c r="Q311" t="n">
        <v>0</v>
      </c>
      <c r="R311" s="2" t="inlineStr"/>
    </row>
    <row r="312" ht="15" customHeight="1">
      <c r="A312" t="inlineStr">
        <is>
          <t>A 10676-2025</t>
        </is>
      </c>
      <c r="B312" s="1" t="n">
        <v>45721.88684027778</v>
      </c>
      <c r="C312" s="1" t="n">
        <v>46133</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20852-2023</t>
        </is>
      </c>
      <c r="B313" s="1" t="n">
        <v>45058.78607638889</v>
      </c>
      <c r="C313" s="1" t="n">
        <v>46133</v>
      </c>
      <c r="D313" t="inlineStr">
        <is>
          <t>STOCKHOLMS LÄN</t>
        </is>
      </c>
      <c r="E313" t="inlineStr">
        <is>
          <t>NORRTÄLJE</t>
        </is>
      </c>
      <c r="G313" t="n">
        <v>3.5</v>
      </c>
      <c r="H313" t="n">
        <v>0</v>
      </c>
      <c r="I313" t="n">
        <v>0</v>
      </c>
      <c r="J313" t="n">
        <v>0</v>
      </c>
      <c r="K313" t="n">
        <v>0</v>
      </c>
      <c r="L313" t="n">
        <v>0</v>
      </c>
      <c r="M313" t="n">
        <v>0</v>
      </c>
      <c r="N313" t="n">
        <v>0</v>
      </c>
      <c r="O313" t="n">
        <v>0</v>
      </c>
      <c r="P313" t="n">
        <v>0</v>
      </c>
      <c r="Q313" t="n">
        <v>0</v>
      </c>
      <c r="R313" s="2" t="inlineStr"/>
    </row>
    <row r="314" ht="15" customHeight="1">
      <c r="A314" t="inlineStr">
        <is>
          <t>A 19982-2022</t>
        </is>
      </c>
      <c r="B314" s="1" t="n">
        <v>44697</v>
      </c>
      <c r="C314" s="1" t="n">
        <v>46133</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6678-2025</t>
        </is>
      </c>
      <c r="B315" s="1" t="n">
        <v>45700</v>
      </c>
      <c r="C315" s="1" t="n">
        <v>46133</v>
      </c>
      <c r="D315" t="inlineStr">
        <is>
          <t>STOCKHOLMS LÄN</t>
        </is>
      </c>
      <c r="E315" t="inlineStr">
        <is>
          <t>NORRTÄLJE</t>
        </is>
      </c>
      <c r="F315" t="inlineStr">
        <is>
          <t>Övriga Aktiebolag</t>
        </is>
      </c>
      <c r="G315" t="n">
        <v>6.6</v>
      </c>
      <c r="H315" t="n">
        <v>0</v>
      </c>
      <c r="I315" t="n">
        <v>0</v>
      </c>
      <c r="J315" t="n">
        <v>0</v>
      </c>
      <c r="K315" t="n">
        <v>0</v>
      </c>
      <c r="L315" t="n">
        <v>0</v>
      </c>
      <c r="M315" t="n">
        <v>0</v>
      </c>
      <c r="N315" t="n">
        <v>0</v>
      </c>
      <c r="O315" t="n">
        <v>0</v>
      </c>
      <c r="P315" t="n">
        <v>0</v>
      </c>
      <c r="Q315" t="n">
        <v>0</v>
      </c>
      <c r="R315" s="2" t="inlineStr"/>
    </row>
    <row r="316" ht="15" customHeight="1">
      <c r="A316" t="inlineStr">
        <is>
          <t>A 42075-2023</t>
        </is>
      </c>
      <c r="B316" s="1" t="n">
        <v>45177</v>
      </c>
      <c r="C316" s="1" t="n">
        <v>46133</v>
      </c>
      <c r="D316" t="inlineStr">
        <is>
          <t>STOCKHOLMS LÄN</t>
        </is>
      </c>
      <c r="E316" t="inlineStr">
        <is>
          <t>NORRTÄLJE</t>
        </is>
      </c>
      <c r="G316" t="n">
        <v>2.5</v>
      </c>
      <c r="H316" t="n">
        <v>0</v>
      </c>
      <c r="I316" t="n">
        <v>0</v>
      </c>
      <c r="J316" t="n">
        <v>0</v>
      </c>
      <c r="K316" t="n">
        <v>0</v>
      </c>
      <c r="L316" t="n">
        <v>0</v>
      </c>
      <c r="M316" t="n">
        <v>0</v>
      </c>
      <c r="N316" t="n">
        <v>0</v>
      </c>
      <c r="O316" t="n">
        <v>0</v>
      </c>
      <c r="P316" t="n">
        <v>0</v>
      </c>
      <c r="Q316" t="n">
        <v>0</v>
      </c>
      <c r="R316" s="2" t="inlineStr"/>
    </row>
    <row r="317" ht="15" customHeight="1">
      <c r="A317" t="inlineStr">
        <is>
          <t>A 44917-2022</t>
        </is>
      </c>
      <c r="B317" s="1" t="n">
        <v>44841.52804398148</v>
      </c>
      <c r="C317" s="1" t="n">
        <v>46133</v>
      </c>
      <c r="D317" t="inlineStr">
        <is>
          <t>STOCKHOLMS LÄN</t>
        </is>
      </c>
      <c r="E317" t="inlineStr">
        <is>
          <t>NORRTÄLJE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50108-2021</t>
        </is>
      </c>
      <c r="B318" s="1" t="n">
        <v>44456</v>
      </c>
      <c r="C318" s="1" t="n">
        <v>46133</v>
      </c>
      <c r="D318" t="inlineStr">
        <is>
          <t>STOCKHOLMS LÄN</t>
        </is>
      </c>
      <c r="E318" t="inlineStr">
        <is>
          <t>NORRTÄLJE</t>
        </is>
      </c>
      <c r="G318" t="n">
        <v>0.7</v>
      </c>
      <c r="H318" t="n">
        <v>0</v>
      </c>
      <c r="I318" t="n">
        <v>0</v>
      </c>
      <c r="J318" t="n">
        <v>0</v>
      </c>
      <c r="K318" t="n">
        <v>0</v>
      </c>
      <c r="L318" t="n">
        <v>0</v>
      </c>
      <c r="M318" t="n">
        <v>0</v>
      </c>
      <c r="N318" t="n">
        <v>0</v>
      </c>
      <c r="O318" t="n">
        <v>0</v>
      </c>
      <c r="P318" t="n">
        <v>0</v>
      </c>
      <c r="Q318" t="n">
        <v>0</v>
      </c>
      <c r="R318" s="2" t="inlineStr"/>
    </row>
    <row r="319" ht="15" customHeight="1">
      <c r="A319" t="inlineStr">
        <is>
          <t>A 55058-2021</t>
        </is>
      </c>
      <c r="B319" s="1" t="n">
        <v>44474.62141203704</v>
      </c>
      <c r="C319" s="1" t="n">
        <v>46133</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50355-2024</t>
        </is>
      </c>
      <c r="B320" s="1" t="n">
        <v>45600.86128472222</v>
      </c>
      <c r="C320" s="1" t="n">
        <v>46133</v>
      </c>
      <c r="D320" t="inlineStr">
        <is>
          <t>STOCKHOLMS LÄN</t>
        </is>
      </c>
      <c r="E320" t="inlineStr">
        <is>
          <t>NORRTÄLJE</t>
        </is>
      </c>
      <c r="F320" t="inlineStr">
        <is>
          <t>Kommuner</t>
        </is>
      </c>
      <c r="G320" t="n">
        <v>1</v>
      </c>
      <c r="H320" t="n">
        <v>0</v>
      </c>
      <c r="I320" t="n">
        <v>0</v>
      </c>
      <c r="J320" t="n">
        <v>0</v>
      </c>
      <c r="K320" t="n">
        <v>0</v>
      </c>
      <c r="L320" t="n">
        <v>0</v>
      </c>
      <c r="M320" t="n">
        <v>0</v>
      </c>
      <c r="N320" t="n">
        <v>0</v>
      </c>
      <c r="O320" t="n">
        <v>0</v>
      </c>
      <c r="P320" t="n">
        <v>0</v>
      </c>
      <c r="Q320" t="n">
        <v>0</v>
      </c>
      <c r="R320" s="2" t="inlineStr"/>
    </row>
    <row r="321" ht="15" customHeight="1">
      <c r="A321" t="inlineStr">
        <is>
          <t>A 58785-2024</t>
        </is>
      </c>
      <c r="B321" s="1" t="n">
        <v>45635.88849537037</v>
      </c>
      <c r="C321" s="1" t="n">
        <v>46133</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55012-2024</t>
        </is>
      </c>
      <c r="B322" s="1" t="n">
        <v>45621.34813657407</v>
      </c>
      <c r="C322" s="1" t="n">
        <v>46133</v>
      </c>
      <c r="D322" t="inlineStr">
        <is>
          <t>STOCKHOLMS LÄN</t>
        </is>
      </c>
      <c r="E322" t="inlineStr">
        <is>
          <t>NORRTÄLJE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2182-2022</t>
        </is>
      </c>
      <c r="B323" s="1" t="n">
        <v>44578</v>
      </c>
      <c r="C323" s="1" t="n">
        <v>46133</v>
      </c>
      <c r="D323" t="inlineStr">
        <is>
          <t>STOCKHOLMS LÄN</t>
        </is>
      </c>
      <c r="E323" t="inlineStr">
        <is>
          <t>NORRTÄLJE</t>
        </is>
      </c>
      <c r="G323" t="n">
        <v>7.2</v>
      </c>
      <c r="H323" t="n">
        <v>0</v>
      </c>
      <c r="I323" t="n">
        <v>0</v>
      </c>
      <c r="J323" t="n">
        <v>0</v>
      </c>
      <c r="K323" t="n">
        <v>0</v>
      </c>
      <c r="L323" t="n">
        <v>0</v>
      </c>
      <c r="M323" t="n">
        <v>0</v>
      </c>
      <c r="N323" t="n">
        <v>0</v>
      </c>
      <c r="O323" t="n">
        <v>0</v>
      </c>
      <c r="P323" t="n">
        <v>0</v>
      </c>
      <c r="Q323" t="n">
        <v>0</v>
      </c>
      <c r="R323" s="2" t="inlineStr"/>
    </row>
    <row r="324" ht="15" customHeight="1">
      <c r="A324" t="inlineStr">
        <is>
          <t>A 13268-2025</t>
        </is>
      </c>
      <c r="B324" s="1" t="n">
        <v>45735</v>
      </c>
      <c r="C324" s="1" t="n">
        <v>46133</v>
      </c>
      <c r="D324" t="inlineStr">
        <is>
          <t>STOCKHOLMS LÄN</t>
        </is>
      </c>
      <c r="E324" t="inlineStr">
        <is>
          <t>NORRTÄLJE</t>
        </is>
      </c>
      <c r="G324" t="n">
        <v>11.4</v>
      </c>
      <c r="H324" t="n">
        <v>0</v>
      </c>
      <c r="I324" t="n">
        <v>0</v>
      </c>
      <c r="J324" t="n">
        <v>0</v>
      </c>
      <c r="K324" t="n">
        <v>0</v>
      </c>
      <c r="L324" t="n">
        <v>0</v>
      </c>
      <c r="M324" t="n">
        <v>0</v>
      </c>
      <c r="N324" t="n">
        <v>0</v>
      </c>
      <c r="O324" t="n">
        <v>0</v>
      </c>
      <c r="P324" t="n">
        <v>0</v>
      </c>
      <c r="Q324" t="n">
        <v>0</v>
      </c>
      <c r="R324" s="2" t="inlineStr"/>
    </row>
    <row r="325" ht="15" customHeight="1">
      <c r="A325" t="inlineStr">
        <is>
          <t>A 8414-2025</t>
        </is>
      </c>
      <c r="B325" s="1" t="n">
        <v>45709.39361111111</v>
      </c>
      <c r="C325" s="1" t="n">
        <v>46133</v>
      </c>
      <c r="D325" t="inlineStr">
        <is>
          <t>STOCKHOLMS LÄN</t>
        </is>
      </c>
      <c r="E325" t="inlineStr">
        <is>
          <t>NORRTÄLJE</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36625-2024</t>
        </is>
      </c>
      <c r="B326" s="1" t="n">
        <v>45537</v>
      </c>
      <c r="C326" s="1" t="n">
        <v>46133</v>
      </c>
      <c r="D326" t="inlineStr">
        <is>
          <t>STOCKHOLMS LÄN</t>
        </is>
      </c>
      <c r="E326" t="inlineStr">
        <is>
          <t>NORRTÄLJE</t>
        </is>
      </c>
      <c r="G326" t="n">
        <v>3.8</v>
      </c>
      <c r="H326" t="n">
        <v>0</v>
      </c>
      <c r="I326" t="n">
        <v>0</v>
      </c>
      <c r="J326" t="n">
        <v>0</v>
      </c>
      <c r="K326" t="n">
        <v>0</v>
      </c>
      <c r="L326" t="n">
        <v>0</v>
      </c>
      <c r="M326" t="n">
        <v>0</v>
      </c>
      <c r="N326" t="n">
        <v>0</v>
      </c>
      <c r="O326" t="n">
        <v>0</v>
      </c>
      <c r="P326" t="n">
        <v>0</v>
      </c>
      <c r="Q326" t="n">
        <v>0</v>
      </c>
      <c r="R326" s="2" t="inlineStr"/>
    </row>
    <row r="327" ht="15" customHeight="1">
      <c r="A327" t="inlineStr">
        <is>
          <t>A 44891-2023</t>
        </is>
      </c>
      <c r="B327" s="1" t="n">
        <v>45187</v>
      </c>
      <c r="C327" s="1" t="n">
        <v>46133</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12902-2024</t>
        </is>
      </c>
      <c r="B328" s="1" t="n">
        <v>45385.38146990741</v>
      </c>
      <c r="C328" s="1" t="n">
        <v>46133</v>
      </c>
      <c r="D328" t="inlineStr">
        <is>
          <t>STOCKHOLMS LÄN</t>
        </is>
      </c>
      <c r="E328" t="inlineStr">
        <is>
          <t>NORRTÄLJE</t>
        </is>
      </c>
      <c r="G328" t="n">
        <v>3.7</v>
      </c>
      <c r="H328" t="n">
        <v>0</v>
      </c>
      <c r="I328" t="n">
        <v>0</v>
      </c>
      <c r="J328" t="n">
        <v>0</v>
      </c>
      <c r="K328" t="n">
        <v>0</v>
      </c>
      <c r="L328" t="n">
        <v>0</v>
      </c>
      <c r="M328" t="n">
        <v>0</v>
      </c>
      <c r="N328" t="n">
        <v>0</v>
      </c>
      <c r="O328" t="n">
        <v>0</v>
      </c>
      <c r="P328" t="n">
        <v>0</v>
      </c>
      <c r="Q328" t="n">
        <v>0</v>
      </c>
      <c r="R328" s="2" t="inlineStr"/>
    </row>
    <row r="329" ht="15" customHeight="1">
      <c r="A329" t="inlineStr">
        <is>
          <t>A 44032-2024</t>
        </is>
      </c>
      <c r="B329" s="1" t="n">
        <v>45572.57828703704</v>
      </c>
      <c r="C329" s="1" t="n">
        <v>46133</v>
      </c>
      <c r="D329" t="inlineStr">
        <is>
          <t>STOCKHOLMS LÄN</t>
        </is>
      </c>
      <c r="E329" t="inlineStr">
        <is>
          <t>NORRTÄLJE</t>
        </is>
      </c>
      <c r="G329" t="n">
        <v>8.6</v>
      </c>
      <c r="H329" t="n">
        <v>0</v>
      </c>
      <c r="I329" t="n">
        <v>0</v>
      </c>
      <c r="J329" t="n">
        <v>0</v>
      </c>
      <c r="K329" t="n">
        <v>0</v>
      </c>
      <c r="L329" t="n">
        <v>0</v>
      </c>
      <c r="M329" t="n">
        <v>0</v>
      </c>
      <c r="N329" t="n">
        <v>0</v>
      </c>
      <c r="O329" t="n">
        <v>0</v>
      </c>
      <c r="P329" t="n">
        <v>0</v>
      </c>
      <c r="Q329" t="n">
        <v>0</v>
      </c>
      <c r="R329" s="2" t="inlineStr"/>
    </row>
    <row r="330" ht="15" customHeight="1">
      <c r="A330" t="inlineStr">
        <is>
          <t>A 24563-2024</t>
        </is>
      </c>
      <c r="B330" s="1" t="n">
        <v>45460.44347222222</v>
      </c>
      <c r="C330" s="1" t="n">
        <v>46133</v>
      </c>
      <c r="D330" t="inlineStr">
        <is>
          <t>STOCKHOLMS LÄN</t>
        </is>
      </c>
      <c r="E330" t="inlineStr">
        <is>
          <t>NORRTÄLJE</t>
        </is>
      </c>
      <c r="G330" t="n">
        <v>1.9</v>
      </c>
      <c r="H330" t="n">
        <v>0</v>
      </c>
      <c r="I330" t="n">
        <v>0</v>
      </c>
      <c r="J330" t="n">
        <v>0</v>
      </c>
      <c r="K330" t="n">
        <v>0</v>
      </c>
      <c r="L330" t="n">
        <v>0</v>
      </c>
      <c r="M330" t="n">
        <v>0</v>
      </c>
      <c r="N330" t="n">
        <v>0</v>
      </c>
      <c r="O330" t="n">
        <v>0</v>
      </c>
      <c r="P330" t="n">
        <v>0</v>
      </c>
      <c r="Q330" t="n">
        <v>0</v>
      </c>
      <c r="R330" s="2" t="inlineStr"/>
    </row>
    <row r="331" ht="15" customHeight="1">
      <c r="A331" t="inlineStr">
        <is>
          <t>A 39237-2024</t>
        </is>
      </c>
      <c r="B331" s="1" t="n">
        <v>45549</v>
      </c>
      <c r="C331" s="1" t="n">
        <v>46133</v>
      </c>
      <c r="D331" t="inlineStr">
        <is>
          <t>STOCKHOLMS LÄN</t>
        </is>
      </c>
      <c r="E331" t="inlineStr">
        <is>
          <t>NORRTÄLJE</t>
        </is>
      </c>
      <c r="G331" t="n">
        <v>13.3</v>
      </c>
      <c r="H331" t="n">
        <v>0</v>
      </c>
      <c r="I331" t="n">
        <v>0</v>
      </c>
      <c r="J331" t="n">
        <v>0</v>
      </c>
      <c r="K331" t="n">
        <v>0</v>
      </c>
      <c r="L331" t="n">
        <v>0</v>
      </c>
      <c r="M331" t="n">
        <v>0</v>
      </c>
      <c r="N331" t="n">
        <v>0</v>
      </c>
      <c r="O331" t="n">
        <v>0</v>
      </c>
      <c r="P331" t="n">
        <v>0</v>
      </c>
      <c r="Q331" t="n">
        <v>0</v>
      </c>
      <c r="R331" s="2" t="inlineStr"/>
    </row>
    <row r="332" ht="15" customHeight="1">
      <c r="A332" t="inlineStr">
        <is>
          <t>A 45746-2024</t>
        </is>
      </c>
      <c r="B332" s="1" t="n">
        <v>45579</v>
      </c>
      <c r="C332" s="1" t="n">
        <v>46133</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61289-2025</t>
        </is>
      </c>
      <c r="B333" s="1" t="n">
        <v>46000.73659722223</v>
      </c>
      <c r="C333" s="1" t="n">
        <v>46133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8400-2024</t>
        </is>
      </c>
      <c r="B334" s="1" t="n">
        <v>45352.74090277778</v>
      </c>
      <c r="C334" s="1" t="n">
        <v>46133</v>
      </c>
      <c r="D334" t="inlineStr">
        <is>
          <t>STOCKHOLMS LÄN</t>
        </is>
      </c>
      <c r="E334" t="inlineStr">
        <is>
          <t>NORRTÄLJE</t>
        </is>
      </c>
      <c r="G334" t="n">
        <v>4.7</v>
      </c>
      <c r="H334" t="n">
        <v>0</v>
      </c>
      <c r="I334" t="n">
        <v>0</v>
      </c>
      <c r="J334" t="n">
        <v>0</v>
      </c>
      <c r="K334" t="n">
        <v>0</v>
      </c>
      <c r="L334" t="n">
        <v>0</v>
      </c>
      <c r="M334" t="n">
        <v>0</v>
      </c>
      <c r="N334" t="n">
        <v>0</v>
      </c>
      <c r="O334" t="n">
        <v>0</v>
      </c>
      <c r="P334" t="n">
        <v>0</v>
      </c>
      <c r="Q334" t="n">
        <v>0</v>
      </c>
      <c r="R334" s="2" t="inlineStr"/>
    </row>
    <row r="335" ht="15" customHeight="1">
      <c r="A335" t="inlineStr">
        <is>
          <t>A 61769-2025</t>
        </is>
      </c>
      <c r="B335" s="1" t="n">
        <v>46002.64556712963</v>
      </c>
      <c r="C335" s="1" t="n">
        <v>46133</v>
      </c>
      <c r="D335" t="inlineStr">
        <is>
          <t>STOCKHOLMS LÄN</t>
        </is>
      </c>
      <c r="E335" t="inlineStr">
        <is>
          <t>NORRTÄLJE</t>
        </is>
      </c>
      <c r="G335" t="n">
        <v>2.9</v>
      </c>
      <c r="H335" t="n">
        <v>0</v>
      </c>
      <c r="I335" t="n">
        <v>0</v>
      </c>
      <c r="J335" t="n">
        <v>0</v>
      </c>
      <c r="K335" t="n">
        <v>0</v>
      </c>
      <c r="L335" t="n">
        <v>0</v>
      </c>
      <c r="M335" t="n">
        <v>0</v>
      </c>
      <c r="N335" t="n">
        <v>0</v>
      </c>
      <c r="O335" t="n">
        <v>0</v>
      </c>
      <c r="P335" t="n">
        <v>0</v>
      </c>
      <c r="Q335" t="n">
        <v>0</v>
      </c>
      <c r="R335" s="2" t="inlineStr"/>
    </row>
    <row r="336" ht="15" customHeight="1">
      <c r="A336" t="inlineStr">
        <is>
          <t>A 38720-2025</t>
        </is>
      </c>
      <c r="B336" s="1" t="n">
        <v>45886</v>
      </c>
      <c r="C336" s="1" t="n">
        <v>46133</v>
      </c>
      <c r="D336" t="inlineStr">
        <is>
          <t>STOCKHOLMS LÄN</t>
        </is>
      </c>
      <c r="E336" t="inlineStr">
        <is>
          <t>NORRTÄLJE</t>
        </is>
      </c>
      <c r="G336" t="n">
        <v>1.6</v>
      </c>
      <c r="H336" t="n">
        <v>0</v>
      </c>
      <c r="I336" t="n">
        <v>0</v>
      </c>
      <c r="J336" t="n">
        <v>0</v>
      </c>
      <c r="K336" t="n">
        <v>0</v>
      </c>
      <c r="L336" t="n">
        <v>0</v>
      </c>
      <c r="M336" t="n">
        <v>0</v>
      </c>
      <c r="N336" t="n">
        <v>0</v>
      </c>
      <c r="O336" t="n">
        <v>0</v>
      </c>
      <c r="P336" t="n">
        <v>0</v>
      </c>
      <c r="Q336" t="n">
        <v>0</v>
      </c>
      <c r="R336" s="2" t="inlineStr"/>
    </row>
    <row r="337" ht="15" customHeight="1">
      <c r="A337" t="inlineStr">
        <is>
          <t>A 7413-2024</t>
        </is>
      </c>
      <c r="B337" s="1" t="n">
        <v>45345.6059837963</v>
      </c>
      <c r="C337" s="1" t="n">
        <v>46133</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12251-2025</t>
        </is>
      </c>
      <c r="B338" s="1" t="n">
        <v>45729.60859953704</v>
      </c>
      <c r="C338" s="1" t="n">
        <v>46133</v>
      </c>
      <c r="D338" t="inlineStr">
        <is>
          <t>STOCKHOLMS LÄN</t>
        </is>
      </c>
      <c r="E338" t="inlineStr">
        <is>
          <t>NORRTÄLJE</t>
        </is>
      </c>
      <c r="F338" t="inlineStr">
        <is>
          <t>Holmen skog AB</t>
        </is>
      </c>
      <c r="G338" t="n">
        <v>5.9</v>
      </c>
      <c r="H338" t="n">
        <v>0</v>
      </c>
      <c r="I338" t="n">
        <v>0</v>
      </c>
      <c r="J338" t="n">
        <v>0</v>
      </c>
      <c r="K338" t="n">
        <v>0</v>
      </c>
      <c r="L338" t="n">
        <v>0</v>
      </c>
      <c r="M338" t="n">
        <v>0</v>
      </c>
      <c r="N338" t="n">
        <v>0</v>
      </c>
      <c r="O338" t="n">
        <v>0</v>
      </c>
      <c r="P338" t="n">
        <v>0</v>
      </c>
      <c r="Q338" t="n">
        <v>0</v>
      </c>
      <c r="R338" s="2" t="inlineStr"/>
    </row>
    <row r="339" ht="15" customHeight="1">
      <c r="A339" t="inlineStr">
        <is>
          <t>A 58863-2024</t>
        </is>
      </c>
      <c r="B339" s="1" t="n">
        <v>45636.41572916666</v>
      </c>
      <c r="C339" s="1" t="n">
        <v>46133</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50154-2024</t>
        </is>
      </c>
      <c r="B340" s="1" t="n">
        <v>45600.4558912037</v>
      </c>
      <c r="C340" s="1" t="n">
        <v>46133</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61764-2025</t>
        </is>
      </c>
      <c r="B341" s="1" t="n">
        <v>46002.62763888889</v>
      </c>
      <c r="C341" s="1" t="n">
        <v>46133</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11900-2024</t>
        </is>
      </c>
      <c r="B342" s="1" t="n">
        <v>45376.55484953704</v>
      </c>
      <c r="C342" s="1" t="n">
        <v>46133</v>
      </c>
      <c r="D342" t="inlineStr">
        <is>
          <t>STOCKHOLMS LÄN</t>
        </is>
      </c>
      <c r="E342" t="inlineStr">
        <is>
          <t>NORRTÄLJE</t>
        </is>
      </c>
      <c r="G342" t="n">
        <v>4.2</v>
      </c>
      <c r="H342" t="n">
        <v>0</v>
      </c>
      <c r="I342" t="n">
        <v>0</v>
      </c>
      <c r="J342" t="n">
        <v>0</v>
      </c>
      <c r="K342" t="n">
        <v>0</v>
      </c>
      <c r="L342" t="n">
        <v>0</v>
      </c>
      <c r="M342" t="n">
        <v>0</v>
      </c>
      <c r="N342" t="n">
        <v>0</v>
      </c>
      <c r="O342" t="n">
        <v>0</v>
      </c>
      <c r="P342" t="n">
        <v>0</v>
      </c>
      <c r="Q342" t="n">
        <v>0</v>
      </c>
      <c r="R342" s="2" t="inlineStr"/>
    </row>
    <row r="343" ht="15" customHeight="1">
      <c r="A343" t="inlineStr">
        <is>
          <t>A 42867-2022</t>
        </is>
      </c>
      <c r="B343" s="1" t="n">
        <v>44832</v>
      </c>
      <c r="C343" s="1" t="n">
        <v>46133</v>
      </c>
      <c r="D343" t="inlineStr">
        <is>
          <t>STOCKHOLMS LÄN</t>
        </is>
      </c>
      <c r="E343" t="inlineStr">
        <is>
          <t>NORRTÄLJE</t>
        </is>
      </c>
      <c r="G343" t="n">
        <v>6.4</v>
      </c>
      <c r="H343" t="n">
        <v>0</v>
      </c>
      <c r="I343" t="n">
        <v>0</v>
      </c>
      <c r="J343" t="n">
        <v>0</v>
      </c>
      <c r="K343" t="n">
        <v>0</v>
      </c>
      <c r="L343" t="n">
        <v>0</v>
      </c>
      <c r="M343" t="n">
        <v>0</v>
      </c>
      <c r="N343" t="n">
        <v>0</v>
      </c>
      <c r="O343" t="n">
        <v>0</v>
      </c>
      <c r="P343" t="n">
        <v>0</v>
      </c>
      <c r="Q343" t="n">
        <v>0</v>
      </c>
      <c r="R343" s="2" t="inlineStr"/>
    </row>
    <row r="344" ht="15" customHeight="1">
      <c r="A344" t="inlineStr">
        <is>
          <t>A 38593-2025</t>
        </is>
      </c>
      <c r="B344" s="1" t="n">
        <v>45884.48696759259</v>
      </c>
      <c r="C344" s="1" t="n">
        <v>46133</v>
      </c>
      <c r="D344" t="inlineStr">
        <is>
          <t>STOCKHOLMS LÄN</t>
        </is>
      </c>
      <c r="E344" t="inlineStr">
        <is>
          <t>NORRTÄLJE</t>
        </is>
      </c>
      <c r="G344" t="n">
        <v>3</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46133</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58277-2023</t>
        </is>
      </c>
      <c r="B346" s="1" t="n">
        <v>45245</v>
      </c>
      <c r="C346" s="1" t="n">
        <v>46133</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32705-2022</t>
        </is>
      </c>
      <c r="B347" s="1" t="n">
        <v>44783</v>
      </c>
      <c r="C347" s="1" t="n">
        <v>46133</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47481-2024</t>
        </is>
      </c>
      <c r="B348" s="1" t="n">
        <v>45587</v>
      </c>
      <c r="C348" s="1" t="n">
        <v>46133</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57037-2022</t>
        </is>
      </c>
      <c r="B349" s="1" t="n">
        <v>44895</v>
      </c>
      <c r="C349" s="1" t="n">
        <v>46133</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33279-2025</t>
        </is>
      </c>
      <c r="B350" s="1" t="n">
        <v>45840</v>
      </c>
      <c r="C350" s="1" t="n">
        <v>46133</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53499-2025</t>
        </is>
      </c>
      <c r="B351" s="1" t="n">
        <v>45960</v>
      </c>
      <c r="C351" s="1" t="n">
        <v>46133</v>
      </c>
      <c r="D351" t="inlineStr">
        <is>
          <t>STOCKHOLMS LÄN</t>
        </is>
      </c>
      <c r="E351" t="inlineStr">
        <is>
          <t>NORRTÄLJE</t>
        </is>
      </c>
      <c r="G351" t="n">
        <v>23.8</v>
      </c>
      <c r="H351" t="n">
        <v>0</v>
      </c>
      <c r="I351" t="n">
        <v>0</v>
      </c>
      <c r="J351" t="n">
        <v>0</v>
      </c>
      <c r="K351" t="n">
        <v>0</v>
      </c>
      <c r="L351" t="n">
        <v>0</v>
      </c>
      <c r="M351" t="n">
        <v>0</v>
      </c>
      <c r="N351" t="n">
        <v>0</v>
      </c>
      <c r="O351" t="n">
        <v>0</v>
      </c>
      <c r="P351" t="n">
        <v>0</v>
      </c>
      <c r="Q351" t="n">
        <v>0</v>
      </c>
      <c r="R351" s="2" t="inlineStr"/>
    </row>
    <row r="352" ht="15" customHeight="1">
      <c r="A352" t="inlineStr">
        <is>
          <t>A 11940-2023</t>
        </is>
      </c>
      <c r="B352" s="1" t="n">
        <v>44995</v>
      </c>
      <c r="C352" s="1" t="n">
        <v>46133</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62998-2023</t>
        </is>
      </c>
      <c r="B353" s="1" t="n">
        <v>45272.64479166667</v>
      </c>
      <c r="C353" s="1" t="n">
        <v>46133</v>
      </c>
      <c r="D353" t="inlineStr">
        <is>
          <t>STOCKHOLMS LÄN</t>
        </is>
      </c>
      <c r="E353" t="inlineStr">
        <is>
          <t>NORRTÄLJE</t>
        </is>
      </c>
      <c r="G353" t="n">
        <v>16.3</v>
      </c>
      <c r="H353" t="n">
        <v>0</v>
      </c>
      <c r="I353" t="n">
        <v>0</v>
      </c>
      <c r="J353" t="n">
        <v>0</v>
      </c>
      <c r="K353" t="n">
        <v>0</v>
      </c>
      <c r="L353" t="n">
        <v>0</v>
      </c>
      <c r="M353" t="n">
        <v>0</v>
      </c>
      <c r="N353" t="n">
        <v>0</v>
      </c>
      <c r="O353" t="n">
        <v>0</v>
      </c>
      <c r="P353" t="n">
        <v>0</v>
      </c>
      <c r="Q353" t="n">
        <v>0</v>
      </c>
      <c r="R353" s="2" t="inlineStr"/>
    </row>
    <row r="354" ht="15" customHeight="1">
      <c r="A354" t="inlineStr">
        <is>
          <t>A 63015-2023</t>
        </is>
      </c>
      <c r="B354" s="1" t="n">
        <v>45272</v>
      </c>
      <c r="C354" s="1" t="n">
        <v>46133</v>
      </c>
      <c r="D354" t="inlineStr">
        <is>
          <t>STOCKHOLMS LÄN</t>
        </is>
      </c>
      <c r="E354" t="inlineStr">
        <is>
          <t>NORRTÄLJE</t>
        </is>
      </c>
      <c r="G354" t="n">
        <v>13.1</v>
      </c>
      <c r="H354" t="n">
        <v>0</v>
      </c>
      <c r="I354" t="n">
        <v>0</v>
      </c>
      <c r="J354" t="n">
        <v>0</v>
      </c>
      <c r="K354" t="n">
        <v>0</v>
      </c>
      <c r="L354" t="n">
        <v>0</v>
      </c>
      <c r="M354" t="n">
        <v>0</v>
      </c>
      <c r="N354" t="n">
        <v>0</v>
      </c>
      <c r="O354" t="n">
        <v>0</v>
      </c>
      <c r="P354" t="n">
        <v>0</v>
      </c>
      <c r="Q354" t="n">
        <v>0</v>
      </c>
      <c r="R354" s="2" t="inlineStr"/>
    </row>
    <row r="355" ht="15" customHeight="1">
      <c r="A355" t="inlineStr">
        <is>
          <t>A 27831-2024</t>
        </is>
      </c>
      <c r="B355" s="1" t="n">
        <v>45475.61896990741</v>
      </c>
      <c r="C355" s="1" t="n">
        <v>46133</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2281-2024</t>
        </is>
      </c>
      <c r="B356" s="1" t="n">
        <v>45310.40628472222</v>
      </c>
      <c r="C356" s="1" t="n">
        <v>46133</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33175-2024</t>
        </is>
      </c>
      <c r="B357" s="1" t="n">
        <v>45518</v>
      </c>
      <c r="C357" s="1" t="n">
        <v>46133</v>
      </c>
      <c r="D357" t="inlineStr">
        <is>
          <t>STOCKHOLMS LÄN</t>
        </is>
      </c>
      <c r="E357" t="inlineStr">
        <is>
          <t>NORRTÄLJE</t>
        </is>
      </c>
      <c r="G357" t="n">
        <v>2.1</v>
      </c>
      <c r="H357" t="n">
        <v>0</v>
      </c>
      <c r="I357" t="n">
        <v>0</v>
      </c>
      <c r="J357" t="n">
        <v>0</v>
      </c>
      <c r="K357" t="n">
        <v>0</v>
      </c>
      <c r="L357" t="n">
        <v>0</v>
      </c>
      <c r="M357" t="n">
        <v>0</v>
      </c>
      <c r="N357" t="n">
        <v>0</v>
      </c>
      <c r="O357" t="n">
        <v>0</v>
      </c>
      <c r="P357" t="n">
        <v>0</v>
      </c>
      <c r="Q357" t="n">
        <v>0</v>
      </c>
      <c r="R357" s="2" t="inlineStr"/>
    </row>
    <row r="358" ht="15" customHeight="1">
      <c r="A358" t="inlineStr">
        <is>
          <t>A 21803-2022</t>
        </is>
      </c>
      <c r="B358" s="1" t="n">
        <v>44708.67822916667</v>
      </c>
      <c r="C358" s="1" t="n">
        <v>46133</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20730-2024</t>
        </is>
      </c>
      <c r="B359" s="1" t="n">
        <v>45436</v>
      </c>
      <c r="C359" s="1" t="n">
        <v>46133</v>
      </c>
      <c r="D359" t="inlineStr">
        <is>
          <t>STOCKHOLMS LÄN</t>
        </is>
      </c>
      <c r="E359" t="inlineStr">
        <is>
          <t>NORRTÄLJE</t>
        </is>
      </c>
      <c r="G359" t="n">
        <v>7.3</v>
      </c>
      <c r="H359" t="n">
        <v>0</v>
      </c>
      <c r="I359" t="n">
        <v>0</v>
      </c>
      <c r="J359" t="n">
        <v>0</v>
      </c>
      <c r="K359" t="n">
        <v>0</v>
      </c>
      <c r="L359" t="n">
        <v>0</v>
      </c>
      <c r="M359" t="n">
        <v>0</v>
      </c>
      <c r="N359" t="n">
        <v>0</v>
      </c>
      <c r="O359" t="n">
        <v>0</v>
      </c>
      <c r="P359" t="n">
        <v>0</v>
      </c>
      <c r="Q359" t="n">
        <v>0</v>
      </c>
      <c r="R359" s="2" t="inlineStr"/>
    </row>
    <row r="360" ht="15" customHeight="1">
      <c r="A360" t="inlineStr">
        <is>
          <t>A 27677-2025</t>
        </is>
      </c>
      <c r="B360" s="1" t="n">
        <v>45813.63650462963</v>
      </c>
      <c r="C360" s="1" t="n">
        <v>46133</v>
      </c>
      <c r="D360" t="inlineStr">
        <is>
          <t>STOCKHOLMS LÄN</t>
        </is>
      </c>
      <c r="E360" t="inlineStr">
        <is>
          <t>NORRTÄLJE</t>
        </is>
      </c>
      <c r="G360" t="n">
        <v>2</v>
      </c>
      <c r="H360" t="n">
        <v>0</v>
      </c>
      <c r="I360" t="n">
        <v>0</v>
      </c>
      <c r="J360" t="n">
        <v>0</v>
      </c>
      <c r="K360" t="n">
        <v>0</v>
      </c>
      <c r="L360" t="n">
        <v>0</v>
      </c>
      <c r="M360" t="n">
        <v>0</v>
      </c>
      <c r="N360" t="n">
        <v>0</v>
      </c>
      <c r="O360" t="n">
        <v>0</v>
      </c>
      <c r="P360" t="n">
        <v>0</v>
      </c>
      <c r="Q360" t="n">
        <v>0</v>
      </c>
      <c r="R360" s="2" t="inlineStr"/>
    </row>
    <row r="361" ht="15" customHeight="1">
      <c r="A361" t="inlineStr">
        <is>
          <t>A 39152-2025</t>
        </is>
      </c>
      <c r="B361" s="1" t="n">
        <v>45888</v>
      </c>
      <c r="C361" s="1" t="n">
        <v>46133</v>
      </c>
      <c r="D361" t="inlineStr">
        <is>
          <t>STOCKHOLMS LÄN</t>
        </is>
      </c>
      <c r="E361" t="inlineStr">
        <is>
          <t>NORRTÄLJE</t>
        </is>
      </c>
      <c r="G361" t="n">
        <v>4.6</v>
      </c>
      <c r="H361" t="n">
        <v>0</v>
      </c>
      <c r="I361" t="n">
        <v>0</v>
      </c>
      <c r="J361" t="n">
        <v>0</v>
      </c>
      <c r="K361" t="n">
        <v>0</v>
      </c>
      <c r="L361" t="n">
        <v>0</v>
      </c>
      <c r="M361" t="n">
        <v>0</v>
      </c>
      <c r="N361" t="n">
        <v>0</v>
      </c>
      <c r="O361" t="n">
        <v>0</v>
      </c>
      <c r="P361" t="n">
        <v>0</v>
      </c>
      <c r="Q361" t="n">
        <v>0</v>
      </c>
      <c r="R361" s="2" t="inlineStr"/>
    </row>
    <row r="362" ht="15" customHeight="1">
      <c r="A362" t="inlineStr">
        <is>
          <t>A 12901-2024</t>
        </is>
      </c>
      <c r="B362" s="1" t="n">
        <v>45385.37922453704</v>
      </c>
      <c r="C362" s="1" t="n">
        <v>46133</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8950-2025</t>
        </is>
      </c>
      <c r="B363" s="1" t="n">
        <v>45713</v>
      </c>
      <c r="C363" s="1" t="n">
        <v>46133</v>
      </c>
      <c r="D363" t="inlineStr">
        <is>
          <t>STOCKHOLMS LÄN</t>
        </is>
      </c>
      <c r="E363" t="inlineStr">
        <is>
          <t>NORRTÄLJE</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12301-2025</t>
        </is>
      </c>
      <c r="B364" s="1" t="n">
        <v>45729.7271875</v>
      </c>
      <c r="C364" s="1" t="n">
        <v>46133</v>
      </c>
      <c r="D364" t="inlineStr">
        <is>
          <t>STOCKHOLMS LÄN</t>
        </is>
      </c>
      <c r="E364" t="inlineStr">
        <is>
          <t>NORRTÄLJE</t>
        </is>
      </c>
      <c r="G364" t="n">
        <v>3.2</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46133</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24351-2025</t>
        </is>
      </c>
      <c r="B366" s="1" t="n">
        <v>45797.58399305555</v>
      </c>
      <c r="C366" s="1" t="n">
        <v>46133</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13283-2025</t>
        </is>
      </c>
      <c r="B367" s="1" t="n">
        <v>45735</v>
      </c>
      <c r="C367" s="1" t="n">
        <v>46133</v>
      </c>
      <c r="D367" t="inlineStr">
        <is>
          <t>STOCKHOLMS LÄN</t>
        </is>
      </c>
      <c r="E367" t="inlineStr">
        <is>
          <t>NORRTÄLJE</t>
        </is>
      </c>
      <c r="G367" t="n">
        <v>4.9</v>
      </c>
      <c r="H367" t="n">
        <v>0</v>
      </c>
      <c r="I367" t="n">
        <v>0</v>
      </c>
      <c r="J367" t="n">
        <v>0</v>
      </c>
      <c r="K367" t="n">
        <v>0</v>
      </c>
      <c r="L367" t="n">
        <v>0</v>
      </c>
      <c r="M367" t="n">
        <v>0</v>
      </c>
      <c r="N367" t="n">
        <v>0</v>
      </c>
      <c r="O367" t="n">
        <v>0</v>
      </c>
      <c r="P367" t="n">
        <v>0</v>
      </c>
      <c r="Q367" t="n">
        <v>0</v>
      </c>
      <c r="R367" s="2" t="inlineStr"/>
    </row>
    <row r="368" ht="15" customHeight="1">
      <c r="A368" t="inlineStr">
        <is>
          <t>A 39149-2025</t>
        </is>
      </c>
      <c r="B368" s="1" t="n">
        <v>45888.60714120371</v>
      </c>
      <c r="C368" s="1" t="n">
        <v>46133</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62708-2025</t>
        </is>
      </c>
      <c r="B369" s="1" t="n">
        <v>46008.50986111111</v>
      </c>
      <c r="C369" s="1" t="n">
        <v>46133</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24687-2025</t>
        </is>
      </c>
      <c r="B370" s="1" t="n">
        <v>45798.66767361111</v>
      </c>
      <c r="C370" s="1" t="n">
        <v>46133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39213-2022</t>
        </is>
      </c>
      <c r="B371" s="1" t="n">
        <v>44817.56120370371</v>
      </c>
      <c r="C371" s="1" t="n">
        <v>46133</v>
      </c>
      <c r="D371" t="inlineStr">
        <is>
          <t>STOCKHOLMS LÄN</t>
        </is>
      </c>
      <c r="E371" t="inlineStr">
        <is>
          <t>NORRTÄLJE</t>
        </is>
      </c>
      <c r="G371" t="n">
        <v>3.4</v>
      </c>
      <c r="H371" t="n">
        <v>0</v>
      </c>
      <c r="I371" t="n">
        <v>0</v>
      </c>
      <c r="J371" t="n">
        <v>0</v>
      </c>
      <c r="K371" t="n">
        <v>0</v>
      </c>
      <c r="L371" t="n">
        <v>0</v>
      </c>
      <c r="M371" t="n">
        <v>0</v>
      </c>
      <c r="N371" t="n">
        <v>0</v>
      </c>
      <c r="O371" t="n">
        <v>0</v>
      </c>
      <c r="P371" t="n">
        <v>0</v>
      </c>
      <c r="Q371" t="n">
        <v>0</v>
      </c>
      <c r="R371" s="2" t="inlineStr"/>
    </row>
    <row r="372" ht="15" customHeight="1">
      <c r="A372" t="inlineStr">
        <is>
          <t>A 34478-2025</t>
        </is>
      </c>
      <c r="B372" s="1" t="n">
        <v>45847</v>
      </c>
      <c r="C372" s="1" t="n">
        <v>46133</v>
      </c>
      <c r="D372" t="inlineStr">
        <is>
          <t>STOCKHOLMS LÄN</t>
        </is>
      </c>
      <c r="E372" t="inlineStr">
        <is>
          <t>NORRTÄLJE</t>
        </is>
      </c>
      <c r="F372" t="inlineStr">
        <is>
          <t>Övriga Aktiebolag</t>
        </is>
      </c>
      <c r="G372" t="n">
        <v>10.8</v>
      </c>
      <c r="H372" t="n">
        <v>0</v>
      </c>
      <c r="I372" t="n">
        <v>0</v>
      </c>
      <c r="J372" t="n">
        <v>0</v>
      </c>
      <c r="K372" t="n">
        <v>0</v>
      </c>
      <c r="L372" t="n">
        <v>0</v>
      </c>
      <c r="M372" t="n">
        <v>0</v>
      </c>
      <c r="N372" t="n">
        <v>0</v>
      </c>
      <c r="O372" t="n">
        <v>0</v>
      </c>
      <c r="P372" t="n">
        <v>0</v>
      </c>
      <c r="Q372" t="n">
        <v>0</v>
      </c>
      <c r="R372" s="2" t="inlineStr"/>
    </row>
    <row r="373" ht="15" customHeight="1">
      <c r="A373" t="inlineStr">
        <is>
          <t>A 41976-2024</t>
        </is>
      </c>
      <c r="B373" s="1" t="n">
        <v>45561.62141203704</v>
      </c>
      <c r="C373" s="1" t="n">
        <v>46133</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39692-2025</t>
        </is>
      </c>
      <c r="B374" s="1" t="n">
        <v>45890.68083333333</v>
      </c>
      <c r="C374" s="1" t="n">
        <v>46133</v>
      </c>
      <c r="D374" t="inlineStr">
        <is>
          <t>STOCKHOLMS LÄN</t>
        </is>
      </c>
      <c r="E374" t="inlineStr">
        <is>
          <t>NORRTÄLJE</t>
        </is>
      </c>
      <c r="G374" t="n">
        <v>10.5</v>
      </c>
      <c r="H374" t="n">
        <v>0</v>
      </c>
      <c r="I374" t="n">
        <v>0</v>
      </c>
      <c r="J374" t="n">
        <v>0</v>
      </c>
      <c r="K374" t="n">
        <v>0</v>
      </c>
      <c r="L374" t="n">
        <v>0</v>
      </c>
      <c r="M374" t="n">
        <v>0</v>
      </c>
      <c r="N374" t="n">
        <v>0</v>
      </c>
      <c r="O374" t="n">
        <v>0</v>
      </c>
      <c r="P374" t="n">
        <v>0</v>
      </c>
      <c r="Q374" t="n">
        <v>0</v>
      </c>
      <c r="R374" s="2" t="inlineStr"/>
    </row>
    <row r="375" ht="15" customHeight="1">
      <c r="A375" t="inlineStr">
        <is>
          <t>A 24638-2025</t>
        </is>
      </c>
      <c r="B375" s="1" t="n">
        <v>45798</v>
      </c>
      <c r="C375" s="1" t="n">
        <v>46133</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51325-2023</t>
        </is>
      </c>
      <c r="B376" s="1" t="n">
        <v>45219</v>
      </c>
      <c r="C376" s="1" t="n">
        <v>46133</v>
      </c>
      <c r="D376" t="inlineStr">
        <is>
          <t>STOCKHOLMS LÄN</t>
        </is>
      </c>
      <c r="E376" t="inlineStr">
        <is>
          <t>NORRTÄLJE</t>
        </is>
      </c>
      <c r="G376" t="n">
        <v>2.2</v>
      </c>
      <c r="H376" t="n">
        <v>0</v>
      </c>
      <c r="I376" t="n">
        <v>0</v>
      </c>
      <c r="J376" t="n">
        <v>0</v>
      </c>
      <c r="K376" t="n">
        <v>0</v>
      </c>
      <c r="L376" t="n">
        <v>0</v>
      </c>
      <c r="M376" t="n">
        <v>0</v>
      </c>
      <c r="N376" t="n">
        <v>0</v>
      </c>
      <c r="O376" t="n">
        <v>0</v>
      </c>
      <c r="P376" t="n">
        <v>0</v>
      </c>
      <c r="Q376" t="n">
        <v>0</v>
      </c>
      <c r="R376" s="2" t="inlineStr"/>
    </row>
    <row r="377" ht="15" customHeight="1">
      <c r="A377" t="inlineStr">
        <is>
          <t>A 59534-2024</t>
        </is>
      </c>
      <c r="B377" s="1" t="n">
        <v>45638.5987037037</v>
      </c>
      <c r="C377" s="1" t="n">
        <v>46133</v>
      </c>
      <c r="D377" t="inlineStr">
        <is>
          <t>STOCKHOLMS LÄN</t>
        </is>
      </c>
      <c r="E377" t="inlineStr">
        <is>
          <t>NORRTÄLJE</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31107-2022</t>
        </is>
      </c>
      <c r="B378" s="1" t="n">
        <v>44769.66864583334</v>
      </c>
      <c r="C378" s="1" t="n">
        <v>46133</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13860-2023</t>
        </is>
      </c>
      <c r="B379" s="1" t="n">
        <v>45007</v>
      </c>
      <c r="C379" s="1" t="n">
        <v>46133</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6855-2025</t>
        </is>
      </c>
      <c r="B380" s="1" t="n">
        <v>45700</v>
      </c>
      <c r="C380" s="1" t="n">
        <v>46133</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35639-2025</t>
        </is>
      </c>
      <c r="B381" s="1" t="n">
        <v>45859</v>
      </c>
      <c r="C381" s="1" t="n">
        <v>46133</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28603-2024</t>
        </is>
      </c>
      <c r="B382" s="1" t="n">
        <v>45478.42887731481</v>
      </c>
      <c r="C382" s="1" t="n">
        <v>46133</v>
      </c>
      <c r="D382" t="inlineStr">
        <is>
          <t>STOCKHOLMS LÄN</t>
        </is>
      </c>
      <c r="E382" t="inlineStr">
        <is>
          <t>NORRTÄLJE</t>
        </is>
      </c>
      <c r="G382" t="n">
        <v>5.6</v>
      </c>
      <c r="H382" t="n">
        <v>0</v>
      </c>
      <c r="I382" t="n">
        <v>0</v>
      </c>
      <c r="J382" t="n">
        <v>0</v>
      </c>
      <c r="K382" t="n">
        <v>0</v>
      </c>
      <c r="L382" t="n">
        <v>0</v>
      </c>
      <c r="M382" t="n">
        <v>0</v>
      </c>
      <c r="N382" t="n">
        <v>0</v>
      </c>
      <c r="O382" t="n">
        <v>0</v>
      </c>
      <c r="P382" t="n">
        <v>0</v>
      </c>
      <c r="Q382" t="n">
        <v>0</v>
      </c>
      <c r="R382" s="2" t="inlineStr"/>
    </row>
    <row r="383" ht="15" customHeight="1">
      <c r="A383" t="inlineStr">
        <is>
          <t>A 13314-2025</t>
        </is>
      </c>
      <c r="B383" s="1" t="n">
        <v>45735.59287037037</v>
      </c>
      <c r="C383" s="1" t="n">
        <v>46133</v>
      </c>
      <c r="D383" t="inlineStr">
        <is>
          <t>STOCKHOLMS LÄN</t>
        </is>
      </c>
      <c r="E383" t="inlineStr">
        <is>
          <t>NORRTÄLJE</t>
        </is>
      </c>
      <c r="G383" t="n">
        <v>2.4</v>
      </c>
      <c r="H383" t="n">
        <v>0</v>
      </c>
      <c r="I383" t="n">
        <v>0</v>
      </c>
      <c r="J383" t="n">
        <v>0</v>
      </c>
      <c r="K383" t="n">
        <v>0</v>
      </c>
      <c r="L383" t="n">
        <v>0</v>
      </c>
      <c r="M383" t="n">
        <v>0</v>
      </c>
      <c r="N383" t="n">
        <v>0</v>
      </c>
      <c r="O383" t="n">
        <v>0</v>
      </c>
      <c r="P383" t="n">
        <v>0</v>
      </c>
      <c r="Q383" t="n">
        <v>0</v>
      </c>
      <c r="R383" s="2" t="inlineStr"/>
    </row>
    <row r="384" ht="15" customHeight="1">
      <c r="A384" t="inlineStr">
        <is>
          <t>A 62681-2025</t>
        </is>
      </c>
      <c r="B384" s="1" t="n">
        <v>46008.45534722223</v>
      </c>
      <c r="C384" s="1" t="n">
        <v>46133</v>
      </c>
      <c r="D384" t="inlineStr">
        <is>
          <t>STOCKHOLMS LÄN</t>
        </is>
      </c>
      <c r="E384" t="inlineStr">
        <is>
          <t>NORRTÄLJE</t>
        </is>
      </c>
      <c r="G384" t="n">
        <v>2.4</v>
      </c>
      <c r="H384" t="n">
        <v>0</v>
      </c>
      <c r="I384" t="n">
        <v>0</v>
      </c>
      <c r="J384" t="n">
        <v>0</v>
      </c>
      <c r="K384" t="n">
        <v>0</v>
      </c>
      <c r="L384" t="n">
        <v>0</v>
      </c>
      <c r="M384" t="n">
        <v>0</v>
      </c>
      <c r="N384" t="n">
        <v>0</v>
      </c>
      <c r="O384" t="n">
        <v>0</v>
      </c>
      <c r="P384" t="n">
        <v>0</v>
      </c>
      <c r="Q384" t="n">
        <v>0</v>
      </c>
      <c r="R384" s="2" t="inlineStr"/>
    </row>
    <row r="385" ht="15" customHeight="1">
      <c r="A385" t="inlineStr">
        <is>
          <t>A 35636-2025</t>
        </is>
      </c>
      <c r="B385" s="1" t="n">
        <v>45859</v>
      </c>
      <c r="C385" s="1" t="n">
        <v>46133</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34432-2021</t>
        </is>
      </c>
      <c r="B386" s="1" t="n">
        <v>44380.77346064815</v>
      </c>
      <c r="C386" s="1" t="n">
        <v>46133</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62922-2025</t>
        </is>
      </c>
      <c r="B387" s="1" t="n">
        <v>46009.38064814815</v>
      </c>
      <c r="C387" s="1" t="n">
        <v>46133</v>
      </c>
      <c r="D387" t="inlineStr">
        <is>
          <t>STOCKHOLMS LÄN</t>
        </is>
      </c>
      <c r="E387" t="inlineStr">
        <is>
          <t>NORRTÄLJE</t>
        </is>
      </c>
      <c r="G387" t="n">
        <v>0.5</v>
      </c>
      <c r="H387" t="n">
        <v>0</v>
      </c>
      <c r="I387" t="n">
        <v>0</v>
      </c>
      <c r="J387" t="n">
        <v>0</v>
      </c>
      <c r="K387" t="n">
        <v>0</v>
      </c>
      <c r="L387" t="n">
        <v>0</v>
      </c>
      <c r="M387" t="n">
        <v>0</v>
      </c>
      <c r="N387" t="n">
        <v>0</v>
      </c>
      <c r="O387" t="n">
        <v>0</v>
      </c>
      <c r="P387" t="n">
        <v>0</v>
      </c>
      <c r="Q387" t="n">
        <v>0</v>
      </c>
      <c r="R387" s="2" t="inlineStr"/>
    </row>
    <row r="388" ht="15" customHeight="1">
      <c r="A388" t="inlineStr">
        <is>
          <t>A 24690-2025</t>
        </is>
      </c>
      <c r="B388" s="1" t="n">
        <v>45798.67082175926</v>
      </c>
      <c r="C388" s="1" t="n">
        <v>46133</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47259-2024</t>
        </is>
      </c>
      <c r="B389" s="1" t="n">
        <v>45586</v>
      </c>
      <c r="C389" s="1" t="n">
        <v>46133</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40172-2025</t>
        </is>
      </c>
      <c r="B390" s="1" t="n">
        <v>45894.6353125</v>
      </c>
      <c r="C390" s="1" t="n">
        <v>46133</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25702-2025</t>
        </is>
      </c>
      <c r="B391" s="1" t="n">
        <v>45800</v>
      </c>
      <c r="C391" s="1" t="n">
        <v>46133</v>
      </c>
      <c r="D391" t="inlineStr">
        <is>
          <t>STOCKHOLMS LÄN</t>
        </is>
      </c>
      <c r="E391" t="inlineStr">
        <is>
          <t>NORRTÄLJE</t>
        </is>
      </c>
      <c r="G391" t="n">
        <v>5.3</v>
      </c>
      <c r="H391" t="n">
        <v>0</v>
      </c>
      <c r="I391" t="n">
        <v>0</v>
      </c>
      <c r="J391" t="n">
        <v>0</v>
      </c>
      <c r="K391" t="n">
        <v>0</v>
      </c>
      <c r="L391" t="n">
        <v>0</v>
      </c>
      <c r="M391" t="n">
        <v>0</v>
      </c>
      <c r="N391" t="n">
        <v>0</v>
      </c>
      <c r="O391" t="n">
        <v>0</v>
      </c>
      <c r="P391" t="n">
        <v>0</v>
      </c>
      <c r="Q391" t="n">
        <v>0</v>
      </c>
      <c r="R391" s="2" t="inlineStr"/>
    </row>
    <row r="392" ht="15" customHeight="1">
      <c r="A392" t="inlineStr">
        <is>
          <t>A 40033-2025</t>
        </is>
      </c>
      <c r="B392" s="1" t="n">
        <v>45893</v>
      </c>
      <c r="C392" s="1" t="n">
        <v>46133</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40032-2025</t>
        </is>
      </c>
      <c r="B393" s="1" t="n">
        <v>45893</v>
      </c>
      <c r="C393" s="1" t="n">
        <v>46133</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40292-2025</t>
        </is>
      </c>
      <c r="B394" s="1" t="n">
        <v>45895.3867824074</v>
      </c>
      <c r="C394" s="1" t="n">
        <v>46133</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40294-2025</t>
        </is>
      </c>
      <c r="B395" s="1" t="n">
        <v>45895.38778935185</v>
      </c>
      <c r="C395" s="1" t="n">
        <v>46133</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25712-2025</t>
        </is>
      </c>
      <c r="B396" s="1" t="n">
        <v>45803.69228009259</v>
      </c>
      <c r="C396" s="1" t="n">
        <v>46133</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46133</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25733-2025</t>
        </is>
      </c>
      <c r="B398" s="1" t="n">
        <v>45800</v>
      </c>
      <c r="C398" s="1" t="n">
        <v>46133</v>
      </c>
      <c r="D398" t="inlineStr">
        <is>
          <t>STOCKHOLMS LÄN</t>
        </is>
      </c>
      <c r="E398" t="inlineStr">
        <is>
          <t>NORRTÄLJE</t>
        </is>
      </c>
      <c r="G398" t="n">
        <v>2.2</v>
      </c>
      <c r="H398" t="n">
        <v>0</v>
      </c>
      <c r="I398" t="n">
        <v>0</v>
      </c>
      <c r="J398" t="n">
        <v>0</v>
      </c>
      <c r="K398" t="n">
        <v>0</v>
      </c>
      <c r="L398" t="n">
        <v>0</v>
      </c>
      <c r="M398" t="n">
        <v>0</v>
      </c>
      <c r="N398" t="n">
        <v>0</v>
      </c>
      <c r="O398" t="n">
        <v>0</v>
      </c>
      <c r="P398" t="n">
        <v>0</v>
      </c>
      <c r="Q398" t="n">
        <v>0</v>
      </c>
      <c r="R398" s="2" t="inlineStr"/>
    </row>
    <row r="399" ht="15" customHeight="1">
      <c r="A399" t="inlineStr">
        <is>
          <t>A 39238-2024</t>
        </is>
      </c>
      <c r="B399" s="1" t="n">
        <v>45549</v>
      </c>
      <c r="C399" s="1" t="n">
        <v>46133</v>
      </c>
      <c r="D399" t="inlineStr">
        <is>
          <t>STOCKHOLMS LÄN</t>
        </is>
      </c>
      <c r="E399" t="inlineStr">
        <is>
          <t>NORRTÄLJE</t>
        </is>
      </c>
      <c r="G399" t="n">
        <v>3.6</v>
      </c>
      <c r="H399" t="n">
        <v>0</v>
      </c>
      <c r="I399" t="n">
        <v>0</v>
      </c>
      <c r="J399" t="n">
        <v>0</v>
      </c>
      <c r="K399" t="n">
        <v>0</v>
      </c>
      <c r="L399" t="n">
        <v>0</v>
      </c>
      <c r="M399" t="n">
        <v>0</v>
      </c>
      <c r="N399" t="n">
        <v>0</v>
      </c>
      <c r="O399" t="n">
        <v>0</v>
      </c>
      <c r="P399" t="n">
        <v>0</v>
      </c>
      <c r="Q399" t="n">
        <v>0</v>
      </c>
      <c r="R399" s="2" t="inlineStr"/>
    </row>
    <row r="400" ht="15" customHeight="1">
      <c r="A400" t="inlineStr">
        <is>
          <t>A 25571-2025</t>
        </is>
      </c>
      <c r="B400" s="1" t="n">
        <v>45803.4675</v>
      </c>
      <c r="C400" s="1" t="n">
        <v>46133</v>
      </c>
      <c r="D400" t="inlineStr">
        <is>
          <t>STOCKHOLMS LÄN</t>
        </is>
      </c>
      <c r="E400" t="inlineStr">
        <is>
          <t>NORRTÄLJE</t>
        </is>
      </c>
      <c r="G400" t="n">
        <v>5.4</v>
      </c>
      <c r="H400" t="n">
        <v>0</v>
      </c>
      <c r="I400" t="n">
        <v>0</v>
      </c>
      <c r="J400" t="n">
        <v>0</v>
      </c>
      <c r="K400" t="n">
        <v>0</v>
      </c>
      <c r="L400" t="n">
        <v>0</v>
      </c>
      <c r="M400" t="n">
        <v>0</v>
      </c>
      <c r="N400" t="n">
        <v>0</v>
      </c>
      <c r="O400" t="n">
        <v>0</v>
      </c>
      <c r="P400" t="n">
        <v>0</v>
      </c>
      <c r="Q400" t="n">
        <v>0</v>
      </c>
      <c r="R400" s="2" t="inlineStr"/>
    </row>
    <row r="401" ht="15" customHeight="1">
      <c r="A401" t="inlineStr">
        <is>
          <t>A 25721-2025</t>
        </is>
      </c>
      <c r="B401" s="1" t="n">
        <v>45800</v>
      </c>
      <c r="C401" s="1" t="n">
        <v>46133</v>
      </c>
      <c r="D401" t="inlineStr">
        <is>
          <t>STOCKHOLMS LÄN</t>
        </is>
      </c>
      <c r="E401" t="inlineStr">
        <is>
          <t>NORRTÄLJE</t>
        </is>
      </c>
      <c r="G401" t="n">
        <v>6</v>
      </c>
      <c r="H401" t="n">
        <v>0</v>
      </c>
      <c r="I401" t="n">
        <v>0</v>
      </c>
      <c r="J401" t="n">
        <v>0</v>
      </c>
      <c r="K401" t="n">
        <v>0</v>
      </c>
      <c r="L401" t="n">
        <v>0</v>
      </c>
      <c r="M401" t="n">
        <v>0</v>
      </c>
      <c r="N401" t="n">
        <v>0</v>
      </c>
      <c r="O401" t="n">
        <v>0</v>
      </c>
      <c r="P401" t="n">
        <v>0</v>
      </c>
      <c r="Q401" t="n">
        <v>0</v>
      </c>
      <c r="R401" s="2" t="inlineStr"/>
    </row>
    <row r="402" ht="15" customHeight="1">
      <c r="A402" t="inlineStr">
        <is>
          <t>A 25697-2025</t>
        </is>
      </c>
      <c r="B402" s="1" t="n">
        <v>45803.66587962963</v>
      </c>
      <c r="C402" s="1" t="n">
        <v>46133</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46133</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23149-2024</t>
        </is>
      </c>
      <c r="B404" s="1" t="n">
        <v>45450.64208333333</v>
      </c>
      <c r="C404" s="1" t="n">
        <v>46133</v>
      </c>
      <c r="D404" t="inlineStr">
        <is>
          <t>STOCKHOLMS LÄN</t>
        </is>
      </c>
      <c r="E404" t="inlineStr">
        <is>
          <t>NORRTÄLJE</t>
        </is>
      </c>
      <c r="F404" t="inlineStr">
        <is>
          <t>Kommuner</t>
        </is>
      </c>
      <c r="G404" t="n">
        <v>1.3</v>
      </c>
      <c r="H404" t="n">
        <v>0</v>
      </c>
      <c r="I404" t="n">
        <v>0</v>
      </c>
      <c r="J404" t="n">
        <v>0</v>
      </c>
      <c r="K404" t="n">
        <v>0</v>
      </c>
      <c r="L404" t="n">
        <v>0</v>
      </c>
      <c r="M404" t="n">
        <v>0</v>
      </c>
      <c r="N404" t="n">
        <v>0</v>
      </c>
      <c r="O404" t="n">
        <v>0</v>
      </c>
      <c r="P404" t="n">
        <v>0</v>
      </c>
      <c r="Q404" t="n">
        <v>0</v>
      </c>
      <c r="R404" s="2" t="inlineStr"/>
    </row>
    <row r="405" ht="15" customHeight="1">
      <c r="A405" t="inlineStr">
        <is>
          <t>A 23151-2024</t>
        </is>
      </c>
      <c r="B405" s="1" t="n">
        <v>45450</v>
      </c>
      <c r="C405" s="1" t="n">
        <v>46133</v>
      </c>
      <c r="D405" t="inlineStr">
        <is>
          <t>STOCKHOLMS LÄN</t>
        </is>
      </c>
      <c r="E405" t="inlineStr">
        <is>
          <t>NORRTÄLJE</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40230-2025</t>
        </is>
      </c>
      <c r="B406" s="1" t="n">
        <v>45894.71101851852</v>
      </c>
      <c r="C406" s="1" t="n">
        <v>46133</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40217-2025</t>
        </is>
      </c>
      <c r="B407" s="1" t="n">
        <v>45894.68864583333</v>
      </c>
      <c r="C407" s="1" t="n">
        <v>46133</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52001-2023</t>
        </is>
      </c>
      <c r="B408" s="1" t="n">
        <v>45223</v>
      </c>
      <c r="C408" s="1" t="n">
        <v>46133</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38449-2022</t>
        </is>
      </c>
      <c r="B409" s="1" t="n">
        <v>44813</v>
      </c>
      <c r="C409" s="1" t="n">
        <v>46133</v>
      </c>
      <c r="D409" t="inlineStr">
        <is>
          <t>STOCKHOLMS LÄN</t>
        </is>
      </c>
      <c r="E409" t="inlineStr">
        <is>
          <t>NORRTÄLJE</t>
        </is>
      </c>
      <c r="G409" t="n">
        <v>4.2</v>
      </c>
      <c r="H409" t="n">
        <v>0</v>
      </c>
      <c r="I409" t="n">
        <v>0</v>
      </c>
      <c r="J409" t="n">
        <v>0</v>
      </c>
      <c r="K409" t="n">
        <v>0</v>
      </c>
      <c r="L409" t="n">
        <v>0</v>
      </c>
      <c r="M409" t="n">
        <v>0</v>
      </c>
      <c r="N409" t="n">
        <v>0</v>
      </c>
      <c r="O409" t="n">
        <v>0</v>
      </c>
      <c r="P409" t="n">
        <v>0</v>
      </c>
      <c r="Q409" t="n">
        <v>0</v>
      </c>
      <c r="R409" s="2" t="inlineStr"/>
    </row>
    <row r="410" ht="15" customHeight="1">
      <c r="A410" t="inlineStr">
        <is>
          <t>A 62689-2025</t>
        </is>
      </c>
      <c r="B410" s="1" t="n">
        <v>46008.47171296296</v>
      </c>
      <c r="C410" s="1" t="n">
        <v>46133</v>
      </c>
      <c r="D410" t="inlineStr">
        <is>
          <t>STOCKHOLMS LÄN</t>
        </is>
      </c>
      <c r="E410" t="inlineStr">
        <is>
          <t>NORRTÄLJE</t>
        </is>
      </c>
      <c r="F410" t="inlineStr">
        <is>
          <t>Kyrkan</t>
        </is>
      </c>
      <c r="G410" t="n">
        <v>0.7</v>
      </c>
      <c r="H410" t="n">
        <v>0</v>
      </c>
      <c r="I410" t="n">
        <v>0</v>
      </c>
      <c r="J410" t="n">
        <v>0</v>
      </c>
      <c r="K410" t="n">
        <v>0</v>
      </c>
      <c r="L410" t="n">
        <v>0</v>
      </c>
      <c r="M410" t="n">
        <v>0</v>
      </c>
      <c r="N410" t="n">
        <v>0</v>
      </c>
      <c r="O410" t="n">
        <v>0</v>
      </c>
      <c r="P410" t="n">
        <v>0</v>
      </c>
      <c r="Q410" t="n">
        <v>0</v>
      </c>
      <c r="R410" s="2" t="inlineStr"/>
    </row>
    <row r="411" ht="15" customHeight="1">
      <c r="A411" t="inlineStr">
        <is>
          <t>A 40097-2025</t>
        </is>
      </c>
      <c r="B411" s="1" t="n">
        <v>45894.48322916667</v>
      </c>
      <c r="C411" s="1" t="n">
        <v>46133</v>
      </c>
      <c r="D411" t="inlineStr">
        <is>
          <t>STOCKHOLMS LÄN</t>
        </is>
      </c>
      <c r="E411" t="inlineStr">
        <is>
          <t>NORRTÄLJE</t>
        </is>
      </c>
      <c r="G411" t="n">
        <v>3</v>
      </c>
      <c r="H411" t="n">
        <v>0</v>
      </c>
      <c r="I411" t="n">
        <v>0</v>
      </c>
      <c r="J411" t="n">
        <v>0</v>
      </c>
      <c r="K411" t="n">
        <v>0</v>
      </c>
      <c r="L411" t="n">
        <v>0</v>
      </c>
      <c r="M411" t="n">
        <v>0</v>
      </c>
      <c r="N411" t="n">
        <v>0</v>
      </c>
      <c r="O411" t="n">
        <v>0</v>
      </c>
      <c r="P411" t="n">
        <v>0</v>
      </c>
      <c r="Q411" t="n">
        <v>0</v>
      </c>
      <c r="R411" s="2" t="inlineStr"/>
    </row>
    <row r="412" ht="15" customHeight="1">
      <c r="A412" t="inlineStr">
        <is>
          <t>A 60185-2024</t>
        </is>
      </c>
      <c r="B412" s="1" t="n">
        <v>45642.64634259259</v>
      </c>
      <c r="C412" s="1" t="n">
        <v>46133</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48686-2023</t>
        </is>
      </c>
      <c r="B413" s="1" t="n">
        <v>45208</v>
      </c>
      <c r="C413" s="1" t="n">
        <v>46133</v>
      </c>
      <c r="D413" t="inlineStr">
        <is>
          <t>STOCKHOLMS LÄN</t>
        </is>
      </c>
      <c r="E413" t="inlineStr">
        <is>
          <t>NORRTÄLJE</t>
        </is>
      </c>
      <c r="G413" t="n">
        <v>6</v>
      </c>
      <c r="H413" t="n">
        <v>0</v>
      </c>
      <c r="I413" t="n">
        <v>0</v>
      </c>
      <c r="J413" t="n">
        <v>0</v>
      </c>
      <c r="K413" t="n">
        <v>0</v>
      </c>
      <c r="L413" t="n">
        <v>0</v>
      </c>
      <c r="M413" t="n">
        <v>0</v>
      </c>
      <c r="N413" t="n">
        <v>0</v>
      </c>
      <c r="O413" t="n">
        <v>0</v>
      </c>
      <c r="P413" t="n">
        <v>0</v>
      </c>
      <c r="Q413" t="n">
        <v>0</v>
      </c>
      <c r="R413" s="2" t="inlineStr"/>
    </row>
    <row r="414" ht="15" customHeight="1">
      <c r="A414" t="inlineStr">
        <is>
          <t>A 48691-2023</t>
        </is>
      </c>
      <c r="B414" s="1" t="n">
        <v>45208</v>
      </c>
      <c r="C414" s="1" t="n">
        <v>46133</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40829-2025</t>
        </is>
      </c>
      <c r="B415" s="1" t="n">
        <v>45897.50802083333</v>
      </c>
      <c r="C415" s="1" t="n">
        <v>46133</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40837-2025</t>
        </is>
      </c>
      <c r="B416" s="1" t="n">
        <v>45897.51328703704</v>
      </c>
      <c r="C416" s="1" t="n">
        <v>46133</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40529-2025</t>
        </is>
      </c>
      <c r="B417" s="1" t="n">
        <v>45896.38466435186</v>
      </c>
      <c r="C417" s="1" t="n">
        <v>46133</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40831-2025</t>
        </is>
      </c>
      <c r="B418" s="1" t="n">
        <v>45897.51077546296</v>
      </c>
      <c r="C418" s="1" t="n">
        <v>46133</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53561-2023</t>
        </is>
      </c>
      <c r="B419" s="1" t="n">
        <v>45224</v>
      </c>
      <c r="C419" s="1" t="n">
        <v>46133</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21726-2022</t>
        </is>
      </c>
      <c r="B420" s="1" t="n">
        <v>44708</v>
      </c>
      <c r="C420" s="1" t="n">
        <v>46133</v>
      </c>
      <c r="D420" t="inlineStr">
        <is>
          <t>STOCKHOLMS LÄN</t>
        </is>
      </c>
      <c r="E420" t="inlineStr">
        <is>
          <t>NORRTÄLJE</t>
        </is>
      </c>
      <c r="G420" t="n">
        <v>0.2</v>
      </c>
      <c r="H420" t="n">
        <v>0</v>
      </c>
      <c r="I420" t="n">
        <v>0</v>
      </c>
      <c r="J420" t="n">
        <v>0</v>
      </c>
      <c r="K420" t="n">
        <v>0</v>
      </c>
      <c r="L420" t="n">
        <v>0</v>
      </c>
      <c r="M420" t="n">
        <v>0</v>
      </c>
      <c r="N420" t="n">
        <v>0</v>
      </c>
      <c r="O420" t="n">
        <v>0</v>
      </c>
      <c r="P420" t="n">
        <v>0</v>
      </c>
      <c r="Q420" t="n">
        <v>0</v>
      </c>
      <c r="R420" s="2" t="inlineStr"/>
    </row>
    <row r="421" ht="15" customHeight="1">
      <c r="A421" t="inlineStr">
        <is>
          <t>A 21739-2022</t>
        </is>
      </c>
      <c r="B421" s="1" t="n">
        <v>44708.36708333333</v>
      </c>
      <c r="C421" s="1" t="n">
        <v>46133</v>
      </c>
      <c r="D421" t="inlineStr">
        <is>
          <t>STOCKHOLMS LÄN</t>
        </is>
      </c>
      <c r="E421" t="inlineStr">
        <is>
          <t>NORRTÄLJE</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35210-2023</t>
        </is>
      </c>
      <c r="B422" s="1" t="n">
        <v>45145.63584490741</v>
      </c>
      <c r="C422" s="1" t="n">
        <v>46133</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59767-2022</t>
        </is>
      </c>
      <c r="B423" s="1" t="n">
        <v>44900</v>
      </c>
      <c r="C423" s="1" t="n">
        <v>46133</v>
      </c>
      <c r="D423" t="inlineStr">
        <is>
          <t>STOCKHOLMS LÄN</t>
        </is>
      </c>
      <c r="E423" t="inlineStr">
        <is>
          <t>NORRTÄLJE</t>
        </is>
      </c>
      <c r="G423" t="n">
        <v>2.2</v>
      </c>
      <c r="H423" t="n">
        <v>0</v>
      </c>
      <c r="I423" t="n">
        <v>0</v>
      </c>
      <c r="J423" t="n">
        <v>0</v>
      </c>
      <c r="K423" t="n">
        <v>0</v>
      </c>
      <c r="L423" t="n">
        <v>0</v>
      </c>
      <c r="M423" t="n">
        <v>0</v>
      </c>
      <c r="N423" t="n">
        <v>0</v>
      </c>
      <c r="O423" t="n">
        <v>0</v>
      </c>
      <c r="P423" t="n">
        <v>0</v>
      </c>
      <c r="Q423" t="n">
        <v>0</v>
      </c>
      <c r="R423" s="2" t="inlineStr"/>
    </row>
    <row r="424" ht="15" customHeight="1">
      <c r="A424" t="inlineStr">
        <is>
          <t>A 26051-2025</t>
        </is>
      </c>
      <c r="B424" s="1" t="n">
        <v>45804.74479166666</v>
      </c>
      <c r="C424" s="1" t="n">
        <v>46133</v>
      </c>
      <c r="D424" t="inlineStr">
        <is>
          <t>STOCKHOLMS LÄN</t>
        </is>
      </c>
      <c r="E424" t="inlineStr">
        <is>
          <t>NORRTÄLJE</t>
        </is>
      </c>
      <c r="G424" t="n">
        <v>3.2</v>
      </c>
      <c r="H424" t="n">
        <v>0</v>
      </c>
      <c r="I424" t="n">
        <v>0</v>
      </c>
      <c r="J424" t="n">
        <v>0</v>
      </c>
      <c r="K424" t="n">
        <v>0</v>
      </c>
      <c r="L424" t="n">
        <v>0</v>
      </c>
      <c r="M424" t="n">
        <v>0</v>
      </c>
      <c r="N424" t="n">
        <v>0</v>
      </c>
      <c r="O424" t="n">
        <v>0</v>
      </c>
      <c r="P424" t="n">
        <v>0</v>
      </c>
      <c r="Q424" t="n">
        <v>0</v>
      </c>
      <c r="R424" s="2" t="inlineStr"/>
    </row>
    <row r="425" ht="15" customHeight="1">
      <c r="A425" t="inlineStr">
        <is>
          <t>A 5823-2023</t>
        </is>
      </c>
      <c r="B425" s="1" t="n">
        <v>44963</v>
      </c>
      <c r="C425" s="1" t="n">
        <v>46133</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19915-2024</t>
        </is>
      </c>
      <c r="B426" s="1" t="n">
        <v>45433.58431712963</v>
      </c>
      <c r="C426" s="1" t="n">
        <v>46133</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15217-2023</t>
        </is>
      </c>
      <c r="B427" s="1" t="n">
        <v>45019.28847222222</v>
      </c>
      <c r="C427" s="1" t="n">
        <v>46133</v>
      </c>
      <c r="D427" t="inlineStr">
        <is>
          <t>STOCKHOLMS LÄN</t>
        </is>
      </c>
      <c r="E427" t="inlineStr">
        <is>
          <t>NORRTÄLJE</t>
        </is>
      </c>
      <c r="G427" t="n">
        <v>3.6</v>
      </c>
      <c r="H427" t="n">
        <v>0</v>
      </c>
      <c r="I427" t="n">
        <v>0</v>
      </c>
      <c r="J427" t="n">
        <v>0</v>
      </c>
      <c r="K427" t="n">
        <v>0</v>
      </c>
      <c r="L427" t="n">
        <v>0</v>
      </c>
      <c r="M427" t="n">
        <v>0</v>
      </c>
      <c r="N427" t="n">
        <v>0</v>
      </c>
      <c r="O427" t="n">
        <v>0</v>
      </c>
      <c r="P427" t="n">
        <v>0</v>
      </c>
      <c r="Q427" t="n">
        <v>0</v>
      </c>
      <c r="R427" s="2" t="inlineStr"/>
    </row>
    <row r="428" ht="15" customHeight="1">
      <c r="A428" t="inlineStr">
        <is>
          <t>A 41158-2025</t>
        </is>
      </c>
      <c r="B428" s="1" t="n">
        <v>45898.5315625</v>
      </c>
      <c r="C428" s="1" t="n">
        <v>46133</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15733-2025</t>
        </is>
      </c>
      <c r="B429" s="1" t="n">
        <v>45748</v>
      </c>
      <c r="C429" s="1" t="n">
        <v>46133</v>
      </c>
      <c r="D429" t="inlineStr">
        <is>
          <t>STOCKHOLMS LÄN</t>
        </is>
      </c>
      <c r="E429" t="inlineStr">
        <is>
          <t>NORRTÄLJE</t>
        </is>
      </c>
      <c r="G429" t="n">
        <v>13.3</v>
      </c>
      <c r="H429" t="n">
        <v>0</v>
      </c>
      <c r="I429" t="n">
        <v>0</v>
      </c>
      <c r="J429" t="n">
        <v>0</v>
      </c>
      <c r="K429" t="n">
        <v>0</v>
      </c>
      <c r="L429" t="n">
        <v>0</v>
      </c>
      <c r="M429" t="n">
        <v>0</v>
      </c>
      <c r="N429" t="n">
        <v>0</v>
      </c>
      <c r="O429" t="n">
        <v>0</v>
      </c>
      <c r="P429" t="n">
        <v>0</v>
      </c>
      <c r="Q429" t="n">
        <v>0</v>
      </c>
      <c r="R429" s="2" t="inlineStr"/>
    </row>
    <row r="430" ht="15" customHeight="1">
      <c r="A430" t="inlineStr">
        <is>
          <t>A 50143-2023</t>
        </is>
      </c>
      <c r="B430" s="1" t="n">
        <v>45215</v>
      </c>
      <c r="C430" s="1" t="n">
        <v>46133</v>
      </c>
      <c r="D430" t="inlineStr">
        <is>
          <t>STOCKHOLMS LÄN</t>
        </is>
      </c>
      <c r="E430" t="inlineStr">
        <is>
          <t>NORRTÄLJE</t>
        </is>
      </c>
      <c r="G430" t="n">
        <v>10.3</v>
      </c>
      <c r="H430" t="n">
        <v>0</v>
      </c>
      <c r="I430" t="n">
        <v>0</v>
      </c>
      <c r="J430" t="n">
        <v>0</v>
      </c>
      <c r="K430" t="n">
        <v>0</v>
      </c>
      <c r="L430" t="n">
        <v>0</v>
      </c>
      <c r="M430" t="n">
        <v>0</v>
      </c>
      <c r="N430" t="n">
        <v>0</v>
      </c>
      <c r="O430" t="n">
        <v>0</v>
      </c>
      <c r="P430" t="n">
        <v>0</v>
      </c>
      <c r="Q430" t="n">
        <v>0</v>
      </c>
      <c r="R430" s="2" t="inlineStr"/>
    </row>
    <row r="431" ht="15" customHeight="1">
      <c r="A431" t="inlineStr">
        <is>
          <t>A 29176-2024</t>
        </is>
      </c>
      <c r="B431" s="1" t="n">
        <v>45482.53388888889</v>
      </c>
      <c r="C431" s="1" t="n">
        <v>46133</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19058-2024</t>
        </is>
      </c>
      <c r="B432" s="1" t="n">
        <v>45427.89121527778</v>
      </c>
      <c r="C432" s="1" t="n">
        <v>46133</v>
      </c>
      <c r="D432" t="inlineStr">
        <is>
          <t>STOCKHOLMS LÄN</t>
        </is>
      </c>
      <c r="E432" t="inlineStr">
        <is>
          <t>NORRTÄLJE</t>
        </is>
      </c>
      <c r="G432" t="n">
        <v>1.2</v>
      </c>
      <c r="H432" t="n">
        <v>0</v>
      </c>
      <c r="I432" t="n">
        <v>0</v>
      </c>
      <c r="J432" t="n">
        <v>0</v>
      </c>
      <c r="K432" t="n">
        <v>0</v>
      </c>
      <c r="L432" t="n">
        <v>0</v>
      </c>
      <c r="M432" t="n">
        <v>0</v>
      </c>
      <c r="N432" t="n">
        <v>0</v>
      </c>
      <c r="O432" t="n">
        <v>0</v>
      </c>
      <c r="P432" t="n">
        <v>0</v>
      </c>
      <c r="Q432" t="n">
        <v>0</v>
      </c>
      <c r="R432" s="2" t="inlineStr"/>
    </row>
    <row r="433" ht="15" customHeight="1">
      <c r="A433" t="inlineStr">
        <is>
          <t>A 36430-2024</t>
        </is>
      </c>
      <c r="B433" s="1" t="n">
        <v>45536</v>
      </c>
      <c r="C433" s="1" t="n">
        <v>46133</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41053-2025</t>
        </is>
      </c>
      <c r="B434" s="1" t="n">
        <v>45898.40480324074</v>
      </c>
      <c r="C434" s="1" t="n">
        <v>46133</v>
      </c>
      <c r="D434" t="inlineStr">
        <is>
          <t>STOCKHOLMS LÄN</t>
        </is>
      </c>
      <c r="E434" t="inlineStr">
        <is>
          <t>NORRTÄLJE</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41275-2025</t>
        </is>
      </c>
      <c r="B435" s="1" t="n">
        <v>45898.62625</v>
      </c>
      <c r="C435" s="1" t="n">
        <v>46133</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41272-2025</t>
        </is>
      </c>
      <c r="B436" s="1" t="n">
        <v>45898.62373842593</v>
      </c>
      <c r="C436" s="1" t="n">
        <v>46133</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51312-2023</t>
        </is>
      </c>
      <c r="B437" s="1" t="n">
        <v>45219.56697916667</v>
      </c>
      <c r="C437" s="1" t="n">
        <v>46133</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35640-2024</t>
        </is>
      </c>
      <c r="B438" s="1" t="n">
        <v>45531</v>
      </c>
      <c r="C438" s="1" t="n">
        <v>46133</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26708-2025</t>
        </is>
      </c>
      <c r="B439" s="1" t="n">
        <v>45810.45633101852</v>
      </c>
      <c r="C439" s="1" t="n">
        <v>46133</v>
      </c>
      <c r="D439" t="inlineStr">
        <is>
          <t>STOCKHOLMS LÄN</t>
        </is>
      </c>
      <c r="E439" t="inlineStr">
        <is>
          <t>NORRTÄLJE</t>
        </is>
      </c>
      <c r="G439" t="n">
        <v>1.4</v>
      </c>
      <c r="H439" t="n">
        <v>0</v>
      </c>
      <c r="I439" t="n">
        <v>0</v>
      </c>
      <c r="J439" t="n">
        <v>0</v>
      </c>
      <c r="K439" t="n">
        <v>0</v>
      </c>
      <c r="L439" t="n">
        <v>0</v>
      </c>
      <c r="M439" t="n">
        <v>0</v>
      </c>
      <c r="N439" t="n">
        <v>0</v>
      </c>
      <c r="O439" t="n">
        <v>0</v>
      </c>
      <c r="P439" t="n">
        <v>0</v>
      </c>
      <c r="Q439" t="n">
        <v>0</v>
      </c>
      <c r="R439" s="2" t="inlineStr"/>
    </row>
    <row r="440" ht="15" customHeight="1">
      <c r="A440" t="inlineStr">
        <is>
          <t>A 41301-2025</t>
        </is>
      </c>
      <c r="B440" s="1" t="n">
        <v>45898.68826388889</v>
      </c>
      <c r="C440" s="1" t="n">
        <v>46133</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26702-2025</t>
        </is>
      </c>
      <c r="B441" s="1" t="n">
        <v>45810.45236111111</v>
      </c>
      <c r="C441" s="1" t="n">
        <v>46133</v>
      </c>
      <c r="D441" t="inlineStr">
        <is>
          <t>STOCKHOLMS LÄN</t>
        </is>
      </c>
      <c r="E441" t="inlineStr">
        <is>
          <t>NORRTÄLJE</t>
        </is>
      </c>
      <c r="G441" t="n">
        <v>7.3</v>
      </c>
      <c r="H441" t="n">
        <v>0</v>
      </c>
      <c r="I441" t="n">
        <v>0</v>
      </c>
      <c r="J441" t="n">
        <v>0</v>
      </c>
      <c r="K441" t="n">
        <v>0</v>
      </c>
      <c r="L441" t="n">
        <v>0</v>
      </c>
      <c r="M441" t="n">
        <v>0</v>
      </c>
      <c r="N441" t="n">
        <v>0</v>
      </c>
      <c r="O441" t="n">
        <v>0</v>
      </c>
      <c r="P441" t="n">
        <v>0</v>
      </c>
      <c r="Q441" t="n">
        <v>0</v>
      </c>
      <c r="R441" s="2" t="inlineStr"/>
    </row>
    <row r="442" ht="15" customHeight="1">
      <c r="A442" t="inlineStr">
        <is>
          <t>A 43212-2022</t>
        </is>
      </c>
      <c r="B442" s="1" t="n">
        <v>44834.38636574074</v>
      </c>
      <c r="C442" s="1" t="n">
        <v>46133</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51653-2022</t>
        </is>
      </c>
      <c r="B443" s="1" t="n">
        <v>44867</v>
      </c>
      <c r="C443" s="1" t="n">
        <v>46133</v>
      </c>
      <c r="D443" t="inlineStr">
        <is>
          <t>STOCKHOLMS LÄN</t>
        </is>
      </c>
      <c r="E443" t="inlineStr">
        <is>
          <t>NORRTÄLJE</t>
        </is>
      </c>
      <c r="G443" t="n">
        <v>6.6</v>
      </c>
      <c r="H443" t="n">
        <v>0</v>
      </c>
      <c r="I443" t="n">
        <v>0</v>
      </c>
      <c r="J443" t="n">
        <v>0</v>
      </c>
      <c r="K443" t="n">
        <v>0</v>
      </c>
      <c r="L443" t="n">
        <v>0</v>
      </c>
      <c r="M443" t="n">
        <v>0</v>
      </c>
      <c r="N443" t="n">
        <v>0</v>
      </c>
      <c r="O443" t="n">
        <v>0</v>
      </c>
      <c r="P443" t="n">
        <v>0</v>
      </c>
      <c r="Q443" t="n">
        <v>0</v>
      </c>
      <c r="R443" s="2" t="inlineStr"/>
    </row>
    <row r="444" ht="15" customHeight="1">
      <c r="A444" t="inlineStr">
        <is>
          <t>A 23061-2025</t>
        </is>
      </c>
      <c r="B444" s="1" t="n">
        <v>45790.81410879629</v>
      </c>
      <c r="C444" s="1" t="n">
        <v>46133</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41174-2025</t>
        </is>
      </c>
      <c r="B445" s="1" t="n">
        <v>45898.54921296296</v>
      </c>
      <c r="C445" s="1" t="n">
        <v>46133</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46133</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27040-2025</t>
        </is>
      </c>
      <c r="B447" s="1" t="n">
        <v>45811.60451388889</v>
      </c>
      <c r="C447" s="1" t="n">
        <v>46133</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4322-2023</t>
        </is>
      </c>
      <c r="B448" s="1" t="n">
        <v>44953.69298611111</v>
      </c>
      <c r="C448" s="1" t="n">
        <v>46133</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26747-2025</t>
        </is>
      </c>
      <c r="B449" s="1" t="n">
        <v>45810.5333912037</v>
      </c>
      <c r="C449" s="1" t="n">
        <v>46133</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41036-2025</t>
        </is>
      </c>
      <c r="B450" s="1" t="n">
        <v>45898.38552083333</v>
      </c>
      <c r="C450" s="1" t="n">
        <v>46133</v>
      </c>
      <c r="D450" t="inlineStr">
        <is>
          <t>STOCKHOLMS LÄN</t>
        </is>
      </c>
      <c r="E450" t="inlineStr">
        <is>
          <t>NORRTÄLJE</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41106-2025</t>
        </is>
      </c>
      <c r="B451" s="1" t="n">
        <v>45898.45636574074</v>
      </c>
      <c r="C451" s="1" t="n">
        <v>46133</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41110-2025</t>
        </is>
      </c>
      <c r="B452" s="1" t="n">
        <v>45898.45976851852</v>
      </c>
      <c r="C452" s="1" t="n">
        <v>46133</v>
      </c>
      <c r="D452" t="inlineStr">
        <is>
          <t>STOCKHOLMS LÄN</t>
        </is>
      </c>
      <c r="E452" t="inlineStr">
        <is>
          <t>NORRTÄLJE</t>
        </is>
      </c>
      <c r="F452" t="inlineStr">
        <is>
          <t>Holmen skog AB</t>
        </is>
      </c>
      <c r="G452" t="n">
        <v>6.7</v>
      </c>
      <c r="H452" t="n">
        <v>0</v>
      </c>
      <c r="I452" t="n">
        <v>0</v>
      </c>
      <c r="J452" t="n">
        <v>0</v>
      </c>
      <c r="K452" t="n">
        <v>0</v>
      </c>
      <c r="L452" t="n">
        <v>0</v>
      </c>
      <c r="M452" t="n">
        <v>0</v>
      </c>
      <c r="N452" t="n">
        <v>0</v>
      </c>
      <c r="O452" t="n">
        <v>0</v>
      </c>
      <c r="P452" t="n">
        <v>0</v>
      </c>
      <c r="Q452" t="n">
        <v>0</v>
      </c>
      <c r="R452" s="2" t="inlineStr"/>
    </row>
    <row r="453" ht="15" customHeight="1">
      <c r="A453" t="inlineStr">
        <is>
          <t>A 41259-2025</t>
        </is>
      </c>
      <c r="B453" s="1" t="n">
        <v>45898.61054398148</v>
      </c>
      <c r="C453" s="1" t="n">
        <v>46133</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46133</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26675-2025</t>
        </is>
      </c>
      <c r="B455" s="1" t="n">
        <v>45810.42393518519</v>
      </c>
      <c r="C455" s="1" t="n">
        <v>46133</v>
      </c>
      <c r="D455" t="inlineStr">
        <is>
          <t>STOCKHOLMS LÄN</t>
        </is>
      </c>
      <c r="E455" t="inlineStr">
        <is>
          <t>NORRTÄLJE</t>
        </is>
      </c>
      <c r="G455" t="n">
        <v>2.7</v>
      </c>
      <c r="H455" t="n">
        <v>0</v>
      </c>
      <c r="I455" t="n">
        <v>0</v>
      </c>
      <c r="J455" t="n">
        <v>0</v>
      </c>
      <c r="K455" t="n">
        <v>0</v>
      </c>
      <c r="L455" t="n">
        <v>0</v>
      </c>
      <c r="M455" t="n">
        <v>0</v>
      </c>
      <c r="N455" t="n">
        <v>0</v>
      </c>
      <c r="O455" t="n">
        <v>0</v>
      </c>
      <c r="P455" t="n">
        <v>0</v>
      </c>
      <c r="Q455" t="n">
        <v>0</v>
      </c>
      <c r="R455" s="2" t="inlineStr"/>
    </row>
    <row r="456" ht="15" customHeight="1">
      <c r="A456" t="inlineStr">
        <is>
          <t>A 38990-2022</t>
        </is>
      </c>
      <c r="B456" s="1" t="n">
        <v>44816</v>
      </c>
      <c r="C456" s="1" t="n">
        <v>46133</v>
      </c>
      <c r="D456" t="inlineStr">
        <is>
          <t>STOCKHOLMS LÄN</t>
        </is>
      </c>
      <c r="E456" t="inlineStr">
        <is>
          <t>NORRTÄLJE</t>
        </is>
      </c>
      <c r="G456" t="n">
        <v>5.7</v>
      </c>
      <c r="H456" t="n">
        <v>0</v>
      </c>
      <c r="I456" t="n">
        <v>0</v>
      </c>
      <c r="J456" t="n">
        <v>0</v>
      </c>
      <c r="K456" t="n">
        <v>0</v>
      </c>
      <c r="L456" t="n">
        <v>0</v>
      </c>
      <c r="M456" t="n">
        <v>0</v>
      </c>
      <c r="N456" t="n">
        <v>0</v>
      </c>
      <c r="O456" t="n">
        <v>0</v>
      </c>
      <c r="P456" t="n">
        <v>0</v>
      </c>
      <c r="Q456" t="n">
        <v>0</v>
      </c>
      <c r="R456" s="2" t="inlineStr"/>
    </row>
    <row r="457" ht="15" customHeight="1">
      <c r="A457" t="inlineStr">
        <is>
          <t>A 19057-2024</t>
        </is>
      </c>
      <c r="B457" s="1" t="n">
        <v>45427.88731481481</v>
      </c>
      <c r="C457" s="1" t="n">
        <v>46133</v>
      </c>
      <c r="D457" t="inlineStr">
        <is>
          <t>STOCKHOLMS LÄN</t>
        </is>
      </c>
      <c r="E457" t="inlineStr">
        <is>
          <t>NORRTÄLJE</t>
        </is>
      </c>
      <c r="G457" t="n">
        <v>3</v>
      </c>
      <c r="H457" t="n">
        <v>0</v>
      </c>
      <c r="I457" t="n">
        <v>0</v>
      </c>
      <c r="J457" t="n">
        <v>0</v>
      </c>
      <c r="K457" t="n">
        <v>0</v>
      </c>
      <c r="L457" t="n">
        <v>0</v>
      </c>
      <c r="M457" t="n">
        <v>0</v>
      </c>
      <c r="N457" t="n">
        <v>0</v>
      </c>
      <c r="O457" t="n">
        <v>0</v>
      </c>
      <c r="P457" t="n">
        <v>0</v>
      </c>
      <c r="Q457" t="n">
        <v>0</v>
      </c>
      <c r="R457" s="2" t="inlineStr"/>
    </row>
    <row r="458" ht="15" customHeight="1">
      <c r="A458" t="inlineStr">
        <is>
          <t>A 17956-2025</t>
        </is>
      </c>
      <c r="B458" s="1" t="n">
        <v>45760.91174768518</v>
      </c>
      <c r="C458" s="1" t="n">
        <v>46133</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875-2023</t>
        </is>
      </c>
      <c r="B459" s="1" t="n">
        <v>44931.65626157408</v>
      </c>
      <c r="C459" s="1" t="n">
        <v>46133</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31236-2022</t>
        </is>
      </c>
      <c r="B460" s="1" t="n">
        <v>44771</v>
      </c>
      <c r="C460" s="1" t="n">
        <v>46133</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8315-2025</t>
        </is>
      </c>
      <c r="B461" s="1" t="n">
        <v>45708.61761574074</v>
      </c>
      <c r="C461" s="1" t="n">
        <v>46133</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27554-2025</t>
        </is>
      </c>
      <c r="B462" s="1" t="n">
        <v>45813.4709375</v>
      </c>
      <c r="C462" s="1" t="n">
        <v>46133</v>
      </c>
      <c r="D462" t="inlineStr">
        <is>
          <t>STOCKHOLMS LÄN</t>
        </is>
      </c>
      <c r="E462" t="inlineStr">
        <is>
          <t>NORRTÄLJE</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41966-2025</t>
        </is>
      </c>
      <c r="B463" s="1" t="n">
        <v>45903.47456018518</v>
      </c>
      <c r="C463" s="1" t="n">
        <v>46133</v>
      </c>
      <c r="D463" t="inlineStr">
        <is>
          <t>STOCKHOLMS LÄN</t>
        </is>
      </c>
      <c r="E463" t="inlineStr">
        <is>
          <t>NORRTÄLJE</t>
        </is>
      </c>
      <c r="F463" t="inlineStr">
        <is>
          <t>Sveaskog</t>
        </is>
      </c>
      <c r="G463" t="n">
        <v>3.7</v>
      </c>
      <c r="H463" t="n">
        <v>0</v>
      </c>
      <c r="I463" t="n">
        <v>0</v>
      </c>
      <c r="J463" t="n">
        <v>0</v>
      </c>
      <c r="K463" t="n">
        <v>0</v>
      </c>
      <c r="L463" t="n">
        <v>0</v>
      </c>
      <c r="M463" t="n">
        <v>0</v>
      </c>
      <c r="N463" t="n">
        <v>0</v>
      </c>
      <c r="O463" t="n">
        <v>0</v>
      </c>
      <c r="P463" t="n">
        <v>0</v>
      </c>
      <c r="Q463" t="n">
        <v>0</v>
      </c>
      <c r="R463" s="2" t="inlineStr"/>
    </row>
    <row r="464" ht="15" customHeight="1">
      <c r="A464" t="inlineStr">
        <is>
          <t>A 42038-2025</t>
        </is>
      </c>
      <c r="B464" s="1" t="n">
        <v>45903.61431712963</v>
      </c>
      <c r="C464" s="1" t="n">
        <v>46133</v>
      </c>
      <c r="D464" t="inlineStr">
        <is>
          <t>STOCKHOLMS LÄN</t>
        </is>
      </c>
      <c r="E464" t="inlineStr">
        <is>
          <t>NORRTÄLJE</t>
        </is>
      </c>
      <c r="F464" t="inlineStr">
        <is>
          <t>Sveaskog</t>
        </is>
      </c>
      <c r="G464" t="n">
        <v>6.4</v>
      </c>
      <c r="H464" t="n">
        <v>0</v>
      </c>
      <c r="I464" t="n">
        <v>0</v>
      </c>
      <c r="J464" t="n">
        <v>0</v>
      </c>
      <c r="K464" t="n">
        <v>0</v>
      </c>
      <c r="L464" t="n">
        <v>0</v>
      </c>
      <c r="M464" t="n">
        <v>0</v>
      </c>
      <c r="N464" t="n">
        <v>0</v>
      </c>
      <c r="O464" t="n">
        <v>0</v>
      </c>
      <c r="P464" t="n">
        <v>0</v>
      </c>
      <c r="Q464" t="n">
        <v>0</v>
      </c>
      <c r="R464" s="2" t="inlineStr"/>
    </row>
    <row r="465" ht="15" customHeight="1">
      <c r="A465" t="inlineStr">
        <is>
          <t>A 18665-2022</t>
        </is>
      </c>
      <c r="B465" s="1" t="n">
        <v>44687</v>
      </c>
      <c r="C465" s="1" t="n">
        <v>46133</v>
      </c>
      <c r="D465" t="inlineStr">
        <is>
          <t>STOCKHOLMS LÄN</t>
        </is>
      </c>
      <c r="E465" t="inlineStr">
        <is>
          <t>NORRTÄLJE</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27700-2025</t>
        </is>
      </c>
      <c r="B466" s="1" t="n">
        <v>45813.6799537037</v>
      </c>
      <c r="C466" s="1" t="n">
        <v>46133</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27697-2025</t>
        </is>
      </c>
      <c r="B467" s="1" t="n">
        <v>45813.66961805556</v>
      </c>
      <c r="C467" s="1" t="n">
        <v>46133</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41964-2025</t>
        </is>
      </c>
      <c r="B468" s="1" t="n">
        <v>45903.47270833333</v>
      </c>
      <c r="C468" s="1" t="n">
        <v>46133</v>
      </c>
      <c r="D468" t="inlineStr">
        <is>
          <t>STOCKHOLMS LÄN</t>
        </is>
      </c>
      <c r="E468" t="inlineStr">
        <is>
          <t>NORRTÄLJE</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27802-2025</t>
        </is>
      </c>
      <c r="B469" s="1" t="n">
        <v>45817.2565625</v>
      </c>
      <c r="C469" s="1" t="n">
        <v>46133</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27806-2025</t>
        </is>
      </c>
      <c r="B470" s="1" t="n">
        <v>45817.30329861111</v>
      </c>
      <c r="C470" s="1" t="n">
        <v>46133</v>
      </c>
      <c r="D470" t="inlineStr">
        <is>
          <t>STOCKHOLMS LÄN</t>
        </is>
      </c>
      <c r="E470" t="inlineStr">
        <is>
          <t>NORRTÄLJE</t>
        </is>
      </c>
      <c r="G470" t="n">
        <v>3</v>
      </c>
      <c r="H470" t="n">
        <v>0</v>
      </c>
      <c r="I470" t="n">
        <v>0</v>
      </c>
      <c r="J470" t="n">
        <v>0</v>
      </c>
      <c r="K470" t="n">
        <v>0</v>
      </c>
      <c r="L470" t="n">
        <v>0</v>
      </c>
      <c r="M470" t="n">
        <v>0</v>
      </c>
      <c r="N470" t="n">
        <v>0</v>
      </c>
      <c r="O470" t="n">
        <v>0</v>
      </c>
      <c r="P470" t="n">
        <v>0</v>
      </c>
      <c r="Q470" t="n">
        <v>0</v>
      </c>
      <c r="R470" s="2" t="inlineStr"/>
    </row>
    <row r="471" ht="15" customHeight="1">
      <c r="A471" t="inlineStr">
        <is>
          <t>A 27808-2025</t>
        </is>
      </c>
      <c r="B471" s="1" t="n">
        <v>45817.31085648148</v>
      </c>
      <c r="C471" s="1" t="n">
        <v>46133</v>
      </c>
      <c r="D471" t="inlineStr">
        <is>
          <t>STOCKHOLMS LÄN</t>
        </is>
      </c>
      <c r="E471" t="inlineStr">
        <is>
          <t>NORRTÄLJE</t>
        </is>
      </c>
      <c r="G471" t="n">
        <v>1.8</v>
      </c>
      <c r="H471" t="n">
        <v>0</v>
      </c>
      <c r="I471" t="n">
        <v>0</v>
      </c>
      <c r="J471" t="n">
        <v>0</v>
      </c>
      <c r="K471" t="n">
        <v>0</v>
      </c>
      <c r="L471" t="n">
        <v>0</v>
      </c>
      <c r="M471" t="n">
        <v>0</v>
      </c>
      <c r="N471" t="n">
        <v>0</v>
      </c>
      <c r="O471" t="n">
        <v>0</v>
      </c>
      <c r="P471" t="n">
        <v>0</v>
      </c>
      <c r="Q471" t="n">
        <v>0</v>
      </c>
      <c r="R471" s="2" t="inlineStr"/>
    </row>
    <row r="472" ht="15" customHeight="1">
      <c r="A472" t="inlineStr">
        <is>
          <t>A 27810-2025</t>
        </is>
      </c>
      <c r="B472" s="1" t="n">
        <v>45817.31708333334</v>
      </c>
      <c r="C472" s="1" t="n">
        <v>46133</v>
      </c>
      <c r="D472" t="inlineStr">
        <is>
          <t>STOCKHOLMS LÄN</t>
        </is>
      </c>
      <c r="E472" t="inlineStr">
        <is>
          <t>NORRTÄLJE</t>
        </is>
      </c>
      <c r="G472" t="n">
        <v>3.9</v>
      </c>
      <c r="H472" t="n">
        <v>0</v>
      </c>
      <c r="I472" t="n">
        <v>0</v>
      </c>
      <c r="J472" t="n">
        <v>0</v>
      </c>
      <c r="K472" t="n">
        <v>0</v>
      </c>
      <c r="L472" t="n">
        <v>0</v>
      </c>
      <c r="M472" t="n">
        <v>0</v>
      </c>
      <c r="N472" t="n">
        <v>0</v>
      </c>
      <c r="O472" t="n">
        <v>0</v>
      </c>
      <c r="P472" t="n">
        <v>0</v>
      </c>
      <c r="Q472" t="n">
        <v>0</v>
      </c>
      <c r="R472" s="2" t="inlineStr"/>
    </row>
    <row r="473" ht="15" customHeight="1">
      <c r="A473" t="inlineStr">
        <is>
          <t>A 27811-2025</t>
        </is>
      </c>
      <c r="B473" s="1" t="n">
        <v>45817.31986111111</v>
      </c>
      <c r="C473" s="1" t="n">
        <v>46133</v>
      </c>
      <c r="D473" t="inlineStr">
        <is>
          <t>STOCKHOLMS LÄN</t>
        </is>
      </c>
      <c r="E473" t="inlineStr">
        <is>
          <t>NORRTÄLJE</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27818-2025</t>
        </is>
      </c>
      <c r="B474" s="1" t="n">
        <v>45817.33503472222</v>
      </c>
      <c r="C474" s="1" t="n">
        <v>46133</v>
      </c>
      <c r="D474" t="inlineStr">
        <is>
          <t>STOCKHOLMS LÄN</t>
        </is>
      </c>
      <c r="E474" t="inlineStr">
        <is>
          <t>NORRTÄLJE</t>
        </is>
      </c>
      <c r="F474" t="inlineStr">
        <is>
          <t>Sveaskog</t>
        </is>
      </c>
      <c r="G474" t="n">
        <v>0.3</v>
      </c>
      <c r="H474" t="n">
        <v>0</v>
      </c>
      <c r="I474" t="n">
        <v>0</v>
      </c>
      <c r="J474" t="n">
        <v>0</v>
      </c>
      <c r="K474" t="n">
        <v>0</v>
      </c>
      <c r="L474" t="n">
        <v>0</v>
      </c>
      <c r="M474" t="n">
        <v>0</v>
      </c>
      <c r="N474" t="n">
        <v>0</v>
      </c>
      <c r="O474" t="n">
        <v>0</v>
      </c>
      <c r="P474" t="n">
        <v>0</v>
      </c>
      <c r="Q474" t="n">
        <v>0</v>
      </c>
      <c r="R474" s="2" t="inlineStr"/>
    </row>
    <row r="475" ht="15" customHeight="1">
      <c r="A475" t="inlineStr">
        <is>
          <t>A 58302-2022</t>
        </is>
      </c>
      <c r="B475" s="1" t="n">
        <v>44901</v>
      </c>
      <c r="C475" s="1" t="n">
        <v>46133</v>
      </c>
      <c r="D475" t="inlineStr">
        <is>
          <t>STOCKHOLMS LÄN</t>
        </is>
      </c>
      <c r="E475" t="inlineStr">
        <is>
          <t>NORRTÄLJE</t>
        </is>
      </c>
      <c r="G475" t="n">
        <v>3.9</v>
      </c>
      <c r="H475" t="n">
        <v>0</v>
      </c>
      <c r="I475" t="n">
        <v>0</v>
      </c>
      <c r="J475" t="n">
        <v>0</v>
      </c>
      <c r="K475" t="n">
        <v>0</v>
      </c>
      <c r="L475" t="n">
        <v>0</v>
      </c>
      <c r="M475" t="n">
        <v>0</v>
      </c>
      <c r="N475" t="n">
        <v>0</v>
      </c>
      <c r="O475" t="n">
        <v>0</v>
      </c>
      <c r="P475" t="n">
        <v>0</v>
      </c>
      <c r="Q475" t="n">
        <v>0</v>
      </c>
      <c r="R475" s="2" t="inlineStr"/>
    </row>
    <row r="476" ht="15" customHeight="1">
      <c r="A476" t="inlineStr">
        <is>
          <t>A 27801-2025</t>
        </is>
      </c>
      <c r="B476" s="1" t="n">
        <v>45817.25471064815</v>
      </c>
      <c r="C476" s="1" t="n">
        <v>46133</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38591-2023</t>
        </is>
      </c>
      <c r="B477" s="1" t="n">
        <v>45162</v>
      </c>
      <c r="C477" s="1" t="n">
        <v>46133</v>
      </c>
      <c r="D477" t="inlineStr">
        <is>
          <t>STOCKHOLMS LÄN</t>
        </is>
      </c>
      <c r="E477" t="inlineStr">
        <is>
          <t>NORRTÄLJE</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27803-2025</t>
        </is>
      </c>
      <c r="B478" s="1" t="n">
        <v>45817.291875</v>
      </c>
      <c r="C478" s="1" t="n">
        <v>46133</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27813-2025</t>
        </is>
      </c>
      <c r="B479" s="1" t="n">
        <v>45817.32538194444</v>
      </c>
      <c r="C479" s="1" t="n">
        <v>46133</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30699-2025</t>
        </is>
      </c>
      <c r="B480" s="1" t="n">
        <v>45831.54618055555</v>
      </c>
      <c r="C480" s="1" t="n">
        <v>46133</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30338-2022</t>
        </is>
      </c>
      <c r="B481" s="1" t="n">
        <v>44760</v>
      </c>
      <c r="C481" s="1" t="n">
        <v>46133</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27821-2025</t>
        </is>
      </c>
      <c r="B482" s="1" t="n">
        <v>45817.34083333334</v>
      </c>
      <c r="C482" s="1" t="n">
        <v>46133</v>
      </c>
      <c r="D482" t="inlineStr">
        <is>
          <t>STOCKHOLMS LÄN</t>
        </is>
      </c>
      <c r="E482" t="inlineStr">
        <is>
          <t>NORRTÄLJE</t>
        </is>
      </c>
      <c r="G482" t="n">
        <v>3.2</v>
      </c>
      <c r="H482" t="n">
        <v>0</v>
      </c>
      <c r="I482" t="n">
        <v>0</v>
      </c>
      <c r="J482" t="n">
        <v>0</v>
      </c>
      <c r="K482" t="n">
        <v>0</v>
      </c>
      <c r="L482" t="n">
        <v>0</v>
      </c>
      <c r="M482" t="n">
        <v>0</v>
      </c>
      <c r="N482" t="n">
        <v>0</v>
      </c>
      <c r="O482" t="n">
        <v>0</v>
      </c>
      <c r="P482" t="n">
        <v>0</v>
      </c>
      <c r="Q482" t="n">
        <v>0</v>
      </c>
      <c r="R482" s="2" t="inlineStr"/>
    </row>
    <row r="483" ht="15" customHeight="1">
      <c r="A483" t="inlineStr">
        <is>
          <t>A 2888-2022</t>
        </is>
      </c>
      <c r="B483" s="1" t="n">
        <v>44581</v>
      </c>
      <c r="C483" s="1" t="n">
        <v>46133</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52686-2024</t>
        </is>
      </c>
      <c r="B484" s="1" t="n">
        <v>45610.39271990741</v>
      </c>
      <c r="C484" s="1" t="n">
        <v>46133</v>
      </c>
      <c r="D484" t="inlineStr">
        <is>
          <t>STOCKHOLMS LÄN</t>
        </is>
      </c>
      <c r="E484" t="inlineStr">
        <is>
          <t>NORRTÄLJE</t>
        </is>
      </c>
      <c r="G484" t="n">
        <v>5.7</v>
      </c>
      <c r="H484" t="n">
        <v>0</v>
      </c>
      <c r="I484" t="n">
        <v>0</v>
      </c>
      <c r="J484" t="n">
        <v>0</v>
      </c>
      <c r="K484" t="n">
        <v>0</v>
      </c>
      <c r="L484" t="n">
        <v>0</v>
      </c>
      <c r="M484" t="n">
        <v>0</v>
      </c>
      <c r="N484" t="n">
        <v>0</v>
      </c>
      <c r="O484" t="n">
        <v>0</v>
      </c>
      <c r="P484" t="n">
        <v>0</v>
      </c>
      <c r="Q484" t="n">
        <v>0</v>
      </c>
      <c r="R484" s="2" t="inlineStr"/>
    </row>
    <row r="485" ht="15" customHeight="1">
      <c r="A485" t="inlineStr">
        <is>
          <t>A 20343-2024</t>
        </is>
      </c>
      <c r="B485" s="1" t="n">
        <v>45435.43466435185</v>
      </c>
      <c r="C485" s="1" t="n">
        <v>46133</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20345-2024</t>
        </is>
      </c>
      <c r="B486" s="1" t="n">
        <v>45435.43820601852</v>
      </c>
      <c r="C486" s="1" t="n">
        <v>46133</v>
      </c>
      <c r="D486" t="inlineStr">
        <is>
          <t>STOCKHOLMS LÄN</t>
        </is>
      </c>
      <c r="E486" t="inlineStr">
        <is>
          <t>NORRTÄLJE</t>
        </is>
      </c>
      <c r="G486" t="n">
        <v>3.8</v>
      </c>
      <c r="H486" t="n">
        <v>0</v>
      </c>
      <c r="I486" t="n">
        <v>0</v>
      </c>
      <c r="J486" t="n">
        <v>0</v>
      </c>
      <c r="K486" t="n">
        <v>0</v>
      </c>
      <c r="L486" t="n">
        <v>0</v>
      </c>
      <c r="M486" t="n">
        <v>0</v>
      </c>
      <c r="N486" t="n">
        <v>0</v>
      </c>
      <c r="O486" t="n">
        <v>0</v>
      </c>
      <c r="P486" t="n">
        <v>0</v>
      </c>
      <c r="Q486" t="n">
        <v>0</v>
      </c>
      <c r="R486" s="2" t="inlineStr"/>
    </row>
    <row r="487" ht="15" customHeight="1">
      <c r="A487" t="inlineStr">
        <is>
          <t>A 9765-2024</t>
        </is>
      </c>
      <c r="B487" s="1" t="n">
        <v>45362.62811342593</v>
      </c>
      <c r="C487" s="1" t="n">
        <v>46133</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59875-2024</t>
        </is>
      </c>
      <c r="B488" s="1" t="n">
        <v>45640.58716435185</v>
      </c>
      <c r="C488" s="1" t="n">
        <v>46133</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15528-2025</t>
        </is>
      </c>
      <c r="B489" s="1" t="n">
        <v>45747.63471064815</v>
      </c>
      <c r="C489" s="1" t="n">
        <v>46133</v>
      </c>
      <c r="D489" t="inlineStr">
        <is>
          <t>STOCKHOLMS LÄN</t>
        </is>
      </c>
      <c r="E489" t="inlineStr">
        <is>
          <t>NORRTÄLJE</t>
        </is>
      </c>
      <c r="G489" t="n">
        <v>10</v>
      </c>
      <c r="H489" t="n">
        <v>0</v>
      </c>
      <c r="I489" t="n">
        <v>0</v>
      </c>
      <c r="J489" t="n">
        <v>0</v>
      </c>
      <c r="K489" t="n">
        <v>0</v>
      </c>
      <c r="L489" t="n">
        <v>0</v>
      </c>
      <c r="M489" t="n">
        <v>0</v>
      </c>
      <c r="N489" t="n">
        <v>0</v>
      </c>
      <c r="O489" t="n">
        <v>0</v>
      </c>
      <c r="P489" t="n">
        <v>0</v>
      </c>
      <c r="Q489" t="n">
        <v>0</v>
      </c>
      <c r="R489" s="2" t="inlineStr"/>
    </row>
    <row r="490" ht="15" customHeight="1">
      <c r="A490" t="inlineStr">
        <is>
          <t>A 11901-2024</t>
        </is>
      </c>
      <c r="B490" s="1" t="n">
        <v>45376.55638888889</v>
      </c>
      <c r="C490" s="1" t="n">
        <v>46133</v>
      </c>
      <c r="D490" t="inlineStr">
        <is>
          <t>STOCKHOLMS LÄN</t>
        </is>
      </c>
      <c r="E490" t="inlineStr">
        <is>
          <t>NORRTÄLJE</t>
        </is>
      </c>
      <c r="F490" t="inlineStr">
        <is>
          <t>Holmen skog AB</t>
        </is>
      </c>
      <c r="G490" t="n">
        <v>3.5</v>
      </c>
      <c r="H490" t="n">
        <v>0</v>
      </c>
      <c r="I490" t="n">
        <v>0</v>
      </c>
      <c r="J490" t="n">
        <v>0</v>
      </c>
      <c r="K490" t="n">
        <v>0</v>
      </c>
      <c r="L490" t="n">
        <v>0</v>
      </c>
      <c r="M490" t="n">
        <v>0</v>
      </c>
      <c r="N490" t="n">
        <v>0</v>
      </c>
      <c r="O490" t="n">
        <v>0</v>
      </c>
      <c r="P490" t="n">
        <v>0</v>
      </c>
      <c r="Q490" t="n">
        <v>0</v>
      </c>
      <c r="R490" s="2" t="inlineStr"/>
    </row>
    <row r="491" ht="15" customHeight="1">
      <c r="A491" t="inlineStr">
        <is>
          <t>A 11-2024</t>
        </is>
      </c>
      <c r="B491" s="1" t="n">
        <v>45293</v>
      </c>
      <c r="C491" s="1" t="n">
        <v>46133</v>
      </c>
      <c r="D491" t="inlineStr">
        <is>
          <t>STOCKHOLMS LÄN</t>
        </is>
      </c>
      <c r="E491" t="inlineStr">
        <is>
          <t>NORRTÄLJE</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14559-2024</t>
        </is>
      </c>
      <c r="B492" s="1" t="n">
        <v>45394.72869212963</v>
      </c>
      <c r="C492" s="1" t="n">
        <v>46133</v>
      </c>
      <c r="D492" t="inlineStr">
        <is>
          <t>STOCKHOLMS LÄN</t>
        </is>
      </c>
      <c r="E492" t="inlineStr">
        <is>
          <t>NORRTÄLJE</t>
        </is>
      </c>
      <c r="G492" t="n">
        <v>4.2</v>
      </c>
      <c r="H492" t="n">
        <v>0</v>
      </c>
      <c r="I492" t="n">
        <v>0</v>
      </c>
      <c r="J492" t="n">
        <v>0</v>
      </c>
      <c r="K492" t="n">
        <v>0</v>
      </c>
      <c r="L492" t="n">
        <v>0</v>
      </c>
      <c r="M492" t="n">
        <v>0</v>
      </c>
      <c r="N492" t="n">
        <v>0</v>
      </c>
      <c r="O492" t="n">
        <v>0</v>
      </c>
      <c r="P492" t="n">
        <v>0</v>
      </c>
      <c r="Q492" t="n">
        <v>0</v>
      </c>
      <c r="R492" s="2" t="inlineStr"/>
    </row>
    <row r="493" ht="15" customHeight="1">
      <c r="A493" t="inlineStr">
        <is>
          <t>A 8433-2022</t>
        </is>
      </c>
      <c r="B493" s="1" t="n">
        <v>44611</v>
      </c>
      <c r="C493" s="1" t="n">
        <v>46133</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20011-2025</t>
        </is>
      </c>
      <c r="B494" s="1" t="n">
        <v>45772.29622685185</v>
      </c>
      <c r="C494" s="1" t="n">
        <v>46133</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42856-2025</t>
        </is>
      </c>
      <c r="B495" s="1" t="n">
        <v>45908</v>
      </c>
      <c r="C495" s="1" t="n">
        <v>46133</v>
      </c>
      <c r="D495" t="inlineStr">
        <is>
          <t>STOCKHOLMS LÄN</t>
        </is>
      </c>
      <c r="E495" t="inlineStr">
        <is>
          <t>NORRTÄLJE</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25525-2022</t>
        </is>
      </c>
      <c r="B496" s="1" t="n">
        <v>44732</v>
      </c>
      <c r="C496" s="1" t="n">
        <v>46133</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12302-2025</t>
        </is>
      </c>
      <c r="B497" s="1" t="n">
        <v>45729.72851851852</v>
      </c>
      <c r="C497" s="1" t="n">
        <v>46133</v>
      </c>
      <c r="D497" t="inlineStr">
        <is>
          <t>STOCKHOLMS LÄN</t>
        </is>
      </c>
      <c r="E497" t="inlineStr">
        <is>
          <t>NORRTÄLJE</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38889-2024</t>
        </is>
      </c>
      <c r="B498" s="1" t="n">
        <v>45547</v>
      </c>
      <c r="C498" s="1" t="n">
        <v>46133</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45451-2024</t>
        </is>
      </c>
      <c r="B499" s="1" t="n">
        <v>45576</v>
      </c>
      <c r="C499" s="1" t="n">
        <v>46133</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44075-2023</t>
        </is>
      </c>
      <c r="B500" s="1" t="n">
        <v>45188.41637731482</v>
      </c>
      <c r="C500" s="1" t="n">
        <v>46133</v>
      </c>
      <c r="D500" t="inlineStr">
        <is>
          <t>STOCKHOLMS LÄN</t>
        </is>
      </c>
      <c r="E500" t="inlineStr">
        <is>
          <t>NORRTÄLJE</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24835-2025</t>
        </is>
      </c>
      <c r="B501" s="1" t="n">
        <v>45799</v>
      </c>
      <c r="C501" s="1" t="n">
        <v>46133</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43169-2025</t>
        </is>
      </c>
      <c r="B502" s="1" t="n">
        <v>45910</v>
      </c>
      <c r="C502" s="1" t="n">
        <v>46133</v>
      </c>
      <c r="D502" t="inlineStr">
        <is>
          <t>STOCKHOLMS LÄN</t>
        </is>
      </c>
      <c r="E502" t="inlineStr">
        <is>
          <t>NORRTÄLJE</t>
        </is>
      </c>
      <c r="G502" t="n">
        <v>6.9</v>
      </c>
      <c r="H502" t="n">
        <v>0</v>
      </c>
      <c r="I502" t="n">
        <v>0</v>
      </c>
      <c r="J502" t="n">
        <v>0</v>
      </c>
      <c r="K502" t="n">
        <v>0</v>
      </c>
      <c r="L502" t="n">
        <v>0</v>
      </c>
      <c r="M502" t="n">
        <v>0</v>
      </c>
      <c r="N502" t="n">
        <v>0</v>
      </c>
      <c r="O502" t="n">
        <v>0</v>
      </c>
      <c r="P502" t="n">
        <v>0</v>
      </c>
      <c r="Q502" t="n">
        <v>0</v>
      </c>
      <c r="R502" s="2" t="inlineStr"/>
    </row>
    <row r="503" ht="15" customHeight="1">
      <c r="A503" t="inlineStr">
        <is>
          <t>A 26644-2024</t>
        </is>
      </c>
      <c r="B503" s="1" t="n">
        <v>45469</v>
      </c>
      <c r="C503" s="1" t="n">
        <v>46133</v>
      </c>
      <c r="D503" t="inlineStr">
        <is>
          <t>STOCKHOLMS LÄN</t>
        </is>
      </c>
      <c r="E503" t="inlineStr">
        <is>
          <t>NORRTÄLJE</t>
        </is>
      </c>
      <c r="G503" t="n">
        <v>4.3</v>
      </c>
      <c r="H503" t="n">
        <v>0</v>
      </c>
      <c r="I503" t="n">
        <v>0</v>
      </c>
      <c r="J503" t="n">
        <v>0</v>
      </c>
      <c r="K503" t="n">
        <v>0</v>
      </c>
      <c r="L503" t="n">
        <v>0</v>
      </c>
      <c r="M503" t="n">
        <v>0</v>
      </c>
      <c r="N503" t="n">
        <v>0</v>
      </c>
      <c r="O503" t="n">
        <v>0</v>
      </c>
      <c r="P503" t="n">
        <v>0</v>
      </c>
      <c r="Q503" t="n">
        <v>0</v>
      </c>
      <c r="R503" s="2" t="inlineStr"/>
    </row>
    <row r="504" ht="15" customHeight="1">
      <c r="A504" t="inlineStr">
        <is>
          <t>A 29250-2025</t>
        </is>
      </c>
      <c r="B504" s="1" t="n">
        <v>45824.37275462963</v>
      </c>
      <c r="C504" s="1" t="n">
        <v>46133</v>
      </c>
      <c r="D504" t="inlineStr">
        <is>
          <t>STOCKHOLMS LÄN</t>
        </is>
      </c>
      <c r="E504" t="inlineStr">
        <is>
          <t>NORRTÄLJE</t>
        </is>
      </c>
      <c r="F504" t="inlineStr">
        <is>
          <t>Sveaskog</t>
        </is>
      </c>
      <c r="G504" t="n">
        <v>6.4</v>
      </c>
      <c r="H504" t="n">
        <v>0</v>
      </c>
      <c r="I504" t="n">
        <v>0</v>
      </c>
      <c r="J504" t="n">
        <v>0</v>
      </c>
      <c r="K504" t="n">
        <v>0</v>
      </c>
      <c r="L504" t="n">
        <v>0</v>
      </c>
      <c r="M504" t="n">
        <v>0</v>
      </c>
      <c r="N504" t="n">
        <v>0</v>
      </c>
      <c r="O504" t="n">
        <v>0</v>
      </c>
      <c r="P504" t="n">
        <v>0</v>
      </c>
      <c r="Q504" t="n">
        <v>0</v>
      </c>
      <c r="R504" s="2" t="inlineStr"/>
    </row>
    <row r="505" ht="15" customHeight="1">
      <c r="A505" t="inlineStr">
        <is>
          <t>A 2982-2023</t>
        </is>
      </c>
      <c r="B505" s="1" t="n">
        <v>44945.67409722223</v>
      </c>
      <c r="C505" s="1" t="n">
        <v>46133</v>
      </c>
      <c r="D505" t="inlineStr">
        <is>
          <t>STOCKHOLMS LÄN</t>
        </is>
      </c>
      <c r="E505" t="inlineStr">
        <is>
          <t>NORRTÄLJE</t>
        </is>
      </c>
      <c r="G505" t="n">
        <v>3.3</v>
      </c>
      <c r="H505" t="n">
        <v>0</v>
      </c>
      <c r="I505" t="n">
        <v>0</v>
      </c>
      <c r="J505" t="n">
        <v>0</v>
      </c>
      <c r="K505" t="n">
        <v>0</v>
      </c>
      <c r="L505" t="n">
        <v>0</v>
      </c>
      <c r="M505" t="n">
        <v>0</v>
      </c>
      <c r="N505" t="n">
        <v>0</v>
      </c>
      <c r="O505" t="n">
        <v>0</v>
      </c>
      <c r="P505" t="n">
        <v>0</v>
      </c>
      <c r="Q505" t="n">
        <v>0</v>
      </c>
      <c r="R505" s="2" t="inlineStr"/>
    </row>
    <row r="506" ht="15" customHeight="1">
      <c r="A506" t="inlineStr">
        <is>
          <t>A 30719-2025</t>
        </is>
      </c>
      <c r="B506" s="1" t="n">
        <v>45831</v>
      </c>
      <c r="C506" s="1" t="n">
        <v>46133</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43269-2025</t>
        </is>
      </c>
      <c r="B507" s="1" t="n">
        <v>45910.5819212963</v>
      </c>
      <c r="C507" s="1" t="n">
        <v>46133</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12535-2025</t>
        </is>
      </c>
      <c r="B508" s="1" t="n">
        <v>45730.69502314815</v>
      </c>
      <c r="C508" s="1" t="n">
        <v>46133</v>
      </c>
      <c r="D508" t="inlineStr">
        <is>
          <t>STOCKHOLMS LÄN</t>
        </is>
      </c>
      <c r="E508" t="inlineStr">
        <is>
          <t>NORRTÄLJE</t>
        </is>
      </c>
      <c r="G508" t="n">
        <v>7.1</v>
      </c>
      <c r="H508" t="n">
        <v>0</v>
      </c>
      <c r="I508" t="n">
        <v>0</v>
      </c>
      <c r="J508" t="n">
        <v>0</v>
      </c>
      <c r="K508" t="n">
        <v>0</v>
      </c>
      <c r="L508" t="n">
        <v>0</v>
      </c>
      <c r="M508" t="n">
        <v>0</v>
      </c>
      <c r="N508" t="n">
        <v>0</v>
      </c>
      <c r="O508" t="n">
        <v>0</v>
      </c>
      <c r="P508" t="n">
        <v>0</v>
      </c>
      <c r="Q508" t="n">
        <v>0</v>
      </c>
      <c r="R508" s="2" t="inlineStr"/>
    </row>
    <row r="509" ht="15" customHeight="1">
      <c r="A509" t="inlineStr">
        <is>
          <t>A 37136-2023</t>
        </is>
      </c>
      <c r="B509" s="1" t="n">
        <v>45155</v>
      </c>
      <c r="C509" s="1" t="n">
        <v>46133</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18787-2022</t>
        </is>
      </c>
      <c r="B510" s="1" t="n">
        <v>44687</v>
      </c>
      <c r="C510" s="1" t="n">
        <v>46133</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13718-2022</t>
        </is>
      </c>
      <c r="B511" s="1" t="n">
        <v>44649</v>
      </c>
      <c r="C511" s="1" t="n">
        <v>46133</v>
      </c>
      <c r="D511" t="inlineStr">
        <is>
          <t>STOCKHOLMS LÄN</t>
        </is>
      </c>
      <c r="E511" t="inlineStr">
        <is>
          <t>NORRTÄLJE</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25621-2022</t>
        </is>
      </c>
      <c r="B512" s="1" t="n">
        <v>44732</v>
      </c>
      <c r="C512" s="1" t="n">
        <v>46133</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36269-2022</t>
        </is>
      </c>
      <c r="B513" s="1" t="n">
        <v>44803</v>
      </c>
      <c r="C513" s="1" t="n">
        <v>46133</v>
      </c>
      <c r="D513" t="inlineStr">
        <is>
          <t>STOCKHOLMS LÄN</t>
        </is>
      </c>
      <c r="E513" t="inlineStr">
        <is>
          <t>NORRTÄLJE</t>
        </is>
      </c>
      <c r="G513" t="n">
        <v>2.3</v>
      </c>
      <c r="H513" t="n">
        <v>0</v>
      </c>
      <c r="I513" t="n">
        <v>0</v>
      </c>
      <c r="J513" t="n">
        <v>0</v>
      </c>
      <c r="K513" t="n">
        <v>0</v>
      </c>
      <c r="L513" t="n">
        <v>0</v>
      </c>
      <c r="M513" t="n">
        <v>0</v>
      </c>
      <c r="N513" t="n">
        <v>0</v>
      </c>
      <c r="O513" t="n">
        <v>0</v>
      </c>
      <c r="P513" t="n">
        <v>0</v>
      </c>
      <c r="Q513" t="n">
        <v>0</v>
      </c>
      <c r="R513" s="2" t="inlineStr"/>
    </row>
    <row r="514" ht="15" customHeight="1">
      <c r="A514" t="inlineStr">
        <is>
          <t>A 36308-2022</t>
        </is>
      </c>
      <c r="B514" s="1" t="n">
        <v>44803</v>
      </c>
      <c r="C514" s="1" t="n">
        <v>46133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43916-2025</t>
        </is>
      </c>
      <c r="B515" s="1" t="n">
        <v>45914.78884259259</v>
      </c>
      <c r="C515" s="1" t="n">
        <v>46133</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6919-2025</t>
        </is>
      </c>
      <c r="B516" s="1" t="n">
        <v>45701.44372685185</v>
      </c>
      <c r="C516" s="1" t="n">
        <v>46133</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32100-2022</t>
        </is>
      </c>
      <c r="B517" s="1" t="n">
        <v>44778</v>
      </c>
      <c r="C517" s="1" t="n">
        <v>46133</v>
      </c>
      <c r="D517" t="inlineStr">
        <is>
          <t>STOCKHOLMS LÄN</t>
        </is>
      </c>
      <c r="E517" t="inlineStr">
        <is>
          <t>NORRTÄLJE</t>
        </is>
      </c>
      <c r="G517" t="n">
        <v>3.3</v>
      </c>
      <c r="H517" t="n">
        <v>0</v>
      </c>
      <c r="I517" t="n">
        <v>0</v>
      </c>
      <c r="J517" t="n">
        <v>0</v>
      </c>
      <c r="K517" t="n">
        <v>0</v>
      </c>
      <c r="L517" t="n">
        <v>0</v>
      </c>
      <c r="M517" t="n">
        <v>0</v>
      </c>
      <c r="N517" t="n">
        <v>0</v>
      </c>
      <c r="O517" t="n">
        <v>0</v>
      </c>
      <c r="P517" t="n">
        <v>0</v>
      </c>
      <c r="Q517" t="n">
        <v>0</v>
      </c>
      <c r="R517" s="2" t="inlineStr"/>
    </row>
    <row r="518" ht="15" customHeight="1">
      <c r="A518" t="inlineStr">
        <is>
          <t>A 11332-2025</t>
        </is>
      </c>
      <c r="B518" s="1" t="n">
        <v>45726.48152777777</v>
      </c>
      <c r="C518" s="1" t="n">
        <v>46133</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37444-2021</t>
        </is>
      </c>
      <c r="B519" s="1" t="n">
        <v>44398</v>
      </c>
      <c r="C519" s="1" t="n">
        <v>46133</v>
      </c>
      <c r="D519" t="inlineStr">
        <is>
          <t>STOCKHOLMS LÄN</t>
        </is>
      </c>
      <c r="E519" t="inlineStr">
        <is>
          <t>NORRTÄLJE</t>
        </is>
      </c>
      <c r="F519" t="inlineStr">
        <is>
          <t>Holmen skog AB</t>
        </is>
      </c>
      <c r="G519" t="n">
        <v>3.2</v>
      </c>
      <c r="H519" t="n">
        <v>0</v>
      </c>
      <c r="I519" t="n">
        <v>0</v>
      </c>
      <c r="J519" t="n">
        <v>0</v>
      </c>
      <c r="K519" t="n">
        <v>0</v>
      </c>
      <c r="L519" t="n">
        <v>0</v>
      </c>
      <c r="M519" t="n">
        <v>0</v>
      </c>
      <c r="N519" t="n">
        <v>0</v>
      </c>
      <c r="O519" t="n">
        <v>0</v>
      </c>
      <c r="P519" t="n">
        <v>0</v>
      </c>
      <c r="Q519" t="n">
        <v>0</v>
      </c>
      <c r="R519" s="2" t="inlineStr"/>
    </row>
    <row r="520" ht="15" customHeight="1">
      <c r="A520" t="inlineStr">
        <is>
          <t>A 30886-2022</t>
        </is>
      </c>
      <c r="B520" s="1" t="n">
        <v>44767.60601851852</v>
      </c>
      <c r="C520" s="1" t="n">
        <v>46133</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9654-2022</t>
        </is>
      </c>
      <c r="B521" s="1" t="n">
        <v>44617</v>
      </c>
      <c r="C521" s="1" t="n">
        <v>46133</v>
      </c>
      <c r="D521" t="inlineStr">
        <is>
          <t>STOCKHOLMS LÄN</t>
        </is>
      </c>
      <c r="E521" t="inlineStr">
        <is>
          <t>NORRTÄLJE</t>
        </is>
      </c>
      <c r="G521" t="n">
        <v>6.4</v>
      </c>
      <c r="H521" t="n">
        <v>0</v>
      </c>
      <c r="I521" t="n">
        <v>0</v>
      </c>
      <c r="J521" t="n">
        <v>0</v>
      </c>
      <c r="K521" t="n">
        <v>0</v>
      </c>
      <c r="L521" t="n">
        <v>0</v>
      </c>
      <c r="M521" t="n">
        <v>0</v>
      </c>
      <c r="N521" t="n">
        <v>0</v>
      </c>
      <c r="O521" t="n">
        <v>0</v>
      </c>
      <c r="P521" t="n">
        <v>0</v>
      </c>
      <c r="Q521" t="n">
        <v>0</v>
      </c>
      <c r="R521" s="2" t="inlineStr"/>
    </row>
    <row r="522" ht="15" customHeight="1">
      <c r="A522" t="inlineStr">
        <is>
          <t>A 44354-2025</t>
        </is>
      </c>
      <c r="B522" s="1" t="n">
        <v>45916.44655092592</v>
      </c>
      <c r="C522" s="1" t="n">
        <v>46133</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1453-2025</t>
        </is>
      </c>
      <c r="B523" s="1" t="n">
        <v>45670.3079050926</v>
      </c>
      <c r="C523" s="1" t="n">
        <v>46133</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5804-2025</t>
        </is>
      </c>
      <c r="B524" s="1" t="n">
        <v>45694.68207175926</v>
      </c>
      <c r="C524" s="1" t="n">
        <v>46133</v>
      </c>
      <c r="D524" t="inlineStr">
        <is>
          <t>STOCKHOLMS LÄN</t>
        </is>
      </c>
      <c r="E524" t="inlineStr">
        <is>
          <t>NORRTÄLJE</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50907-2022</t>
        </is>
      </c>
      <c r="B525" s="1" t="n">
        <v>44867.62090277778</v>
      </c>
      <c r="C525" s="1" t="n">
        <v>46133</v>
      </c>
      <c r="D525" t="inlineStr">
        <is>
          <t>STOCKHOLMS LÄN</t>
        </is>
      </c>
      <c r="E525" t="inlineStr">
        <is>
          <t>NORRTÄLJE</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29003-2023</t>
        </is>
      </c>
      <c r="B526" s="1" t="n">
        <v>45104</v>
      </c>
      <c r="C526" s="1" t="n">
        <v>46133</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30639-2025</t>
        </is>
      </c>
      <c r="B527" s="1" t="n">
        <v>45831.4844212963</v>
      </c>
      <c r="C527" s="1" t="n">
        <v>46133</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30668-2025</t>
        </is>
      </c>
      <c r="B528" s="1" t="n">
        <v>45831.51659722222</v>
      </c>
      <c r="C528" s="1" t="n">
        <v>46133</v>
      </c>
      <c r="D528" t="inlineStr">
        <is>
          <t>STOCKHOLMS LÄN</t>
        </is>
      </c>
      <c r="E528" t="inlineStr">
        <is>
          <t>NORRTÄLJE</t>
        </is>
      </c>
      <c r="G528" t="n">
        <v>4.9</v>
      </c>
      <c r="H528" t="n">
        <v>0</v>
      </c>
      <c r="I528" t="n">
        <v>0</v>
      </c>
      <c r="J528" t="n">
        <v>0</v>
      </c>
      <c r="K528" t="n">
        <v>0</v>
      </c>
      <c r="L528" t="n">
        <v>0</v>
      </c>
      <c r="M528" t="n">
        <v>0</v>
      </c>
      <c r="N528" t="n">
        <v>0</v>
      </c>
      <c r="O528" t="n">
        <v>0</v>
      </c>
      <c r="P528" t="n">
        <v>0</v>
      </c>
      <c r="Q528" t="n">
        <v>0</v>
      </c>
      <c r="R528" s="2" t="inlineStr"/>
    </row>
    <row r="529" ht="15" customHeight="1">
      <c r="A529" t="inlineStr">
        <is>
          <t>A 33295-2023</t>
        </is>
      </c>
      <c r="B529" s="1" t="n">
        <v>45127.69371527778</v>
      </c>
      <c r="C529" s="1" t="n">
        <v>46133</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14127-2025</t>
        </is>
      </c>
      <c r="B530" s="1" t="n">
        <v>45740.47055555556</v>
      </c>
      <c r="C530" s="1" t="n">
        <v>46133</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16980-2023</t>
        </is>
      </c>
      <c r="B531" s="1" t="n">
        <v>45033</v>
      </c>
      <c r="C531" s="1" t="n">
        <v>46133</v>
      </c>
      <c r="D531" t="inlineStr">
        <is>
          <t>STOCKHOLMS LÄN</t>
        </is>
      </c>
      <c r="E531" t="inlineStr">
        <is>
          <t>NORRTÄLJE</t>
        </is>
      </c>
      <c r="G531" t="n">
        <v>2.3</v>
      </c>
      <c r="H531" t="n">
        <v>0</v>
      </c>
      <c r="I531" t="n">
        <v>0</v>
      </c>
      <c r="J531" t="n">
        <v>0</v>
      </c>
      <c r="K531" t="n">
        <v>0</v>
      </c>
      <c r="L531" t="n">
        <v>0</v>
      </c>
      <c r="M531" t="n">
        <v>0</v>
      </c>
      <c r="N531" t="n">
        <v>0</v>
      </c>
      <c r="O531" t="n">
        <v>0</v>
      </c>
      <c r="P531" t="n">
        <v>0</v>
      </c>
      <c r="Q531" t="n">
        <v>0</v>
      </c>
      <c r="R531" s="2" t="inlineStr"/>
    </row>
    <row r="532" ht="15" customHeight="1">
      <c r="A532" t="inlineStr">
        <is>
          <t>A 44306-2025</t>
        </is>
      </c>
      <c r="B532" s="1" t="n">
        <v>45916.37736111111</v>
      </c>
      <c r="C532" s="1" t="n">
        <v>46133</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44343-2025</t>
        </is>
      </c>
      <c r="B533" s="1" t="n">
        <v>45916.43378472222</v>
      </c>
      <c r="C533" s="1" t="n">
        <v>46133</v>
      </c>
      <c r="D533" t="inlineStr">
        <is>
          <t>STOCKHOLMS LÄN</t>
        </is>
      </c>
      <c r="E533" t="inlineStr">
        <is>
          <t>NORRTÄLJE</t>
        </is>
      </c>
      <c r="G533" t="n">
        <v>1.6</v>
      </c>
      <c r="H533" t="n">
        <v>0</v>
      </c>
      <c r="I533" t="n">
        <v>0</v>
      </c>
      <c r="J533" t="n">
        <v>0</v>
      </c>
      <c r="K533" t="n">
        <v>0</v>
      </c>
      <c r="L533" t="n">
        <v>0</v>
      </c>
      <c r="M533" t="n">
        <v>0</v>
      </c>
      <c r="N533" t="n">
        <v>0</v>
      </c>
      <c r="O533" t="n">
        <v>0</v>
      </c>
      <c r="P533" t="n">
        <v>0</v>
      </c>
      <c r="Q533" t="n">
        <v>0</v>
      </c>
      <c r="R533" s="2" t="inlineStr"/>
    </row>
    <row r="534" ht="15" customHeight="1">
      <c r="A534" t="inlineStr">
        <is>
          <t>A 44349-2025</t>
        </is>
      </c>
      <c r="B534" s="1" t="n">
        <v>45916.43929398148</v>
      </c>
      <c r="C534" s="1" t="n">
        <v>46133</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32595-2023</t>
        </is>
      </c>
      <c r="B535" s="1" t="n">
        <v>45121</v>
      </c>
      <c r="C535" s="1" t="n">
        <v>46133</v>
      </c>
      <c r="D535" t="inlineStr">
        <is>
          <t>STOCKHOLMS LÄN</t>
        </is>
      </c>
      <c r="E535" t="inlineStr">
        <is>
          <t>NORRTÄLJE</t>
        </is>
      </c>
      <c r="G535" t="n">
        <v>2.4</v>
      </c>
      <c r="H535" t="n">
        <v>0</v>
      </c>
      <c r="I535" t="n">
        <v>0</v>
      </c>
      <c r="J535" t="n">
        <v>0</v>
      </c>
      <c r="K535" t="n">
        <v>0</v>
      </c>
      <c r="L535" t="n">
        <v>0</v>
      </c>
      <c r="M535" t="n">
        <v>0</v>
      </c>
      <c r="N535" t="n">
        <v>0</v>
      </c>
      <c r="O535" t="n">
        <v>0</v>
      </c>
      <c r="P535" t="n">
        <v>0</v>
      </c>
      <c r="Q535" t="n">
        <v>0</v>
      </c>
      <c r="R535" s="2" t="inlineStr"/>
    </row>
    <row r="536" ht="15" customHeight="1">
      <c r="A536" t="inlineStr">
        <is>
          <t>A 44311-2025</t>
        </is>
      </c>
      <c r="B536" s="1" t="n">
        <v>45916.38394675926</v>
      </c>
      <c r="C536" s="1" t="n">
        <v>46133</v>
      </c>
      <c r="D536" t="inlineStr">
        <is>
          <t>STOCKHOLMS LÄN</t>
        </is>
      </c>
      <c r="E536" t="inlineStr">
        <is>
          <t>NORRTÄLJE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44333-2025</t>
        </is>
      </c>
      <c r="B537" s="1" t="n">
        <v>45916.42293981482</v>
      </c>
      <c r="C537" s="1" t="n">
        <v>46133</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31170-2025</t>
        </is>
      </c>
      <c r="B538" s="1" t="n">
        <v>45832.66385416667</v>
      </c>
      <c r="C538" s="1" t="n">
        <v>46133</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37550-2022</t>
        </is>
      </c>
      <c r="B539" s="1" t="n">
        <v>44809</v>
      </c>
      <c r="C539" s="1" t="n">
        <v>46133</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31880-2025</t>
        </is>
      </c>
      <c r="B540" s="1" t="n">
        <v>45834.65538194445</v>
      </c>
      <c r="C540" s="1" t="n">
        <v>46133</v>
      </c>
      <c r="D540" t="inlineStr">
        <is>
          <t>STOCKHOLMS LÄN</t>
        </is>
      </c>
      <c r="E540" t="inlineStr">
        <is>
          <t>NORRTÄLJE</t>
        </is>
      </c>
      <c r="G540" t="n">
        <v>1.4</v>
      </c>
      <c r="H540" t="n">
        <v>0</v>
      </c>
      <c r="I540" t="n">
        <v>0</v>
      </c>
      <c r="J540" t="n">
        <v>0</v>
      </c>
      <c r="K540" t="n">
        <v>0</v>
      </c>
      <c r="L540" t="n">
        <v>0</v>
      </c>
      <c r="M540" t="n">
        <v>0</v>
      </c>
      <c r="N540" t="n">
        <v>0</v>
      </c>
      <c r="O540" t="n">
        <v>0</v>
      </c>
      <c r="P540" t="n">
        <v>0</v>
      </c>
      <c r="Q540" t="n">
        <v>0</v>
      </c>
      <c r="R540" s="2" t="inlineStr"/>
    </row>
    <row r="541" ht="15" customHeight="1">
      <c r="A541" t="inlineStr">
        <is>
          <t>A 32122-2025</t>
        </is>
      </c>
      <c r="B541" s="1" t="n">
        <v>45835.4928125</v>
      </c>
      <c r="C541" s="1" t="n">
        <v>46133</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31868-2025</t>
        </is>
      </c>
      <c r="B542" s="1" t="n">
        <v>45834.6447337963</v>
      </c>
      <c r="C542" s="1" t="n">
        <v>46133</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6413-2025</t>
        </is>
      </c>
      <c r="B543" s="1" t="n">
        <v>45699.46283564815</v>
      </c>
      <c r="C543" s="1" t="n">
        <v>46133</v>
      </c>
      <c r="D543" t="inlineStr">
        <is>
          <t>STOCKHOLMS LÄN</t>
        </is>
      </c>
      <c r="E543" t="inlineStr">
        <is>
          <t>NORRTÄLJE</t>
        </is>
      </c>
      <c r="G543" t="n">
        <v>3.6</v>
      </c>
      <c r="H543" t="n">
        <v>0</v>
      </c>
      <c r="I543" t="n">
        <v>0</v>
      </c>
      <c r="J543" t="n">
        <v>0</v>
      </c>
      <c r="K543" t="n">
        <v>0</v>
      </c>
      <c r="L543" t="n">
        <v>0</v>
      </c>
      <c r="M543" t="n">
        <v>0</v>
      </c>
      <c r="N543" t="n">
        <v>0</v>
      </c>
      <c r="O543" t="n">
        <v>0</v>
      </c>
      <c r="P543" t="n">
        <v>0</v>
      </c>
      <c r="Q543" t="n">
        <v>0</v>
      </c>
      <c r="R543" s="2" t="inlineStr"/>
    </row>
    <row r="544" ht="15" customHeight="1">
      <c r="A544" t="inlineStr">
        <is>
          <t>A 44937-2025</t>
        </is>
      </c>
      <c r="B544" s="1" t="n">
        <v>45918</v>
      </c>
      <c r="C544" s="1" t="n">
        <v>46133</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48161-2022</t>
        </is>
      </c>
      <c r="B545" s="1" t="n">
        <v>44858</v>
      </c>
      <c r="C545" s="1" t="n">
        <v>46133</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48798-2021</t>
        </is>
      </c>
      <c r="B546" s="1" t="n">
        <v>44452</v>
      </c>
      <c r="C546" s="1" t="n">
        <v>46133</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32016-2025</t>
        </is>
      </c>
      <c r="B547" s="1" t="n">
        <v>45835</v>
      </c>
      <c r="C547" s="1" t="n">
        <v>46133</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32283-2025</t>
        </is>
      </c>
      <c r="B548" s="1" t="n">
        <v>45835.68076388889</v>
      </c>
      <c r="C548" s="1" t="n">
        <v>46133</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54776-2023</t>
        </is>
      </c>
      <c r="B549" s="1" t="n">
        <v>45236.46369212963</v>
      </c>
      <c r="C549" s="1" t="n">
        <v>46133</v>
      </c>
      <c r="D549" t="inlineStr">
        <is>
          <t>STOCKHOLMS LÄN</t>
        </is>
      </c>
      <c r="E549" t="inlineStr">
        <is>
          <t>NORRTÄLJE</t>
        </is>
      </c>
      <c r="G549" t="n">
        <v>0.3</v>
      </c>
      <c r="H549" t="n">
        <v>0</v>
      </c>
      <c r="I549" t="n">
        <v>0</v>
      </c>
      <c r="J549" t="n">
        <v>0</v>
      </c>
      <c r="K549" t="n">
        <v>0</v>
      </c>
      <c r="L549" t="n">
        <v>0</v>
      </c>
      <c r="M549" t="n">
        <v>0</v>
      </c>
      <c r="N549" t="n">
        <v>0</v>
      </c>
      <c r="O549" t="n">
        <v>0</v>
      </c>
      <c r="P549" t="n">
        <v>0</v>
      </c>
      <c r="Q549" t="n">
        <v>0</v>
      </c>
      <c r="R549" s="2" t="inlineStr"/>
    </row>
    <row r="550" ht="15" customHeight="1">
      <c r="A550" t="inlineStr">
        <is>
          <t>A 31874-2025</t>
        </is>
      </c>
      <c r="B550" s="1" t="n">
        <v>45834</v>
      </c>
      <c r="C550" s="1" t="n">
        <v>46133</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32094-2025</t>
        </is>
      </c>
      <c r="B551" s="1" t="n">
        <v>45835.46034722222</v>
      </c>
      <c r="C551" s="1" t="n">
        <v>46133</v>
      </c>
      <c r="D551" t="inlineStr">
        <is>
          <t>STOCKHOLMS LÄN</t>
        </is>
      </c>
      <c r="E551" t="inlineStr">
        <is>
          <t>NORRTÄLJE</t>
        </is>
      </c>
      <c r="F551" t="inlineStr">
        <is>
          <t>Holmen skog AB</t>
        </is>
      </c>
      <c r="G551" t="n">
        <v>2.9</v>
      </c>
      <c r="H551" t="n">
        <v>0</v>
      </c>
      <c r="I551" t="n">
        <v>0</v>
      </c>
      <c r="J551" t="n">
        <v>0</v>
      </c>
      <c r="K551" t="n">
        <v>0</v>
      </c>
      <c r="L551" t="n">
        <v>0</v>
      </c>
      <c r="M551" t="n">
        <v>0</v>
      </c>
      <c r="N551" t="n">
        <v>0</v>
      </c>
      <c r="O551" t="n">
        <v>0</v>
      </c>
      <c r="P551" t="n">
        <v>0</v>
      </c>
      <c r="Q551" t="n">
        <v>0</v>
      </c>
      <c r="R551" s="2" t="inlineStr"/>
    </row>
    <row r="552" ht="15" customHeight="1">
      <c r="A552" t="inlineStr">
        <is>
          <t>A 57442-2021</t>
        </is>
      </c>
      <c r="B552" s="1" t="n">
        <v>44483</v>
      </c>
      <c r="C552" s="1" t="n">
        <v>46133</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55952-2024</t>
        </is>
      </c>
      <c r="B553" s="1" t="n">
        <v>45623.62563657408</v>
      </c>
      <c r="C553" s="1" t="n">
        <v>46133</v>
      </c>
      <c r="D553" t="inlineStr">
        <is>
          <t>STOCKHOLMS LÄN</t>
        </is>
      </c>
      <c r="E553" t="inlineStr">
        <is>
          <t>NORRTÄLJE</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8135-2025</t>
        </is>
      </c>
      <c r="B554" s="1" t="n">
        <v>45707.84997685185</v>
      </c>
      <c r="C554" s="1" t="n">
        <v>46133</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32480-2025</t>
        </is>
      </c>
      <c r="B555" s="1" t="n">
        <v>45838.43261574074</v>
      </c>
      <c r="C555" s="1" t="n">
        <v>46133</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3383-2023</t>
        </is>
      </c>
      <c r="B556" s="1" t="n">
        <v>44949</v>
      </c>
      <c r="C556" s="1" t="n">
        <v>46133</v>
      </c>
      <c r="D556" t="inlineStr">
        <is>
          <t>STOCKHOLMS LÄN</t>
        </is>
      </c>
      <c r="E556" t="inlineStr">
        <is>
          <t>NORRTÄLJE</t>
        </is>
      </c>
      <c r="G556" t="n">
        <v>14.6</v>
      </c>
      <c r="H556" t="n">
        <v>0</v>
      </c>
      <c r="I556" t="n">
        <v>0</v>
      </c>
      <c r="J556" t="n">
        <v>0</v>
      </c>
      <c r="K556" t="n">
        <v>0</v>
      </c>
      <c r="L556" t="n">
        <v>0</v>
      </c>
      <c r="M556" t="n">
        <v>0</v>
      </c>
      <c r="N556" t="n">
        <v>0</v>
      </c>
      <c r="O556" t="n">
        <v>0</v>
      </c>
      <c r="P556" t="n">
        <v>0</v>
      </c>
      <c r="Q556" t="n">
        <v>0</v>
      </c>
      <c r="R556" s="2" t="inlineStr"/>
    </row>
    <row r="557" ht="15" customHeight="1">
      <c r="A557" t="inlineStr">
        <is>
          <t>A 32872-2025</t>
        </is>
      </c>
      <c r="B557" s="1" t="n">
        <v>45839</v>
      </c>
      <c r="C557" s="1" t="n">
        <v>46133</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32903-2025</t>
        </is>
      </c>
      <c r="B558" s="1" t="n">
        <v>45839.62398148148</v>
      </c>
      <c r="C558" s="1" t="n">
        <v>46133</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32395-2025</t>
        </is>
      </c>
      <c r="B559" s="1" t="n">
        <v>45837.93730324074</v>
      </c>
      <c r="C559" s="1" t="n">
        <v>46133</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32396-2025</t>
        </is>
      </c>
      <c r="B560" s="1" t="n">
        <v>45837</v>
      </c>
      <c r="C560" s="1" t="n">
        <v>46133</v>
      </c>
      <c r="D560" t="inlineStr">
        <is>
          <t>STOCKHOLMS LÄN</t>
        </is>
      </c>
      <c r="E560" t="inlineStr">
        <is>
          <t>NORRTÄLJE</t>
        </is>
      </c>
      <c r="G560" t="n">
        <v>2</v>
      </c>
      <c r="H560" t="n">
        <v>0</v>
      </c>
      <c r="I560" t="n">
        <v>0</v>
      </c>
      <c r="J560" t="n">
        <v>0</v>
      </c>
      <c r="K560" t="n">
        <v>0</v>
      </c>
      <c r="L560" t="n">
        <v>0</v>
      </c>
      <c r="M560" t="n">
        <v>0</v>
      </c>
      <c r="N560" t="n">
        <v>0</v>
      </c>
      <c r="O560" t="n">
        <v>0</v>
      </c>
      <c r="P560" t="n">
        <v>0</v>
      </c>
      <c r="Q560" t="n">
        <v>0</v>
      </c>
      <c r="R560" s="2" t="inlineStr"/>
    </row>
    <row r="561" ht="15" customHeight="1">
      <c r="A561" t="inlineStr">
        <is>
          <t>A 32397-2025</t>
        </is>
      </c>
      <c r="B561" s="1" t="n">
        <v>45837.94081018519</v>
      </c>
      <c r="C561" s="1" t="n">
        <v>46133</v>
      </c>
      <c r="D561" t="inlineStr">
        <is>
          <t>STOCKHOLMS LÄN</t>
        </is>
      </c>
      <c r="E561" t="inlineStr">
        <is>
          <t>NORRTÄLJE</t>
        </is>
      </c>
      <c r="G561" t="n">
        <v>5.9</v>
      </c>
      <c r="H561" t="n">
        <v>0</v>
      </c>
      <c r="I561" t="n">
        <v>0</v>
      </c>
      <c r="J561" t="n">
        <v>0</v>
      </c>
      <c r="K561" t="n">
        <v>0</v>
      </c>
      <c r="L561" t="n">
        <v>0</v>
      </c>
      <c r="M561" t="n">
        <v>0</v>
      </c>
      <c r="N561" t="n">
        <v>0</v>
      </c>
      <c r="O561" t="n">
        <v>0</v>
      </c>
      <c r="P561" t="n">
        <v>0</v>
      </c>
      <c r="Q561" t="n">
        <v>0</v>
      </c>
      <c r="R561" s="2" t="inlineStr"/>
    </row>
    <row r="562" ht="15" customHeight="1">
      <c r="A562" t="inlineStr">
        <is>
          <t>A 22359-2025</t>
        </is>
      </c>
      <c r="B562" s="1" t="n">
        <v>45786</v>
      </c>
      <c r="C562" s="1" t="n">
        <v>46133</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21732-2023</t>
        </is>
      </c>
      <c r="B563" s="1" t="n">
        <v>45063</v>
      </c>
      <c r="C563" s="1" t="n">
        <v>46133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23307-2024</t>
        </is>
      </c>
      <c r="B564" s="1" t="n">
        <v>45453</v>
      </c>
      <c r="C564" s="1" t="n">
        <v>46133</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37085-2021</t>
        </is>
      </c>
      <c r="B565" s="1" t="n">
        <v>44395</v>
      </c>
      <c r="C565" s="1" t="n">
        <v>46133</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45697-2025</t>
        </is>
      </c>
      <c r="B566" s="1" t="n">
        <v>45923.39877314815</v>
      </c>
      <c r="C566" s="1" t="n">
        <v>46133</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33702-2025</t>
        </is>
      </c>
      <c r="B567" s="1" t="n">
        <v>45841.74596064815</v>
      </c>
      <c r="C567" s="1" t="n">
        <v>46133</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56428-2023</t>
        </is>
      </c>
      <c r="B568" s="1" t="n">
        <v>45243.45289351852</v>
      </c>
      <c r="C568" s="1" t="n">
        <v>46133</v>
      </c>
      <c r="D568" t="inlineStr">
        <is>
          <t>STOCKHOLMS LÄN</t>
        </is>
      </c>
      <c r="E568" t="inlineStr">
        <is>
          <t>NORRTÄLJE</t>
        </is>
      </c>
      <c r="F568" t="inlineStr">
        <is>
          <t>Kyrkan</t>
        </is>
      </c>
      <c r="G568" t="n">
        <v>1.3</v>
      </c>
      <c r="H568" t="n">
        <v>0</v>
      </c>
      <c r="I568" t="n">
        <v>0</v>
      </c>
      <c r="J568" t="n">
        <v>0</v>
      </c>
      <c r="K568" t="n">
        <v>0</v>
      </c>
      <c r="L568" t="n">
        <v>0</v>
      </c>
      <c r="M568" t="n">
        <v>0</v>
      </c>
      <c r="N568" t="n">
        <v>0</v>
      </c>
      <c r="O568" t="n">
        <v>0</v>
      </c>
      <c r="P568" t="n">
        <v>0</v>
      </c>
      <c r="Q568" t="n">
        <v>0</v>
      </c>
      <c r="R568" s="2" t="inlineStr"/>
    </row>
    <row r="569" ht="15" customHeight="1">
      <c r="A569" t="inlineStr">
        <is>
          <t>A 33211-2025</t>
        </is>
      </c>
      <c r="B569" s="1" t="n">
        <v>45840.62755787037</v>
      </c>
      <c r="C569" s="1" t="n">
        <v>46133</v>
      </c>
      <c r="D569" t="inlineStr">
        <is>
          <t>STOCKHOLMS LÄN</t>
        </is>
      </c>
      <c r="E569" t="inlineStr">
        <is>
          <t>NORRTÄLJE</t>
        </is>
      </c>
      <c r="G569" t="n">
        <v>5.1</v>
      </c>
      <c r="H569" t="n">
        <v>0</v>
      </c>
      <c r="I569" t="n">
        <v>0</v>
      </c>
      <c r="J569" t="n">
        <v>0</v>
      </c>
      <c r="K569" t="n">
        <v>0</v>
      </c>
      <c r="L569" t="n">
        <v>0</v>
      </c>
      <c r="M569" t="n">
        <v>0</v>
      </c>
      <c r="N569" t="n">
        <v>0</v>
      </c>
      <c r="O569" t="n">
        <v>0</v>
      </c>
      <c r="P569" t="n">
        <v>0</v>
      </c>
      <c r="Q569" t="n">
        <v>0</v>
      </c>
      <c r="R569" s="2" t="inlineStr"/>
    </row>
    <row r="570" ht="15" customHeight="1">
      <c r="A570" t="inlineStr">
        <is>
          <t>A 17556-2025</t>
        </is>
      </c>
      <c r="B570" s="1" t="n">
        <v>45757.62482638889</v>
      </c>
      <c r="C570" s="1" t="n">
        <v>46133</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33265-2025</t>
        </is>
      </c>
      <c r="B571" s="1" t="n">
        <v>45840.67829861111</v>
      </c>
      <c r="C571" s="1" t="n">
        <v>46133</v>
      </c>
      <c r="D571" t="inlineStr">
        <is>
          <t>STOCKHOLMS LÄN</t>
        </is>
      </c>
      <c r="E571" t="inlineStr">
        <is>
          <t>NORRTÄLJE</t>
        </is>
      </c>
      <c r="G571" t="n">
        <v>5.5</v>
      </c>
      <c r="H571" t="n">
        <v>0</v>
      </c>
      <c r="I571" t="n">
        <v>0</v>
      </c>
      <c r="J571" t="n">
        <v>0</v>
      </c>
      <c r="K571" t="n">
        <v>0</v>
      </c>
      <c r="L571" t="n">
        <v>0</v>
      </c>
      <c r="M571" t="n">
        <v>0</v>
      </c>
      <c r="N571" t="n">
        <v>0</v>
      </c>
      <c r="O571" t="n">
        <v>0</v>
      </c>
      <c r="P571" t="n">
        <v>0</v>
      </c>
      <c r="Q571" t="n">
        <v>0</v>
      </c>
      <c r="R571" s="2" t="inlineStr"/>
    </row>
    <row r="572" ht="15" customHeight="1">
      <c r="A572" t="inlineStr">
        <is>
          <t>A 197-2026</t>
        </is>
      </c>
      <c r="B572" s="1" t="n">
        <v>46026</v>
      </c>
      <c r="C572" s="1" t="n">
        <v>46133</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33552-2025</t>
        </is>
      </c>
      <c r="B573" s="1" t="n">
        <v>45841.5737962963</v>
      </c>
      <c r="C573" s="1" t="n">
        <v>46133</v>
      </c>
      <c r="D573" t="inlineStr">
        <is>
          <t>STOCKHOLMS LÄN</t>
        </is>
      </c>
      <c r="E573" t="inlineStr">
        <is>
          <t>NORRTÄLJE</t>
        </is>
      </c>
      <c r="G573" t="n">
        <v>8.9</v>
      </c>
      <c r="H573" t="n">
        <v>0</v>
      </c>
      <c r="I573" t="n">
        <v>0</v>
      </c>
      <c r="J573" t="n">
        <v>0</v>
      </c>
      <c r="K573" t="n">
        <v>0</v>
      </c>
      <c r="L573" t="n">
        <v>0</v>
      </c>
      <c r="M573" t="n">
        <v>0</v>
      </c>
      <c r="N573" t="n">
        <v>0</v>
      </c>
      <c r="O573" t="n">
        <v>0</v>
      </c>
      <c r="P573" t="n">
        <v>0</v>
      </c>
      <c r="Q573" t="n">
        <v>0</v>
      </c>
      <c r="R573" s="2" t="inlineStr"/>
    </row>
    <row r="574" ht="15" customHeight="1">
      <c r="A574" t="inlineStr">
        <is>
          <t>A 33336-2025</t>
        </is>
      </c>
      <c r="B574" s="1" t="n">
        <v>45841.35611111111</v>
      </c>
      <c r="C574" s="1" t="n">
        <v>46133</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46415-2025</t>
        </is>
      </c>
      <c r="B575" s="1" t="n">
        <v>45925.58636574074</v>
      </c>
      <c r="C575" s="1" t="n">
        <v>46133</v>
      </c>
      <c r="D575" t="inlineStr">
        <is>
          <t>STOCKHOLMS LÄN</t>
        </is>
      </c>
      <c r="E575" t="inlineStr">
        <is>
          <t>NORRTÄLJE</t>
        </is>
      </c>
      <c r="G575" t="n">
        <v>3.8</v>
      </c>
      <c r="H575" t="n">
        <v>0</v>
      </c>
      <c r="I575" t="n">
        <v>0</v>
      </c>
      <c r="J575" t="n">
        <v>0</v>
      </c>
      <c r="K575" t="n">
        <v>0</v>
      </c>
      <c r="L575" t="n">
        <v>0</v>
      </c>
      <c r="M575" t="n">
        <v>0</v>
      </c>
      <c r="N575" t="n">
        <v>0</v>
      </c>
      <c r="O575" t="n">
        <v>0</v>
      </c>
      <c r="P575" t="n">
        <v>0</v>
      </c>
      <c r="Q575" t="n">
        <v>0</v>
      </c>
      <c r="R575" s="2" t="inlineStr"/>
    </row>
    <row r="576" ht="15" customHeight="1">
      <c r="A576" t="inlineStr">
        <is>
          <t>A 33824-2025</t>
        </is>
      </c>
      <c r="B576" s="1" t="n">
        <v>45842.46885416667</v>
      </c>
      <c r="C576" s="1" t="n">
        <v>46133</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42094-2023</t>
        </is>
      </c>
      <c r="B577" s="1" t="n">
        <v>45177.61498842593</v>
      </c>
      <c r="C577" s="1" t="n">
        <v>46133</v>
      </c>
      <c r="D577" t="inlineStr">
        <is>
          <t>STOCKHOLMS LÄN</t>
        </is>
      </c>
      <c r="E577" t="inlineStr">
        <is>
          <t>NORRTÄLJE</t>
        </is>
      </c>
      <c r="G577" t="n">
        <v>0.3</v>
      </c>
      <c r="H577" t="n">
        <v>0</v>
      </c>
      <c r="I577" t="n">
        <v>0</v>
      </c>
      <c r="J577" t="n">
        <v>0</v>
      </c>
      <c r="K577" t="n">
        <v>0</v>
      </c>
      <c r="L577" t="n">
        <v>0</v>
      </c>
      <c r="M577" t="n">
        <v>0</v>
      </c>
      <c r="N577" t="n">
        <v>0</v>
      </c>
      <c r="O577" t="n">
        <v>0</v>
      </c>
      <c r="P577" t="n">
        <v>0</v>
      </c>
      <c r="Q577" t="n">
        <v>0</v>
      </c>
      <c r="R577" s="2" t="inlineStr"/>
    </row>
    <row r="578" ht="15" customHeight="1">
      <c r="A578" t="inlineStr">
        <is>
          <t>A 34006-2025</t>
        </is>
      </c>
      <c r="B578" s="1" t="n">
        <v>45844.62609953704</v>
      </c>
      <c r="C578" s="1" t="n">
        <v>46133</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34139-2025</t>
        </is>
      </c>
      <c r="B579" s="1" t="n">
        <v>45845</v>
      </c>
      <c r="C579" s="1" t="n">
        <v>46133</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124-2026</t>
        </is>
      </c>
      <c r="B580" s="1" t="n">
        <v>46024.58378472222</v>
      </c>
      <c r="C580" s="1" t="n">
        <v>46133</v>
      </c>
      <c r="D580" t="inlineStr">
        <is>
          <t>STOCKHOLMS LÄN</t>
        </is>
      </c>
      <c r="E580" t="inlineStr">
        <is>
          <t>NORRTÄLJE</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34010-2025</t>
        </is>
      </c>
      <c r="B581" s="1" t="n">
        <v>45844.91234953704</v>
      </c>
      <c r="C581" s="1" t="n">
        <v>46133</v>
      </c>
      <c r="D581" t="inlineStr">
        <is>
          <t>STOCKHOLMS LÄN</t>
        </is>
      </c>
      <c r="E581" t="inlineStr">
        <is>
          <t>NORRTÄLJE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36689-2023</t>
        </is>
      </c>
      <c r="B582" s="1" t="n">
        <v>45152</v>
      </c>
      <c r="C582" s="1" t="n">
        <v>46133</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8370-2025</t>
        </is>
      </c>
      <c r="B583" s="1" t="n">
        <v>45708</v>
      </c>
      <c r="C583" s="1" t="n">
        <v>46133</v>
      </c>
      <c r="D583" t="inlineStr">
        <is>
          <t>STOCKHOLMS LÄN</t>
        </is>
      </c>
      <c r="E583" t="inlineStr">
        <is>
          <t>NORRTÄLJE</t>
        </is>
      </c>
      <c r="F583" t="inlineStr">
        <is>
          <t>Övriga Aktiebolag</t>
        </is>
      </c>
      <c r="G583" t="n">
        <v>5.6</v>
      </c>
      <c r="H583" t="n">
        <v>0</v>
      </c>
      <c r="I583" t="n">
        <v>0</v>
      </c>
      <c r="J583" t="n">
        <v>0</v>
      </c>
      <c r="K583" t="n">
        <v>0</v>
      </c>
      <c r="L583" t="n">
        <v>0</v>
      </c>
      <c r="M583" t="n">
        <v>0</v>
      </c>
      <c r="N583" t="n">
        <v>0</v>
      </c>
      <c r="O583" t="n">
        <v>0</v>
      </c>
      <c r="P583" t="n">
        <v>0</v>
      </c>
      <c r="Q583" t="n">
        <v>0</v>
      </c>
      <c r="R583" s="2" t="inlineStr"/>
    </row>
    <row r="584" ht="15" customHeight="1">
      <c r="A584" t="inlineStr">
        <is>
          <t>A 46073-2024</t>
        </is>
      </c>
      <c r="B584" s="1" t="n">
        <v>45581</v>
      </c>
      <c r="C584" s="1" t="n">
        <v>46133</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3299-2022</t>
        </is>
      </c>
      <c r="B585" s="1" t="n">
        <v>44584.91001157407</v>
      </c>
      <c r="C585" s="1" t="n">
        <v>46133</v>
      </c>
      <c r="D585" t="inlineStr">
        <is>
          <t>STOCKHOLMS LÄN</t>
        </is>
      </c>
      <c r="E585" t="inlineStr">
        <is>
          <t>NORRTÄLJE</t>
        </is>
      </c>
      <c r="G585" t="n">
        <v>2.7</v>
      </c>
      <c r="H585" t="n">
        <v>0</v>
      </c>
      <c r="I585" t="n">
        <v>0</v>
      </c>
      <c r="J585" t="n">
        <v>0</v>
      </c>
      <c r="K585" t="n">
        <v>0</v>
      </c>
      <c r="L585" t="n">
        <v>0</v>
      </c>
      <c r="M585" t="n">
        <v>0</v>
      </c>
      <c r="N585" t="n">
        <v>0</v>
      </c>
      <c r="O585" t="n">
        <v>0</v>
      </c>
      <c r="P585" t="n">
        <v>0</v>
      </c>
      <c r="Q585" t="n">
        <v>0</v>
      </c>
      <c r="R585" s="2" t="inlineStr"/>
    </row>
    <row r="586" ht="15" customHeight="1">
      <c r="A586" t="inlineStr">
        <is>
          <t>A 12348-2025</t>
        </is>
      </c>
      <c r="B586" s="1" t="n">
        <v>45730.35026620371</v>
      </c>
      <c r="C586" s="1" t="n">
        <v>46133</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17545-2025</t>
        </is>
      </c>
      <c r="B587" s="1" t="n">
        <v>45757.60658564815</v>
      </c>
      <c r="C587" s="1" t="n">
        <v>46133</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25094-2023</t>
        </is>
      </c>
      <c r="B588" s="1" t="n">
        <v>45086.3629050926</v>
      </c>
      <c r="C588" s="1" t="n">
        <v>46133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36157-2024</t>
        </is>
      </c>
      <c r="B589" s="1" t="n">
        <v>45534.38240740741</v>
      </c>
      <c r="C589" s="1" t="n">
        <v>46133</v>
      </c>
      <c r="D589" t="inlineStr">
        <is>
          <t>STOCKHOLMS LÄN</t>
        </is>
      </c>
      <c r="E589" t="inlineStr">
        <is>
          <t>NORRTÄLJE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47694-2023</t>
        </is>
      </c>
      <c r="B590" s="1" t="n">
        <v>45203.63303240741</v>
      </c>
      <c r="C590" s="1" t="n">
        <v>46133</v>
      </c>
      <c r="D590" t="inlineStr">
        <is>
          <t>STOCKHOLMS LÄN</t>
        </is>
      </c>
      <c r="E590" t="inlineStr">
        <is>
          <t>NORRTÄLJE</t>
        </is>
      </c>
      <c r="G590" t="n">
        <v>5.2</v>
      </c>
      <c r="H590" t="n">
        <v>0</v>
      </c>
      <c r="I590" t="n">
        <v>0</v>
      </c>
      <c r="J590" t="n">
        <v>0</v>
      </c>
      <c r="K590" t="n">
        <v>0</v>
      </c>
      <c r="L590" t="n">
        <v>0</v>
      </c>
      <c r="M590" t="n">
        <v>0</v>
      </c>
      <c r="N590" t="n">
        <v>0</v>
      </c>
      <c r="O590" t="n">
        <v>0</v>
      </c>
      <c r="P590" t="n">
        <v>0</v>
      </c>
      <c r="Q590" t="n">
        <v>0</v>
      </c>
      <c r="R590" s="2" t="inlineStr"/>
    </row>
    <row r="591" ht="15" customHeight="1">
      <c r="A591" t="inlineStr">
        <is>
          <t>A 718-2026</t>
        </is>
      </c>
      <c r="B591" s="1" t="n">
        <v>46029.63174768518</v>
      </c>
      <c r="C591" s="1" t="n">
        <v>46133</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46900-2025</t>
        </is>
      </c>
      <c r="B592" s="1" t="n">
        <v>45929.38712962963</v>
      </c>
      <c r="C592" s="1" t="n">
        <v>46133</v>
      </c>
      <c r="D592" t="inlineStr">
        <is>
          <t>STOCKHOLMS LÄN</t>
        </is>
      </c>
      <c r="E592" t="inlineStr">
        <is>
          <t>NORRTÄLJE</t>
        </is>
      </c>
      <c r="F592" t="inlineStr">
        <is>
          <t>Holmen skog AB</t>
        </is>
      </c>
      <c r="G592" t="n">
        <v>6.2</v>
      </c>
      <c r="H592" t="n">
        <v>0</v>
      </c>
      <c r="I592" t="n">
        <v>0</v>
      </c>
      <c r="J592" t="n">
        <v>0</v>
      </c>
      <c r="K592" t="n">
        <v>0</v>
      </c>
      <c r="L592" t="n">
        <v>0</v>
      </c>
      <c r="M592" t="n">
        <v>0</v>
      </c>
      <c r="N592" t="n">
        <v>0</v>
      </c>
      <c r="O592" t="n">
        <v>0</v>
      </c>
      <c r="P592" t="n">
        <v>0</v>
      </c>
      <c r="Q592" t="n">
        <v>0</v>
      </c>
      <c r="R592" s="2" t="inlineStr"/>
    </row>
    <row r="593" ht="15" customHeight="1">
      <c r="A593" t="inlineStr">
        <is>
          <t>A 35532-2024</t>
        </is>
      </c>
      <c r="B593" s="1" t="n">
        <v>45531</v>
      </c>
      <c r="C593" s="1" t="n">
        <v>46133</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694-2026</t>
        </is>
      </c>
      <c r="B594" s="1" t="n">
        <v>46029.61375</v>
      </c>
      <c r="C594" s="1" t="n">
        <v>46133</v>
      </c>
      <c r="D594" t="inlineStr">
        <is>
          <t>STOCKHOLMS LÄN</t>
        </is>
      </c>
      <c r="E594" t="inlineStr">
        <is>
          <t>NORRTÄLJE</t>
        </is>
      </c>
      <c r="G594" t="n">
        <v>9.6</v>
      </c>
      <c r="H594" t="n">
        <v>0</v>
      </c>
      <c r="I594" t="n">
        <v>0</v>
      </c>
      <c r="J594" t="n">
        <v>0</v>
      </c>
      <c r="K594" t="n">
        <v>0</v>
      </c>
      <c r="L594" t="n">
        <v>0</v>
      </c>
      <c r="M594" t="n">
        <v>0</v>
      </c>
      <c r="N594" t="n">
        <v>0</v>
      </c>
      <c r="O594" t="n">
        <v>0</v>
      </c>
      <c r="P594" t="n">
        <v>0</v>
      </c>
      <c r="Q594" t="n">
        <v>0</v>
      </c>
      <c r="R594" s="2" t="inlineStr"/>
    </row>
    <row r="595" ht="15" customHeight="1">
      <c r="A595" t="inlineStr">
        <is>
          <t>A 693-2026</t>
        </is>
      </c>
      <c r="B595" s="1" t="n">
        <v>46029.6133449074</v>
      </c>
      <c r="C595" s="1" t="n">
        <v>46133</v>
      </c>
      <c r="D595" t="inlineStr">
        <is>
          <t>STOCKHOLMS LÄN</t>
        </is>
      </c>
      <c r="E595" t="inlineStr">
        <is>
          <t>NORRTÄLJE</t>
        </is>
      </c>
      <c r="G595" t="n">
        <v>9.6</v>
      </c>
      <c r="H595" t="n">
        <v>0</v>
      </c>
      <c r="I595" t="n">
        <v>0</v>
      </c>
      <c r="J595" t="n">
        <v>0</v>
      </c>
      <c r="K595" t="n">
        <v>0</v>
      </c>
      <c r="L595" t="n">
        <v>0</v>
      </c>
      <c r="M595" t="n">
        <v>0</v>
      </c>
      <c r="N595" t="n">
        <v>0</v>
      </c>
      <c r="O595" t="n">
        <v>0</v>
      </c>
      <c r="P595" t="n">
        <v>0</v>
      </c>
      <c r="Q595" t="n">
        <v>0</v>
      </c>
      <c r="R595" s="2" t="inlineStr"/>
    </row>
    <row r="596" ht="15" customHeight="1">
      <c r="A596" t="inlineStr">
        <is>
          <t>A 475-2026</t>
        </is>
      </c>
      <c r="B596" s="1" t="n">
        <v>46029.39351851852</v>
      </c>
      <c r="C596" s="1" t="n">
        <v>46133</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717-2026</t>
        </is>
      </c>
      <c r="B597" s="1" t="n">
        <v>46029.63028935185</v>
      </c>
      <c r="C597" s="1" t="n">
        <v>46133</v>
      </c>
      <c r="D597" t="inlineStr">
        <is>
          <t>STOCKHOLMS LÄN</t>
        </is>
      </c>
      <c r="E597" t="inlineStr">
        <is>
          <t>NORRTÄLJE</t>
        </is>
      </c>
      <c r="G597" t="n">
        <v>2.4</v>
      </c>
      <c r="H597" t="n">
        <v>0</v>
      </c>
      <c r="I597" t="n">
        <v>0</v>
      </c>
      <c r="J597" t="n">
        <v>0</v>
      </c>
      <c r="K597" t="n">
        <v>0</v>
      </c>
      <c r="L597" t="n">
        <v>0</v>
      </c>
      <c r="M597" t="n">
        <v>0</v>
      </c>
      <c r="N597" t="n">
        <v>0</v>
      </c>
      <c r="O597" t="n">
        <v>0</v>
      </c>
      <c r="P597" t="n">
        <v>0</v>
      </c>
      <c r="Q597" t="n">
        <v>0</v>
      </c>
      <c r="R597" s="2" t="inlineStr"/>
    </row>
    <row r="598" ht="15" customHeight="1">
      <c r="A598" t="inlineStr">
        <is>
          <t>A 812-2026</t>
        </is>
      </c>
      <c r="B598" s="1" t="n">
        <v>46030.33358796296</v>
      </c>
      <c r="C598" s="1" t="n">
        <v>46133</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1654-2025</t>
        </is>
      </c>
      <c r="B599" s="1" t="n">
        <v>45670.65921296296</v>
      </c>
      <c r="C599" s="1" t="n">
        <v>46133</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62644-2023</t>
        </is>
      </c>
      <c r="B600" s="1" t="n">
        <v>45271</v>
      </c>
      <c r="C600" s="1" t="n">
        <v>46133</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11229-2022</t>
        </is>
      </c>
      <c r="B601" s="1" t="n">
        <v>44629</v>
      </c>
      <c r="C601" s="1" t="n">
        <v>46133</v>
      </c>
      <c r="D601" t="inlineStr">
        <is>
          <t>STOCKHOLMS LÄN</t>
        </is>
      </c>
      <c r="E601" t="inlineStr">
        <is>
          <t>NORRTÄLJE</t>
        </is>
      </c>
      <c r="F601" t="inlineStr">
        <is>
          <t>Övriga Aktiebolag</t>
        </is>
      </c>
      <c r="G601" t="n">
        <v>4.1</v>
      </c>
      <c r="H601" t="n">
        <v>0</v>
      </c>
      <c r="I601" t="n">
        <v>0</v>
      </c>
      <c r="J601" t="n">
        <v>0</v>
      </c>
      <c r="K601" t="n">
        <v>0</v>
      </c>
      <c r="L601" t="n">
        <v>0</v>
      </c>
      <c r="M601" t="n">
        <v>0</v>
      </c>
      <c r="N601" t="n">
        <v>0</v>
      </c>
      <c r="O601" t="n">
        <v>0</v>
      </c>
      <c r="P601" t="n">
        <v>0</v>
      </c>
      <c r="Q601" t="n">
        <v>0</v>
      </c>
      <c r="R601" s="2" t="inlineStr"/>
    </row>
    <row r="602" ht="15" customHeight="1">
      <c r="A602" t="inlineStr">
        <is>
          <t>A 35256-2025</t>
        </is>
      </c>
      <c r="B602" s="1" t="n">
        <v>45853</v>
      </c>
      <c r="C602" s="1" t="n">
        <v>46133</v>
      </c>
      <c r="D602" t="inlineStr">
        <is>
          <t>STOCKHOLMS LÄN</t>
        </is>
      </c>
      <c r="E602" t="inlineStr">
        <is>
          <t>NORRTÄLJE</t>
        </is>
      </c>
      <c r="G602" t="n">
        <v>6.4</v>
      </c>
      <c r="H602" t="n">
        <v>0</v>
      </c>
      <c r="I602" t="n">
        <v>0</v>
      </c>
      <c r="J602" t="n">
        <v>0</v>
      </c>
      <c r="K602" t="n">
        <v>0</v>
      </c>
      <c r="L602" t="n">
        <v>0</v>
      </c>
      <c r="M602" t="n">
        <v>0</v>
      </c>
      <c r="N602" t="n">
        <v>0</v>
      </c>
      <c r="O602" t="n">
        <v>0</v>
      </c>
      <c r="P602" t="n">
        <v>0</v>
      </c>
      <c r="Q602" t="n">
        <v>0</v>
      </c>
      <c r="R602" s="2" t="inlineStr"/>
    </row>
    <row r="603" ht="15" customHeight="1">
      <c r="A603" t="inlineStr">
        <is>
          <t>A 1755-2026</t>
        </is>
      </c>
      <c r="B603" s="1" t="n">
        <v>46034.66230324074</v>
      </c>
      <c r="C603" s="1" t="n">
        <v>46133</v>
      </c>
      <c r="D603" t="inlineStr">
        <is>
          <t>STOCKHOLMS LÄN</t>
        </is>
      </c>
      <c r="E603" t="inlineStr">
        <is>
          <t>NORRTÄLJE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1789-2026</t>
        </is>
      </c>
      <c r="B604" s="1" t="n">
        <v>46034</v>
      </c>
      <c r="C604" s="1" t="n">
        <v>46133</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35110-2025</t>
        </is>
      </c>
      <c r="B605" s="1" t="n">
        <v>45852.58030092593</v>
      </c>
      <c r="C605" s="1" t="n">
        <v>46133</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57353-2024</t>
        </is>
      </c>
      <c r="B606" s="1" t="n">
        <v>45629.65143518519</v>
      </c>
      <c r="C606" s="1" t="n">
        <v>46133</v>
      </c>
      <c r="D606" t="inlineStr">
        <is>
          <t>STOCKHOLMS LÄN</t>
        </is>
      </c>
      <c r="E606" t="inlineStr">
        <is>
          <t>NORRTÄLJE</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48587-2023</t>
        </is>
      </c>
      <c r="B607" s="1" t="n">
        <v>45208</v>
      </c>
      <c r="C607" s="1" t="n">
        <v>46133</v>
      </c>
      <c r="D607" t="inlineStr">
        <is>
          <t>STOCKHOLMS LÄN</t>
        </is>
      </c>
      <c r="E607" t="inlineStr">
        <is>
          <t>NORRTÄLJE</t>
        </is>
      </c>
      <c r="G607" t="n">
        <v>7</v>
      </c>
      <c r="H607" t="n">
        <v>0</v>
      </c>
      <c r="I607" t="n">
        <v>0</v>
      </c>
      <c r="J607" t="n">
        <v>0</v>
      </c>
      <c r="K607" t="n">
        <v>0</v>
      </c>
      <c r="L607" t="n">
        <v>0</v>
      </c>
      <c r="M607" t="n">
        <v>0</v>
      </c>
      <c r="N607" t="n">
        <v>0</v>
      </c>
      <c r="O607" t="n">
        <v>0</v>
      </c>
      <c r="P607" t="n">
        <v>0</v>
      </c>
      <c r="Q607" t="n">
        <v>0</v>
      </c>
      <c r="R607" s="2" t="inlineStr"/>
    </row>
    <row r="608" ht="15" customHeight="1">
      <c r="A608" t="inlineStr">
        <is>
          <t>A 35254-2025</t>
        </is>
      </c>
      <c r="B608" s="1" t="n">
        <v>45853</v>
      </c>
      <c r="C608" s="1" t="n">
        <v>46133</v>
      </c>
      <c r="D608" t="inlineStr">
        <is>
          <t>STOCKHOLMS LÄN</t>
        </is>
      </c>
      <c r="E608" t="inlineStr">
        <is>
          <t>NORRTÄLJE</t>
        </is>
      </c>
      <c r="G608" t="n">
        <v>6.5</v>
      </c>
      <c r="H608" t="n">
        <v>0</v>
      </c>
      <c r="I608" t="n">
        <v>0</v>
      </c>
      <c r="J608" t="n">
        <v>0</v>
      </c>
      <c r="K608" t="n">
        <v>0</v>
      </c>
      <c r="L608" t="n">
        <v>0</v>
      </c>
      <c r="M608" t="n">
        <v>0</v>
      </c>
      <c r="N608" t="n">
        <v>0</v>
      </c>
      <c r="O608" t="n">
        <v>0</v>
      </c>
      <c r="P608" t="n">
        <v>0</v>
      </c>
      <c r="Q608" t="n">
        <v>0</v>
      </c>
      <c r="R608" s="2" t="inlineStr"/>
    </row>
    <row r="609" ht="15" customHeight="1">
      <c r="A609" t="inlineStr">
        <is>
          <t>A 2549-2022</t>
        </is>
      </c>
      <c r="B609" s="1" t="n">
        <v>44580</v>
      </c>
      <c r="C609" s="1" t="n">
        <v>46133</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4438-2023</t>
        </is>
      </c>
      <c r="B610" s="1" t="n">
        <v>44956</v>
      </c>
      <c r="C610" s="1" t="n">
        <v>46133</v>
      </c>
      <c r="D610" t="inlineStr">
        <is>
          <t>STOCKHOLMS LÄN</t>
        </is>
      </c>
      <c r="E610" t="inlineStr">
        <is>
          <t>NORRTÄLJE</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35479-2025</t>
        </is>
      </c>
      <c r="B611" s="1" t="n">
        <v>45855.69387731481</v>
      </c>
      <c r="C611" s="1" t="n">
        <v>46133</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35451-2025</t>
        </is>
      </c>
      <c r="B612" s="1" t="n">
        <v>45855.57033564815</v>
      </c>
      <c r="C612" s="1" t="n">
        <v>46133</v>
      </c>
      <c r="D612" t="inlineStr">
        <is>
          <t>STOCKHOLMS LÄN</t>
        </is>
      </c>
      <c r="E612" t="inlineStr">
        <is>
          <t>NORRTÄLJE</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35478-2025</t>
        </is>
      </c>
      <c r="B613" s="1" t="n">
        <v>45855.68413194444</v>
      </c>
      <c r="C613" s="1" t="n">
        <v>46133</v>
      </c>
      <c r="D613" t="inlineStr">
        <is>
          <t>STOCKHOLMS LÄN</t>
        </is>
      </c>
      <c r="E613" t="inlineStr">
        <is>
          <t>NORRTÄLJE</t>
        </is>
      </c>
      <c r="F613" t="inlineStr">
        <is>
          <t>Holmen skog AB</t>
        </is>
      </c>
      <c r="G613" t="n">
        <v>2.7</v>
      </c>
      <c r="H613" t="n">
        <v>0</v>
      </c>
      <c r="I613" t="n">
        <v>0</v>
      </c>
      <c r="J613" t="n">
        <v>0</v>
      </c>
      <c r="K613" t="n">
        <v>0</v>
      </c>
      <c r="L613" t="n">
        <v>0</v>
      </c>
      <c r="M613" t="n">
        <v>0</v>
      </c>
      <c r="N613" t="n">
        <v>0</v>
      </c>
      <c r="O613" t="n">
        <v>0</v>
      </c>
      <c r="P613" t="n">
        <v>0</v>
      </c>
      <c r="Q613" t="n">
        <v>0</v>
      </c>
      <c r="R613" s="2" t="inlineStr"/>
    </row>
    <row r="614" ht="15" customHeight="1">
      <c r="A614" t="inlineStr">
        <is>
          <t>A 47758-2023</t>
        </is>
      </c>
      <c r="B614" s="1" t="n">
        <v>45203.83891203703</v>
      </c>
      <c r="C614" s="1" t="n">
        <v>46133</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51061-2023</t>
        </is>
      </c>
      <c r="B615" s="1" t="n">
        <v>45218.65849537037</v>
      </c>
      <c r="C615" s="1" t="n">
        <v>46133</v>
      </c>
      <c r="D615" t="inlineStr">
        <is>
          <t>STOCKHOLMS LÄN</t>
        </is>
      </c>
      <c r="E615" t="inlineStr">
        <is>
          <t>NORRTÄLJE</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47498-2025</t>
        </is>
      </c>
      <c r="B616" s="1" t="n">
        <v>45930.8134375</v>
      </c>
      <c r="C616" s="1" t="n">
        <v>46133</v>
      </c>
      <c r="D616" t="inlineStr">
        <is>
          <t>STOCKHOLMS LÄN</t>
        </is>
      </c>
      <c r="E616" t="inlineStr">
        <is>
          <t>NORRTÄLJE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22697-2022</t>
        </is>
      </c>
      <c r="B617" s="1" t="n">
        <v>44714.56040509259</v>
      </c>
      <c r="C617" s="1" t="n">
        <v>46133</v>
      </c>
      <c r="D617" t="inlineStr">
        <is>
          <t>STOCKHOLMS LÄN</t>
        </is>
      </c>
      <c r="E617" t="inlineStr">
        <is>
          <t>NORRTÄLJE</t>
        </is>
      </c>
      <c r="G617" t="n">
        <v>5.6</v>
      </c>
      <c r="H617" t="n">
        <v>0</v>
      </c>
      <c r="I617" t="n">
        <v>0</v>
      </c>
      <c r="J617" t="n">
        <v>0</v>
      </c>
      <c r="K617" t="n">
        <v>0</v>
      </c>
      <c r="L617" t="n">
        <v>0</v>
      </c>
      <c r="M617" t="n">
        <v>0</v>
      </c>
      <c r="N617" t="n">
        <v>0</v>
      </c>
      <c r="O617" t="n">
        <v>0</v>
      </c>
      <c r="P617" t="n">
        <v>0</v>
      </c>
      <c r="Q617" t="n">
        <v>0</v>
      </c>
      <c r="R617" s="2" t="inlineStr"/>
    </row>
    <row r="618" ht="15" customHeight="1">
      <c r="A618" t="inlineStr">
        <is>
          <t>A 47460-2025</t>
        </is>
      </c>
      <c r="B618" s="1" t="n">
        <v>45930.66012731481</v>
      </c>
      <c r="C618" s="1" t="n">
        <v>46133</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47496-2025</t>
        </is>
      </c>
      <c r="B619" s="1" t="n">
        <v>45930.79252314815</v>
      </c>
      <c r="C619" s="1" t="n">
        <v>46133</v>
      </c>
      <c r="D619" t="inlineStr">
        <is>
          <t>STOCKHOLMS LÄN</t>
        </is>
      </c>
      <c r="E619" t="inlineStr">
        <is>
          <t>NORRTÄLJE</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47497-2025</t>
        </is>
      </c>
      <c r="B620" s="1" t="n">
        <v>45930.80217592593</v>
      </c>
      <c r="C620" s="1" t="n">
        <v>46133</v>
      </c>
      <c r="D620" t="inlineStr">
        <is>
          <t>STOCKHOLMS LÄN</t>
        </is>
      </c>
      <c r="E620" t="inlineStr">
        <is>
          <t>NORRTÄLJE</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45549-2022</t>
        </is>
      </c>
      <c r="B621" s="1" t="n">
        <v>44845.48064814815</v>
      </c>
      <c r="C621" s="1" t="n">
        <v>46133</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46133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24727-2023</t>
        </is>
      </c>
      <c r="B623" s="1" t="n">
        <v>45084.57695601852</v>
      </c>
      <c r="C623" s="1" t="n">
        <v>46133</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2088-2026</t>
        </is>
      </c>
      <c r="B624" s="1" t="n">
        <v>46036.35909722222</v>
      </c>
      <c r="C624" s="1" t="n">
        <v>46133</v>
      </c>
      <c r="D624" t="inlineStr">
        <is>
          <t>STOCKHOLMS LÄN</t>
        </is>
      </c>
      <c r="E624" t="inlineStr">
        <is>
          <t>NORRTÄLJE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48360-2025</t>
        </is>
      </c>
      <c r="B625" s="1" t="n">
        <v>45933.66253472222</v>
      </c>
      <c r="C625" s="1" t="n">
        <v>46133</v>
      </c>
      <c r="D625" t="inlineStr">
        <is>
          <t>STOCKHOLMS LÄN</t>
        </is>
      </c>
      <c r="E625" t="inlineStr">
        <is>
          <t>NORRTÄLJE</t>
        </is>
      </c>
      <c r="G625" t="n">
        <v>4.1</v>
      </c>
      <c r="H625" t="n">
        <v>0</v>
      </c>
      <c r="I625" t="n">
        <v>0</v>
      </c>
      <c r="J625" t="n">
        <v>0</v>
      </c>
      <c r="K625" t="n">
        <v>0</v>
      </c>
      <c r="L625" t="n">
        <v>0</v>
      </c>
      <c r="M625" t="n">
        <v>0</v>
      </c>
      <c r="N625" t="n">
        <v>0</v>
      </c>
      <c r="O625" t="n">
        <v>0</v>
      </c>
      <c r="P625" t="n">
        <v>0</v>
      </c>
      <c r="Q625" t="n">
        <v>0</v>
      </c>
      <c r="R625" s="2" t="inlineStr"/>
    </row>
    <row r="626" ht="15" customHeight="1">
      <c r="A626" t="inlineStr">
        <is>
          <t>A 48370-2025</t>
        </is>
      </c>
      <c r="B626" s="1" t="n">
        <v>45933.67854166667</v>
      </c>
      <c r="C626" s="1" t="n">
        <v>46133</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48722-2023</t>
        </is>
      </c>
      <c r="B627" s="1" t="n">
        <v>45208.70996527778</v>
      </c>
      <c r="C627" s="1" t="n">
        <v>46133</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35235-2024</t>
        </is>
      </c>
      <c r="B628" s="1" t="n">
        <v>45530</v>
      </c>
      <c r="C628" s="1" t="n">
        <v>46133</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48364-2025</t>
        </is>
      </c>
      <c r="B629" s="1" t="n">
        <v>45933.66796296297</v>
      </c>
      <c r="C629" s="1" t="n">
        <v>46133</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1448-2023</t>
        </is>
      </c>
      <c r="B630" s="1" t="n">
        <v>44937</v>
      </c>
      <c r="C630" s="1" t="n">
        <v>46133</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34444-2024</t>
        </is>
      </c>
      <c r="B631" s="1" t="n">
        <v>45525</v>
      </c>
      <c r="C631" s="1" t="n">
        <v>46133</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8736-2024</t>
        </is>
      </c>
      <c r="B632" s="1" t="n">
        <v>45356.4722800926</v>
      </c>
      <c r="C632" s="1" t="n">
        <v>46133</v>
      </c>
      <c r="D632" t="inlineStr">
        <is>
          <t>STOCKHOLMS LÄN</t>
        </is>
      </c>
      <c r="E632" t="inlineStr">
        <is>
          <t>NORRTÄLJE</t>
        </is>
      </c>
      <c r="G632" t="n">
        <v>8.9</v>
      </c>
      <c r="H632" t="n">
        <v>0</v>
      </c>
      <c r="I632" t="n">
        <v>0</v>
      </c>
      <c r="J632" t="n">
        <v>0</v>
      </c>
      <c r="K632" t="n">
        <v>0</v>
      </c>
      <c r="L632" t="n">
        <v>0</v>
      </c>
      <c r="M632" t="n">
        <v>0</v>
      </c>
      <c r="N632" t="n">
        <v>0</v>
      </c>
      <c r="O632" t="n">
        <v>0</v>
      </c>
      <c r="P632" t="n">
        <v>0</v>
      </c>
      <c r="Q632" t="n">
        <v>0</v>
      </c>
      <c r="R632" s="2" t="inlineStr"/>
    </row>
    <row r="633" ht="15" customHeight="1">
      <c r="A633" t="inlineStr">
        <is>
          <t>A 20698-2025</t>
        </is>
      </c>
      <c r="B633" s="1" t="n">
        <v>45776.47122685185</v>
      </c>
      <c r="C633" s="1" t="n">
        <v>46133</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48174-2025</t>
        </is>
      </c>
      <c r="B634" s="1" t="n">
        <v>45933.44230324074</v>
      </c>
      <c r="C634" s="1" t="n">
        <v>46133</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33149-2022</t>
        </is>
      </c>
      <c r="B635" s="1" t="n">
        <v>44785</v>
      </c>
      <c r="C635" s="1" t="n">
        <v>46133</v>
      </c>
      <c r="D635" t="inlineStr">
        <is>
          <t>STOCKHOLMS LÄN</t>
        </is>
      </c>
      <c r="E635" t="inlineStr">
        <is>
          <t>NORRTÄLJE</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48127-2025</t>
        </is>
      </c>
      <c r="B636" s="1" t="n">
        <v>45933.36621527778</v>
      </c>
      <c r="C636" s="1" t="n">
        <v>46133</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48179-2025</t>
        </is>
      </c>
      <c r="B637" s="1" t="n">
        <v>45933.44907407407</v>
      </c>
      <c r="C637" s="1" t="n">
        <v>46133</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48718-2025</t>
        </is>
      </c>
      <c r="B638" s="1" t="n">
        <v>45936</v>
      </c>
      <c r="C638" s="1" t="n">
        <v>46133</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48593-2025</t>
        </is>
      </c>
      <c r="B639" s="1" t="n">
        <v>45936.4627662037</v>
      </c>
      <c r="C639" s="1" t="n">
        <v>46133</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22232-2024</t>
        </is>
      </c>
      <c r="B640" s="1" t="n">
        <v>45446.4287962963</v>
      </c>
      <c r="C640" s="1" t="n">
        <v>46133</v>
      </c>
      <c r="D640" t="inlineStr">
        <is>
          <t>STOCKHOLMS LÄN</t>
        </is>
      </c>
      <c r="E640" t="inlineStr">
        <is>
          <t>NORRTÄLJE</t>
        </is>
      </c>
      <c r="G640" t="n">
        <v>12.8</v>
      </c>
      <c r="H640" t="n">
        <v>0</v>
      </c>
      <c r="I640" t="n">
        <v>0</v>
      </c>
      <c r="J640" t="n">
        <v>0</v>
      </c>
      <c r="K640" t="n">
        <v>0</v>
      </c>
      <c r="L640" t="n">
        <v>0</v>
      </c>
      <c r="M640" t="n">
        <v>0</v>
      </c>
      <c r="N640" t="n">
        <v>0</v>
      </c>
      <c r="O640" t="n">
        <v>0</v>
      </c>
      <c r="P640" t="n">
        <v>0</v>
      </c>
      <c r="Q640" t="n">
        <v>0</v>
      </c>
      <c r="R640" s="2" t="inlineStr"/>
    </row>
    <row r="641" ht="15" customHeight="1">
      <c r="A641" t="inlineStr">
        <is>
          <t>A 48443-2025</t>
        </is>
      </c>
      <c r="B641" s="1" t="n">
        <v>45935.55326388889</v>
      </c>
      <c r="C641" s="1" t="n">
        <v>46133</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36396-2025</t>
        </is>
      </c>
      <c r="B642" s="1" t="n">
        <v>45868.62267361111</v>
      </c>
      <c r="C642" s="1" t="n">
        <v>46133</v>
      </c>
      <c r="D642" t="inlineStr">
        <is>
          <t>STOCKHOLMS LÄN</t>
        </is>
      </c>
      <c r="E642" t="inlineStr">
        <is>
          <t>NORRTÄLJE</t>
        </is>
      </c>
      <c r="G642" t="n">
        <v>4.1</v>
      </c>
      <c r="H642" t="n">
        <v>0</v>
      </c>
      <c r="I642" t="n">
        <v>0</v>
      </c>
      <c r="J642" t="n">
        <v>0</v>
      </c>
      <c r="K642" t="n">
        <v>0</v>
      </c>
      <c r="L642" t="n">
        <v>0</v>
      </c>
      <c r="M642" t="n">
        <v>0</v>
      </c>
      <c r="N642" t="n">
        <v>0</v>
      </c>
      <c r="O642" t="n">
        <v>0</v>
      </c>
      <c r="P642" t="n">
        <v>0</v>
      </c>
      <c r="Q642" t="n">
        <v>0</v>
      </c>
      <c r="R642" s="2" t="inlineStr"/>
    </row>
    <row r="643" ht="15" customHeight="1">
      <c r="A643" t="inlineStr">
        <is>
          <t>A 6537-2024</t>
        </is>
      </c>
      <c r="B643" s="1" t="n">
        <v>45341.39853009259</v>
      </c>
      <c r="C643" s="1" t="n">
        <v>46133</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48780-2025</t>
        </is>
      </c>
      <c r="B644" s="1" t="n">
        <v>45937.30377314815</v>
      </c>
      <c r="C644" s="1" t="n">
        <v>46133</v>
      </c>
      <c r="D644" t="inlineStr">
        <is>
          <t>STOCKHOLMS LÄN</t>
        </is>
      </c>
      <c r="E644" t="inlineStr">
        <is>
          <t>NORRTÄLJE</t>
        </is>
      </c>
      <c r="G644" t="n">
        <v>7.7</v>
      </c>
      <c r="H644" t="n">
        <v>0</v>
      </c>
      <c r="I644" t="n">
        <v>0</v>
      </c>
      <c r="J644" t="n">
        <v>0</v>
      </c>
      <c r="K644" t="n">
        <v>0</v>
      </c>
      <c r="L644" t="n">
        <v>0</v>
      </c>
      <c r="M644" t="n">
        <v>0</v>
      </c>
      <c r="N644" t="n">
        <v>0</v>
      </c>
      <c r="O644" t="n">
        <v>0</v>
      </c>
      <c r="P644" t="n">
        <v>0</v>
      </c>
      <c r="Q644" t="n">
        <v>0</v>
      </c>
      <c r="R644" s="2" t="inlineStr"/>
    </row>
    <row r="645" ht="15" customHeight="1">
      <c r="A645" t="inlineStr">
        <is>
          <t>A 40175-2024</t>
        </is>
      </c>
      <c r="B645" s="1" t="n">
        <v>45554.55707175926</v>
      </c>
      <c r="C645" s="1" t="n">
        <v>46133</v>
      </c>
      <c r="D645" t="inlineStr">
        <is>
          <t>STOCKHOLMS LÄN</t>
        </is>
      </c>
      <c r="E645" t="inlineStr">
        <is>
          <t>NORRTÄLJE</t>
        </is>
      </c>
      <c r="G645" t="n">
        <v>7.7</v>
      </c>
      <c r="H645" t="n">
        <v>0</v>
      </c>
      <c r="I645" t="n">
        <v>0</v>
      </c>
      <c r="J645" t="n">
        <v>0</v>
      </c>
      <c r="K645" t="n">
        <v>0</v>
      </c>
      <c r="L645" t="n">
        <v>0</v>
      </c>
      <c r="M645" t="n">
        <v>0</v>
      </c>
      <c r="N645" t="n">
        <v>0</v>
      </c>
      <c r="O645" t="n">
        <v>0</v>
      </c>
      <c r="P645" t="n">
        <v>0</v>
      </c>
      <c r="Q645" t="n">
        <v>0</v>
      </c>
      <c r="R645" s="2" t="inlineStr"/>
    </row>
    <row r="646" ht="15" customHeight="1">
      <c r="A646" t="inlineStr">
        <is>
          <t>A 54558-2024</t>
        </is>
      </c>
      <c r="B646" s="1" t="n">
        <v>45617.62358796296</v>
      </c>
      <c r="C646" s="1" t="n">
        <v>46133</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2116-2026</t>
        </is>
      </c>
      <c r="B647" s="1" t="n">
        <v>46036.38108796296</v>
      </c>
      <c r="C647" s="1" t="n">
        <v>46133</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49129-2025</t>
        </is>
      </c>
      <c r="B648" s="1" t="n">
        <v>45937.89517361111</v>
      </c>
      <c r="C648" s="1" t="n">
        <v>46133</v>
      </c>
      <c r="D648" t="inlineStr">
        <is>
          <t>STOCKHOLMS LÄN</t>
        </is>
      </c>
      <c r="E648" t="inlineStr">
        <is>
          <t>NORRTÄLJE</t>
        </is>
      </c>
      <c r="G648" t="n">
        <v>0.5</v>
      </c>
      <c r="H648" t="n">
        <v>0</v>
      </c>
      <c r="I648" t="n">
        <v>0</v>
      </c>
      <c r="J648" t="n">
        <v>0</v>
      </c>
      <c r="K648" t="n">
        <v>0</v>
      </c>
      <c r="L648" t="n">
        <v>0</v>
      </c>
      <c r="M648" t="n">
        <v>0</v>
      </c>
      <c r="N648" t="n">
        <v>0</v>
      </c>
      <c r="O648" t="n">
        <v>0</v>
      </c>
      <c r="P648" t="n">
        <v>0</v>
      </c>
      <c r="Q648" t="n">
        <v>0</v>
      </c>
      <c r="R648" s="2" t="inlineStr"/>
    </row>
    <row r="649" ht="15" customHeight="1">
      <c r="A649" t="inlineStr">
        <is>
          <t>A 23056-2023</t>
        </is>
      </c>
      <c r="B649" s="1" t="n">
        <v>45075</v>
      </c>
      <c r="C649" s="1" t="n">
        <v>46133</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47431-2023</t>
        </is>
      </c>
      <c r="B650" s="1" t="n">
        <v>45202</v>
      </c>
      <c r="C650" s="1" t="n">
        <v>46133</v>
      </c>
      <c r="D650" t="inlineStr">
        <is>
          <t>STOCKHOLMS LÄN</t>
        </is>
      </c>
      <c r="E650" t="inlineStr">
        <is>
          <t>NORRTÄLJE</t>
        </is>
      </c>
      <c r="F650" t="inlineStr">
        <is>
          <t>Naturvårdsverket</t>
        </is>
      </c>
      <c r="G650" t="n">
        <v>1.2</v>
      </c>
      <c r="H650" t="n">
        <v>0</v>
      </c>
      <c r="I650" t="n">
        <v>0</v>
      </c>
      <c r="J650" t="n">
        <v>0</v>
      </c>
      <c r="K650" t="n">
        <v>0</v>
      </c>
      <c r="L650" t="n">
        <v>0</v>
      </c>
      <c r="M650" t="n">
        <v>0</v>
      </c>
      <c r="N650" t="n">
        <v>0</v>
      </c>
      <c r="O650" t="n">
        <v>0</v>
      </c>
      <c r="P650" t="n">
        <v>0</v>
      </c>
      <c r="Q650" t="n">
        <v>0</v>
      </c>
      <c r="R650" s="2" t="inlineStr"/>
    </row>
    <row r="651" ht="15" customHeight="1">
      <c r="A651" t="inlineStr">
        <is>
          <t>A 59499-2023</t>
        </is>
      </c>
      <c r="B651" s="1" t="n">
        <v>45254</v>
      </c>
      <c r="C651" s="1" t="n">
        <v>46133</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59468-2023</t>
        </is>
      </c>
      <c r="B652" s="1" t="n">
        <v>45254.41509259259</v>
      </c>
      <c r="C652" s="1" t="n">
        <v>46133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12532-2025</t>
        </is>
      </c>
      <c r="B653" s="1" t="n">
        <v>45730.69143518519</v>
      </c>
      <c r="C653" s="1" t="n">
        <v>46133</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5732-2023</t>
        </is>
      </c>
      <c r="B654" s="1" t="n">
        <v>44962</v>
      </c>
      <c r="C654" s="1" t="n">
        <v>46133</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50097-2025</t>
        </is>
      </c>
      <c r="B655" s="1" t="n">
        <v>45943.50207175926</v>
      </c>
      <c r="C655" s="1" t="n">
        <v>46133</v>
      </c>
      <c r="D655" t="inlineStr">
        <is>
          <t>STOCKHOLMS LÄN</t>
        </is>
      </c>
      <c r="E655" t="inlineStr">
        <is>
          <t>NORRTÄLJE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10653-2022</t>
        </is>
      </c>
      <c r="B656" s="1" t="n">
        <v>44624.59434027778</v>
      </c>
      <c r="C656" s="1" t="n">
        <v>46133</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21729-2024</t>
        </is>
      </c>
      <c r="B657" s="1" t="n">
        <v>45442</v>
      </c>
      <c r="C657" s="1" t="n">
        <v>46133</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49836-2025</t>
        </is>
      </c>
      <c r="B658" s="1" t="n">
        <v>45940.46862268518</v>
      </c>
      <c r="C658" s="1" t="n">
        <v>46133</v>
      </c>
      <c r="D658" t="inlineStr">
        <is>
          <t>STOCKHOLMS LÄN</t>
        </is>
      </c>
      <c r="E658" t="inlineStr">
        <is>
          <t>NORRTÄLJE</t>
        </is>
      </c>
      <c r="G658" t="n">
        <v>3.5</v>
      </c>
      <c r="H658" t="n">
        <v>0</v>
      </c>
      <c r="I658" t="n">
        <v>0</v>
      </c>
      <c r="J658" t="n">
        <v>0</v>
      </c>
      <c r="K658" t="n">
        <v>0</v>
      </c>
      <c r="L658" t="n">
        <v>0</v>
      </c>
      <c r="M658" t="n">
        <v>0</v>
      </c>
      <c r="N658" t="n">
        <v>0</v>
      </c>
      <c r="O658" t="n">
        <v>0</v>
      </c>
      <c r="P658" t="n">
        <v>0</v>
      </c>
      <c r="Q658" t="n">
        <v>0</v>
      </c>
      <c r="R658" s="2" t="inlineStr"/>
    </row>
    <row r="659" ht="15" customHeight="1">
      <c r="A659" t="inlineStr">
        <is>
          <t>A 37261-2025</t>
        </is>
      </c>
      <c r="B659" s="1" t="n">
        <v>45876.45253472222</v>
      </c>
      <c r="C659" s="1" t="n">
        <v>46133</v>
      </c>
      <c r="D659" t="inlineStr">
        <is>
          <t>STOCKHOLMS LÄN</t>
        </is>
      </c>
      <c r="E659" t="inlineStr">
        <is>
          <t>NORRTÄLJE</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11854-2025</t>
        </is>
      </c>
      <c r="B660" s="1" t="n">
        <v>45728.38924768518</v>
      </c>
      <c r="C660" s="1" t="n">
        <v>46133</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14762-2024</t>
        </is>
      </c>
      <c r="B661" s="1" t="n">
        <v>45397</v>
      </c>
      <c r="C661" s="1" t="n">
        <v>46133</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50327-2025</t>
        </is>
      </c>
      <c r="B662" s="1" t="n">
        <v>45944.46387731482</v>
      </c>
      <c r="C662" s="1" t="n">
        <v>46133</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50563-2025</t>
        </is>
      </c>
      <c r="B663" s="1" t="n">
        <v>45944</v>
      </c>
      <c r="C663" s="1" t="n">
        <v>46133</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59712-2024</t>
        </is>
      </c>
      <c r="B664" s="1" t="n">
        <v>45639.45166666667</v>
      </c>
      <c r="C664" s="1" t="n">
        <v>46133</v>
      </c>
      <c r="D664" t="inlineStr">
        <is>
          <t>STOCKHOLMS LÄN</t>
        </is>
      </c>
      <c r="E664" t="inlineStr">
        <is>
          <t>NORRTÄLJE</t>
        </is>
      </c>
      <c r="G664" t="n">
        <v>4.4</v>
      </c>
      <c r="H664" t="n">
        <v>0</v>
      </c>
      <c r="I664" t="n">
        <v>0</v>
      </c>
      <c r="J664" t="n">
        <v>0</v>
      </c>
      <c r="K664" t="n">
        <v>0</v>
      </c>
      <c r="L664" t="n">
        <v>0</v>
      </c>
      <c r="M664" t="n">
        <v>0</v>
      </c>
      <c r="N664" t="n">
        <v>0</v>
      </c>
      <c r="O664" t="n">
        <v>0</v>
      </c>
      <c r="P664" t="n">
        <v>0</v>
      </c>
      <c r="Q664" t="n">
        <v>0</v>
      </c>
      <c r="R664" s="2" t="inlineStr"/>
    </row>
    <row r="665" ht="15" customHeight="1">
      <c r="A665" t="inlineStr">
        <is>
          <t>A 50333-2025</t>
        </is>
      </c>
      <c r="B665" s="1" t="n">
        <v>45944.47178240741</v>
      </c>
      <c r="C665" s="1" t="n">
        <v>46133</v>
      </c>
      <c r="D665" t="inlineStr">
        <is>
          <t>STOCKHOLMS LÄN</t>
        </is>
      </c>
      <c r="E665" t="inlineStr">
        <is>
          <t>NORRTÄLJE</t>
        </is>
      </c>
      <c r="G665" t="n">
        <v>4.2</v>
      </c>
      <c r="H665" t="n">
        <v>0</v>
      </c>
      <c r="I665" t="n">
        <v>0</v>
      </c>
      <c r="J665" t="n">
        <v>0</v>
      </c>
      <c r="K665" t="n">
        <v>0</v>
      </c>
      <c r="L665" t="n">
        <v>0</v>
      </c>
      <c r="M665" t="n">
        <v>0</v>
      </c>
      <c r="N665" t="n">
        <v>0</v>
      </c>
      <c r="O665" t="n">
        <v>0</v>
      </c>
      <c r="P665" t="n">
        <v>0</v>
      </c>
      <c r="Q665" t="n">
        <v>0</v>
      </c>
      <c r="R665" s="2" t="inlineStr"/>
    </row>
    <row r="666" ht="15" customHeight="1">
      <c r="A666" t="inlineStr">
        <is>
          <t>A 37628-2025</t>
        </is>
      </c>
      <c r="B666" s="1" t="n">
        <v>45880.46189814815</v>
      </c>
      <c r="C666" s="1" t="n">
        <v>46133</v>
      </c>
      <c r="D666" t="inlineStr">
        <is>
          <t>STOCKHOLMS LÄN</t>
        </is>
      </c>
      <c r="E666" t="inlineStr">
        <is>
          <t>NORRTÄLJE</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29369-2024</t>
        </is>
      </c>
      <c r="B667" s="1" t="n">
        <v>45483.57244212963</v>
      </c>
      <c r="C667" s="1" t="n">
        <v>46133</v>
      </c>
      <c r="D667" t="inlineStr">
        <is>
          <t>STOCKHOLMS LÄN</t>
        </is>
      </c>
      <c r="E667" t="inlineStr">
        <is>
          <t>NORRTÄLJE</t>
        </is>
      </c>
      <c r="G667" t="n">
        <v>15.9</v>
      </c>
      <c r="H667" t="n">
        <v>0</v>
      </c>
      <c r="I667" t="n">
        <v>0</v>
      </c>
      <c r="J667" t="n">
        <v>0</v>
      </c>
      <c r="K667" t="n">
        <v>0</v>
      </c>
      <c r="L667" t="n">
        <v>0</v>
      </c>
      <c r="M667" t="n">
        <v>0</v>
      </c>
      <c r="N667" t="n">
        <v>0</v>
      </c>
      <c r="O667" t="n">
        <v>0</v>
      </c>
      <c r="P667" t="n">
        <v>0</v>
      </c>
      <c r="Q667" t="n">
        <v>0</v>
      </c>
      <c r="R667" s="2" t="inlineStr"/>
    </row>
    <row r="668" ht="15" customHeight="1">
      <c r="A668" t="inlineStr">
        <is>
          <t>A 37632-2025</t>
        </is>
      </c>
      <c r="B668" s="1" t="n">
        <v>45880.46524305556</v>
      </c>
      <c r="C668" s="1" t="n">
        <v>46133</v>
      </c>
      <c r="D668" t="inlineStr">
        <is>
          <t>STOCKHOLMS LÄN</t>
        </is>
      </c>
      <c r="E668" t="inlineStr">
        <is>
          <t>NORRTÄLJE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29841-2024</t>
        </is>
      </c>
      <c r="B669" s="1" t="n">
        <v>45485.60261574074</v>
      </c>
      <c r="C669" s="1" t="n">
        <v>46133</v>
      </c>
      <c r="D669" t="inlineStr">
        <is>
          <t>STOCKHOLMS LÄN</t>
        </is>
      </c>
      <c r="E669" t="inlineStr">
        <is>
          <t>NORRTÄLJE</t>
        </is>
      </c>
      <c r="G669" t="n">
        <v>15.9</v>
      </c>
      <c r="H669" t="n">
        <v>0</v>
      </c>
      <c r="I669" t="n">
        <v>0</v>
      </c>
      <c r="J669" t="n">
        <v>0</v>
      </c>
      <c r="K669" t="n">
        <v>0</v>
      </c>
      <c r="L669" t="n">
        <v>0</v>
      </c>
      <c r="M669" t="n">
        <v>0</v>
      </c>
      <c r="N669" t="n">
        <v>0</v>
      </c>
      <c r="O669" t="n">
        <v>0</v>
      </c>
      <c r="P669" t="n">
        <v>0</v>
      </c>
      <c r="Q669" t="n">
        <v>0</v>
      </c>
      <c r="R669" s="2" t="inlineStr"/>
    </row>
    <row r="670" ht="15" customHeight="1">
      <c r="A670" t="inlineStr">
        <is>
          <t>A 51122-2025</t>
        </is>
      </c>
      <c r="B670" s="1" t="n">
        <v>45947.53693287037</v>
      </c>
      <c r="C670" s="1" t="n">
        <v>46133</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20692-2025</t>
        </is>
      </c>
      <c r="B671" s="1" t="n">
        <v>45776.46369212963</v>
      </c>
      <c r="C671" s="1" t="n">
        <v>46133</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35127-2023</t>
        </is>
      </c>
      <c r="B672" s="1" t="n">
        <v>45145.51</v>
      </c>
      <c r="C672" s="1" t="n">
        <v>46133</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51233-2025</t>
        </is>
      </c>
      <c r="B673" s="1" t="n">
        <v>45947.68232638889</v>
      </c>
      <c r="C673" s="1" t="n">
        <v>46133</v>
      </c>
      <c r="D673" t="inlineStr">
        <is>
          <t>STOCKHOLMS LÄN</t>
        </is>
      </c>
      <c r="E673" t="inlineStr">
        <is>
          <t>NORRTÄLJE</t>
        </is>
      </c>
      <c r="F673" t="inlineStr">
        <is>
          <t>Naturvårdsverket</t>
        </is>
      </c>
      <c r="G673" t="n">
        <v>8.1</v>
      </c>
      <c r="H673" t="n">
        <v>0</v>
      </c>
      <c r="I673" t="n">
        <v>0</v>
      </c>
      <c r="J673" t="n">
        <v>0</v>
      </c>
      <c r="K673" t="n">
        <v>0</v>
      </c>
      <c r="L673" t="n">
        <v>0</v>
      </c>
      <c r="M673" t="n">
        <v>0</v>
      </c>
      <c r="N673" t="n">
        <v>0</v>
      </c>
      <c r="O673" t="n">
        <v>0</v>
      </c>
      <c r="P673" t="n">
        <v>0</v>
      </c>
      <c r="Q673" t="n">
        <v>0</v>
      </c>
      <c r="R673" s="2" t="inlineStr"/>
    </row>
    <row r="674" ht="15" customHeight="1">
      <c r="A674" t="inlineStr">
        <is>
          <t>A 51236-2025</t>
        </is>
      </c>
      <c r="B674" s="1" t="n">
        <v>45947.69078703703</v>
      </c>
      <c r="C674" s="1" t="n">
        <v>46133</v>
      </c>
      <c r="D674" t="inlineStr">
        <is>
          <t>STOCKHOLMS LÄN</t>
        </is>
      </c>
      <c r="E674" t="inlineStr">
        <is>
          <t>NORRTÄLJE</t>
        </is>
      </c>
      <c r="F674" t="inlineStr">
        <is>
          <t>Naturvårdsverket</t>
        </is>
      </c>
      <c r="G674" t="n">
        <v>6.3</v>
      </c>
      <c r="H674" t="n">
        <v>0</v>
      </c>
      <c r="I674" t="n">
        <v>0</v>
      </c>
      <c r="J674" t="n">
        <v>0</v>
      </c>
      <c r="K674" t="n">
        <v>0</v>
      </c>
      <c r="L674" t="n">
        <v>0</v>
      </c>
      <c r="M674" t="n">
        <v>0</v>
      </c>
      <c r="N674" t="n">
        <v>0</v>
      </c>
      <c r="O674" t="n">
        <v>0</v>
      </c>
      <c r="P674" t="n">
        <v>0</v>
      </c>
      <c r="Q674" t="n">
        <v>0</v>
      </c>
      <c r="R674" s="2" t="inlineStr"/>
    </row>
    <row r="675" ht="15" customHeight="1">
      <c r="A675" t="inlineStr">
        <is>
          <t>A 51241-2025</t>
        </is>
      </c>
      <c r="B675" s="1" t="n">
        <v>45947.71726851852</v>
      </c>
      <c r="C675" s="1" t="n">
        <v>46133</v>
      </c>
      <c r="D675" t="inlineStr">
        <is>
          <t>STOCKHOLMS LÄN</t>
        </is>
      </c>
      <c r="E675" t="inlineStr">
        <is>
          <t>NORRTÄLJE</t>
        </is>
      </c>
      <c r="F675" t="inlineStr">
        <is>
          <t>Naturvårdsverket</t>
        </is>
      </c>
      <c r="G675" t="n">
        <v>6.4</v>
      </c>
      <c r="H675" t="n">
        <v>0</v>
      </c>
      <c r="I675" t="n">
        <v>0</v>
      </c>
      <c r="J675" t="n">
        <v>0</v>
      </c>
      <c r="K675" t="n">
        <v>0</v>
      </c>
      <c r="L675" t="n">
        <v>0</v>
      </c>
      <c r="M675" t="n">
        <v>0</v>
      </c>
      <c r="N675" t="n">
        <v>0</v>
      </c>
      <c r="O675" t="n">
        <v>0</v>
      </c>
      <c r="P675" t="n">
        <v>0</v>
      </c>
      <c r="Q675" t="n">
        <v>0</v>
      </c>
      <c r="R675" s="2" t="inlineStr"/>
    </row>
    <row r="676" ht="15" customHeight="1">
      <c r="A676" t="inlineStr">
        <is>
          <t>A 37630-2025</t>
        </is>
      </c>
      <c r="B676" s="1" t="n">
        <v>45880.46372685185</v>
      </c>
      <c r="C676" s="1" t="n">
        <v>46133</v>
      </c>
      <c r="D676" t="inlineStr">
        <is>
          <t>STOCKHOLMS LÄN</t>
        </is>
      </c>
      <c r="E676" t="inlineStr">
        <is>
          <t>NORRTÄLJE</t>
        </is>
      </c>
      <c r="F676" t="inlineStr">
        <is>
          <t>Sveaskog</t>
        </is>
      </c>
      <c r="G676" t="n">
        <v>12.9</v>
      </c>
      <c r="H676" t="n">
        <v>0</v>
      </c>
      <c r="I676" t="n">
        <v>0</v>
      </c>
      <c r="J676" t="n">
        <v>0</v>
      </c>
      <c r="K676" t="n">
        <v>0</v>
      </c>
      <c r="L676" t="n">
        <v>0</v>
      </c>
      <c r="M676" t="n">
        <v>0</v>
      </c>
      <c r="N676" t="n">
        <v>0</v>
      </c>
      <c r="O676" t="n">
        <v>0</v>
      </c>
      <c r="P676" t="n">
        <v>0</v>
      </c>
      <c r="Q676" t="n">
        <v>0</v>
      </c>
      <c r="R676" s="2" t="inlineStr"/>
    </row>
    <row r="677" ht="15" customHeight="1">
      <c r="A677" t="inlineStr">
        <is>
          <t>A 51240-2025</t>
        </is>
      </c>
      <c r="B677" s="1" t="n">
        <v>45947.70420138889</v>
      </c>
      <c r="C677" s="1" t="n">
        <v>46133</v>
      </c>
      <c r="D677" t="inlineStr">
        <is>
          <t>STOCKHOLMS LÄN</t>
        </is>
      </c>
      <c r="E677" t="inlineStr">
        <is>
          <t>NORRTÄLJE</t>
        </is>
      </c>
      <c r="F677" t="inlineStr">
        <is>
          <t>Naturvårdsverket</t>
        </is>
      </c>
      <c r="G677" t="n">
        <v>3</v>
      </c>
      <c r="H677" t="n">
        <v>0</v>
      </c>
      <c r="I677" t="n">
        <v>0</v>
      </c>
      <c r="J677" t="n">
        <v>0</v>
      </c>
      <c r="K677" t="n">
        <v>0</v>
      </c>
      <c r="L677" t="n">
        <v>0</v>
      </c>
      <c r="M677" t="n">
        <v>0</v>
      </c>
      <c r="N677" t="n">
        <v>0</v>
      </c>
      <c r="O677" t="n">
        <v>0</v>
      </c>
      <c r="P677" t="n">
        <v>0</v>
      </c>
      <c r="Q677" t="n">
        <v>0</v>
      </c>
      <c r="R677" s="2" t="inlineStr"/>
    </row>
    <row r="678" ht="15" customHeight="1">
      <c r="A678" t="inlineStr">
        <is>
          <t>A 51121-2025</t>
        </is>
      </c>
      <c r="B678" s="1" t="n">
        <v>45947.53293981482</v>
      </c>
      <c r="C678" s="1" t="n">
        <v>46133</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46071-2024</t>
        </is>
      </c>
      <c r="B679" s="1" t="n">
        <v>45581</v>
      </c>
      <c r="C679" s="1" t="n">
        <v>46133</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45255-2022</t>
        </is>
      </c>
      <c r="B680" s="1" t="n">
        <v>44840</v>
      </c>
      <c r="C680" s="1" t="n">
        <v>46133</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59893-2022</t>
        </is>
      </c>
      <c r="B681" s="1" t="n">
        <v>44908.77368055555</v>
      </c>
      <c r="C681" s="1" t="n">
        <v>46133</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3549-2026</t>
        </is>
      </c>
      <c r="B682" s="1" t="n">
        <v>46042</v>
      </c>
      <c r="C682" s="1" t="n">
        <v>46133</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51532-2025</t>
        </is>
      </c>
      <c r="B683" s="1" t="n">
        <v>45950.68297453703</v>
      </c>
      <c r="C683" s="1" t="n">
        <v>46133</v>
      </c>
      <c r="D683" t="inlineStr">
        <is>
          <t>STOCKHOLMS LÄN</t>
        </is>
      </c>
      <c r="E683" t="inlineStr">
        <is>
          <t>NORRTÄLJE</t>
        </is>
      </c>
      <c r="F683" t="inlineStr">
        <is>
          <t>Naturvårdsverket</t>
        </is>
      </c>
      <c r="G683" t="n">
        <v>17.3</v>
      </c>
      <c r="H683" t="n">
        <v>0</v>
      </c>
      <c r="I683" t="n">
        <v>0</v>
      </c>
      <c r="J683" t="n">
        <v>0</v>
      </c>
      <c r="K683" t="n">
        <v>0</v>
      </c>
      <c r="L683" t="n">
        <v>0</v>
      </c>
      <c r="M683" t="n">
        <v>0</v>
      </c>
      <c r="N683" t="n">
        <v>0</v>
      </c>
      <c r="O683" t="n">
        <v>0</v>
      </c>
      <c r="P683" t="n">
        <v>0</v>
      </c>
      <c r="Q683" t="n">
        <v>0</v>
      </c>
      <c r="R683" s="2" t="inlineStr"/>
    </row>
    <row r="684" ht="15" customHeight="1">
      <c r="A684" t="inlineStr">
        <is>
          <t>A 39905-2023</t>
        </is>
      </c>
      <c r="B684" s="1" t="n">
        <v>45168.44489583333</v>
      </c>
      <c r="C684" s="1" t="n">
        <v>46133</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51789-2025</t>
        </is>
      </c>
      <c r="B685" s="1" t="n">
        <v>45951.68046296296</v>
      </c>
      <c r="C685" s="1" t="n">
        <v>46133</v>
      </c>
      <c r="D685" t="inlineStr">
        <is>
          <t>STOCKHOLMS LÄN</t>
        </is>
      </c>
      <c r="E685" t="inlineStr">
        <is>
          <t>NORRTÄLJE</t>
        </is>
      </c>
      <c r="F685" t="inlineStr">
        <is>
          <t>Naturvårdsverket</t>
        </is>
      </c>
      <c r="G685" t="n">
        <v>8.9</v>
      </c>
      <c r="H685" t="n">
        <v>0</v>
      </c>
      <c r="I685" t="n">
        <v>0</v>
      </c>
      <c r="J685" t="n">
        <v>0</v>
      </c>
      <c r="K685" t="n">
        <v>0</v>
      </c>
      <c r="L685" t="n">
        <v>0</v>
      </c>
      <c r="M685" t="n">
        <v>0</v>
      </c>
      <c r="N685" t="n">
        <v>0</v>
      </c>
      <c r="O685" t="n">
        <v>0</v>
      </c>
      <c r="P685" t="n">
        <v>0</v>
      </c>
      <c r="Q685" t="n">
        <v>0</v>
      </c>
      <c r="R685" s="2" t="inlineStr"/>
    </row>
    <row r="686" ht="15" customHeight="1">
      <c r="A686" t="inlineStr">
        <is>
          <t>A 5645-2023</t>
        </is>
      </c>
      <c r="B686" s="1" t="n">
        <v>44960.60469907407</v>
      </c>
      <c r="C686" s="1" t="n">
        <v>46133</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68361-2021</t>
        </is>
      </c>
      <c r="B687" s="1" t="n">
        <v>44528.91494212963</v>
      </c>
      <c r="C687" s="1" t="n">
        <v>46133</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60529-2023</t>
        </is>
      </c>
      <c r="B688" s="1" t="n">
        <v>45259</v>
      </c>
      <c r="C688" s="1" t="n">
        <v>46133</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13137-2024</t>
        </is>
      </c>
      <c r="B689" s="1" t="n">
        <v>45386.34175925926</v>
      </c>
      <c r="C689" s="1" t="n">
        <v>46133</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24350-2025</t>
        </is>
      </c>
      <c r="B690" s="1" t="n">
        <v>45797.58350694444</v>
      </c>
      <c r="C690" s="1" t="n">
        <v>46133</v>
      </c>
      <c r="D690" t="inlineStr">
        <is>
          <t>STOCKHOLMS LÄN</t>
        </is>
      </c>
      <c r="E690" t="inlineStr">
        <is>
          <t>NORRTÄLJE</t>
        </is>
      </c>
      <c r="G690" t="n">
        <v>4.5</v>
      </c>
      <c r="H690" t="n">
        <v>0</v>
      </c>
      <c r="I690" t="n">
        <v>0</v>
      </c>
      <c r="J690" t="n">
        <v>0</v>
      </c>
      <c r="K690" t="n">
        <v>0</v>
      </c>
      <c r="L690" t="n">
        <v>0</v>
      </c>
      <c r="M690" t="n">
        <v>0</v>
      </c>
      <c r="N690" t="n">
        <v>0</v>
      </c>
      <c r="O690" t="n">
        <v>0</v>
      </c>
      <c r="P690" t="n">
        <v>0</v>
      </c>
      <c r="Q690" t="n">
        <v>0</v>
      </c>
      <c r="R690" s="2" t="inlineStr"/>
    </row>
    <row r="691" ht="15" customHeight="1">
      <c r="A691" t="inlineStr">
        <is>
          <t>A 26703-2025</t>
        </is>
      </c>
      <c r="B691" s="1" t="n">
        <v>45810.45263888889</v>
      </c>
      <c r="C691" s="1" t="n">
        <v>46133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19706-2023</t>
        </is>
      </c>
      <c r="B692" s="1" t="n">
        <v>45051.455</v>
      </c>
      <c r="C692" s="1" t="n">
        <v>46133</v>
      </c>
      <c r="D692" t="inlineStr">
        <is>
          <t>STOCKHOLMS LÄN</t>
        </is>
      </c>
      <c r="E692" t="inlineStr">
        <is>
          <t>NORRTÄLJE</t>
        </is>
      </c>
      <c r="G692" t="n">
        <v>0.2</v>
      </c>
      <c r="H692" t="n">
        <v>0</v>
      </c>
      <c r="I692" t="n">
        <v>0</v>
      </c>
      <c r="J692" t="n">
        <v>0</v>
      </c>
      <c r="K692" t="n">
        <v>0</v>
      </c>
      <c r="L692" t="n">
        <v>0</v>
      </c>
      <c r="M692" t="n">
        <v>0</v>
      </c>
      <c r="N692" t="n">
        <v>0</v>
      </c>
      <c r="O692" t="n">
        <v>0</v>
      </c>
      <c r="P692" t="n">
        <v>0</v>
      </c>
      <c r="Q692" t="n">
        <v>0</v>
      </c>
      <c r="R692" s="2" t="inlineStr"/>
    </row>
    <row r="693" ht="15" customHeight="1">
      <c r="A693" t="inlineStr">
        <is>
          <t>A 38153-2025</t>
        </is>
      </c>
      <c r="B693" s="1" t="n">
        <v>45882.59722222222</v>
      </c>
      <c r="C693" s="1" t="n">
        <v>46133</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51960-2025</t>
        </is>
      </c>
      <c r="B694" s="1" t="n">
        <v>45952.54755787037</v>
      </c>
      <c r="C694" s="1" t="n">
        <v>46133</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17612-2022</t>
        </is>
      </c>
      <c r="B695" s="1" t="n">
        <v>44680</v>
      </c>
      <c r="C695" s="1" t="n">
        <v>46133</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16835-2022</t>
        </is>
      </c>
      <c r="B696" s="1" t="n">
        <v>44673</v>
      </c>
      <c r="C696" s="1" t="n">
        <v>46133</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62765-2022</t>
        </is>
      </c>
      <c r="B697" s="1" t="n">
        <v>44637</v>
      </c>
      <c r="C697" s="1" t="n">
        <v>46133</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58404-2023</t>
        </is>
      </c>
      <c r="B698" s="1" t="n">
        <v>45245</v>
      </c>
      <c r="C698" s="1" t="n">
        <v>46133</v>
      </c>
      <c r="D698" t="inlineStr">
        <is>
          <t>STOCKHOLMS LÄN</t>
        </is>
      </c>
      <c r="E698" t="inlineStr">
        <is>
          <t>NORRTÄLJE</t>
        </is>
      </c>
      <c r="G698" t="n">
        <v>53.5</v>
      </c>
      <c r="H698" t="n">
        <v>0</v>
      </c>
      <c r="I698" t="n">
        <v>0</v>
      </c>
      <c r="J698" t="n">
        <v>0</v>
      </c>
      <c r="K698" t="n">
        <v>0</v>
      </c>
      <c r="L698" t="n">
        <v>0</v>
      </c>
      <c r="M698" t="n">
        <v>0</v>
      </c>
      <c r="N698" t="n">
        <v>0</v>
      </c>
      <c r="O698" t="n">
        <v>0</v>
      </c>
      <c r="P698" t="n">
        <v>0</v>
      </c>
      <c r="Q698" t="n">
        <v>0</v>
      </c>
      <c r="R698" s="2" t="inlineStr"/>
    </row>
    <row r="699" ht="15" customHeight="1">
      <c r="A699" t="inlineStr">
        <is>
          <t>A 51941-2025</t>
        </is>
      </c>
      <c r="B699" s="1" t="n">
        <v>45952.52261574074</v>
      </c>
      <c r="C699" s="1" t="n">
        <v>46133</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22816-2021</t>
        </is>
      </c>
      <c r="B700" s="1" t="n">
        <v>44325</v>
      </c>
      <c r="C700" s="1" t="n">
        <v>46133</v>
      </c>
      <c r="D700" t="inlineStr">
        <is>
          <t>STOCKHOLMS LÄN</t>
        </is>
      </c>
      <c r="E700" t="inlineStr">
        <is>
          <t>NORRTÄLJE</t>
        </is>
      </c>
      <c r="G700" t="n">
        <v>4.5</v>
      </c>
      <c r="H700" t="n">
        <v>0</v>
      </c>
      <c r="I700" t="n">
        <v>0</v>
      </c>
      <c r="J700" t="n">
        <v>0</v>
      </c>
      <c r="K700" t="n">
        <v>0</v>
      </c>
      <c r="L700" t="n">
        <v>0</v>
      </c>
      <c r="M700" t="n">
        <v>0</v>
      </c>
      <c r="N700" t="n">
        <v>0</v>
      </c>
      <c r="O700" t="n">
        <v>0</v>
      </c>
      <c r="P700" t="n">
        <v>0</v>
      </c>
      <c r="Q700" t="n">
        <v>0</v>
      </c>
      <c r="R700" s="2" t="inlineStr"/>
    </row>
    <row r="701" ht="15" customHeight="1">
      <c r="A701" t="inlineStr">
        <is>
          <t>A 52061-2025</t>
        </is>
      </c>
      <c r="B701" s="1" t="n">
        <v>45952.63679398148</v>
      </c>
      <c r="C701" s="1" t="n">
        <v>46133</v>
      </c>
      <c r="D701" t="inlineStr">
        <is>
          <t>STOCKHOLMS LÄN</t>
        </is>
      </c>
      <c r="E701" t="inlineStr">
        <is>
          <t>NORRTÄLJE</t>
        </is>
      </c>
      <c r="G701" t="n">
        <v>9.5</v>
      </c>
      <c r="H701" t="n">
        <v>0</v>
      </c>
      <c r="I701" t="n">
        <v>0</v>
      </c>
      <c r="J701" t="n">
        <v>0</v>
      </c>
      <c r="K701" t="n">
        <v>0</v>
      </c>
      <c r="L701" t="n">
        <v>0</v>
      </c>
      <c r="M701" t="n">
        <v>0</v>
      </c>
      <c r="N701" t="n">
        <v>0</v>
      </c>
      <c r="O701" t="n">
        <v>0</v>
      </c>
      <c r="P701" t="n">
        <v>0</v>
      </c>
      <c r="Q701" t="n">
        <v>0</v>
      </c>
      <c r="R701" s="2" t="inlineStr"/>
    </row>
    <row r="702" ht="15" customHeight="1">
      <c r="A702" t="inlineStr">
        <is>
          <t>A 51945-2025</t>
        </is>
      </c>
      <c r="B702" s="1" t="n">
        <v>45952.52679398148</v>
      </c>
      <c r="C702" s="1" t="n">
        <v>46133</v>
      </c>
      <c r="D702" t="inlineStr">
        <is>
          <t>STOCKHOLMS LÄN</t>
        </is>
      </c>
      <c r="E702" t="inlineStr">
        <is>
          <t>NORRTÄLJE</t>
        </is>
      </c>
      <c r="G702" t="n">
        <v>7</v>
      </c>
      <c r="H702" t="n">
        <v>0</v>
      </c>
      <c r="I702" t="n">
        <v>0</v>
      </c>
      <c r="J702" t="n">
        <v>0</v>
      </c>
      <c r="K702" t="n">
        <v>0</v>
      </c>
      <c r="L702" t="n">
        <v>0</v>
      </c>
      <c r="M702" t="n">
        <v>0</v>
      </c>
      <c r="N702" t="n">
        <v>0</v>
      </c>
      <c r="O702" t="n">
        <v>0</v>
      </c>
      <c r="P702" t="n">
        <v>0</v>
      </c>
      <c r="Q702" t="n">
        <v>0</v>
      </c>
      <c r="R702" s="2" t="inlineStr"/>
    </row>
    <row r="703" ht="15" customHeight="1">
      <c r="A703" t="inlineStr">
        <is>
          <t>A 8586-2023</t>
        </is>
      </c>
      <c r="B703" s="1" t="n">
        <v>44977</v>
      </c>
      <c r="C703" s="1" t="n">
        <v>46133</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52251-2025</t>
        </is>
      </c>
      <c r="B704" s="1" t="n">
        <v>45953.49185185185</v>
      </c>
      <c r="C704" s="1" t="n">
        <v>46133</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52254-2025</t>
        </is>
      </c>
      <c r="B705" s="1" t="n">
        <v>45953.49519675926</v>
      </c>
      <c r="C705" s="1" t="n">
        <v>46133</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52773-2025</t>
        </is>
      </c>
      <c r="B706" s="1" t="n">
        <v>45957.41457175926</v>
      </c>
      <c r="C706" s="1" t="n">
        <v>46133</v>
      </c>
      <c r="D706" t="inlineStr">
        <is>
          <t>STOCKHOLMS LÄN</t>
        </is>
      </c>
      <c r="E706" t="inlineStr">
        <is>
          <t>NORRTÄLJE</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52777-2025</t>
        </is>
      </c>
      <c r="B707" s="1" t="n">
        <v>45957.41832175926</v>
      </c>
      <c r="C707" s="1" t="n">
        <v>46133</v>
      </c>
      <c r="D707" t="inlineStr">
        <is>
          <t>STOCKHOLMS LÄN</t>
        </is>
      </c>
      <c r="E707" t="inlineStr">
        <is>
          <t>NORRTÄLJE</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16202-2022</t>
        </is>
      </c>
      <c r="B708" s="1" t="n">
        <v>44670</v>
      </c>
      <c r="C708" s="1" t="n">
        <v>46133</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52526-2025</t>
        </is>
      </c>
      <c r="B709" s="1" t="n">
        <v>45954.53061342592</v>
      </c>
      <c r="C709" s="1" t="n">
        <v>46133</v>
      </c>
      <c r="D709" t="inlineStr">
        <is>
          <t>STOCKHOLMS LÄN</t>
        </is>
      </c>
      <c r="E709" t="inlineStr">
        <is>
          <t>NORRTÄLJE</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55018-2024</t>
        </is>
      </c>
      <c r="B710" s="1" t="n">
        <v>45621.35712962963</v>
      </c>
      <c r="C710" s="1" t="n">
        <v>46133</v>
      </c>
      <c r="D710" t="inlineStr">
        <is>
          <t>STOCKHOLMS LÄN</t>
        </is>
      </c>
      <c r="E710" t="inlineStr">
        <is>
          <t>NORRTÄLJE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53000-2025</t>
        </is>
      </c>
      <c r="B711" s="1" t="n">
        <v>45957.74357638889</v>
      </c>
      <c r="C711" s="1" t="n">
        <v>46133</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52703-2025</t>
        </is>
      </c>
      <c r="B712" s="1" t="n">
        <v>45956.88643518519</v>
      </c>
      <c r="C712" s="1" t="n">
        <v>46133</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52729-2025</t>
        </is>
      </c>
      <c r="B713" s="1" t="n">
        <v>45957.3636574074</v>
      </c>
      <c r="C713" s="1" t="n">
        <v>46133</v>
      </c>
      <c r="D713" t="inlineStr">
        <is>
          <t>STOCKHOLMS LÄN</t>
        </is>
      </c>
      <c r="E713" t="inlineStr">
        <is>
          <t>NORRTÄLJE</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50136-2023</t>
        </is>
      </c>
      <c r="B714" s="1" t="n">
        <v>45215</v>
      </c>
      <c r="C714" s="1" t="n">
        <v>46133</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25656-2023</t>
        </is>
      </c>
      <c r="B715" s="1" t="n">
        <v>45089</v>
      </c>
      <c r="C715" s="1" t="n">
        <v>46133</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6003-2025</t>
        </is>
      </c>
      <c r="B716" s="1" t="n">
        <v>45695.57881944445</v>
      </c>
      <c r="C716" s="1" t="n">
        <v>46133</v>
      </c>
      <c r="D716" t="inlineStr">
        <is>
          <t>STOCKHOLMS LÄN</t>
        </is>
      </c>
      <c r="E716" t="inlineStr">
        <is>
          <t>NORRTÄLJE</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52734-2025</t>
        </is>
      </c>
      <c r="B717" s="1" t="n">
        <v>45957.3710300926</v>
      </c>
      <c r="C717" s="1" t="n">
        <v>46133</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4227-2026</t>
        </is>
      </c>
      <c r="B718" s="1" t="n">
        <v>46044</v>
      </c>
      <c r="C718" s="1" t="n">
        <v>46133</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52776-2025</t>
        </is>
      </c>
      <c r="B719" s="1" t="n">
        <v>45957.41724537037</v>
      </c>
      <c r="C719" s="1" t="n">
        <v>46133</v>
      </c>
      <c r="D719" t="inlineStr">
        <is>
          <t>STOCKHOLMS LÄN</t>
        </is>
      </c>
      <c r="E719" t="inlineStr">
        <is>
          <t>NORRTÄLJE</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11902-2024</t>
        </is>
      </c>
      <c r="B720" s="1" t="n">
        <v>45376.55704861111</v>
      </c>
      <c r="C720" s="1" t="n">
        <v>46133</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38049-2023</t>
        </is>
      </c>
      <c r="B721" s="1" t="n">
        <v>45159</v>
      </c>
      <c r="C721" s="1" t="n">
        <v>46133</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59535-2024</t>
        </is>
      </c>
      <c r="B722" s="1" t="n">
        <v>45638.59979166667</v>
      </c>
      <c r="C722" s="1" t="n">
        <v>46133</v>
      </c>
      <c r="D722" t="inlineStr">
        <is>
          <t>STOCKHOLMS LÄN</t>
        </is>
      </c>
      <c r="E722" t="inlineStr">
        <is>
          <t>NORRTÄLJE</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52529-2025</t>
        </is>
      </c>
      <c r="B723" s="1" t="n">
        <v>45954.53229166667</v>
      </c>
      <c r="C723" s="1" t="n">
        <v>46133</v>
      </c>
      <c r="D723" t="inlineStr">
        <is>
          <t>STOCKHOLMS LÄN</t>
        </is>
      </c>
      <c r="E723" t="inlineStr">
        <is>
          <t>NORRTÄLJE</t>
        </is>
      </c>
      <c r="F723" t="inlineStr">
        <is>
          <t>Sveaskog</t>
        </is>
      </c>
      <c r="G723" t="n">
        <v>7.8</v>
      </c>
      <c r="H723" t="n">
        <v>0</v>
      </c>
      <c r="I723" t="n">
        <v>0</v>
      </c>
      <c r="J723" t="n">
        <v>0</v>
      </c>
      <c r="K723" t="n">
        <v>0</v>
      </c>
      <c r="L723" t="n">
        <v>0</v>
      </c>
      <c r="M723" t="n">
        <v>0</v>
      </c>
      <c r="N723" t="n">
        <v>0</v>
      </c>
      <c r="O723" t="n">
        <v>0</v>
      </c>
      <c r="P723" t="n">
        <v>0</v>
      </c>
      <c r="Q723" t="n">
        <v>0</v>
      </c>
      <c r="R723" s="2" t="inlineStr"/>
    </row>
    <row r="724" ht="15" customHeight="1">
      <c r="A724" t="inlineStr">
        <is>
          <t>A 52704-2025</t>
        </is>
      </c>
      <c r="B724" s="1" t="n">
        <v>45956.89097222222</v>
      </c>
      <c r="C724" s="1" t="n">
        <v>46133</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52553-2025</t>
        </is>
      </c>
      <c r="B725" s="1" t="n">
        <v>45954.5624537037</v>
      </c>
      <c r="C725" s="1" t="n">
        <v>46133</v>
      </c>
      <c r="D725" t="inlineStr">
        <is>
          <t>STOCKHOLMS LÄN</t>
        </is>
      </c>
      <c r="E725" t="inlineStr">
        <is>
          <t>NORRTÄLJE</t>
        </is>
      </c>
      <c r="G725" t="n">
        <v>4.4</v>
      </c>
      <c r="H725" t="n">
        <v>0</v>
      </c>
      <c r="I725" t="n">
        <v>0</v>
      </c>
      <c r="J725" t="n">
        <v>0</v>
      </c>
      <c r="K725" t="n">
        <v>0</v>
      </c>
      <c r="L725" t="n">
        <v>0</v>
      </c>
      <c r="M725" t="n">
        <v>0</v>
      </c>
      <c r="N725" t="n">
        <v>0</v>
      </c>
      <c r="O725" t="n">
        <v>0</v>
      </c>
      <c r="P725" t="n">
        <v>0</v>
      </c>
      <c r="Q725" t="n">
        <v>0</v>
      </c>
      <c r="R725" s="2" t="inlineStr"/>
    </row>
    <row r="726" ht="15" customHeight="1">
      <c r="A726" t="inlineStr">
        <is>
          <t>A 67921-2021</t>
        </is>
      </c>
      <c r="B726" s="1" t="n">
        <v>44525</v>
      </c>
      <c r="C726" s="1" t="n">
        <v>46133</v>
      </c>
      <c r="D726" t="inlineStr">
        <is>
          <t>STOCKHOLMS LÄN</t>
        </is>
      </c>
      <c r="E726" t="inlineStr">
        <is>
          <t>NORRTÄLJE</t>
        </is>
      </c>
      <c r="G726" t="n">
        <v>6.3</v>
      </c>
      <c r="H726" t="n">
        <v>0</v>
      </c>
      <c r="I726" t="n">
        <v>0</v>
      </c>
      <c r="J726" t="n">
        <v>0</v>
      </c>
      <c r="K726" t="n">
        <v>0</v>
      </c>
      <c r="L726" t="n">
        <v>0</v>
      </c>
      <c r="M726" t="n">
        <v>0</v>
      </c>
      <c r="N726" t="n">
        <v>0</v>
      </c>
      <c r="O726" t="n">
        <v>0</v>
      </c>
      <c r="P726" t="n">
        <v>0</v>
      </c>
      <c r="Q726" t="n">
        <v>0</v>
      </c>
      <c r="R726" s="2" t="inlineStr"/>
    </row>
    <row r="727" ht="15" customHeight="1">
      <c r="A727" t="inlineStr">
        <is>
          <t>A 4183-2025</t>
        </is>
      </c>
      <c r="B727" s="1" t="n">
        <v>45685.44592592592</v>
      </c>
      <c r="C727" s="1" t="n">
        <v>46133</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4230-2026</t>
        </is>
      </c>
      <c r="B728" s="1" t="n">
        <v>46044.89366898148</v>
      </c>
      <c r="C728" s="1" t="n">
        <v>46133</v>
      </c>
      <c r="D728" t="inlineStr">
        <is>
          <t>STOCKHOLMS LÄN</t>
        </is>
      </c>
      <c r="E728" t="inlineStr">
        <is>
          <t>NORRTÄLJE</t>
        </is>
      </c>
      <c r="G728" t="n">
        <v>10.8</v>
      </c>
      <c r="H728" t="n">
        <v>0</v>
      </c>
      <c r="I728" t="n">
        <v>0</v>
      </c>
      <c r="J728" t="n">
        <v>0</v>
      </c>
      <c r="K728" t="n">
        <v>0</v>
      </c>
      <c r="L728" t="n">
        <v>0</v>
      </c>
      <c r="M728" t="n">
        <v>0</v>
      </c>
      <c r="N728" t="n">
        <v>0</v>
      </c>
      <c r="O728" t="n">
        <v>0</v>
      </c>
      <c r="P728" t="n">
        <v>0</v>
      </c>
      <c r="Q728" t="n">
        <v>0</v>
      </c>
      <c r="R728" s="2" t="inlineStr"/>
    </row>
    <row r="729" ht="15" customHeight="1">
      <c r="A729" t="inlineStr">
        <is>
          <t>A 4231-2026</t>
        </is>
      </c>
      <c r="B729" s="1" t="n">
        <v>46044</v>
      </c>
      <c r="C729" s="1" t="n">
        <v>46133</v>
      </c>
      <c r="D729" t="inlineStr">
        <is>
          <t>STOCKHOLMS LÄN</t>
        </is>
      </c>
      <c r="E729" t="inlineStr">
        <is>
          <t>NORRTÄLJE</t>
        </is>
      </c>
      <c r="G729" t="n">
        <v>2.9</v>
      </c>
      <c r="H729" t="n">
        <v>0</v>
      </c>
      <c r="I729" t="n">
        <v>0</v>
      </c>
      <c r="J729" t="n">
        <v>0</v>
      </c>
      <c r="K729" t="n">
        <v>0</v>
      </c>
      <c r="L729" t="n">
        <v>0</v>
      </c>
      <c r="M729" t="n">
        <v>0</v>
      </c>
      <c r="N729" t="n">
        <v>0</v>
      </c>
      <c r="O729" t="n">
        <v>0</v>
      </c>
      <c r="P729" t="n">
        <v>0</v>
      </c>
      <c r="Q729" t="n">
        <v>0</v>
      </c>
      <c r="R729" s="2" t="inlineStr"/>
    </row>
    <row r="730" ht="15" customHeight="1">
      <c r="A730" t="inlineStr">
        <is>
          <t>A 4232-2026</t>
        </is>
      </c>
      <c r="B730" s="1" t="n">
        <v>46044.89594907407</v>
      </c>
      <c r="C730" s="1" t="n">
        <v>46133</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53299-2025</t>
        </is>
      </c>
      <c r="B731" s="1" t="n">
        <v>45959.31901620371</v>
      </c>
      <c r="C731" s="1" t="n">
        <v>46133</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53087-2025</t>
        </is>
      </c>
      <c r="B732" s="1" t="n">
        <v>45958.41065972222</v>
      </c>
      <c r="C732" s="1" t="n">
        <v>46133</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53115-2025</t>
        </is>
      </c>
      <c r="B733" s="1" t="n">
        <v>45958.44614583333</v>
      </c>
      <c r="C733" s="1" t="n">
        <v>46133</v>
      </c>
      <c r="D733" t="inlineStr">
        <is>
          <t>STOCKHOLMS LÄN</t>
        </is>
      </c>
      <c r="E733" t="inlineStr">
        <is>
          <t>NORRTÄLJE</t>
        </is>
      </c>
      <c r="F733" t="inlineStr">
        <is>
          <t>Kyrkan</t>
        </is>
      </c>
      <c r="G733" t="n">
        <v>2.5</v>
      </c>
      <c r="H733" t="n">
        <v>0</v>
      </c>
      <c r="I733" t="n">
        <v>0</v>
      </c>
      <c r="J733" t="n">
        <v>0</v>
      </c>
      <c r="K733" t="n">
        <v>0</v>
      </c>
      <c r="L733" t="n">
        <v>0</v>
      </c>
      <c r="M733" t="n">
        <v>0</v>
      </c>
      <c r="N733" t="n">
        <v>0</v>
      </c>
      <c r="O733" t="n">
        <v>0</v>
      </c>
      <c r="P733" t="n">
        <v>0</v>
      </c>
      <c r="Q733" t="n">
        <v>0</v>
      </c>
      <c r="R733" s="2" t="inlineStr"/>
    </row>
    <row r="734" ht="15" customHeight="1">
      <c r="A734" t="inlineStr">
        <is>
          <t>A 9480-2025</t>
        </is>
      </c>
      <c r="B734" s="1" t="n">
        <v>45715</v>
      </c>
      <c r="C734" s="1" t="n">
        <v>46133</v>
      </c>
      <c r="D734" t="inlineStr">
        <is>
          <t>STOCKHOLMS LÄN</t>
        </is>
      </c>
      <c r="E734" t="inlineStr">
        <is>
          <t>NORRTÄLJE</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53629-2025</t>
        </is>
      </c>
      <c r="B735" s="1" t="n">
        <v>45960.49570601852</v>
      </c>
      <c r="C735" s="1" t="n">
        <v>46133</v>
      </c>
      <c r="D735" t="inlineStr">
        <is>
          <t>STOCKHOLMS LÄN</t>
        </is>
      </c>
      <c r="E735" t="inlineStr">
        <is>
          <t>NORRTÄLJE</t>
        </is>
      </c>
      <c r="F735" t="inlineStr">
        <is>
          <t>Naturvårdsverket</t>
        </is>
      </c>
      <c r="G735" t="n">
        <v>7.9</v>
      </c>
      <c r="H735" t="n">
        <v>0</v>
      </c>
      <c r="I735" t="n">
        <v>0</v>
      </c>
      <c r="J735" t="n">
        <v>0</v>
      </c>
      <c r="K735" t="n">
        <v>0</v>
      </c>
      <c r="L735" t="n">
        <v>0</v>
      </c>
      <c r="M735" t="n">
        <v>0</v>
      </c>
      <c r="N735" t="n">
        <v>0</v>
      </c>
      <c r="O735" t="n">
        <v>0</v>
      </c>
      <c r="P735" t="n">
        <v>0</v>
      </c>
      <c r="Q735" t="n">
        <v>0</v>
      </c>
      <c r="R735" s="2" t="inlineStr"/>
    </row>
    <row r="736" ht="15" customHeight="1">
      <c r="A736" t="inlineStr">
        <is>
          <t>A 3933-2026</t>
        </is>
      </c>
      <c r="B736" s="1" t="n">
        <v>46043.79916666666</v>
      </c>
      <c r="C736" s="1" t="n">
        <v>46133</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4235-2026</t>
        </is>
      </c>
      <c r="B737" s="1" t="n">
        <v>46044</v>
      </c>
      <c r="C737" s="1" t="n">
        <v>46133</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53747-2025</t>
        </is>
      </c>
      <c r="B738" s="1" t="n">
        <v>45960.65415509259</v>
      </c>
      <c r="C738" s="1" t="n">
        <v>46133</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65499-2021</t>
        </is>
      </c>
      <c r="B739" s="1" t="n">
        <v>44516</v>
      </c>
      <c r="C739" s="1" t="n">
        <v>46133</v>
      </c>
      <c r="D739" t="inlineStr">
        <is>
          <t>STOCKHOLMS LÄN</t>
        </is>
      </c>
      <c r="E739" t="inlineStr">
        <is>
          <t>NORRTÄLJE</t>
        </is>
      </c>
      <c r="F739" t="inlineStr">
        <is>
          <t>Kommuner</t>
        </is>
      </c>
      <c r="G739" t="n">
        <v>5.2</v>
      </c>
      <c r="H739" t="n">
        <v>0</v>
      </c>
      <c r="I739" t="n">
        <v>0</v>
      </c>
      <c r="J739" t="n">
        <v>0</v>
      </c>
      <c r="K739" t="n">
        <v>0</v>
      </c>
      <c r="L739" t="n">
        <v>0</v>
      </c>
      <c r="M739" t="n">
        <v>0</v>
      </c>
      <c r="N739" t="n">
        <v>0</v>
      </c>
      <c r="O739" t="n">
        <v>0</v>
      </c>
      <c r="P739" t="n">
        <v>0</v>
      </c>
      <c r="Q739" t="n">
        <v>0</v>
      </c>
      <c r="R739" s="2" t="inlineStr"/>
    </row>
    <row r="740" ht="15" customHeight="1">
      <c r="A740" t="inlineStr">
        <is>
          <t>A 24522-2023</t>
        </is>
      </c>
      <c r="B740" s="1" t="n">
        <v>45082.69179398148</v>
      </c>
      <c r="C740" s="1" t="n">
        <v>46133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25625-2023</t>
        </is>
      </c>
      <c r="B741" s="1" t="n">
        <v>45089</v>
      </c>
      <c r="C741" s="1" t="n">
        <v>46133</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12718-2026</t>
        </is>
      </c>
      <c r="B742" s="1" t="n">
        <v>46091.60412037037</v>
      </c>
      <c r="C742" s="1" t="n">
        <v>46133</v>
      </c>
      <c r="D742" t="inlineStr">
        <is>
          <t>STOCKHOLMS LÄN</t>
        </is>
      </c>
      <c r="E742" t="inlineStr">
        <is>
          <t>NORRTÄLJE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37147-2023</t>
        </is>
      </c>
      <c r="B743" s="1" t="n">
        <v>45155</v>
      </c>
      <c r="C743" s="1" t="n">
        <v>46133</v>
      </c>
      <c r="D743" t="inlineStr">
        <is>
          <t>STOCKHOLMS LÄN</t>
        </is>
      </c>
      <c r="E743" t="inlineStr">
        <is>
          <t>NORRTÄLJE</t>
        </is>
      </c>
      <c r="G743" t="n">
        <v>8</v>
      </c>
      <c r="H743" t="n">
        <v>0</v>
      </c>
      <c r="I743" t="n">
        <v>0</v>
      </c>
      <c r="J743" t="n">
        <v>0</v>
      </c>
      <c r="K743" t="n">
        <v>0</v>
      </c>
      <c r="L743" t="n">
        <v>0</v>
      </c>
      <c r="M743" t="n">
        <v>0</v>
      </c>
      <c r="N743" t="n">
        <v>0</v>
      </c>
      <c r="O743" t="n">
        <v>0</v>
      </c>
      <c r="P743" t="n">
        <v>0</v>
      </c>
      <c r="Q743" t="n">
        <v>0</v>
      </c>
      <c r="R743" s="2" t="inlineStr"/>
    </row>
    <row r="744" ht="15" customHeight="1">
      <c r="A744" t="inlineStr">
        <is>
          <t>A 7186-2024</t>
        </is>
      </c>
      <c r="B744" s="1" t="n">
        <v>45344</v>
      </c>
      <c r="C744" s="1" t="n">
        <v>46133</v>
      </c>
      <c r="D744" t="inlineStr">
        <is>
          <t>STOCKHOLMS LÄN</t>
        </is>
      </c>
      <c r="E744" t="inlineStr">
        <is>
          <t>NORRTÄLJE</t>
        </is>
      </c>
      <c r="G744" t="n">
        <v>4.9</v>
      </c>
      <c r="H744" t="n">
        <v>0</v>
      </c>
      <c r="I744" t="n">
        <v>0</v>
      </c>
      <c r="J744" t="n">
        <v>0</v>
      </c>
      <c r="K744" t="n">
        <v>0</v>
      </c>
      <c r="L744" t="n">
        <v>0</v>
      </c>
      <c r="M744" t="n">
        <v>0</v>
      </c>
      <c r="N744" t="n">
        <v>0</v>
      </c>
      <c r="O744" t="n">
        <v>0</v>
      </c>
      <c r="P744" t="n">
        <v>0</v>
      </c>
      <c r="Q744" t="n">
        <v>0</v>
      </c>
      <c r="R744" s="2" t="inlineStr"/>
    </row>
    <row r="745" ht="15" customHeight="1">
      <c r="A745" t="inlineStr">
        <is>
          <t>A 57602-2024</t>
        </is>
      </c>
      <c r="B745" s="1" t="n">
        <v>45630.52866898148</v>
      </c>
      <c r="C745" s="1" t="n">
        <v>46133</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12703-2026</t>
        </is>
      </c>
      <c r="B746" s="1" t="n">
        <v>46091.58175925926</v>
      </c>
      <c r="C746" s="1" t="n">
        <v>46133</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64600-2021</t>
        </is>
      </c>
      <c r="B747" s="1" t="n">
        <v>44511.70518518519</v>
      </c>
      <c r="C747" s="1" t="n">
        <v>46133</v>
      </c>
      <c r="D747" t="inlineStr">
        <is>
          <t>STOCKHOLMS LÄN</t>
        </is>
      </c>
      <c r="E747" t="inlineStr">
        <is>
          <t>NORRTÄLJE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50602-2021</t>
        </is>
      </c>
      <c r="B748" s="1" t="n">
        <v>44459</v>
      </c>
      <c r="C748" s="1" t="n">
        <v>46133</v>
      </c>
      <c r="D748" t="inlineStr">
        <is>
          <t>STOCKHOLMS LÄN</t>
        </is>
      </c>
      <c r="E748" t="inlineStr">
        <is>
          <t>NORRTÄLJE</t>
        </is>
      </c>
      <c r="F748" t="inlineStr">
        <is>
          <t>Holmen skog AB</t>
        </is>
      </c>
      <c r="G748" t="n">
        <v>2</v>
      </c>
      <c r="H748" t="n">
        <v>0</v>
      </c>
      <c r="I748" t="n">
        <v>0</v>
      </c>
      <c r="J748" t="n">
        <v>0</v>
      </c>
      <c r="K748" t="n">
        <v>0</v>
      </c>
      <c r="L748" t="n">
        <v>0</v>
      </c>
      <c r="M748" t="n">
        <v>0</v>
      </c>
      <c r="N748" t="n">
        <v>0</v>
      </c>
      <c r="O748" t="n">
        <v>0</v>
      </c>
      <c r="P748" t="n">
        <v>0</v>
      </c>
      <c r="Q748" t="n">
        <v>0</v>
      </c>
      <c r="R748" s="2" t="inlineStr"/>
    </row>
    <row r="749" ht="15" customHeight="1">
      <c r="A749" t="inlineStr">
        <is>
          <t>A 26365-2024</t>
        </is>
      </c>
      <c r="B749" s="1" t="n">
        <v>45469</v>
      </c>
      <c r="C749" s="1" t="n">
        <v>46133</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26640-2023</t>
        </is>
      </c>
      <c r="B750" s="1" t="n">
        <v>45092</v>
      </c>
      <c r="C750" s="1" t="n">
        <v>46133</v>
      </c>
      <c r="D750" t="inlineStr">
        <is>
          <t>STOCKHOLMS LÄN</t>
        </is>
      </c>
      <c r="E750" t="inlineStr">
        <is>
          <t>NORRTÄLJE</t>
        </is>
      </c>
      <c r="G750" t="n">
        <v>5.7</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46133</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58993-2022</t>
        </is>
      </c>
      <c r="B752" s="1" t="n">
        <v>44903</v>
      </c>
      <c r="C752" s="1" t="n">
        <v>46133</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28900-2022</t>
        </is>
      </c>
      <c r="B753" s="1" t="n">
        <v>44749.55258101852</v>
      </c>
      <c r="C753" s="1" t="n">
        <v>46133</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17574-2025</t>
        </is>
      </c>
      <c r="B754" s="1" t="n">
        <v>45757.65178240741</v>
      </c>
      <c r="C754" s="1" t="n">
        <v>46133</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46133</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46133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4549-2026</t>
        </is>
      </c>
      <c r="B757" s="1" t="n">
        <v>46047</v>
      </c>
      <c r="C757" s="1" t="n">
        <v>46133</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54907-2025</t>
        </is>
      </c>
      <c r="B758" s="1" t="n">
        <v>45967.37137731481</v>
      </c>
      <c r="C758" s="1" t="n">
        <v>46133</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12299-2025</t>
        </is>
      </c>
      <c r="B759" s="1" t="n">
        <v>45729.71065972222</v>
      </c>
      <c r="C759" s="1" t="n">
        <v>46133</v>
      </c>
      <c r="D759" t="inlineStr">
        <is>
          <t>STOCKHOLMS LÄN</t>
        </is>
      </c>
      <c r="E759" t="inlineStr">
        <is>
          <t>NORRTÄLJE</t>
        </is>
      </c>
      <c r="F759" t="inlineStr">
        <is>
          <t>Holmen skog AB</t>
        </is>
      </c>
      <c r="G759" t="n">
        <v>6.9</v>
      </c>
      <c r="H759" t="n">
        <v>0</v>
      </c>
      <c r="I759" t="n">
        <v>0</v>
      </c>
      <c r="J759" t="n">
        <v>0</v>
      </c>
      <c r="K759" t="n">
        <v>0</v>
      </c>
      <c r="L759" t="n">
        <v>0</v>
      </c>
      <c r="M759" t="n">
        <v>0</v>
      </c>
      <c r="N759" t="n">
        <v>0</v>
      </c>
      <c r="O759" t="n">
        <v>0</v>
      </c>
      <c r="P759" t="n">
        <v>0</v>
      </c>
      <c r="Q759" t="n">
        <v>0</v>
      </c>
      <c r="R759" s="2" t="inlineStr"/>
    </row>
    <row r="760" ht="15" customHeight="1">
      <c r="A760" t="inlineStr">
        <is>
          <t>A 22157-2023</t>
        </is>
      </c>
      <c r="B760" s="1" t="n">
        <v>45069</v>
      </c>
      <c r="C760" s="1" t="n">
        <v>46133</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c r="U760">
        <f>HYPERLINK("https://klasma.github.io/Logging_0188/knärot/A 22157-2023 karta knärot.png", "A 22157-2023")</f>
        <v/>
      </c>
      <c r="V760">
        <f>HYPERLINK("https://klasma.github.io/Logging_0188/klagomål/A 22157-2023 FSC-klagomål.docx", "A 22157-2023")</f>
        <v/>
      </c>
      <c r="W760">
        <f>HYPERLINK("https://klasma.github.io/Logging_0188/klagomålsmail/A 22157-2023 FSC-klagomål mail.docx", "A 22157-2023")</f>
        <v/>
      </c>
      <c r="X760">
        <f>HYPERLINK("https://klasma.github.io/Logging_0188/tillsyn/A 22157-2023 tillsynsbegäran.docx", "A 22157-2023")</f>
        <v/>
      </c>
      <c r="Y760">
        <f>HYPERLINK("https://klasma.github.io/Logging_0188/tillsynsmail/A 22157-2023 tillsynsbegäran mail.docx", "A 22157-2023")</f>
        <v/>
      </c>
    </row>
    <row r="761" ht="15" customHeight="1">
      <c r="A761" t="inlineStr">
        <is>
          <t>A 55503-2025</t>
        </is>
      </c>
      <c r="B761" s="1" t="n">
        <v>45971</v>
      </c>
      <c r="C761" s="1" t="n">
        <v>46133</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11929-2024</t>
        </is>
      </c>
      <c r="B762" s="1" t="n">
        <v>45376.64532407407</v>
      </c>
      <c r="C762" s="1" t="n">
        <v>46133</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55599-2025</t>
        </is>
      </c>
      <c r="B763" s="1" t="n">
        <v>45971.76810185185</v>
      </c>
      <c r="C763" s="1" t="n">
        <v>46133</v>
      </c>
      <c r="D763" t="inlineStr">
        <is>
          <t>STOCKHOLMS LÄN</t>
        </is>
      </c>
      <c r="E763" t="inlineStr">
        <is>
          <t>NORRTÄLJE</t>
        </is>
      </c>
      <c r="F763" t="inlineStr">
        <is>
          <t>Holmen skog AB</t>
        </is>
      </c>
      <c r="G763" t="n">
        <v>6.4</v>
      </c>
      <c r="H763" t="n">
        <v>0</v>
      </c>
      <c r="I763" t="n">
        <v>0</v>
      </c>
      <c r="J763" t="n">
        <v>0</v>
      </c>
      <c r="K763" t="n">
        <v>0</v>
      </c>
      <c r="L763" t="n">
        <v>0</v>
      </c>
      <c r="M763" t="n">
        <v>0</v>
      </c>
      <c r="N763" t="n">
        <v>0</v>
      </c>
      <c r="O763" t="n">
        <v>0</v>
      </c>
      <c r="P763" t="n">
        <v>0</v>
      </c>
      <c r="Q763" t="n">
        <v>0</v>
      </c>
      <c r="R763" s="2" t="inlineStr"/>
    </row>
    <row r="764" ht="15" customHeight="1">
      <c r="A764" t="inlineStr">
        <is>
          <t>A 56114-2025</t>
        </is>
      </c>
      <c r="B764" s="1" t="n">
        <v>45973.74474537037</v>
      </c>
      <c r="C764" s="1" t="n">
        <v>46133</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8296-2023</t>
        </is>
      </c>
      <c r="B765" s="1" t="n">
        <v>44974</v>
      </c>
      <c r="C765" s="1" t="n">
        <v>46133</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24575-2024</t>
        </is>
      </c>
      <c r="B766" s="1" t="n">
        <v>45460.45523148148</v>
      </c>
      <c r="C766" s="1" t="n">
        <v>46133</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64899-2023</t>
        </is>
      </c>
      <c r="B767" s="1" t="n">
        <v>45282</v>
      </c>
      <c r="C767" s="1" t="n">
        <v>46133</v>
      </c>
      <c r="D767" t="inlineStr">
        <is>
          <t>STOCKHOLMS LÄN</t>
        </is>
      </c>
      <c r="E767" t="inlineStr">
        <is>
          <t>NORRTÄLJE</t>
        </is>
      </c>
      <c r="G767" t="n">
        <v>6.3</v>
      </c>
      <c r="H767" t="n">
        <v>0</v>
      </c>
      <c r="I767" t="n">
        <v>0</v>
      </c>
      <c r="J767" t="n">
        <v>0</v>
      </c>
      <c r="K767" t="n">
        <v>0</v>
      </c>
      <c r="L767" t="n">
        <v>0</v>
      </c>
      <c r="M767" t="n">
        <v>0</v>
      </c>
      <c r="N767" t="n">
        <v>0</v>
      </c>
      <c r="O767" t="n">
        <v>0</v>
      </c>
      <c r="P767" t="n">
        <v>0</v>
      </c>
      <c r="Q767" t="n">
        <v>0</v>
      </c>
      <c r="R767" s="2" t="inlineStr"/>
    </row>
    <row r="768" ht="15" customHeight="1">
      <c r="A768" t="inlineStr">
        <is>
          <t>A 52593-2024</t>
        </is>
      </c>
      <c r="B768" s="1" t="n">
        <v>45609.70778935185</v>
      </c>
      <c r="C768" s="1" t="n">
        <v>46133</v>
      </c>
      <c r="D768" t="inlineStr">
        <is>
          <t>STOCKHOLMS LÄN</t>
        </is>
      </c>
      <c r="E768" t="inlineStr">
        <is>
          <t>NORRTÄLJE</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52617-2024</t>
        </is>
      </c>
      <c r="B769" s="1" t="n">
        <v>45609.85146990741</v>
      </c>
      <c r="C769" s="1" t="n">
        <v>46133</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22816-2021</t>
        </is>
      </c>
      <c r="B770" s="1" t="n">
        <v>44325</v>
      </c>
      <c r="C770" s="1" t="n">
        <v>46133</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59904-2023</t>
        </is>
      </c>
      <c r="B771" s="1" t="n">
        <v>45257</v>
      </c>
      <c r="C771" s="1" t="n">
        <v>46133</v>
      </c>
      <c r="D771" t="inlineStr">
        <is>
          <t>STOCKHOLMS LÄN</t>
        </is>
      </c>
      <c r="E771" t="inlineStr">
        <is>
          <t>NORRTÄLJE</t>
        </is>
      </c>
      <c r="G771" t="n">
        <v>17.4</v>
      </c>
      <c r="H771" t="n">
        <v>0</v>
      </c>
      <c r="I771" t="n">
        <v>0</v>
      </c>
      <c r="J771" t="n">
        <v>0</v>
      </c>
      <c r="K771" t="n">
        <v>0</v>
      </c>
      <c r="L771" t="n">
        <v>0</v>
      </c>
      <c r="M771" t="n">
        <v>0</v>
      </c>
      <c r="N771" t="n">
        <v>0</v>
      </c>
      <c r="O771" t="n">
        <v>0</v>
      </c>
      <c r="P771" t="n">
        <v>0</v>
      </c>
      <c r="Q771" t="n">
        <v>0</v>
      </c>
      <c r="R771" s="2" t="inlineStr"/>
    </row>
    <row r="772" ht="15" customHeight="1">
      <c r="A772" t="inlineStr">
        <is>
          <t>A 9914-2023</t>
        </is>
      </c>
      <c r="B772" s="1" t="n">
        <v>44985</v>
      </c>
      <c r="C772" s="1" t="n">
        <v>46133</v>
      </c>
      <c r="D772" t="inlineStr">
        <is>
          <t>STOCKHOLMS LÄN</t>
        </is>
      </c>
      <c r="E772" t="inlineStr">
        <is>
          <t>NORRTÄLJE</t>
        </is>
      </c>
      <c r="G772" t="n">
        <v>4.2</v>
      </c>
      <c r="H772" t="n">
        <v>0</v>
      </c>
      <c r="I772" t="n">
        <v>0</v>
      </c>
      <c r="J772" t="n">
        <v>0</v>
      </c>
      <c r="K772" t="n">
        <v>0</v>
      </c>
      <c r="L772" t="n">
        <v>0</v>
      </c>
      <c r="M772" t="n">
        <v>0</v>
      </c>
      <c r="N772" t="n">
        <v>0</v>
      </c>
      <c r="O772" t="n">
        <v>0</v>
      </c>
      <c r="P772" t="n">
        <v>0</v>
      </c>
      <c r="Q772" t="n">
        <v>0</v>
      </c>
      <c r="R772" s="2" t="inlineStr"/>
    </row>
    <row r="773" ht="15" customHeight="1">
      <c r="A773" t="inlineStr">
        <is>
          <t>A 4886-2026</t>
        </is>
      </c>
      <c r="B773" s="1" t="n">
        <v>46048.66328703704</v>
      </c>
      <c r="C773" s="1" t="n">
        <v>46133</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11062-2024</t>
        </is>
      </c>
      <c r="B774" s="1" t="n">
        <v>45370</v>
      </c>
      <c r="C774" s="1" t="n">
        <v>46133</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33569-2023</t>
        </is>
      </c>
      <c r="B775" s="1" t="n">
        <v>45131.666875</v>
      </c>
      <c r="C775" s="1" t="n">
        <v>46133</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15905-2023</t>
        </is>
      </c>
      <c r="B776" s="1" t="n">
        <v>45022</v>
      </c>
      <c r="C776" s="1" t="n">
        <v>46133</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56207-2025</t>
        </is>
      </c>
      <c r="B777" s="1" t="n">
        <v>45974.47329861111</v>
      </c>
      <c r="C777" s="1" t="n">
        <v>46133</v>
      </c>
      <c r="D777" t="inlineStr">
        <is>
          <t>STOCKHOLMS LÄN</t>
        </is>
      </c>
      <c r="E777" t="inlineStr">
        <is>
          <t>NORRTÄLJE</t>
        </is>
      </c>
      <c r="G777" t="n">
        <v>3.2</v>
      </c>
      <c r="H777" t="n">
        <v>0</v>
      </c>
      <c r="I777" t="n">
        <v>0</v>
      </c>
      <c r="J777" t="n">
        <v>0</v>
      </c>
      <c r="K777" t="n">
        <v>0</v>
      </c>
      <c r="L777" t="n">
        <v>0</v>
      </c>
      <c r="M777" t="n">
        <v>0</v>
      </c>
      <c r="N777" t="n">
        <v>0</v>
      </c>
      <c r="O777" t="n">
        <v>0</v>
      </c>
      <c r="P777" t="n">
        <v>0</v>
      </c>
      <c r="Q777" t="n">
        <v>0</v>
      </c>
      <c r="R777" s="2" t="inlineStr"/>
    </row>
    <row r="778" ht="15" customHeight="1">
      <c r="A778" t="inlineStr">
        <is>
          <t>A 15956-2023</t>
        </is>
      </c>
      <c r="B778" s="1" t="n">
        <v>45022.61003472222</v>
      </c>
      <c r="C778" s="1" t="n">
        <v>46133</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47626-2022</t>
        </is>
      </c>
      <c r="B779" s="1" t="n">
        <v>44854</v>
      </c>
      <c r="C779" s="1" t="n">
        <v>46133</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62206-2022</t>
        </is>
      </c>
      <c r="B780" s="1" t="n">
        <v>44922</v>
      </c>
      <c r="C780" s="1" t="n">
        <v>46133</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20618-2022</t>
        </is>
      </c>
      <c r="B781" s="1" t="n">
        <v>44700.50659722222</v>
      </c>
      <c r="C781" s="1" t="n">
        <v>46133</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40192-2023</t>
        </is>
      </c>
      <c r="B782" s="1" t="n">
        <v>45169</v>
      </c>
      <c r="C782" s="1" t="n">
        <v>46133</v>
      </c>
      <c r="D782" t="inlineStr">
        <is>
          <t>STOCKHOLMS LÄN</t>
        </is>
      </c>
      <c r="E782" t="inlineStr">
        <is>
          <t>NORRTÄLJE</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13109-2026</t>
        </is>
      </c>
      <c r="B783" s="1" t="n">
        <v>46093.42730324074</v>
      </c>
      <c r="C783" s="1" t="n">
        <v>46133</v>
      </c>
      <c r="D783" t="inlineStr">
        <is>
          <t>STOCKHOLMS LÄN</t>
        </is>
      </c>
      <c r="E783" t="inlineStr">
        <is>
          <t>NORRTÄLJE</t>
        </is>
      </c>
      <c r="G783" t="n">
        <v>4</v>
      </c>
      <c r="H783" t="n">
        <v>0</v>
      </c>
      <c r="I783" t="n">
        <v>0</v>
      </c>
      <c r="J783" t="n">
        <v>0</v>
      </c>
      <c r="K783" t="n">
        <v>0</v>
      </c>
      <c r="L783" t="n">
        <v>0</v>
      </c>
      <c r="M783" t="n">
        <v>0</v>
      </c>
      <c r="N783" t="n">
        <v>0</v>
      </c>
      <c r="O783" t="n">
        <v>0</v>
      </c>
      <c r="P783" t="n">
        <v>0</v>
      </c>
      <c r="Q783" t="n">
        <v>0</v>
      </c>
      <c r="R783" s="2" t="inlineStr"/>
    </row>
    <row r="784" ht="15" customHeight="1">
      <c r="A784" t="inlineStr">
        <is>
          <t>A 11900-2022</t>
        </is>
      </c>
      <c r="B784" s="1" t="n">
        <v>44635</v>
      </c>
      <c r="C784" s="1" t="n">
        <v>46133</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13204-2026</t>
        </is>
      </c>
      <c r="B785" s="1" t="n">
        <v>46093.60788194444</v>
      </c>
      <c r="C785" s="1" t="n">
        <v>46133</v>
      </c>
      <c r="D785" t="inlineStr">
        <is>
          <t>STOCKHOLMS LÄN</t>
        </is>
      </c>
      <c r="E785" t="inlineStr">
        <is>
          <t>NORRTÄLJE</t>
        </is>
      </c>
      <c r="G785" t="n">
        <v>3.5</v>
      </c>
      <c r="H785" t="n">
        <v>0</v>
      </c>
      <c r="I785" t="n">
        <v>0</v>
      </c>
      <c r="J785" t="n">
        <v>0</v>
      </c>
      <c r="K785" t="n">
        <v>0</v>
      </c>
      <c r="L785" t="n">
        <v>0</v>
      </c>
      <c r="M785" t="n">
        <v>0</v>
      </c>
      <c r="N785" t="n">
        <v>0</v>
      </c>
      <c r="O785" t="n">
        <v>0</v>
      </c>
      <c r="P785" t="n">
        <v>0</v>
      </c>
      <c r="Q785" t="n">
        <v>0</v>
      </c>
      <c r="R785" s="2" t="inlineStr"/>
    </row>
    <row r="786" ht="15" customHeight="1">
      <c r="A786" t="inlineStr">
        <is>
          <t>A 10973-2025</t>
        </is>
      </c>
      <c r="B786" s="1" t="n">
        <v>45723</v>
      </c>
      <c r="C786" s="1" t="n">
        <v>46133</v>
      </c>
      <c r="D786" t="inlineStr">
        <is>
          <t>STOCKHOLMS LÄN</t>
        </is>
      </c>
      <c r="E786" t="inlineStr">
        <is>
          <t>NORRTÄLJE</t>
        </is>
      </c>
      <c r="F786" t="inlineStr">
        <is>
          <t>Övriga Aktiebolag</t>
        </is>
      </c>
      <c r="G786" t="n">
        <v>2.7</v>
      </c>
      <c r="H786" t="n">
        <v>0</v>
      </c>
      <c r="I786" t="n">
        <v>0</v>
      </c>
      <c r="J786" t="n">
        <v>0</v>
      </c>
      <c r="K786" t="n">
        <v>0</v>
      </c>
      <c r="L786" t="n">
        <v>0</v>
      </c>
      <c r="M786" t="n">
        <v>0</v>
      </c>
      <c r="N786" t="n">
        <v>0</v>
      </c>
      <c r="O786" t="n">
        <v>0</v>
      </c>
      <c r="P786" t="n">
        <v>0</v>
      </c>
      <c r="Q786" t="n">
        <v>0</v>
      </c>
      <c r="R786" s="2" t="inlineStr"/>
    </row>
    <row r="787" ht="15" customHeight="1">
      <c r="A787" t="inlineStr">
        <is>
          <t>A 27885-2022</t>
        </is>
      </c>
      <c r="B787" s="1" t="n">
        <v>44743.67418981482</v>
      </c>
      <c r="C787" s="1" t="n">
        <v>46133</v>
      </c>
      <c r="D787" t="inlineStr">
        <is>
          <t>STOCKHOLMS LÄN</t>
        </is>
      </c>
      <c r="E787" t="inlineStr">
        <is>
          <t>NORRTÄLJE</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58403-2025</t>
        </is>
      </c>
      <c r="B788" s="1" t="n">
        <v>45985.56777777777</v>
      </c>
      <c r="C788" s="1" t="n">
        <v>46133</v>
      </c>
      <c r="D788" t="inlineStr">
        <is>
          <t>STOCKHOLMS LÄN</t>
        </is>
      </c>
      <c r="E788" t="inlineStr">
        <is>
          <t>NORRTÄLJE</t>
        </is>
      </c>
      <c r="F788" t="inlineStr">
        <is>
          <t>Naturvårdsverket</t>
        </is>
      </c>
      <c r="G788" t="n">
        <v>13.5</v>
      </c>
      <c r="H788" t="n">
        <v>0</v>
      </c>
      <c r="I788" t="n">
        <v>0</v>
      </c>
      <c r="J788" t="n">
        <v>0</v>
      </c>
      <c r="K788" t="n">
        <v>0</v>
      </c>
      <c r="L788" t="n">
        <v>0</v>
      </c>
      <c r="M788" t="n">
        <v>0</v>
      </c>
      <c r="N788" t="n">
        <v>0</v>
      </c>
      <c r="O788" t="n">
        <v>0</v>
      </c>
      <c r="P788" t="n">
        <v>0</v>
      </c>
      <c r="Q788" t="n">
        <v>0</v>
      </c>
      <c r="R788" s="2" t="inlineStr"/>
    </row>
    <row r="789" ht="15" customHeight="1">
      <c r="A789" t="inlineStr">
        <is>
          <t>A 5226-2026</t>
        </is>
      </c>
      <c r="B789" s="1" t="n">
        <v>46049.79961805556</v>
      </c>
      <c r="C789" s="1" t="n">
        <v>46133</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58142-2025</t>
        </is>
      </c>
      <c r="B790" s="1" t="n">
        <v>45982.63791666667</v>
      </c>
      <c r="C790" s="1" t="n">
        <v>46133</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57953-2025</t>
        </is>
      </c>
      <c r="B791" s="1" t="n">
        <v>45982.35016203704</v>
      </c>
      <c r="C791" s="1" t="n">
        <v>46133</v>
      </c>
      <c r="D791" t="inlineStr">
        <is>
          <t>STOCKHOLMS LÄN</t>
        </is>
      </c>
      <c r="E791" t="inlineStr">
        <is>
          <t>NORRTÄLJE</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13122-2026</t>
        </is>
      </c>
      <c r="B792" s="1" t="n">
        <v>46093.45657407407</v>
      </c>
      <c r="C792" s="1" t="n">
        <v>46133</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60224-2023</t>
        </is>
      </c>
      <c r="B793" s="1" t="n">
        <v>45257</v>
      </c>
      <c r="C793" s="1" t="n">
        <v>46133</v>
      </c>
      <c r="D793" t="inlineStr">
        <is>
          <t>STOCKHOLMS LÄN</t>
        </is>
      </c>
      <c r="E793" t="inlineStr">
        <is>
          <t>NORRTÄLJE</t>
        </is>
      </c>
      <c r="G793" t="n">
        <v>8.1</v>
      </c>
      <c r="H793" t="n">
        <v>0</v>
      </c>
      <c r="I793" t="n">
        <v>0</v>
      </c>
      <c r="J793" t="n">
        <v>0</v>
      </c>
      <c r="K793" t="n">
        <v>0</v>
      </c>
      <c r="L793" t="n">
        <v>0</v>
      </c>
      <c r="M793" t="n">
        <v>0</v>
      </c>
      <c r="N793" t="n">
        <v>0</v>
      </c>
      <c r="O793" t="n">
        <v>0</v>
      </c>
      <c r="P793" t="n">
        <v>0</v>
      </c>
      <c r="Q793" t="n">
        <v>0</v>
      </c>
      <c r="R793" s="2" t="inlineStr"/>
    </row>
    <row r="794" ht="15" customHeight="1">
      <c r="A794" t="inlineStr">
        <is>
          <t>A 5158-2024</t>
        </is>
      </c>
      <c r="B794" s="1" t="n">
        <v>45330.50098379629</v>
      </c>
      <c r="C794" s="1" t="n">
        <v>46133</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58939-2025</t>
        </is>
      </c>
      <c r="B795" s="1" t="n">
        <v>45987.5681712963</v>
      </c>
      <c r="C795" s="1" t="n">
        <v>46133</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5224-2026</t>
        </is>
      </c>
      <c r="B796" s="1" t="n">
        <v>46049.79521990741</v>
      </c>
      <c r="C796" s="1" t="n">
        <v>46133</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5227-2026</t>
        </is>
      </c>
      <c r="B797" s="1" t="n">
        <v>46049.80460648148</v>
      </c>
      <c r="C797" s="1" t="n">
        <v>46133</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9130-2025</t>
        </is>
      </c>
      <c r="B798" s="1" t="n">
        <v>45713.92623842593</v>
      </c>
      <c r="C798" s="1" t="n">
        <v>46133</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17551-2025</t>
        </is>
      </c>
      <c r="B799" s="1" t="n">
        <v>45757.61421296297</v>
      </c>
      <c r="C799" s="1" t="n">
        <v>46133</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55010-2024</t>
        </is>
      </c>
      <c r="B800" s="1" t="n">
        <v>45621.34425925926</v>
      </c>
      <c r="C800" s="1" t="n">
        <v>46133</v>
      </c>
      <c r="D800" t="inlineStr">
        <is>
          <t>STOCKHOLMS LÄN</t>
        </is>
      </c>
      <c r="E800" t="inlineStr">
        <is>
          <t>NORRTÄLJE</t>
        </is>
      </c>
      <c r="F800" t="inlineStr">
        <is>
          <t>Sveaskog</t>
        </is>
      </c>
      <c r="G800" t="n">
        <v>5.7</v>
      </c>
      <c r="H800" t="n">
        <v>0</v>
      </c>
      <c r="I800" t="n">
        <v>0</v>
      </c>
      <c r="J800" t="n">
        <v>0</v>
      </c>
      <c r="K800" t="n">
        <v>0</v>
      </c>
      <c r="L800" t="n">
        <v>0</v>
      </c>
      <c r="M800" t="n">
        <v>0</v>
      </c>
      <c r="N800" t="n">
        <v>0</v>
      </c>
      <c r="O800" t="n">
        <v>0</v>
      </c>
      <c r="P800" t="n">
        <v>0</v>
      </c>
      <c r="Q800" t="n">
        <v>0</v>
      </c>
      <c r="R800" s="2" t="inlineStr"/>
    </row>
    <row r="801" ht="15" customHeight="1">
      <c r="A801" t="inlineStr">
        <is>
          <t>A 31105-2022</t>
        </is>
      </c>
      <c r="B801" s="1" t="n">
        <v>44769.66039351852</v>
      </c>
      <c r="C801" s="1" t="n">
        <v>46133</v>
      </c>
      <c r="D801" t="inlineStr">
        <is>
          <t>STOCKHOLMS LÄN</t>
        </is>
      </c>
      <c r="E801" t="inlineStr">
        <is>
          <t>NORRTÄLJE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5241-2026</t>
        </is>
      </c>
      <c r="B802" s="1" t="n">
        <v>46049.86471064815</v>
      </c>
      <c r="C802" s="1" t="n">
        <v>46133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30620-2022</t>
        </is>
      </c>
      <c r="B803" s="1" t="n">
        <v>44763.40914351852</v>
      </c>
      <c r="C803" s="1" t="n">
        <v>46133</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50113-2024</t>
        </is>
      </c>
      <c r="B804" s="1" t="n">
        <v>45600.411875</v>
      </c>
      <c r="C804" s="1" t="n">
        <v>46133</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28365-2022</t>
        </is>
      </c>
      <c r="B805" s="1" t="n">
        <v>44747</v>
      </c>
      <c r="C805" s="1" t="n">
        <v>46133</v>
      </c>
      <c r="D805" t="inlineStr">
        <is>
          <t>STOCKHOLMS LÄN</t>
        </is>
      </c>
      <c r="E805" t="inlineStr">
        <is>
          <t>NORRTÄLJE</t>
        </is>
      </c>
      <c r="G805" t="n">
        <v>5.1</v>
      </c>
      <c r="H805" t="n">
        <v>0</v>
      </c>
      <c r="I805" t="n">
        <v>0</v>
      </c>
      <c r="J805" t="n">
        <v>0</v>
      </c>
      <c r="K805" t="n">
        <v>0</v>
      </c>
      <c r="L805" t="n">
        <v>0</v>
      </c>
      <c r="M805" t="n">
        <v>0</v>
      </c>
      <c r="N805" t="n">
        <v>0</v>
      </c>
      <c r="O805" t="n">
        <v>0</v>
      </c>
      <c r="P805" t="n">
        <v>0</v>
      </c>
      <c r="Q805" t="n">
        <v>0</v>
      </c>
      <c r="R805" s="2" t="inlineStr"/>
    </row>
    <row r="806" ht="15" customHeight="1">
      <c r="A806" t="inlineStr">
        <is>
          <t>A 42955-2022</t>
        </is>
      </c>
      <c r="B806" s="1" t="n">
        <v>44833.40876157407</v>
      </c>
      <c r="C806" s="1" t="n">
        <v>46133</v>
      </c>
      <c r="D806" t="inlineStr">
        <is>
          <t>STOCKHOLMS LÄN</t>
        </is>
      </c>
      <c r="E806" t="inlineStr">
        <is>
          <t>NORRTÄLJE</t>
        </is>
      </c>
      <c r="G806" t="n">
        <v>13.1</v>
      </c>
      <c r="H806" t="n">
        <v>0</v>
      </c>
      <c r="I806" t="n">
        <v>0</v>
      </c>
      <c r="J806" t="n">
        <v>0</v>
      </c>
      <c r="K806" t="n">
        <v>0</v>
      </c>
      <c r="L806" t="n">
        <v>0</v>
      </c>
      <c r="M806" t="n">
        <v>0</v>
      </c>
      <c r="N806" t="n">
        <v>0</v>
      </c>
      <c r="O806" t="n">
        <v>0</v>
      </c>
      <c r="P806" t="n">
        <v>0</v>
      </c>
      <c r="Q806" t="n">
        <v>0</v>
      </c>
      <c r="R806" s="2" t="inlineStr"/>
    </row>
    <row r="807" ht="15" customHeight="1">
      <c r="A807" t="inlineStr">
        <is>
          <t>A 1283-2025</t>
        </is>
      </c>
      <c r="B807" s="1" t="n">
        <v>45667.49878472222</v>
      </c>
      <c r="C807" s="1" t="n">
        <v>46133</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59041-2025</t>
        </is>
      </c>
      <c r="B808" s="1" t="n">
        <v>45988</v>
      </c>
      <c r="C808" s="1" t="n">
        <v>46133</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59914-2025</t>
        </is>
      </c>
      <c r="B809" s="1" t="n">
        <v>45993.37056712963</v>
      </c>
      <c r="C809" s="1" t="n">
        <v>46133</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59672-2025</t>
        </is>
      </c>
      <c r="B810" s="1" t="n">
        <v>45992.45884259259</v>
      </c>
      <c r="C810" s="1" t="n">
        <v>46133</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13544-2026</t>
        </is>
      </c>
      <c r="B811" s="1" t="n">
        <v>46094.68538194444</v>
      </c>
      <c r="C811" s="1" t="n">
        <v>46133</v>
      </c>
      <c r="D811" t="inlineStr">
        <is>
          <t>STOCKHOLMS LÄN</t>
        </is>
      </c>
      <c r="E811" t="inlineStr">
        <is>
          <t>NORRTÄLJE</t>
        </is>
      </c>
      <c r="F811" t="inlineStr">
        <is>
          <t>Holmen skog AB</t>
        </is>
      </c>
      <c r="G811" t="n">
        <v>3.2</v>
      </c>
      <c r="H811" t="n">
        <v>0</v>
      </c>
      <c r="I811" t="n">
        <v>0</v>
      </c>
      <c r="J811" t="n">
        <v>0</v>
      </c>
      <c r="K811" t="n">
        <v>0</v>
      </c>
      <c r="L811" t="n">
        <v>0</v>
      </c>
      <c r="M811" t="n">
        <v>0</v>
      </c>
      <c r="N811" t="n">
        <v>0</v>
      </c>
      <c r="O811" t="n">
        <v>0</v>
      </c>
      <c r="P811" t="n">
        <v>0</v>
      </c>
      <c r="Q811" t="n">
        <v>0</v>
      </c>
      <c r="R811" s="2" t="inlineStr"/>
    </row>
    <row r="812" ht="15" customHeight="1">
      <c r="A812" t="inlineStr">
        <is>
          <t>A 39610-2025</t>
        </is>
      </c>
      <c r="B812" s="1" t="n">
        <v>45890</v>
      </c>
      <c r="C812" s="1" t="n">
        <v>46133</v>
      </c>
      <c r="D812" t="inlineStr">
        <is>
          <t>STOCKHOLMS LÄN</t>
        </is>
      </c>
      <c r="E812" t="inlineStr">
        <is>
          <t>NORRTÄLJE</t>
        </is>
      </c>
      <c r="G812" t="n">
        <v>28.6</v>
      </c>
      <c r="H812" t="n">
        <v>0</v>
      </c>
      <c r="I812" t="n">
        <v>0</v>
      </c>
      <c r="J812" t="n">
        <v>0</v>
      </c>
      <c r="K812" t="n">
        <v>0</v>
      </c>
      <c r="L812" t="n">
        <v>0</v>
      </c>
      <c r="M812" t="n">
        <v>0</v>
      </c>
      <c r="N812" t="n">
        <v>0</v>
      </c>
      <c r="O812" t="n">
        <v>0</v>
      </c>
      <c r="P812" t="n">
        <v>0</v>
      </c>
      <c r="Q812" t="n">
        <v>0</v>
      </c>
      <c r="R812" s="2" t="inlineStr"/>
    </row>
    <row r="813" ht="15" customHeight="1">
      <c r="A813" t="inlineStr">
        <is>
          <t>A 57788-2025</t>
        </is>
      </c>
      <c r="B813" s="1" t="n">
        <v>45981.5778125</v>
      </c>
      <c r="C813" s="1" t="n">
        <v>46133</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59907-2025</t>
        </is>
      </c>
      <c r="B814" s="1" t="n">
        <v>45993.35350694445</v>
      </c>
      <c r="C814" s="1" t="n">
        <v>46133</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13767-2025</t>
        </is>
      </c>
      <c r="B815" s="1" t="n">
        <v>45737.43347222222</v>
      </c>
      <c r="C815" s="1" t="n">
        <v>46133</v>
      </c>
      <c r="D815" t="inlineStr">
        <is>
          <t>STOCKHOLMS LÄN</t>
        </is>
      </c>
      <c r="E815" t="inlineStr">
        <is>
          <t>NORRTÄLJE</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20013-2025</t>
        </is>
      </c>
      <c r="B816" s="1" t="n">
        <v>45772.30436342592</v>
      </c>
      <c r="C816" s="1" t="n">
        <v>46133</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53362-2023</t>
        </is>
      </c>
      <c r="B817" s="1" t="n">
        <v>45223</v>
      </c>
      <c r="C817" s="1" t="n">
        <v>46133</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15422-2024</t>
        </is>
      </c>
      <c r="B818" s="1" t="n">
        <v>45401.3653125</v>
      </c>
      <c r="C818" s="1" t="n">
        <v>46133</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59924-2025</t>
        </is>
      </c>
      <c r="B819" s="1" t="n">
        <v>45993.38928240741</v>
      </c>
      <c r="C819" s="1" t="n">
        <v>46133</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13545-2026</t>
        </is>
      </c>
      <c r="B820" s="1" t="n">
        <v>46094.6911574074</v>
      </c>
      <c r="C820" s="1" t="n">
        <v>46133</v>
      </c>
      <c r="D820" t="inlineStr">
        <is>
          <t>STOCKHOLMS LÄN</t>
        </is>
      </c>
      <c r="E820" t="inlineStr">
        <is>
          <t>NORRTÄLJE</t>
        </is>
      </c>
      <c r="F820" t="inlineStr">
        <is>
          <t>Holmen skog AB</t>
        </is>
      </c>
      <c r="G820" t="n">
        <v>0.8</v>
      </c>
      <c r="H820" t="n">
        <v>0</v>
      </c>
      <c r="I820" t="n">
        <v>0</v>
      </c>
      <c r="J820" t="n">
        <v>0</v>
      </c>
      <c r="K820" t="n">
        <v>0</v>
      </c>
      <c r="L820" t="n">
        <v>0</v>
      </c>
      <c r="M820" t="n">
        <v>0</v>
      </c>
      <c r="N820" t="n">
        <v>0</v>
      </c>
      <c r="O820" t="n">
        <v>0</v>
      </c>
      <c r="P820" t="n">
        <v>0</v>
      </c>
      <c r="Q820" t="n">
        <v>0</v>
      </c>
      <c r="R820" s="2" t="inlineStr"/>
    </row>
    <row r="821" ht="15" customHeight="1">
      <c r="A821" t="inlineStr">
        <is>
          <t>A 30508-2023</t>
        </is>
      </c>
      <c r="B821" s="1" t="n">
        <v>45111</v>
      </c>
      <c r="C821" s="1" t="n">
        <v>46133</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5934-2026</t>
        </is>
      </c>
      <c r="B822" s="1" t="n">
        <v>46052.47082175926</v>
      </c>
      <c r="C822" s="1" t="n">
        <v>46133</v>
      </c>
      <c r="D822" t="inlineStr">
        <is>
          <t>STOCKHOLMS LÄN</t>
        </is>
      </c>
      <c r="E822" t="inlineStr">
        <is>
          <t>NORRTÄLJE</t>
        </is>
      </c>
      <c r="F822" t="inlineStr">
        <is>
          <t>Holmen skog AB</t>
        </is>
      </c>
      <c r="G822" t="n">
        <v>5.5</v>
      </c>
      <c r="H822" t="n">
        <v>0</v>
      </c>
      <c r="I822" t="n">
        <v>0</v>
      </c>
      <c r="J822" t="n">
        <v>0</v>
      </c>
      <c r="K822" t="n">
        <v>0</v>
      </c>
      <c r="L822" t="n">
        <v>0</v>
      </c>
      <c r="M822" t="n">
        <v>0</v>
      </c>
      <c r="N822" t="n">
        <v>0</v>
      </c>
      <c r="O822" t="n">
        <v>0</v>
      </c>
      <c r="P822" t="n">
        <v>0</v>
      </c>
      <c r="Q822" t="n">
        <v>0</v>
      </c>
      <c r="R822" s="2" t="inlineStr"/>
    </row>
    <row r="823" ht="15" customHeight="1">
      <c r="A823" t="inlineStr">
        <is>
          <t>A 60253-2025</t>
        </is>
      </c>
      <c r="B823" s="1" t="n">
        <v>45994.59827546297</v>
      </c>
      <c r="C823" s="1" t="n">
        <v>46133</v>
      </c>
      <c r="D823" t="inlineStr">
        <is>
          <t>STOCKHOLMS LÄN</t>
        </is>
      </c>
      <c r="E823" t="inlineStr">
        <is>
          <t>NORRTÄLJE</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16008-2025</t>
        </is>
      </c>
      <c r="B824" s="1" t="n">
        <v>45749</v>
      </c>
      <c r="C824" s="1" t="n">
        <v>46133</v>
      </c>
      <c r="D824" t="inlineStr">
        <is>
          <t>STOCKHOLMS LÄN</t>
        </is>
      </c>
      <c r="E824" t="inlineStr">
        <is>
          <t>NORRTÄLJE</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13546-2026</t>
        </is>
      </c>
      <c r="B825" s="1" t="n">
        <v>46094.69196759259</v>
      </c>
      <c r="C825" s="1" t="n">
        <v>46133</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46133</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60214-2025</t>
        </is>
      </c>
      <c r="B827" s="1" t="n">
        <v>45994.53761574074</v>
      </c>
      <c r="C827" s="1" t="n">
        <v>46133</v>
      </c>
      <c r="D827" t="inlineStr">
        <is>
          <t>STOCKHOLMS LÄN</t>
        </is>
      </c>
      <c r="E827" t="inlineStr">
        <is>
          <t>NORRTÄLJE</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60223-2025</t>
        </is>
      </c>
      <c r="B828" s="1" t="n">
        <v>45994.54497685185</v>
      </c>
      <c r="C828" s="1" t="n">
        <v>46133</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32101-2022</t>
        </is>
      </c>
      <c r="B829" s="1" t="n">
        <v>44778.69210648148</v>
      </c>
      <c r="C829" s="1" t="n">
        <v>46133</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23150-2024</t>
        </is>
      </c>
      <c r="B830" s="1" t="n">
        <v>45450.64643518518</v>
      </c>
      <c r="C830" s="1" t="n">
        <v>46133</v>
      </c>
      <c r="D830" t="inlineStr">
        <is>
          <t>STOCKHOLMS LÄN</t>
        </is>
      </c>
      <c r="E830" t="inlineStr">
        <is>
          <t>NORRTÄLJE</t>
        </is>
      </c>
      <c r="F830" t="inlineStr">
        <is>
          <t>Kommuner</t>
        </is>
      </c>
      <c r="G830" t="n">
        <v>2.7</v>
      </c>
      <c r="H830" t="n">
        <v>0</v>
      </c>
      <c r="I830" t="n">
        <v>0</v>
      </c>
      <c r="J830" t="n">
        <v>0</v>
      </c>
      <c r="K830" t="n">
        <v>0</v>
      </c>
      <c r="L830" t="n">
        <v>0</v>
      </c>
      <c r="M830" t="n">
        <v>0</v>
      </c>
      <c r="N830" t="n">
        <v>0</v>
      </c>
      <c r="O830" t="n">
        <v>0</v>
      </c>
      <c r="P830" t="n">
        <v>0</v>
      </c>
      <c r="Q830" t="n">
        <v>0</v>
      </c>
      <c r="R830" s="2" t="inlineStr"/>
    </row>
    <row r="831" ht="15" customHeight="1">
      <c r="A831" t="inlineStr">
        <is>
          <t>A 24933-2023</t>
        </is>
      </c>
      <c r="B831" s="1" t="n">
        <v>45085.5309375</v>
      </c>
      <c r="C831" s="1" t="n">
        <v>46133</v>
      </c>
      <c r="D831" t="inlineStr">
        <is>
          <t>STOCKHOLMS LÄN</t>
        </is>
      </c>
      <c r="E831" t="inlineStr">
        <is>
          <t>NORRTÄLJE</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60745-2025</t>
        </is>
      </c>
      <c r="B832" s="1" t="n">
        <v>45999.37753472223</v>
      </c>
      <c r="C832" s="1" t="n">
        <v>46133</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60649-2025</t>
        </is>
      </c>
      <c r="B833" s="1" t="n">
        <v>45996.4560300926</v>
      </c>
      <c r="C833" s="1" t="n">
        <v>46133</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56631-2024</t>
        </is>
      </c>
      <c r="B834" s="1" t="n">
        <v>45625</v>
      </c>
      <c r="C834" s="1" t="n">
        <v>46133</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60948-2025</t>
        </is>
      </c>
      <c r="B835" s="1" t="n">
        <v>45999.650625</v>
      </c>
      <c r="C835" s="1" t="n">
        <v>46133</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652-2025</t>
        </is>
      </c>
      <c r="B836" s="1" t="n">
        <v>45664</v>
      </c>
      <c r="C836" s="1" t="n">
        <v>46133</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60928-2025</t>
        </is>
      </c>
      <c r="B837" s="1" t="n">
        <v>45999.633125</v>
      </c>
      <c r="C837" s="1" t="n">
        <v>46133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61160-2025</t>
        </is>
      </c>
      <c r="B838" s="1" t="n">
        <v>46000.55262731481</v>
      </c>
      <c r="C838" s="1" t="n">
        <v>46133</v>
      </c>
      <c r="D838" t="inlineStr">
        <is>
          <t>STOCKHOLMS LÄN</t>
        </is>
      </c>
      <c r="E838" t="inlineStr">
        <is>
          <t>NORRTÄLJE</t>
        </is>
      </c>
      <c r="G838" t="n">
        <v>5.3</v>
      </c>
      <c r="H838" t="n">
        <v>0</v>
      </c>
      <c r="I838" t="n">
        <v>0</v>
      </c>
      <c r="J838" t="n">
        <v>0</v>
      </c>
      <c r="K838" t="n">
        <v>0</v>
      </c>
      <c r="L838" t="n">
        <v>0</v>
      </c>
      <c r="M838" t="n">
        <v>0</v>
      </c>
      <c r="N838" t="n">
        <v>0</v>
      </c>
      <c r="O838" t="n">
        <v>0</v>
      </c>
      <c r="P838" t="n">
        <v>0</v>
      </c>
      <c r="Q838" t="n">
        <v>0</v>
      </c>
      <c r="R838" s="2" t="inlineStr"/>
    </row>
    <row r="839" ht="15" customHeight="1">
      <c r="A839" t="inlineStr">
        <is>
          <t>A 61419-2025</t>
        </is>
      </c>
      <c r="B839" s="1" t="n">
        <v>46001.54137731482</v>
      </c>
      <c r="C839" s="1" t="n">
        <v>46133</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61430-2025</t>
        </is>
      </c>
      <c r="B840" s="1" t="n">
        <v>46001.55583333333</v>
      </c>
      <c r="C840" s="1" t="n">
        <v>46133</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61452-2025</t>
        </is>
      </c>
      <c r="B841" s="1" t="n">
        <v>46001.58043981482</v>
      </c>
      <c r="C841" s="1" t="n">
        <v>46133</v>
      </c>
      <c r="D841" t="inlineStr">
        <is>
          <t>STOCKHOLMS LÄN</t>
        </is>
      </c>
      <c r="E841" t="inlineStr">
        <is>
          <t>NORRTÄLJE</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5389-2025</t>
        </is>
      </c>
      <c r="B842" s="1" t="n">
        <v>45692</v>
      </c>
      <c r="C842" s="1" t="n">
        <v>46133</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6724-2026</t>
        </is>
      </c>
      <c r="B843" s="1" t="n">
        <v>46056.67717592593</v>
      </c>
      <c r="C843" s="1" t="n">
        <v>46133</v>
      </c>
      <c r="D843" t="inlineStr">
        <is>
          <t>STOCKHOLMS LÄN</t>
        </is>
      </c>
      <c r="E843" t="inlineStr">
        <is>
          <t>NORRTÄLJE</t>
        </is>
      </c>
      <c r="F843" t="inlineStr">
        <is>
          <t>Holmen skog AB</t>
        </is>
      </c>
      <c r="G843" t="n">
        <v>16.2</v>
      </c>
      <c r="H843" t="n">
        <v>0</v>
      </c>
      <c r="I843" t="n">
        <v>0</v>
      </c>
      <c r="J843" t="n">
        <v>0</v>
      </c>
      <c r="K843" t="n">
        <v>0</v>
      </c>
      <c r="L843" t="n">
        <v>0</v>
      </c>
      <c r="M843" t="n">
        <v>0</v>
      </c>
      <c r="N843" t="n">
        <v>0</v>
      </c>
      <c r="O843" t="n">
        <v>0</v>
      </c>
      <c r="P843" t="n">
        <v>0</v>
      </c>
      <c r="Q843" t="n">
        <v>0</v>
      </c>
      <c r="R843" s="2" t="inlineStr"/>
    </row>
    <row r="844" ht="15" customHeight="1">
      <c r="A844" t="inlineStr">
        <is>
          <t>A 11499-2023</t>
        </is>
      </c>
      <c r="B844" s="1" t="n">
        <v>44993.66707175926</v>
      </c>
      <c r="C844" s="1" t="n">
        <v>46133</v>
      </c>
      <c r="D844" t="inlineStr">
        <is>
          <t>STOCKHOLMS LÄN</t>
        </is>
      </c>
      <c r="E844" t="inlineStr">
        <is>
          <t>NORRTÄLJE</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6828-2026</t>
        </is>
      </c>
      <c r="B845" s="1" t="n">
        <v>46057</v>
      </c>
      <c r="C845" s="1" t="n">
        <v>46133</v>
      </c>
      <c r="D845" t="inlineStr">
        <is>
          <t>STOCKHOLMS LÄN</t>
        </is>
      </c>
      <c r="E845" t="inlineStr">
        <is>
          <t>NORRTÄLJE</t>
        </is>
      </c>
      <c r="F845" t="inlineStr">
        <is>
          <t>Holmen skog AB</t>
        </is>
      </c>
      <c r="G845" t="n">
        <v>2.8</v>
      </c>
      <c r="H845" t="n">
        <v>0</v>
      </c>
      <c r="I845" t="n">
        <v>0</v>
      </c>
      <c r="J845" t="n">
        <v>0</v>
      </c>
      <c r="K845" t="n">
        <v>0</v>
      </c>
      <c r="L845" t="n">
        <v>0</v>
      </c>
      <c r="M845" t="n">
        <v>0</v>
      </c>
      <c r="N845" t="n">
        <v>0</v>
      </c>
      <c r="O845" t="n">
        <v>0</v>
      </c>
      <c r="P845" t="n">
        <v>0</v>
      </c>
      <c r="Q845" t="n">
        <v>0</v>
      </c>
      <c r="R845" s="2" t="inlineStr"/>
    </row>
    <row r="846" ht="15" customHeight="1">
      <c r="A846" t="inlineStr">
        <is>
          <t>A 6838-2026</t>
        </is>
      </c>
      <c r="B846" s="1" t="n">
        <v>46057.41151620371</v>
      </c>
      <c r="C846" s="1" t="n">
        <v>46133</v>
      </c>
      <c r="D846" t="inlineStr">
        <is>
          <t>STOCKHOLMS LÄN</t>
        </is>
      </c>
      <c r="E846" t="inlineStr">
        <is>
          <t>NORRTÄLJE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576-2023</t>
        </is>
      </c>
      <c r="B847" s="1" t="n">
        <v>44925</v>
      </c>
      <c r="C847" s="1" t="n">
        <v>46133</v>
      </c>
      <c r="D847" t="inlineStr">
        <is>
          <t>STOCKHOLMS LÄN</t>
        </is>
      </c>
      <c r="E847" t="inlineStr">
        <is>
          <t>NORRTÄLJE</t>
        </is>
      </c>
      <c r="G847" t="n">
        <v>7.2</v>
      </c>
      <c r="H847" t="n">
        <v>0</v>
      </c>
      <c r="I847" t="n">
        <v>0</v>
      </c>
      <c r="J847" t="n">
        <v>0</v>
      </c>
      <c r="K847" t="n">
        <v>0</v>
      </c>
      <c r="L847" t="n">
        <v>0</v>
      </c>
      <c r="M847" t="n">
        <v>0</v>
      </c>
      <c r="N847" t="n">
        <v>0</v>
      </c>
      <c r="O847" t="n">
        <v>0</v>
      </c>
      <c r="P847" t="n">
        <v>0</v>
      </c>
      <c r="Q847" t="n">
        <v>0</v>
      </c>
      <c r="R847" s="2" t="inlineStr"/>
    </row>
    <row r="848" ht="15" customHeight="1">
      <c r="A848" t="inlineStr">
        <is>
          <t>A 10678-2025</t>
        </is>
      </c>
      <c r="B848" s="1" t="n">
        <v>45721.89123842592</v>
      </c>
      <c r="C848" s="1" t="n">
        <v>46133</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31936-2022</t>
        </is>
      </c>
      <c r="B849" s="1" t="n">
        <v>44777</v>
      </c>
      <c r="C849" s="1" t="n">
        <v>46133</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6874-2026</t>
        </is>
      </c>
      <c r="B850" s="1" t="n">
        <v>46057.45295138889</v>
      </c>
      <c r="C850" s="1" t="n">
        <v>46133</v>
      </c>
      <c r="D850" t="inlineStr">
        <is>
          <t>STOCKHOLMS LÄN</t>
        </is>
      </c>
      <c r="E850" t="inlineStr">
        <is>
          <t>NORRTÄLJE</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6532-2026</t>
        </is>
      </c>
      <c r="B851" s="1" t="n">
        <v>46056.41300925926</v>
      </c>
      <c r="C851" s="1" t="n">
        <v>46133</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59873-2024</t>
        </is>
      </c>
      <c r="B852" s="1" t="n">
        <v>45640.57305555556</v>
      </c>
      <c r="C852" s="1" t="n">
        <v>46133</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35916-2024</t>
        </is>
      </c>
      <c r="B853" s="1" t="n">
        <v>45533</v>
      </c>
      <c r="C853" s="1" t="n">
        <v>46133</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10098-2022</t>
        </is>
      </c>
      <c r="B854" s="1" t="n">
        <v>44621</v>
      </c>
      <c r="C854" s="1" t="n">
        <v>46133</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6701-2026</t>
        </is>
      </c>
      <c r="B855" s="1" t="n">
        <v>46056</v>
      </c>
      <c r="C855" s="1" t="n">
        <v>46133</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63161-2023</t>
        </is>
      </c>
      <c r="B856" s="1" t="n">
        <v>45273</v>
      </c>
      <c r="C856" s="1" t="n">
        <v>46133</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7796-2025</t>
        </is>
      </c>
      <c r="B857" s="1" t="n">
        <v>45706.60130787037</v>
      </c>
      <c r="C857" s="1" t="n">
        <v>46133</v>
      </c>
      <c r="D857" t="inlineStr">
        <is>
          <t>STOCKHOLMS LÄN</t>
        </is>
      </c>
      <c r="E857" t="inlineStr">
        <is>
          <t>NORRTÄLJE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58040-2024</t>
        </is>
      </c>
      <c r="B858" s="1" t="n">
        <v>45631.73952546297</v>
      </c>
      <c r="C858" s="1" t="n">
        <v>46133</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58041-2024</t>
        </is>
      </c>
      <c r="B859" s="1" t="n">
        <v>45631.74673611111</v>
      </c>
      <c r="C859" s="1" t="n">
        <v>46133</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30268-2024</t>
        </is>
      </c>
      <c r="B860" s="1" t="n">
        <v>45490.60572916667</v>
      </c>
      <c r="C860" s="1" t="n">
        <v>46133</v>
      </c>
      <c r="D860" t="inlineStr">
        <is>
          <t>STOCKHOLMS LÄN</t>
        </is>
      </c>
      <c r="E860" t="inlineStr">
        <is>
          <t>NORRTÄLJE</t>
        </is>
      </c>
      <c r="G860" t="n">
        <v>5.6</v>
      </c>
      <c r="H860" t="n">
        <v>0</v>
      </c>
      <c r="I860" t="n">
        <v>0</v>
      </c>
      <c r="J860" t="n">
        <v>0</v>
      </c>
      <c r="K860" t="n">
        <v>0</v>
      </c>
      <c r="L860" t="n">
        <v>0</v>
      </c>
      <c r="M860" t="n">
        <v>0</v>
      </c>
      <c r="N860" t="n">
        <v>0</v>
      </c>
      <c r="O860" t="n">
        <v>0</v>
      </c>
      <c r="P860" t="n">
        <v>0</v>
      </c>
      <c r="Q860" t="n">
        <v>0</v>
      </c>
      <c r="R860" s="2" t="inlineStr"/>
    </row>
    <row r="861" ht="15" customHeight="1">
      <c r="A861" t="inlineStr">
        <is>
          <t>A 12407-2025</t>
        </is>
      </c>
      <c r="B861" s="1" t="n">
        <v>45730.42851851852</v>
      </c>
      <c r="C861" s="1" t="n">
        <v>46133</v>
      </c>
      <c r="D861" t="inlineStr">
        <is>
          <t>STOCKHOLMS LÄN</t>
        </is>
      </c>
      <c r="E861" t="inlineStr">
        <is>
          <t>NORRTÄLJE</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19025-2025</t>
        </is>
      </c>
      <c r="B862" s="1" t="n">
        <v>45764.6359837963</v>
      </c>
      <c r="C862" s="1" t="n">
        <v>46133</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54276-2021</t>
        </is>
      </c>
      <c r="B863" s="1" t="n">
        <v>44470</v>
      </c>
      <c r="C863" s="1" t="n">
        <v>46133</v>
      </c>
      <c r="D863" t="inlineStr">
        <is>
          <t>STOCKHOLMS LÄN</t>
        </is>
      </c>
      <c r="E863" t="inlineStr">
        <is>
          <t>NORRTÄLJE</t>
        </is>
      </c>
      <c r="G863" t="n">
        <v>7.3</v>
      </c>
      <c r="H863" t="n">
        <v>0</v>
      </c>
      <c r="I863" t="n">
        <v>0</v>
      </c>
      <c r="J863" t="n">
        <v>0</v>
      </c>
      <c r="K863" t="n">
        <v>0</v>
      </c>
      <c r="L863" t="n">
        <v>0</v>
      </c>
      <c r="M863" t="n">
        <v>0</v>
      </c>
      <c r="N863" t="n">
        <v>0</v>
      </c>
      <c r="O863" t="n">
        <v>0</v>
      </c>
      <c r="P863" t="n">
        <v>0</v>
      </c>
      <c r="Q863" t="n">
        <v>0</v>
      </c>
      <c r="R863" s="2" t="inlineStr"/>
    </row>
    <row r="864" ht="15" customHeight="1">
      <c r="A864" t="inlineStr">
        <is>
          <t>A 4316-2023</t>
        </is>
      </c>
      <c r="B864" s="1" t="n">
        <v>44953.67443287037</v>
      </c>
      <c r="C864" s="1" t="n">
        <v>46133</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41587-2023</t>
        </is>
      </c>
      <c r="B865" s="1" t="n">
        <v>45175</v>
      </c>
      <c r="C865" s="1" t="n">
        <v>46133</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14348-2026</t>
        </is>
      </c>
      <c r="B866" s="1" t="n">
        <v>46100.34112268518</v>
      </c>
      <c r="C866" s="1" t="n">
        <v>46133</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7308-2026</t>
        </is>
      </c>
      <c r="B867" s="1" t="n">
        <v>46058.66025462963</v>
      </c>
      <c r="C867" s="1" t="n">
        <v>46133</v>
      </c>
      <c r="D867" t="inlineStr">
        <is>
          <t>STOCKHOLMS LÄN</t>
        </is>
      </c>
      <c r="E867" t="inlineStr">
        <is>
          <t>NORRTÄLJE</t>
        </is>
      </c>
      <c r="F867" t="inlineStr">
        <is>
          <t>Holmen skog AB</t>
        </is>
      </c>
      <c r="G867" t="n">
        <v>1.7</v>
      </c>
      <c r="H867" t="n">
        <v>0</v>
      </c>
      <c r="I867" t="n">
        <v>0</v>
      </c>
      <c r="J867" t="n">
        <v>0</v>
      </c>
      <c r="K867" t="n">
        <v>0</v>
      </c>
      <c r="L867" t="n">
        <v>0</v>
      </c>
      <c r="M867" t="n">
        <v>0</v>
      </c>
      <c r="N867" t="n">
        <v>0</v>
      </c>
      <c r="O867" t="n">
        <v>0</v>
      </c>
      <c r="P867" t="n">
        <v>0</v>
      </c>
      <c r="Q867" t="n">
        <v>0</v>
      </c>
      <c r="R867" s="2" t="inlineStr"/>
    </row>
    <row r="868" ht="15" customHeight="1">
      <c r="A868" t="inlineStr">
        <is>
          <t>A 7532-2026</t>
        </is>
      </c>
      <c r="B868" s="1" t="n">
        <v>46059</v>
      </c>
      <c r="C868" s="1" t="n">
        <v>46133</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14475-2026</t>
        </is>
      </c>
      <c r="B869" s="1" t="n">
        <v>46100.57251157407</v>
      </c>
      <c r="C869" s="1" t="n">
        <v>46133</v>
      </c>
      <c r="D869" t="inlineStr">
        <is>
          <t>STOCKHOLMS LÄN</t>
        </is>
      </c>
      <c r="E869" t="inlineStr">
        <is>
          <t>NORRTÄLJE</t>
        </is>
      </c>
      <c r="G869" t="n">
        <v>12.3</v>
      </c>
      <c r="H869" t="n">
        <v>0</v>
      </c>
      <c r="I869" t="n">
        <v>0</v>
      </c>
      <c r="J869" t="n">
        <v>0</v>
      </c>
      <c r="K869" t="n">
        <v>0</v>
      </c>
      <c r="L869" t="n">
        <v>0</v>
      </c>
      <c r="M869" t="n">
        <v>0</v>
      </c>
      <c r="N869" t="n">
        <v>0</v>
      </c>
      <c r="O869" t="n">
        <v>0</v>
      </c>
      <c r="P869" t="n">
        <v>0</v>
      </c>
      <c r="Q869" t="n">
        <v>0</v>
      </c>
      <c r="R869" s="2" t="inlineStr"/>
    </row>
    <row r="870" ht="15" customHeight="1">
      <c r="A870" t="inlineStr">
        <is>
          <t>A 17304-2024</t>
        </is>
      </c>
      <c r="B870" s="1" t="n">
        <v>45414</v>
      </c>
      <c r="C870" s="1" t="n">
        <v>46133</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46133</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26668-2024</t>
        </is>
      </c>
      <c r="B872" s="1" t="n">
        <v>45469</v>
      </c>
      <c r="C872" s="1" t="n">
        <v>46133</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31926-2022</t>
        </is>
      </c>
      <c r="B873" s="1" t="n">
        <v>44777</v>
      </c>
      <c r="C873" s="1" t="n">
        <v>46133</v>
      </c>
      <c r="D873" t="inlineStr">
        <is>
          <t>STOCKHOLMS LÄN</t>
        </is>
      </c>
      <c r="E873" t="inlineStr">
        <is>
          <t>NORRTÄLJE</t>
        </is>
      </c>
      <c r="G873" t="n">
        <v>5.2</v>
      </c>
      <c r="H873" t="n">
        <v>0</v>
      </c>
      <c r="I873" t="n">
        <v>0</v>
      </c>
      <c r="J873" t="n">
        <v>0</v>
      </c>
      <c r="K873" t="n">
        <v>0</v>
      </c>
      <c r="L873" t="n">
        <v>0</v>
      </c>
      <c r="M873" t="n">
        <v>0</v>
      </c>
      <c r="N873" t="n">
        <v>0</v>
      </c>
      <c r="O873" t="n">
        <v>0</v>
      </c>
      <c r="P873" t="n">
        <v>0</v>
      </c>
      <c r="Q873" t="n">
        <v>0</v>
      </c>
      <c r="R873" s="2" t="inlineStr"/>
    </row>
    <row r="874" ht="15" customHeight="1">
      <c r="A874" t="inlineStr">
        <is>
          <t>A 8055-2026</t>
        </is>
      </c>
      <c r="B874" s="1" t="n">
        <v>46063.62002314815</v>
      </c>
      <c r="C874" s="1" t="n">
        <v>46133</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21480-2022</t>
        </is>
      </c>
      <c r="B875" s="1" t="n">
        <v>44704</v>
      </c>
      <c r="C875" s="1" t="n">
        <v>46133</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11041-2025</t>
        </is>
      </c>
      <c r="B876" s="1" t="n">
        <v>45723</v>
      </c>
      <c r="C876" s="1" t="n">
        <v>46133</v>
      </c>
      <c r="D876" t="inlineStr">
        <is>
          <t>STOCKHOLMS LÄN</t>
        </is>
      </c>
      <c r="E876" t="inlineStr">
        <is>
          <t>NORRTÄLJE</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7793-2026</t>
        </is>
      </c>
      <c r="B877" s="1" t="n">
        <v>46062.59496527778</v>
      </c>
      <c r="C877" s="1" t="n">
        <v>46133</v>
      </c>
      <c r="D877" t="inlineStr">
        <is>
          <t>STOCKHOLMS LÄN</t>
        </is>
      </c>
      <c r="E877" t="inlineStr">
        <is>
          <t>NORRTÄLJE</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24024-2024</t>
        </is>
      </c>
      <c r="B878" s="1" t="n">
        <v>45456</v>
      </c>
      <c r="C878" s="1" t="n">
        <v>46133</v>
      </c>
      <c r="D878" t="inlineStr">
        <is>
          <t>STOCKHOLMS LÄN</t>
        </is>
      </c>
      <c r="E878" t="inlineStr">
        <is>
          <t>NORRTÄLJE</t>
        </is>
      </c>
      <c r="G878" t="n">
        <v>1.9</v>
      </c>
      <c r="H878" t="n">
        <v>0</v>
      </c>
      <c r="I878" t="n">
        <v>0</v>
      </c>
      <c r="J878" t="n">
        <v>0</v>
      </c>
      <c r="K878" t="n">
        <v>0</v>
      </c>
      <c r="L878" t="n">
        <v>0</v>
      </c>
      <c r="M878" t="n">
        <v>0</v>
      </c>
      <c r="N878" t="n">
        <v>0</v>
      </c>
      <c r="O878" t="n">
        <v>0</v>
      </c>
      <c r="P878" t="n">
        <v>0</v>
      </c>
      <c r="Q878" t="n">
        <v>0</v>
      </c>
      <c r="R878" s="2" t="inlineStr"/>
    </row>
    <row r="879" ht="15" customHeight="1">
      <c r="A879" t="inlineStr">
        <is>
          <t>A 28809-2023</t>
        </is>
      </c>
      <c r="B879" s="1" t="n">
        <v>45104</v>
      </c>
      <c r="C879" s="1" t="n">
        <v>46133</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28813-2023</t>
        </is>
      </c>
      <c r="B880" s="1" t="n">
        <v>45104</v>
      </c>
      <c r="C880" s="1" t="n">
        <v>46133</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40656-2022</t>
        </is>
      </c>
      <c r="B881" s="1" t="n">
        <v>44824.36069444445</v>
      </c>
      <c r="C881" s="1" t="n">
        <v>46133</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60694-2024</t>
        </is>
      </c>
      <c r="B882" s="1" t="n">
        <v>45644.47878472223</v>
      </c>
      <c r="C882" s="1" t="n">
        <v>46133</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8096-2026</t>
        </is>
      </c>
      <c r="B883" s="1" t="n">
        <v>46063.714375</v>
      </c>
      <c r="C883" s="1" t="n">
        <v>46133</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7723-2026</t>
        </is>
      </c>
      <c r="B884" s="1" t="n">
        <v>46062.49905092592</v>
      </c>
      <c r="C884" s="1" t="n">
        <v>46133</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7729-2026</t>
        </is>
      </c>
      <c r="B885" s="1" t="n">
        <v>46062.51100694444</v>
      </c>
      <c r="C885" s="1" t="n">
        <v>46133</v>
      </c>
      <c r="D885" t="inlineStr">
        <is>
          <t>STOCKHOLMS LÄN</t>
        </is>
      </c>
      <c r="E885" t="inlineStr">
        <is>
          <t>NORRTÄLJE</t>
        </is>
      </c>
      <c r="G885" t="n">
        <v>6.6</v>
      </c>
      <c r="H885" t="n">
        <v>0</v>
      </c>
      <c r="I885" t="n">
        <v>0</v>
      </c>
      <c r="J885" t="n">
        <v>0</v>
      </c>
      <c r="K885" t="n">
        <v>0</v>
      </c>
      <c r="L885" t="n">
        <v>0</v>
      </c>
      <c r="M885" t="n">
        <v>0</v>
      </c>
      <c r="N885" t="n">
        <v>0</v>
      </c>
      <c r="O885" t="n">
        <v>0</v>
      </c>
      <c r="P885" t="n">
        <v>0</v>
      </c>
      <c r="Q885" t="n">
        <v>0</v>
      </c>
      <c r="R885" s="2" t="inlineStr"/>
    </row>
    <row r="886" ht="15" customHeight="1">
      <c r="A886" t="inlineStr">
        <is>
          <t>A 7582-2026</t>
        </is>
      </c>
      <c r="B886" s="1" t="n">
        <v>46061</v>
      </c>
      <c r="C886" s="1" t="n">
        <v>46133</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8091-2026</t>
        </is>
      </c>
      <c r="B887" s="1" t="n">
        <v>46063.70944444444</v>
      </c>
      <c r="C887" s="1" t="n">
        <v>46133</v>
      </c>
      <c r="D887" t="inlineStr">
        <is>
          <t>STOCKHOLMS LÄN</t>
        </is>
      </c>
      <c r="E887" t="inlineStr">
        <is>
          <t>NORRTÄLJE</t>
        </is>
      </c>
      <c r="G887" t="n">
        <v>4.7</v>
      </c>
      <c r="H887" t="n">
        <v>0</v>
      </c>
      <c r="I887" t="n">
        <v>0</v>
      </c>
      <c r="J887" t="n">
        <v>0</v>
      </c>
      <c r="K887" t="n">
        <v>0</v>
      </c>
      <c r="L887" t="n">
        <v>0</v>
      </c>
      <c r="M887" t="n">
        <v>0</v>
      </c>
      <c r="N887" t="n">
        <v>0</v>
      </c>
      <c r="O887" t="n">
        <v>0</v>
      </c>
      <c r="P887" t="n">
        <v>0</v>
      </c>
      <c r="Q887" t="n">
        <v>0</v>
      </c>
      <c r="R887" s="2" t="inlineStr"/>
    </row>
    <row r="888" ht="15" customHeight="1">
      <c r="A888" t="inlineStr">
        <is>
          <t>A 19450-2025</t>
        </is>
      </c>
      <c r="B888" s="1" t="n">
        <v>45770</v>
      </c>
      <c r="C888" s="1" t="n">
        <v>46133</v>
      </c>
      <c r="D888" t="inlineStr">
        <is>
          <t>STOCKHOLMS LÄN</t>
        </is>
      </c>
      <c r="E888" t="inlineStr">
        <is>
          <t>NORRTÄLJE</t>
        </is>
      </c>
      <c r="G888" t="n">
        <v>5.3</v>
      </c>
      <c r="H888" t="n">
        <v>0</v>
      </c>
      <c r="I888" t="n">
        <v>0</v>
      </c>
      <c r="J888" t="n">
        <v>0</v>
      </c>
      <c r="K888" t="n">
        <v>0</v>
      </c>
      <c r="L888" t="n">
        <v>0</v>
      </c>
      <c r="M888" t="n">
        <v>0</v>
      </c>
      <c r="N888" t="n">
        <v>0</v>
      </c>
      <c r="O888" t="n">
        <v>0</v>
      </c>
      <c r="P888" t="n">
        <v>0</v>
      </c>
      <c r="Q888" t="n">
        <v>0</v>
      </c>
      <c r="R888" s="2" t="inlineStr"/>
    </row>
    <row r="889" ht="15" customHeight="1">
      <c r="A889" t="inlineStr">
        <is>
          <t>A 8410-2026</t>
        </is>
      </c>
      <c r="B889" s="1" t="n">
        <v>46065.34261574074</v>
      </c>
      <c r="C889" s="1" t="n">
        <v>46133</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8489-2026</t>
        </is>
      </c>
      <c r="B890" s="1" t="n">
        <v>46065.48268518518</v>
      </c>
      <c r="C890" s="1" t="n">
        <v>46133</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8465-2026</t>
        </is>
      </c>
      <c r="B891" s="1" t="n">
        <v>46065.44141203703</v>
      </c>
      <c r="C891" s="1" t="n">
        <v>46133</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15836-2026</t>
        </is>
      </c>
      <c r="B892" s="1" t="n">
        <v>46107.56134259259</v>
      </c>
      <c r="C892" s="1" t="n">
        <v>46133</v>
      </c>
      <c r="D892" t="inlineStr">
        <is>
          <t>STOCKHOLMS LÄN</t>
        </is>
      </c>
      <c r="E892" t="inlineStr">
        <is>
          <t>NORRTÄLJE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8454-2026</t>
        </is>
      </c>
      <c r="B893" s="1" t="n">
        <v>46065.42506944444</v>
      </c>
      <c r="C893" s="1" t="n">
        <v>46133</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16243-2026</t>
        </is>
      </c>
      <c r="B894" s="1" t="n">
        <v>46111.45902777778</v>
      </c>
      <c r="C894" s="1" t="n">
        <v>46133</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9103-2026</t>
        </is>
      </c>
      <c r="B895" s="1" t="n">
        <v>46069.65039351852</v>
      </c>
      <c r="C895" s="1" t="n">
        <v>46133</v>
      </c>
      <c r="D895" t="inlineStr">
        <is>
          <t>STOCKHOLMS LÄN</t>
        </is>
      </c>
      <c r="E895" t="inlineStr">
        <is>
          <t>NORRTÄLJE</t>
        </is>
      </c>
      <c r="F895" t="inlineStr">
        <is>
          <t>Holmen skog AB</t>
        </is>
      </c>
      <c r="G895" t="n">
        <v>3.6</v>
      </c>
      <c r="H895" t="n">
        <v>0</v>
      </c>
      <c r="I895" t="n">
        <v>0</v>
      </c>
      <c r="J895" t="n">
        <v>0</v>
      </c>
      <c r="K895" t="n">
        <v>0</v>
      </c>
      <c r="L895" t="n">
        <v>0</v>
      </c>
      <c r="M895" t="n">
        <v>0</v>
      </c>
      <c r="N895" t="n">
        <v>0</v>
      </c>
      <c r="O895" t="n">
        <v>0</v>
      </c>
      <c r="P895" t="n">
        <v>0</v>
      </c>
      <c r="Q895" t="n">
        <v>0</v>
      </c>
      <c r="R895" s="2" t="inlineStr"/>
    </row>
    <row r="896" ht="15" customHeight="1">
      <c r="A896" t="inlineStr">
        <is>
          <t>A 33353-2023</t>
        </is>
      </c>
      <c r="B896" s="1" t="n">
        <v>45128</v>
      </c>
      <c r="C896" s="1" t="n">
        <v>46133</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8989-2026</t>
        </is>
      </c>
      <c r="B897" s="1" t="n">
        <v>46069.45789351852</v>
      </c>
      <c r="C897" s="1" t="n">
        <v>46133</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16229-2026</t>
        </is>
      </c>
      <c r="B898" s="1" t="n">
        <v>46111.45084490741</v>
      </c>
      <c r="C898" s="1" t="n">
        <v>46133</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3966-2024</t>
        </is>
      </c>
      <c r="B899" s="1" t="n">
        <v>45322</v>
      </c>
      <c r="C899" s="1" t="n">
        <v>46133</v>
      </c>
      <c r="D899" t="inlineStr">
        <is>
          <t>STOCKHOLMS LÄN</t>
        </is>
      </c>
      <c r="E899" t="inlineStr">
        <is>
          <t>NORRTÄLJE</t>
        </is>
      </c>
      <c r="G899" t="n">
        <v>5.3</v>
      </c>
      <c r="H899" t="n">
        <v>0</v>
      </c>
      <c r="I899" t="n">
        <v>0</v>
      </c>
      <c r="J899" t="n">
        <v>0</v>
      </c>
      <c r="K899" t="n">
        <v>0</v>
      </c>
      <c r="L899" t="n">
        <v>0</v>
      </c>
      <c r="M899" t="n">
        <v>0</v>
      </c>
      <c r="N899" t="n">
        <v>0</v>
      </c>
      <c r="O899" t="n">
        <v>0</v>
      </c>
      <c r="P899" t="n">
        <v>0</v>
      </c>
      <c r="Q899" t="n">
        <v>0</v>
      </c>
      <c r="R899" s="2" t="inlineStr"/>
    </row>
    <row r="900" ht="15" customHeight="1">
      <c r="A900" t="inlineStr">
        <is>
          <t>A 14937-2026</t>
        </is>
      </c>
      <c r="B900" s="1" t="n">
        <v>46104</v>
      </c>
      <c r="C900" s="1" t="n">
        <v>46133</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8985-2026</t>
        </is>
      </c>
      <c r="B901" s="1" t="n">
        <v>46069.45234953704</v>
      </c>
      <c r="C901" s="1" t="n">
        <v>46133</v>
      </c>
      <c r="D901" t="inlineStr">
        <is>
          <t>STOCKHOLMS LÄN</t>
        </is>
      </c>
      <c r="E901" t="inlineStr">
        <is>
          <t>NORRTÄLJE</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8962-2026</t>
        </is>
      </c>
      <c r="B902" s="1" t="n">
        <v>46069.41644675926</v>
      </c>
      <c r="C902" s="1" t="n">
        <v>46133</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23262-2023</t>
        </is>
      </c>
      <c r="B903" s="1" t="n">
        <v>45075.90270833333</v>
      </c>
      <c r="C903" s="1" t="n">
        <v>46133</v>
      </c>
      <c r="D903" t="inlineStr">
        <is>
          <t>STOCKHOLMS LÄN</t>
        </is>
      </c>
      <c r="E903" t="inlineStr">
        <is>
          <t>NORRTÄLJE</t>
        </is>
      </c>
      <c r="F903" t="inlineStr">
        <is>
          <t>Kommuner</t>
        </is>
      </c>
      <c r="G903" t="n">
        <v>1.9</v>
      </c>
      <c r="H903" t="n">
        <v>0</v>
      </c>
      <c r="I903" t="n">
        <v>0</v>
      </c>
      <c r="J903" t="n">
        <v>0</v>
      </c>
      <c r="K903" t="n">
        <v>0</v>
      </c>
      <c r="L903" t="n">
        <v>0</v>
      </c>
      <c r="M903" t="n">
        <v>0</v>
      </c>
      <c r="N903" t="n">
        <v>0</v>
      </c>
      <c r="O903" t="n">
        <v>0</v>
      </c>
      <c r="P903" t="n">
        <v>0</v>
      </c>
      <c r="Q903" t="n">
        <v>0</v>
      </c>
      <c r="R903" s="2" t="inlineStr"/>
    </row>
    <row r="904" ht="15" customHeight="1">
      <c r="A904" t="inlineStr">
        <is>
          <t>A 23268-2023</t>
        </is>
      </c>
      <c r="B904" s="1" t="n">
        <v>45075.91042824074</v>
      </c>
      <c r="C904" s="1" t="n">
        <v>46133</v>
      </c>
      <c r="D904" t="inlineStr">
        <is>
          <t>STOCKHOLMS LÄN</t>
        </is>
      </c>
      <c r="E904" t="inlineStr">
        <is>
          <t>NORRTÄLJE</t>
        </is>
      </c>
      <c r="G904" t="n">
        <v>3.3</v>
      </c>
      <c r="H904" t="n">
        <v>0</v>
      </c>
      <c r="I904" t="n">
        <v>0</v>
      </c>
      <c r="J904" t="n">
        <v>0</v>
      </c>
      <c r="K904" t="n">
        <v>0</v>
      </c>
      <c r="L904" t="n">
        <v>0</v>
      </c>
      <c r="M904" t="n">
        <v>0</v>
      </c>
      <c r="N904" t="n">
        <v>0</v>
      </c>
      <c r="O904" t="n">
        <v>0</v>
      </c>
      <c r="P904" t="n">
        <v>0</v>
      </c>
      <c r="Q904" t="n">
        <v>0</v>
      </c>
      <c r="R904" s="2" t="inlineStr"/>
    </row>
    <row r="905" ht="15" customHeight="1">
      <c r="A905" t="inlineStr">
        <is>
          <t>A 23270-2023</t>
        </is>
      </c>
      <c r="B905" s="1" t="n">
        <v>45075.91265046296</v>
      </c>
      <c r="C905" s="1" t="n">
        <v>46133</v>
      </c>
      <c r="D905" t="inlineStr">
        <is>
          <t>STOCKHOLMS LÄN</t>
        </is>
      </c>
      <c r="E905" t="inlineStr">
        <is>
          <t>NORRTÄLJE</t>
        </is>
      </c>
      <c r="G905" t="n">
        <v>12.3</v>
      </c>
      <c r="H905" t="n">
        <v>0</v>
      </c>
      <c r="I905" t="n">
        <v>0</v>
      </c>
      <c r="J905" t="n">
        <v>0</v>
      </c>
      <c r="K905" t="n">
        <v>0</v>
      </c>
      <c r="L905" t="n">
        <v>0</v>
      </c>
      <c r="M905" t="n">
        <v>0</v>
      </c>
      <c r="N905" t="n">
        <v>0</v>
      </c>
      <c r="O905" t="n">
        <v>0</v>
      </c>
      <c r="P905" t="n">
        <v>0</v>
      </c>
      <c r="Q905" t="n">
        <v>0</v>
      </c>
      <c r="R905" s="2" t="inlineStr"/>
    </row>
    <row r="906" ht="15" customHeight="1">
      <c r="A906" t="inlineStr">
        <is>
          <t>A 23274-2023</t>
        </is>
      </c>
      <c r="B906" s="1" t="n">
        <v>45075.92153935185</v>
      </c>
      <c r="C906" s="1" t="n">
        <v>46133</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17843-2024</t>
        </is>
      </c>
      <c r="B907" s="1" t="n">
        <v>45418</v>
      </c>
      <c r="C907" s="1" t="n">
        <v>46133</v>
      </c>
      <c r="D907" t="inlineStr">
        <is>
          <t>STOCKHOLMS LÄN</t>
        </is>
      </c>
      <c r="E907" t="inlineStr">
        <is>
          <t>NORRTÄLJE</t>
        </is>
      </c>
      <c r="G907" t="n">
        <v>5.4</v>
      </c>
      <c r="H907" t="n">
        <v>0</v>
      </c>
      <c r="I907" t="n">
        <v>0</v>
      </c>
      <c r="J907" t="n">
        <v>0</v>
      </c>
      <c r="K907" t="n">
        <v>0</v>
      </c>
      <c r="L907" t="n">
        <v>0</v>
      </c>
      <c r="M907" t="n">
        <v>0</v>
      </c>
      <c r="N907" t="n">
        <v>0</v>
      </c>
      <c r="O907" t="n">
        <v>0</v>
      </c>
      <c r="P907" t="n">
        <v>0</v>
      </c>
      <c r="Q907" t="n">
        <v>0</v>
      </c>
      <c r="R907" s="2" t="inlineStr"/>
    </row>
    <row r="908" ht="15" customHeight="1">
      <c r="A908" t="inlineStr">
        <is>
          <t>A 26636-2023</t>
        </is>
      </c>
      <c r="B908" s="1" t="n">
        <v>45092</v>
      </c>
      <c r="C908" s="1" t="n">
        <v>46133</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26637-2023</t>
        </is>
      </c>
      <c r="B909" s="1" t="n">
        <v>45092</v>
      </c>
      <c r="C909" s="1" t="n">
        <v>46133</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72704-2021</t>
        </is>
      </c>
      <c r="B910" s="1" t="n">
        <v>44546</v>
      </c>
      <c r="C910" s="1" t="n">
        <v>46133</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52743-2024</t>
        </is>
      </c>
      <c r="B911" s="1" t="n">
        <v>45610.47414351852</v>
      </c>
      <c r="C911" s="1" t="n">
        <v>46133</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16852-2024</t>
        </is>
      </c>
      <c r="B912" s="1" t="n">
        <v>45411.54768518519</v>
      </c>
      <c r="C912" s="1" t="n">
        <v>46133</v>
      </c>
      <c r="D912" t="inlineStr">
        <is>
          <t>STOCKHOLMS LÄN</t>
        </is>
      </c>
      <c r="E912" t="inlineStr">
        <is>
          <t>NORRTÄLJE</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55755-2023</t>
        </is>
      </c>
      <c r="B913" s="1" t="n">
        <v>45239</v>
      </c>
      <c r="C913" s="1" t="n">
        <v>46133</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17348-2024</t>
        </is>
      </c>
      <c r="B914" s="1" t="n">
        <v>45414.58650462963</v>
      </c>
      <c r="C914" s="1" t="n">
        <v>46133</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9720-2026</t>
        </is>
      </c>
      <c r="B915" s="1" t="n">
        <v>46072.45061342593</v>
      </c>
      <c r="C915" s="1" t="n">
        <v>46133</v>
      </c>
      <c r="D915" t="inlineStr">
        <is>
          <t>STOCKHOLMS LÄN</t>
        </is>
      </c>
      <c r="E915" t="inlineStr">
        <is>
          <t>NORRTÄLJE</t>
        </is>
      </c>
      <c r="G915" t="n">
        <v>3.6</v>
      </c>
      <c r="H915" t="n">
        <v>0</v>
      </c>
      <c r="I915" t="n">
        <v>0</v>
      </c>
      <c r="J915" t="n">
        <v>0</v>
      </c>
      <c r="K915" t="n">
        <v>0</v>
      </c>
      <c r="L915" t="n">
        <v>0</v>
      </c>
      <c r="M915" t="n">
        <v>0</v>
      </c>
      <c r="N915" t="n">
        <v>0</v>
      </c>
      <c r="O915" t="n">
        <v>0</v>
      </c>
      <c r="P915" t="n">
        <v>0</v>
      </c>
      <c r="Q915" t="n">
        <v>0</v>
      </c>
      <c r="R915" s="2" t="inlineStr"/>
    </row>
    <row r="916" ht="15" customHeight="1">
      <c r="A916" t="inlineStr">
        <is>
          <t>A 17025-2026</t>
        </is>
      </c>
      <c r="B916" s="1" t="n">
        <v>46113</v>
      </c>
      <c r="C916" s="1" t="n">
        <v>46133</v>
      </c>
      <c r="D916" t="inlineStr">
        <is>
          <t>STOCKHOLMS LÄN</t>
        </is>
      </c>
      <c r="E916" t="inlineStr">
        <is>
          <t>NORRTÄLJE</t>
        </is>
      </c>
      <c r="G916" t="n">
        <v>5.4</v>
      </c>
      <c r="H916" t="n">
        <v>0</v>
      </c>
      <c r="I916" t="n">
        <v>0</v>
      </c>
      <c r="J916" t="n">
        <v>0</v>
      </c>
      <c r="K916" t="n">
        <v>0</v>
      </c>
      <c r="L916" t="n">
        <v>0</v>
      </c>
      <c r="M916" t="n">
        <v>0</v>
      </c>
      <c r="N916" t="n">
        <v>0</v>
      </c>
      <c r="O916" t="n">
        <v>0</v>
      </c>
      <c r="P916" t="n">
        <v>0</v>
      </c>
      <c r="Q916" t="n">
        <v>0</v>
      </c>
      <c r="R916" s="2" t="inlineStr"/>
    </row>
    <row r="917" ht="15" customHeight="1">
      <c r="A917" t="inlineStr">
        <is>
          <t>A 13089-2022</t>
        </is>
      </c>
      <c r="B917" s="1" t="n">
        <v>44643</v>
      </c>
      <c r="C917" s="1" t="n">
        <v>46133</v>
      </c>
      <c r="D917" t="inlineStr">
        <is>
          <t>STOCKHOLMS LÄN</t>
        </is>
      </c>
      <c r="E917" t="inlineStr">
        <is>
          <t>NORRTÄLJE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46133</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10646-2026</t>
        </is>
      </c>
      <c r="B919" s="1" t="n">
        <v>46078.34157407407</v>
      </c>
      <c r="C919" s="1" t="n">
        <v>46133</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23998-2024</t>
        </is>
      </c>
      <c r="B920" s="1" t="n">
        <v>45456</v>
      </c>
      <c r="C920" s="1" t="n">
        <v>46133</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15447-2023</t>
        </is>
      </c>
      <c r="B921" s="1" t="n">
        <v>45020</v>
      </c>
      <c r="C921" s="1" t="n">
        <v>46133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17345-2026</t>
        </is>
      </c>
      <c r="B922" s="1" t="n">
        <v>46119.64990740741</v>
      </c>
      <c r="C922" s="1" t="n">
        <v>46133</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10399-2026</t>
        </is>
      </c>
      <c r="B923" s="1" t="n">
        <v>46077</v>
      </c>
      <c r="C923" s="1" t="n">
        <v>46133</v>
      </c>
      <c r="D923" t="inlineStr">
        <is>
          <t>STOCKHOLMS LÄN</t>
        </is>
      </c>
      <c r="E923" t="inlineStr">
        <is>
          <t>NORRTÄLJE</t>
        </is>
      </c>
      <c r="F923" t="inlineStr">
        <is>
          <t>Övriga Aktiebolag</t>
        </is>
      </c>
      <c r="G923" t="n">
        <v>0.2</v>
      </c>
      <c r="H923" t="n">
        <v>0</v>
      </c>
      <c r="I923" t="n">
        <v>0</v>
      </c>
      <c r="J923" t="n">
        <v>0</v>
      </c>
      <c r="K923" t="n">
        <v>0</v>
      </c>
      <c r="L923" t="n">
        <v>0</v>
      </c>
      <c r="M923" t="n">
        <v>0</v>
      </c>
      <c r="N923" t="n">
        <v>0</v>
      </c>
      <c r="O923" t="n">
        <v>0</v>
      </c>
      <c r="P923" t="n">
        <v>0</v>
      </c>
      <c r="Q923" t="n">
        <v>0</v>
      </c>
      <c r="R923" s="2" t="inlineStr"/>
    </row>
    <row r="924" ht="15" customHeight="1">
      <c r="A924" t="inlineStr">
        <is>
          <t>A 17347-2026</t>
        </is>
      </c>
      <c r="B924" s="1" t="n">
        <v>46119.65369212963</v>
      </c>
      <c r="C924" s="1" t="n">
        <v>46133</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54358-2022</t>
        </is>
      </c>
      <c r="B925" s="1" t="n">
        <v>44882</v>
      </c>
      <c r="C925" s="1" t="n">
        <v>46133</v>
      </c>
      <c r="D925" t="inlineStr">
        <is>
          <t>STOCKHOLMS LÄN</t>
        </is>
      </c>
      <c r="E925" t="inlineStr">
        <is>
          <t>NORRTÄLJE</t>
        </is>
      </c>
      <c r="G925" t="n">
        <v>3.3</v>
      </c>
      <c r="H925" t="n">
        <v>0</v>
      </c>
      <c r="I925" t="n">
        <v>0</v>
      </c>
      <c r="J925" t="n">
        <v>0</v>
      </c>
      <c r="K925" t="n">
        <v>0</v>
      </c>
      <c r="L925" t="n">
        <v>0</v>
      </c>
      <c r="M925" t="n">
        <v>0</v>
      </c>
      <c r="N925" t="n">
        <v>0</v>
      </c>
      <c r="O925" t="n">
        <v>0</v>
      </c>
      <c r="P925" t="n">
        <v>0</v>
      </c>
      <c r="Q925" t="n">
        <v>0</v>
      </c>
      <c r="R925" s="2" t="inlineStr"/>
    </row>
    <row r="926" ht="15" customHeight="1">
      <c r="A926" t="inlineStr">
        <is>
          <t>A 17209-2026</t>
        </is>
      </c>
      <c r="B926" s="1" t="n">
        <v>46119.33341435185</v>
      </c>
      <c r="C926" s="1" t="n">
        <v>46133</v>
      </c>
      <c r="D926" t="inlineStr">
        <is>
          <t>STOCKHOLMS LÄN</t>
        </is>
      </c>
      <c r="E926" t="inlineStr">
        <is>
          <t>NORRTÄLJE</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10586-2026</t>
        </is>
      </c>
      <c r="B927" s="1" t="n">
        <v>46077.68192129629</v>
      </c>
      <c r="C927" s="1" t="n">
        <v>46133</v>
      </c>
      <c r="D927" t="inlineStr">
        <is>
          <t>STOCKHOLMS LÄN</t>
        </is>
      </c>
      <c r="E927" t="inlineStr">
        <is>
          <t>NORRTÄLJE</t>
        </is>
      </c>
      <c r="F927" t="inlineStr">
        <is>
          <t>Holmen skog AB</t>
        </is>
      </c>
      <c r="G927" t="n">
        <v>3.3</v>
      </c>
      <c r="H927" t="n">
        <v>0</v>
      </c>
      <c r="I927" t="n">
        <v>0</v>
      </c>
      <c r="J927" t="n">
        <v>0</v>
      </c>
      <c r="K927" t="n">
        <v>0</v>
      </c>
      <c r="L927" t="n">
        <v>0</v>
      </c>
      <c r="M927" t="n">
        <v>0</v>
      </c>
      <c r="N927" t="n">
        <v>0</v>
      </c>
      <c r="O927" t="n">
        <v>0</v>
      </c>
      <c r="P927" t="n">
        <v>0</v>
      </c>
      <c r="Q927" t="n">
        <v>0</v>
      </c>
      <c r="R927" s="2" t="inlineStr"/>
    </row>
    <row r="928" ht="15" customHeight="1">
      <c r="A928" t="inlineStr">
        <is>
          <t>A 23263-2023</t>
        </is>
      </c>
      <c r="B928" s="1" t="n">
        <v>45075</v>
      </c>
      <c r="C928" s="1" t="n">
        <v>46133</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23264-2023</t>
        </is>
      </c>
      <c r="B929" s="1" t="n">
        <v>45075</v>
      </c>
      <c r="C929" s="1" t="n">
        <v>46133</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23267-2023</t>
        </is>
      </c>
      <c r="B930" s="1" t="n">
        <v>45075.90934027778</v>
      </c>
      <c r="C930" s="1" t="n">
        <v>46133</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23269-2023</t>
        </is>
      </c>
      <c r="B931" s="1" t="n">
        <v>45075.91148148148</v>
      </c>
      <c r="C931" s="1" t="n">
        <v>46133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10429-2026</t>
        </is>
      </c>
      <c r="B932" s="1" t="n">
        <v>46077.3822337963</v>
      </c>
      <c r="C932" s="1" t="n">
        <v>46133</v>
      </c>
      <c r="D932" t="inlineStr">
        <is>
          <t>STOCKHOLMS LÄN</t>
        </is>
      </c>
      <c r="E932" t="inlineStr">
        <is>
          <t>NORRTÄLJE</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19911-2025</t>
        </is>
      </c>
      <c r="B933" s="1" t="n">
        <v>45771</v>
      </c>
      <c r="C933" s="1" t="n">
        <v>46133</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17215-2026</t>
        </is>
      </c>
      <c r="B934" s="1" t="n">
        <v>46119.36524305555</v>
      </c>
      <c r="C934" s="1" t="n">
        <v>46133</v>
      </c>
      <c r="D934" t="inlineStr">
        <is>
          <t>STOCKHOLMS LÄN</t>
        </is>
      </c>
      <c r="E934" t="inlineStr">
        <is>
          <t>NORRTÄLJE</t>
        </is>
      </c>
      <c r="F934" t="inlineStr">
        <is>
          <t>Holmen skog AB</t>
        </is>
      </c>
      <c r="G934" t="n">
        <v>3.8</v>
      </c>
      <c r="H934" t="n">
        <v>0</v>
      </c>
      <c r="I934" t="n">
        <v>0</v>
      </c>
      <c r="J934" t="n">
        <v>0</v>
      </c>
      <c r="K934" t="n">
        <v>0</v>
      </c>
      <c r="L934" t="n">
        <v>0</v>
      </c>
      <c r="M934" t="n">
        <v>0</v>
      </c>
      <c r="N934" t="n">
        <v>0</v>
      </c>
      <c r="O934" t="n">
        <v>0</v>
      </c>
      <c r="P934" t="n">
        <v>0</v>
      </c>
      <c r="Q934" t="n">
        <v>0</v>
      </c>
      <c r="R934" s="2" t="inlineStr"/>
    </row>
    <row r="935" ht="15" customHeight="1">
      <c r="A935" t="inlineStr">
        <is>
          <t>A 17220-2026</t>
        </is>
      </c>
      <c r="B935" s="1" t="n">
        <v>46119.37436342592</v>
      </c>
      <c r="C935" s="1" t="n">
        <v>46133</v>
      </c>
      <c r="D935" t="inlineStr">
        <is>
          <t>STOCKHOLMS LÄN</t>
        </is>
      </c>
      <c r="E935" t="inlineStr">
        <is>
          <t>NORRTÄLJE</t>
        </is>
      </c>
      <c r="F935" t="inlineStr">
        <is>
          <t>Holmen skog AB</t>
        </is>
      </c>
      <c r="G935" t="n">
        <v>0.9</v>
      </c>
      <c r="H935" t="n">
        <v>0</v>
      </c>
      <c r="I935" t="n">
        <v>0</v>
      </c>
      <c r="J935" t="n">
        <v>0</v>
      </c>
      <c r="K935" t="n">
        <v>0</v>
      </c>
      <c r="L935" t="n">
        <v>0</v>
      </c>
      <c r="M935" t="n">
        <v>0</v>
      </c>
      <c r="N935" t="n">
        <v>0</v>
      </c>
      <c r="O935" t="n">
        <v>0</v>
      </c>
      <c r="P935" t="n">
        <v>0</v>
      </c>
      <c r="Q935" t="n">
        <v>0</v>
      </c>
      <c r="R935" s="2" t="inlineStr"/>
    </row>
    <row r="936" ht="15" customHeight="1">
      <c r="A936" t="inlineStr">
        <is>
          <t>A 5831-2022</t>
        </is>
      </c>
      <c r="B936" s="1" t="n">
        <v>44596</v>
      </c>
      <c r="C936" s="1" t="n">
        <v>46133</v>
      </c>
      <c r="D936" t="inlineStr">
        <is>
          <t>STOCKHOLMS LÄN</t>
        </is>
      </c>
      <c r="E936" t="inlineStr">
        <is>
          <t>NORRTÄLJE</t>
        </is>
      </c>
      <c r="G936" t="n">
        <v>4.8</v>
      </c>
      <c r="H936" t="n">
        <v>0</v>
      </c>
      <c r="I936" t="n">
        <v>0</v>
      </c>
      <c r="J936" t="n">
        <v>0</v>
      </c>
      <c r="K936" t="n">
        <v>0</v>
      </c>
      <c r="L936" t="n">
        <v>0</v>
      </c>
      <c r="M936" t="n">
        <v>0</v>
      </c>
      <c r="N936" t="n">
        <v>0</v>
      </c>
      <c r="O936" t="n">
        <v>0</v>
      </c>
      <c r="P936" t="n">
        <v>0</v>
      </c>
      <c r="Q936" t="n">
        <v>0</v>
      </c>
      <c r="R936" s="2" t="inlineStr"/>
    </row>
    <row r="937" ht="15" customHeight="1">
      <c r="A937" t="inlineStr">
        <is>
          <t>A 5867-2022</t>
        </is>
      </c>
      <c r="B937" s="1" t="n">
        <v>44596.66335648148</v>
      </c>
      <c r="C937" s="1" t="n">
        <v>46133</v>
      </c>
      <c r="D937" t="inlineStr">
        <is>
          <t>STOCKHOLMS LÄN</t>
        </is>
      </c>
      <c r="E937" t="inlineStr">
        <is>
          <t>NORRTÄLJE</t>
        </is>
      </c>
      <c r="F937" t="inlineStr">
        <is>
          <t>Naturvårdsverket</t>
        </is>
      </c>
      <c r="G937" t="n">
        <v>1.6</v>
      </c>
      <c r="H937" t="n">
        <v>0</v>
      </c>
      <c r="I937" t="n">
        <v>0</v>
      </c>
      <c r="J937" t="n">
        <v>0</v>
      </c>
      <c r="K937" t="n">
        <v>0</v>
      </c>
      <c r="L937" t="n">
        <v>0</v>
      </c>
      <c r="M937" t="n">
        <v>0</v>
      </c>
      <c r="N937" t="n">
        <v>0</v>
      </c>
      <c r="O937" t="n">
        <v>0</v>
      </c>
      <c r="P937" t="n">
        <v>0</v>
      </c>
      <c r="Q937" t="n">
        <v>0</v>
      </c>
      <c r="R937" s="2" t="inlineStr"/>
    </row>
    <row r="938" ht="15" customHeight="1">
      <c r="A938" t="inlineStr">
        <is>
          <t>A 10553-2026</t>
        </is>
      </c>
      <c r="B938" s="1" t="n">
        <v>46077.62944444444</v>
      </c>
      <c r="C938" s="1" t="n">
        <v>46133</v>
      </c>
      <c r="D938" t="inlineStr">
        <is>
          <t>STOCKHOLMS LÄN</t>
        </is>
      </c>
      <c r="E938" t="inlineStr">
        <is>
          <t>NORRTÄLJE</t>
        </is>
      </c>
      <c r="G938" t="n">
        <v>4.9</v>
      </c>
      <c r="H938" t="n">
        <v>0</v>
      </c>
      <c r="I938" t="n">
        <v>0</v>
      </c>
      <c r="J938" t="n">
        <v>0</v>
      </c>
      <c r="K938" t="n">
        <v>0</v>
      </c>
      <c r="L938" t="n">
        <v>0</v>
      </c>
      <c r="M938" t="n">
        <v>0</v>
      </c>
      <c r="N938" t="n">
        <v>0</v>
      </c>
      <c r="O938" t="n">
        <v>0</v>
      </c>
      <c r="P938" t="n">
        <v>0</v>
      </c>
      <c r="Q938" t="n">
        <v>0</v>
      </c>
      <c r="R938" s="2" t="inlineStr"/>
    </row>
    <row r="939" ht="15" customHeight="1">
      <c r="A939" t="inlineStr">
        <is>
          <t>A 17207-2026</t>
        </is>
      </c>
      <c r="B939" s="1" t="n">
        <v>46119.31914351852</v>
      </c>
      <c r="C939" s="1" t="n">
        <v>46133</v>
      </c>
      <c r="D939" t="inlineStr">
        <is>
          <t>STOCKHOLMS LÄN</t>
        </is>
      </c>
      <c r="E939" t="inlineStr">
        <is>
          <t>NORRTÄLJE</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10444-2026</t>
        </is>
      </c>
      <c r="B940" s="1" t="n">
        <v>46077.42230324074</v>
      </c>
      <c r="C940" s="1" t="n">
        <v>46133</v>
      </c>
      <c r="D940" t="inlineStr">
        <is>
          <t>STOCKHOLMS LÄN</t>
        </is>
      </c>
      <c r="E940" t="inlineStr">
        <is>
          <t>NORRTÄLJE</t>
        </is>
      </c>
      <c r="F940" t="inlineStr">
        <is>
          <t>Holmen skog AB</t>
        </is>
      </c>
      <c r="G940" t="n">
        <v>4.9</v>
      </c>
      <c r="H940" t="n">
        <v>0</v>
      </c>
      <c r="I940" t="n">
        <v>0</v>
      </c>
      <c r="J940" t="n">
        <v>0</v>
      </c>
      <c r="K940" t="n">
        <v>0</v>
      </c>
      <c r="L940" t="n">
        <v>0</v>
      </c>
      <c r="M940" t="n">
        <v>0</v>
      </c>
      <c r="N940" t="n">
        <v>0</v>
      </c>
      <c r="O940" t="n">
        <v>0</v>
      </c>
      <c r="P940" t="n">
        <v>0</v>
      </c>
      <c r="Q940" t="n">
        <v>0</v>
      </c>
      <c r="R940" s="2" t="inlineStr"/>
    </row>
    <row r="941" ht="15" customHeight="1">
      <c r="A941" t="inlineStr">
        <is>
          <t>A 20244-2025</t>
        </is>
      </c>
      <c r="B941" s="1" t="n">
        <v>45772.71221064815</v>
      </c>
      <c r="C941" s="1" t="n">
        <v>46133</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48633-2023</t>
        </is>
      </c>
      <c r="B942" s="1" t="n">
        <v>45208.58004629629</v>
      </c>
      <c r="C942" s="1" t="n">
        <v>46133</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39669-2024</t>
        </is>
      </c>
      <c r="B943" s="1" t="n">
        <v>45552.52827546297</v>
      </c>
      <c r="C943" s="1" t="n">
        <v>46133</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43170-2023</t>
        </is>
      </c>
      <c r="B944" s="1" t="n">
        <v>45183</v>
      </c>
      <c r="C944" s="1" t="n">
        <v>46133</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9-2024</t>
        </is>
      </c>
      <c r="B945" s="1" t="n">
        <v>45293</v>
      </c>
      <c r="C945" s="1" t="n">
        <v>46133</v>
      </c>
      <c r="D945" t="inlineStr">
        <is>
          <t>STOCKHOLMS LÄN</t>
        </is>
      </c>
      <c r="E945" t="inlineStr">
        <is>
          <t>NORRTÄLJE</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22832-2021</t>
        </is>
      </c>
      <c r="B946" s="1" t="n">
        <v>44325</v>
      </c>
      <c r="C946" s="1" t="n">
        <v>46133</v>
      </c>
      <c r="D946" t="inlineStr">
        <is>
          <t>STOCKHOLMS LÄN</t>
        </is>
      </c>
      <c r="E946" t="inlineStr">
        <is>
          <t>NORRTÄLJE</t>
        </is>
      </c>
      <c r="G946" t="n">
        <v>6.8</v>
      </c>
      <c r="H946" t="n">
        <v>0</v>
      </c>
      <c r="I946" t="n">
        <v>0</v>
      </c>
      <c r="J946" t="n">
        <v>0</v>
      </c>
      <c r="K946" t="n">
        <v>0</v>
      </c>
      <c r="L946" t="n">
        <v>0</v>
      </c>
      <c r="M946" t="n">
        <v>0</v>
      </c>
      <c r="N946" t="n">
        <v>0</v>
      </c>
      <c r="O946" t="n">
        <v>0</v>
      </c>
      <c r="P946" t="n">
        <v>0</v>
      </c>
      <c r="Q946" t="n">
        <v>0</v>
      </c>
      <c r="R946" s="2" t="inlineStr"/>
    </row>
    <row r="947" ht="15" customHeight="1">
      <c r="A947" t="inlineStr">
        <is>
          <t>A 16913-2025</t>
        </is>
      </c>
      <c r="B947" s="1" t="n">
        <v>45755.36583333334</v>
      </c>
      <c r="C947" s="1" t="n">
        <v>46133</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4035-2023</t>
        </is>
      </c>
      <c r="B948" s="1" t="n">
        <v>44952.57989583333</v>
      </c>
      <c r="C948" s="1" t="n">
        <v>46133</v>
      </c>
      <c r="D948" t="inlineStr">
        <is>
          <t>STOCKHOLMS LÄN</t>
        </is>
      </c>
      <c r="E948" t="inlineStr">
        <is>
          <t>NORRTÄLJE</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46133</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53600-2022</t>
        </is>
      </c>
      <c r="B950" s="1" t="n">
        <v>44879.70518518519</v>
      </c>
      <c r="C950" s="1" t="n">
        <v>46133</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7697-2025</t>
        </is>
      </c>
      <c r="B951" s="1" t="n">
        <v>45706.40086805556</v>
      </c>
      <c r="C951" s="1" t="n">
        <v>46133</v>
      </c>
      <c r="D951" t="inlineStr">
        <is>
          <t>STOCKHOLMS LÄN</t>
        </is>
      </c>
      <c r="E951" t="inlineStr">
        <is>
          <t>NORRTÄLJE</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30221-2024</t>
        </is>
      </c>
      <c r="B952" s="1" t="n">
        <v>45490.45342592592</v>
      </c>
      <c r="C952" s="1" t="n">
        <v>46133</v>
      </c>
      <c r="D952" t="inlineStr">
        <is>
          <t>STOCKHOLMS LÄN</t>
        </is>
      </c>
      <c r="E952" t="inlineStr">
        <is>
          <t>NORRTÄLJE</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17651-2026</t>
        </is>
      </c>
      <c r="B953" s="1" t="n">
        <v>46121.55334490741</v>
      </c>
      <c r="C953" s="1" t="n">
        <v>46133</v>
      </c>
      <c r="D953" t="inlineStr">
        <is>
          <t>STOCKHOLMS LÄN</t>
        </is>
      </c>
      <c r="E953" t="inlineStr">
        <is>
          <t>NORRTÄLJE</t>
        </is>
      </c>
      <c r="G953" t="n">
        <v>0.8</v>
      </c>
      <c r="H953" t="n">
        <v>0</v>
      </c>
      <c r="I953" t="n">
        <v>0</v>
      </c>
      <c r="J953" t="n">
        <v>0</v>
      </c>
      <c r="K953" t="n">
        <v>0</v>
      </c>
      <c r="L953" t="n">
        <v>0</v>
      </c>
      <c r="M953" t="n">
        <v>0</v>
      </c>
      <c r="N953" t="n">
        <v>0</v>
      </c>
      <c r="O953" t="n">
        <v>0</v>
      </c>
      <c r="P953" t="n">
        <v>0</v>
      </c>
      <c r="Q953" t="n">
        <v>0</v>
      </c>
      <c r="R953" s="2" t="inlineStr"/>
    </row>
    <row r="954" ht="15" customHeight="1">
      <c r="A954" t="inlineStr">
        <is>
          <t>A 13-2024</t>
        </is>
      </c>
      <c r="B954" s="1" t="n">
        <v>45293.37263888889</v>
      </c>
      <c r="C954" s="1" t="n">
        <v>46133</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19-2024</t>
        </is>
      </c>
      <c r="B955" s="1" t="n">
        <v>45293</v>
      </c>
      <c r="C955" s="1" t="n">
        <v>46133</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31559-2022</t>
        </is>
      </c>
      <c r="B956" s="1" t="n">
        <v>44775</v>
      </c>
      <c r="C956" s="1" t="n">
        <v>46133</v>
      </c>
      <c r="D956" t="inlineStr">
        <is>
          <t>STOCKHOLMS LÄN</t>
        </is>
      </c>
      <c r="E956" t="inlineStr">
        <is>
          <t>NORRTÄLJE</t>
        </is>
      </c>
      <c r="G956" t="n">
        <v>5.6</v>
      </c>
      <c r="H956" t="n">
        <v>0</v>
      </c>
      <c r="I956" t="n">
        <v>0</v>
      </c>
      <c r="J956" t="n">
        <v>0</v>
      </c>
      <c r="K956" t="n">
        <v>0</v>
      </c>
      <c r="L956" t="n">
        <v>0</v>
      </c>
      <c r="M956" t="n">
        <v>0</v>
      </c>
      <c r="N956" t="n">
        <v>0</v>
      </c>
      <c r="O956" t="n">
        <v>0</v>
      </c>
      <c r="P956" t="n">
        <v>0</v>
      </c>
      <c r="Q956" t="n">
        <v>0</v>
      </c>
      <c r="R956" s="2" t="inlineStr"/>
    </row>
    <row r="957" ht="15" customHeight="1">
      <c r="A957" t="inlineStr">
        <is>
          <t>A 8419-2025</t>
        </is>
      </c>
      <c r="B957" s="1" t="n">
        <v>45709.40231481481</v>
      </c>
      <c r="C957" s="1" t="n">
        <v>46133</v>
      </c>
      <c r="D957" t="inlineStr">
        <is>
          <t>STOCKHOLMS LÄN</t>
        </is>
      </c>
      <c r="E957" t="inlineStr">
        <is>
          <t>NORRTÄLJE</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35161-2022</t>
        </is>
      </c>
      <c r="B958" s="1" t="n">
        <v>44797</v>
      </c>
      <c r="C958" s="1" t="n">
        <v>46133</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58989-2021</t>
        </is>
      </c>
      <c r="B959" s="1" t="n">
        <v>44490.02482638889</v>
      </c>
      <c r="C959" s="1" t="n">
        <v>46133</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46988-2024</t>
        </is>
      </c>
      <c r="B960" s="1" t="n">
        <v>45586</v>
      </c>
      <c r="C960" s="1" t="n">
        <v>46133</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21529-2021</t>
        </is>
      </c>
      <c r="B961" s="1" t="n">
        <v>44321</v>
      </c>
      <c r="C961" s="1" t="n">
        <v>46133</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11648-2026</t>
        </is>
      </c>
      <c r="B962" s="1" t="n">
        <v>46084.51575231482</v>
      </c>
      <c r="C962" s="1" t="n">
        <v>46133</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13701-2022</t>
        </is>
      </c>
      <c r="B963" s="1" t="n">
        <v>44648</v>
      </c>
      <c r="C963" s="1" t="n">
        <v>46133</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14132-2025</t>
        </is>
      </c>
      <c r="B964" s="1" t="n">
        <v>45740.47550925926</v>
      </c>
      <c r="C964" s="1" t="n">
        <v>46133</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14133-2025</t>
        </is>
      </c>
      <c r="B965" s="1" t="n">
        <v>45740.47724537037</v>
      </c>
      <c r="C965" s="1" t="n">
        <v>46133</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8792-2025</t>
        </is>
      </c>
      <c r="B966" s="1" t="n">
        <v>45712</v>
      </c>
      <c r="C966" s="1" t="n">
        <v>46133</v>
      </c>
      <c r="D966" t="inlineStr">
        <is>
          <t>STOCKHOLMS LÄN</t>
        </is>
      </c>
      <c r="E966" t="inlineStr">
        <is>
          <t>NORRTÄLJE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24887-2023</t>
        </is>
      </c>
      <c r="B967" s="1" t="n">
        <v>45085</v>
      </c>
      <c r="C967" s="1" t="n">
        <v>46133</v>
      </c>
      <c r="D967" t="inlineStr">
        <is>
          <t>STOCKHOLMS LÄN</t>
        </is>
      </c>
      <c r="E967" t="inlineStr">
        <is>
          <t>NORRTÄLJE</t>
        </is>
      </c>
      <c r="G967" t="n">
        <v>13.9</v>
      </c>
      <c r="H967" t="n">
        <v>0</v>
      </c>
      <c r="I967" t="n">
        <v>0</v>
      </c>
      <c r="J967" t="n">
        <v>0</v>
      </c>
      <c r="K967" t="n">
        <v>0</v>
      </c>
      <c r="L967" t="n">
        <v>0</v>
      </c>
      <c r="M967" t="n">
        <v>0</v>
      </c>
      <c r="N967" t="n">
        <v>0</v>
      </c>
      <c r="O967" t="n">
        <v>0</v>
      </c>
      <c r="P967" t="n">
        <v>0</v>
      </c>
      <c r="Q967" t="n">
        <v>0</v>
      </c>
      <c r="R967" s="2" t="inlineStr"/>
    </row>
    <row r="968" ht="15" customHeight="1">
      <c r="A968" t="inlineStr">
        <is>
          <t>A 38612-2022</t>
        </is>
      </c>
      <c r="B968" s="1" t="n">
        <v>44813</v>
      </c>
      <c r="C968" s="1" t="n">
        <v>46133</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4326-2023</t>
        </is>
      </c>
      <c r="B969" s="1" t="n">
        <v>44953.70481481482</v>
      </c>
      <c r="C969" s="1" t="n">
        <v>46133</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54504-2024</t>
        </is>
      </c>
      <c r="B970" s="1" t="n">
        <v>45617.58453703704</v>
      </c>
      <c r="C970" s="1" t="n">
        <v>46133</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21745-2023</t>
        </is>
      </c>
      <c r="B971" s="1" t="n">
        <v>45065.55917824074</v>
      </c>
      <c r="C971" s="1" t="n">
        <v>46133</v>
      </c>
      <c r="D971" t="inlineStr">
        <is>
          <t>STOCKHOLMS LÄN</t>
        </is>
      </c>
      <c r="E971" t="inlineStr">
        <is>
          <t>NORRTÄLJE</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21894-2023</t>
        </is>
      </c>
      <c r="B972" s="1" t="n">
        <v>45068.51783564815</v>
      </c>
      <c r="C972" s="1" t="n">
        <v>46133</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13276-2022</t>
        </is>
      </c>
      <c r="B973" s="1" t="n">
        <v>44644</v>
      </c>
      <c r="C973" s="1" t="n">
        <v>46133</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28182-2022</t>
        </is>
      </c>
      <c r="B974" s="1" t="n">
        <v>44746.58530092592</v>
      </c>
      <c r="C974" s="1" t="n">
        <v>46133</v>
      </c>
      <c r="D974" t="inlineStr">
        <is>
          <t>STOCKHOLMS LÄN</t>
        </is>
      </c>
      <c r="E974" t="inlineStr">
        <is>
          <t>NORRTÄLJE</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34461-2023</t>
        </is>
      </c>
      <c r="B975" s="1" t="n">
        <v>45139</v>
      </c>
      <c r="C975" s="1" t="n">
        <v>46133</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51046-2023</t>
        </is>
      </c>
      <c r="B976" s="1" t="n">
        <v>45218</v>
      </c>
      <c r="C976" s="1" t="n">
        <v>46133</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17382-2024</t>
        </is>
      </c>
      <c r="B977" s="1" t="n">
        <v>45414.65855324074</v>
      </c>
      <c r="C977" s="1" t="n">
        <v>46133</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6070-2022</t>
        </is>
      </c>
      <c r="B978" s="1" t="n">
        <v>44599.58428240741</v>
      </c>
      <c r="C978" s="1" t="n">
        <v>46133</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17039-2024</t>
        </is>
      </c>
      <c r="B979" s="1" t="n">
        <v>45412.4104050926</v>
      </c>
      <c r="C979" s="1" t="n">
        <v>46133</v>
      </c>
      <c r="D979" t="inlineStr">
        <is>
          <t>STOCKHOLMS LÄN</t>
        </is>
      </c>
      <c r="E979" t="inlineStr">
        <is>
          <t>NORRTÄLJE</t>
        </is>
      </c>
      <c r="G979" t="n">
        <v>5.9</v>
      </c>
      <c r="H979" t="n">
        <v>0</v>
      </c>
      <c r="I979" t="n">
        <v>0</v>
      </c>
      <c r="J979" t="n">
        <v>0</v>
      </c>
      <c r="K979" t="n">
        <v>0</v>
      </c>
      <c r="L979" t="n">
        <v>0</v>
      </c>
      <c r="M979" t="n">
        <v>0</v>
      </c>
      <c r="N979" t="n">
        <v>0</v>
      </c>
      <c r="O979" t="n">
        <v>0</v>
      </c>
      <c r="P979" t="n">
        <v>0</v>
      </c>
      <c r="Q979" t="n">
        <v>0</v>
      </c>
      <c r="R979" s="2" t="inlineStr"/>
    </row>
    <row r="980" ht="15" customHeight="1">
      <c r="A980" t="inlineStr">
        <is>
          <t>A 48180-2023</t>
        </is>
      </c>
      <c r="B980" s="1" t="n">
        <v>45205</v>
      </c>
      <c r="C980" s="1" t="n">
        <v>46133</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35695-2023</t>
        </is>
      </c>
      <c r="B981" s="1" t="n">
        <v>45147.65407407407</v>
      </c>
      <c r="C981" s="1" t="n">
        <v>46133</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45173-2023</t>
        </is>
      </c>
      <c r="B982" s="1" t="n">
        <v>45191</v>
      </c>
      <c r="C982" s="1" t="n">
        <v>46133</v>
      </c>
      <c r="D982" t="inlineStr">
        <is>
          <t>STOCKHOLMS LÄN</t>
        </is>
      </c>
      <c r="E982" t="inlineStr">
        <is>
          <t>NORRTÄLJE</t>
        </is>
      </c>
      <c r="F982" t="inlineStr">
        <is>
          <t>Sveaskog</t>
        </is>
      </c>
      <c r="G982" t="n">
        <v>3.6</v>
      </c>
      <c r="H982" t="n">
        <v>0</v>
      </c>
      <c r="I982" t="n">
        <v>0</v>
      </c>
      <c r="J982" t="n">
        <v>0</v>
      </c>
      <c r="K982" t="n">
        <v>0</v>
      </c>
      <c r="L982" t="n">
        <v>0</v>
      </c>
      <c r="M982" t="n">
        <v>0</v>
      </c>
      <c r="N982" t="n">
        <v>0</v>
      </c>
      <c r="O982" t="n">
        <v>0</v>
      </c>
      <c r="P982" t="n">
        <v>0</v>
      </c>
      <c r="Q982" t="n">
        <v>0</v>
      </c>
      <c r="R982" s="2" t="inlineStr"/>
    </row>
    <row r="983" ht="15" customHeight="1">
      <c r="A983" t="inlineStr">
        <is>
          <t>A 12234-2026</t>
        </is>
      </c>
      <c r="B983" s="1" t="n">
        <v>46087.4091087963</v>
      </c>
      <c r="C983" s="1" t="n">
        <v>46133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24705-2023</t>
        </is>
      </c>
      <c r="B984" s="1" t="n">
        <v>45084.54459490741</v>
      </c>
      <c r="C984" s="1" t="n">
        <v>46133</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59477-2025</t>
        </is>
      </c>
      <c r="B985" s="1" t="n">
        <v>45989.58679398148</v>
      </c>
      <c r="C985" s="1" t="n">
        <v>46133</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21696-2024</t>
        </is>
      </c>
      <c r="B986" s="1" t="n">
        <v>45442.45686342593</v>
      </c>
      <c r="C986" s="1" t="n">
        <v>46133</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67990-2021</t>
        </is>
      </c>
      <c r="B987" s="1" t="n">
        <v>44525</v>
      </c>
      <c r="C987" s="1" t="n">
        <v>46133</v>
      </c>
      <c r="D987" t="inlineStr">
        <is>
          <t>STOCKHOLMS LÄN</t>
        </is>
      </c>
      <c r="E987" t="inlineStr">
        <is>
          <t>NORRTÄLJE</t>
        </is>
      </c>
      <c r="F987" t="inlineStr">
        <is>
          <t>Sveaskog</t>
        </is>
      </c>
      <c r="G987" t="n">
        <v>7.8</v>
      </c>
      <c r="H987" t="n">
        <v>0</v>
      </c>
      <c r="I987" t="n">
        <v>0</v>
      </c>
      <c r="J987" t="n">
        <v>0</v>
      </c>
      <c r="K987" t="n">
        <v>0</v>
      </c>
      <c r="L987" t="n">
        <v>0</v>
      </c>
      <c r="M987" t="n">
        <v>0</v>
      </c>
      <c r="N987" t="n">
        <v>0</v>
      </c>
      <c r="O987" t="n">
        <v>0</v>
      </c>
      <c r="P987" t="n">
        <v>0</v>
      </c>
      <c r="Q987" t="n">
        <v>0</v>
      </c>
      <c r="R987" s="2" t="inlineStr"/>
    </row>
    <row r="988" ht="15" customHeight="1">
      <c r="A988" t="inlineStr">
        <is>
          <t>A 71552-2021</t>
        </is>
      </c>
      <c r="B988" s="1" t="n">
        <v>44540</v>
      </c>
      <c r="C988" s="1" t="n">
        <v>46133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73992-2021</t>
        </is>
      </c>
      <c r="B989" s="1" t="n">
        <v>44556</v>
      </c>
      <c r="C989" s="1" t="n">
        <v>46133</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19170-2026</t>
        </is>
      </c>
      <c r="B990" s="1" t="n">
        <v>46132.5859837963</v>
      </c>
      <c r="C990" s="1" t="n">
        <v>46133</v>
      </c>
      <c r="D990" t="inlineStr">
        <is>
          <t>STOCKHOLMS LÄN</t>
        </is>
      </c>
      <c r="E990" t="inlineStr">
        <is>
          <t>NORRTÄLJE</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26113-2024</t>
        </is>
      </c>
      <c r="B991" s="1" t="n">
        <v>45468.45541666666</v>
      </c>
      <c r="C991" s="1" t="n">
        <v>46133</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26116-2024</t>
        </is>
      </c>
      <c r="B992" s="1" t="n">
        <v>45468.45747685185</v>
      </c>
      <c r="C992" s="1" t="n">
        <v>46133</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19129-2026</t>
        </is>
      </c>
      <c r="B993" s="1" t="n">
        <v>46132.48601851852</v>
      </c>
      <c r="C993" s="1" t="n">
        <v>46133</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15978-2024</t>
        </is>
      </c>
      <c r="B994" s="1" t="n">
        <v>45405.57927083333</v>
      </c>
      <c r="C994" s="1" t="n">
        <v>46133</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11333-2025</t>
        </is>
      </c>
      <c r="B995" s="1" t="n">
        <v>45726.48377314815</v>
      </c>
      <c r="C995" s="1" t="n">
        <v>46133</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34391-2023</t>
        </is>
      </c>
      <c r="B996" s="1" t="n">
        <v>45139.51457175926</v>
      </c>
      <c r="C996" s="1" t="n">
        <v>46133</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67921-2021</t>
        </is>
      </c>
      <c r="B997" s="1" t="n">
        <v>44525</v>
      </c>
      <c r="C997" s="1" t="n">
        <v>46133</v>
      </c>
      <c r="D997" t="inlineStr">
        <is>
          <t>STOCKHOLMS LÄN</t>
        </is>
      </c>
      <c r="E997" t="inlineStr">
        <is>
          <t>NORRTÄLJE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25681-2024</t>
        </is>
      </c>
      <c r="B998" s="1" t="n">
        <v>45463.80486111111</v>
      </c>
      <c r="C998" s="1" t="n">
        <v>46133</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58853-2024</t>
        </is>
      </c>
      <c r="B999" s="1" t="n">
        <v>45636.38974537037</v>
      </c>
      <c r="C999" s="1" t="n">
        <v>46133</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35438-2023</t>
        </is>
      </c>
      <c r="B1000" s="1" t="n">
        <v>45146</v>
      </c>
      <c r="C1000" s="1" t="n">
        <v>46133</v>
      </c>
      <c r="D1000" t="inlineStr">
        <is>
          <t>STOCKHOLMS LÄN</t>
        </is>
      </c>
      <c r="E1000" t="inlineStr">
        <is>
          <t>NORRTÄLJE</t>
        </is>
      </c>
      <c r="F1000" t="inlineStr">
        <is>
          <t>Kommuner</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20291-2022</t>
        </is>
      </c>
      <c r="B1001" s="1" t="n">
        <v>44698</v>
      </c>
      <c r="C1001" s="1" t="n">
        <v>46133</v>
      </c>
      <c r="D1001" t="inlineStr">
        <is>
          <t>STOCKHOLMS LÄN</t>
        </is>
      </c>
      <c r="E1001" t="inlineStr">
        <is>
          <t>NORRTÄLJE</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26115-2024</t>
        </is>
      </c>
      <c r="B1002" s="1" t="n">
        <v>45468.45628472222</v>
      </c>
      <c r="C1002" s="1" t="n">
        <v>46133</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19118-2022</t>
        </is>
      </c>
      <c r="B1003" s="1" t="n">
        <v>44691.5652662037</v>
      </c>
      <c r="C1003" s="1" t="n">
        <v>46133</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8739-2024</t>
        </is>
      </c>
      <c r="B1004" s="1" t="n">
        <v>45356.47784722222</v>
      </c>
      <c r="C1004" s="1" t="n">
        <v>46133</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38759-2022</t>
        </is>
      </c>
      <c r="B1005" s="1" t="n">
        <v>44816</v>
      </c>
      <c r="C1005" s="1" t="n">
        <v>46133</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32857-2021</t>
        </is>
      </c>
      <c r="B1006" s="1" t="n">
        <v>44375</v>
      </c>
      <c r="C1006" s="1" t="n">
        <v>46133</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29714-2023</t>
        </is>
      </c>
      <c r="B1007" s="1" t="n">
        <v>45107.42538194444</v>
      </c>
      <c r="C1007" s="1" t="n">
        <v>46133</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23271-2023</t>
        </is>
      </c>
      <c r="B1008" s="1" t="n">
        <v>45075.91362268518</v>
      </c>
      <c r="C1008" s="1" t="n">
        <v>46133</v>
      </c>
      <c r="D1008" t="inlineStr">
        <is>
          <t>STOCKHOLMS LÄN</t>
        </is>
      </c>
      <c r="E1008" t="inlineStr">
        <is>
          <t>NORRTÄLJE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23273-2023</t>
        </is>
      </c>
      <c r="B1009" s="1" t="n">
        <v>45075.91971064815</v>
      </c>
      <c r="C1009" s="1" t="n">
        <v>46133</v>
      </c>
      <c r="D1009" t="inlineStr">
        <is>
          <t>STOCKHOLMS LÄN</t>
        </is>
      </c>
      <c r="E1009" t="inlineStr">
        <is>
          <t>NORRTÄLJE</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7603-2025</t>
        </is>
      </c>
      <c r="B1010" s="1" t="n">
        <v>45705.66126157407</v>
      </c>
      <c r="C1010" s="1" t="n">
        <v>46133</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30802-2022</t>
        </is>
      </c>
      <c r="B1011" s="1" t="n">
        <v>44764</v>
      </c>
      <c r="C1011" s="1" t="n">
        <v>46133</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55369-2023</t>
        </is>
      </c>
      <c r="B1012" s="1" t="n">
        <v>45238</v>
      </c>
      <c r="C1012" s="1" t="n">
        <v>46133</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61113-2023</t>
        </is>
      </c>
      <c r="B1013" s="1" t="n">
        <v>45261</v>
      </c>
      <c r="C1013" s="1" t="n">
        <v>46133</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3283-2025</t>
        </is>
      </c>
      <c r="B1014" s="1" t="n">
        <v>45679</v>
      </c>
      <c r="C1014" s="1" t="n">
        <v>46133</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34295-2024</t>
        </is>
      </c>
      <c r="B1015" s="1" t="n">
        <v>45524</v>
      </c>
      <c r="C1015" s="1" t="n">
        <v>46133</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58311-2023</t>
        </is>
      </c>
      <c r="B1016" s="1" t="n">
        <v>45245</v>
      </c>
      <c r="C1016" s="1" t="n">
        <v>46133</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23692-2024</t>
        </is>
      </c>
      <c r="B1017" s="1" t="n">
        <v>45454.65774305556</v>
      </c>
      <c r="C1017" s="1" t="n">
        <v>46133</v>
      </c>
      <c r="D1017" t="inlineStr">
        <is>
          <t>STOCKHOLMS LÄN</t>
        </is>
      </c>
      <c r="E1017" t="inlineStr">
        <is>
          <t>NORRTÄLJE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20473-2021</t>
        </is>
      </c>
      <c r="B1018" s="1" t="n">
        <v>44315</v>
      </c>
      <c r="C1018" s="1" t="n">
        <v>46133</v>
      </c>
      <c r="D1018" t="inlineStr">
        <is>
          <t>STOCKHOLMS LÄN</t>
        </is>
      </c>
      <c r="E1018" t="inlineStr">
        <is>
          <t>NORRTÄLJE</t>
        </is>
      </c>
      <c r="F1018" t="inlineStr">
        <is>
          <t>Övriga Aktiebolag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54273-2021</t>
        </is>
      </c>
      <c r="B1019" s="1" t="n">
        <v>44470.72987268519</v>
      </c>
      <c r="C1019" s="1" t="n">
        <v>46133</v>
      </c>
      <c r="D1019" t="inlineStr">
        <is>
          <t>STOCKHOLMS LÄN</t>
        </is>
      </c>
      <c r="E1019" t="inlineStr">
        <is>
          <t>NORRTÄLJE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7806-2025</t>
        </is>
      </c>
      <c r="B1020" s="1" t="n">
        <v>45706.61178240741</v>
      </c>
      <c r="C1020" s="1" t="n">
        <v>46133</v>
      </c>
      <c r="D1020" t="inlineStr">
        <is>
          <t>STOCKHOLMS LÄN</t>
        </is>
      </c>
      <c r="E1020" t="inlineStr">
        <is>
          <t>NORRTÄLJE</t>
        </is>
      </c>
      <c r="F1020" t="inlineStr">
        <is>
          <t>Holmen skog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53792-2023</t>
        </is>
      </c>
      <c r="B1021" s="1" t="n">
        <v>45231.34144675926</v>
      </c>
      <c r="C1021" s="1" t="n">
        <v>46133</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21329-2022</t>
        </is>
      </c>
      <c r="B1022" s="1" t="n">
        <v>44705.60626157407</v>
      </c>
      <c r="C1022" s="1" t="n">
        <v>46133</v>
      </c>
      <c r="D1022" t="inlineStr">
        <is>
          <t>STOCKHOLMS LÄN</t>
        </is>
      </c>
      <c r="E1022" t="inlineStr">
        <is>
          <t>NORRTÄLJE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50569-2022</t>
        </is>
      </c>
      <c r="B1023" s="1" t="n">
        <v>44866.63775462963</v>
      </c>
      <c r="C1023" s="1" t="n">
        <v>46133</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24501-2023</t>
        </is>
      </c>
      <c r="B1024" s="1" t="n">
        <v>45082</v>
      </c>
      <c r="C1024" s="1" t="n">
        <v>46133</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24520-2023</t>
        </is>
      </c>
      <c r="B1025" s="1" t="n">
        <v>45082.68922453704</v>
      </c>
      <c r="C1025" s="1" t="n">
        <v>46133</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60654-2023</t>
        </is>
      </c>
      <c r="B1026" s="1" t="n">
        <v>45260.43225694444</v>
      </c>
      <c r="C1026" s="1" t="n">
        <v>46133</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60656-2023</t>
        </is>
      </c>
      <c r="B1027" s="1" t="n">
        <v>45260.4333449074</v>
      </c>
      <c r="C1027" s="1" t="n">
        <v>46133</v>
      </c>
      <c r="D1027" t="inlineStr">
        <is>
          <t>STOCKHOLMS LÄN</t>
        </is>
      </c>
      <c r="E1027" t="inlineStr">
        <is>
          <t>NORRTÄLJE</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54496-2024</t>
        </is>
      </c>
      <c r="B1028" s="1" t="n">
        <v>45617.57439814815</v>
      </c>
      <c r="C1028" s="1" t="n">
        <v>46133</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21386-2023</t>
        </is>
      </c>
      <c r="B1029" s="1" t="n">
        <v>45063.35880787037</v>
      </c>
      <c r="C1029" s="1" t="n">
        <v>46133</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10642-2025</t>
        </is>
      </c>
      <c r="B1030" s="1" t="n">
        <v>45721.65858796296</v>
      </c>
      <c r="C1030" s="1" t="n">
        <v>46133</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20144-2023</t>
        </is>
      </c>
      <c r="B1031" s="1" t="n">
        <v>45055.43509259259</v>
      </c>
      <c r="C1031" s="1" t="n">
        <v>46133</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53312-2024</t>
        </is>
      </c>
      <c r="B1032" s="1" t="n">
        <v>45614.39627314815</v>
      </c>
      <c r="C1032" s="1" t="n">
        <v>46133</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39202-2024</t>
        </is>
      </c>
      <c r="B1033" s="1" t="n">
        <v>45548.72306712963</v>
      </c>
      <c r="C1033" s="1" t="n">
        <v>46133</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22756-2022</t>
        </is>
      </c>
      <c r="B1034" s="1" t="n">
        <v>44714.92253472222</v>
      </c>
      <c r="C1034" s="1" t="n">
        <v>46133</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4581-2025</t>
        </is>
      </c>
      <c r="B1035" s="1" t="n">
        <v>45687</v>
      </c>
      <c r="C1035" s="1" t="n">
        <v>46133</v>
      </c>
      <c r="D1035" t="inlineStr">
        <is>
          <t>STOCKHOLMS LÄN</t>
        </is>
      </c>
      <c r="E1035" t="inlineStr">
        <is>
          <t>NORRTÄLJE</t>
        </is>
      </c>
      <c r="F1035" t="inlineStr">
        <is>
          <t>Holmen skog AB</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60765-2023</t>
        </is>
      </c>
      <c r="B1036" s="1" t="n">
        <v>45260</v>
      </c>
      <c r="C1036" s="1" t="n">
        <v>46133</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23801-2022</t>
        </is>
      </c>
      <c r="B1037" s="1" t="n">
        <v>44722</v>
      </c>
      <c r="C1037" s="1" t="n">
        <v>46133</v>
      </c>
      <c r="D1037" t="inlineStr">
        <is>
          <t>STOCKHOLMS LÄN</t>
        </is>
      </c>
      <c r="E1037" t="inlineStr">
        <is>
          <t>NORRTÄLJE</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59276-2023</t>
        </is>
      </c>
      <c r="B1038" s="1" t="n">
        <v>45253.55641203704</v>
      </c>
      <c r="C1038" s="1" t="n">
        <v>46133</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46914-2022</t>
        </is>
      </c>
      <c r="B1039" s="1" t="n">
        <v>44851</v>
      </c>
      <c r="C1039" s="1" t="n">
        <v>46133</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18541-2023</t>
        </is>
      </c>
      <c r="B1040" s="1" t="n">
        <v>45042.74291666667</v>
      </c>
      <c r="C1040" s="1" t="n">
        <v>46133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3509-2022</t>
        </is>
      </c>
      <c r="B1041" s="1" t="n">
        <v>44585</v>
      </c>
      <c r="C1041" s="1" t="n">
        <v>46133</v>
      </c>
      <c r="D1041" t="inlineStr">
        <is>
          <t>STOCKHOLMS LÄN</t>
        </is>
      </c>
      <c r="E1041" t="inlineStr">
        <is>
          <t>NORRTÄLJE</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26407-2024</t>
        </is>
      </c>
      <c r="B1042" s="1" t="n">
        <v>45469</v>
      </c>
      <c r="C1042" s="1" t="n">
        <v>46133</v>
      </c>
      <c r="D1042" t="inlineStr">
        <is>
          <t>STOCKHOLMS LÄN</t>
        </is>
      </c>
      <c r="E1042" t="inlineStr">
        <is>
          <t>NORRTÄLJE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12890-2024</t>
        </is>
      </c>
      <c r="B1043" s="1" t="n">
        <v>45385.36243055556</v>
      </c>
      <c r="C1043" s="1" t="n">
        <v>46133</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47419-2023</t>
        </is>
      </c>
      <c r="B1044" s="1" t="n">
        <v>45202.65660879629</v>
      </c>
      <c r="C1044" s="1" t="n">
        <v>46133</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23070-2023</t>
        </is>
      </c>
      <c r="B1045" s="1" t="n">
        <v>45075</v>
      </c>
      <c r="C1045" s="1" t="n">
        <v>46133</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27824-2022</t>
        </is>
      </c>
      <c r="B1046" s="1" t="n">
        <v>44743.59331018518</v>
      </c>
      <c r="C1046" s="1" t="n">
        <v>46133</v>
      </c>
      <c r="D1046" t="inlineStr">
        <is>
          <t>STOCKHOLMS LÄN</t>
        </is>
      </c>
      <c r="E1046" t="inlineStr">
        <is>
          <t>NORRTÄLJE</t>
        </is>
      </c>
      <c r="F1046" t="inlineStr">
        <is>
          <t>Kommuner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25619-2022</t>
        </is>
      </c>
      <c r="B1047" s="1" t="n">
        <v>44732</v>
      </c>
      <c r="C1047" s="1" t="n">
        <v>46133</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36246-2021</t>
        </is>
      </c>
      <c r="B1048" s="1" t="n">
        <v>44390</v>
      </c>
      <c r="C1048" s="1" t="n">
        <v>46133</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19952-2023</t>
        </is>
      </c>
      <c r="B1049" s="1" t="n">
        <v>45054.54091435186</v>
      </c>
      <c r="C1049" s="1" t="n">
        <v>46133</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19994-2023</t>
        </is>
      </c>
      <c r="B1050" s="1" t="n">
        <v>45054</v>
      </c>
      <c r="C1050" s="1" t="n">
        <v>46133</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14130-2025</t>
        </is>
      </c>
      <c r="B1051" s="1" t="n">
        <v>45740.47288194444</v>
      </c>
      <c r="C1051" s="1" t="n">
        <v>46133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46133</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30283-2022</t>
        </is>
      </c>
      <c r="B1053" s="1" t="n">
        <v>44760</v>
      </c>
      <c r="C1053" s="1" t="n">
        <v>46133</v>
      </c>
      <c r="D1053" t="inlineStr">
        <is>
          <t>STOCKHOLMS LÄN</t>
        </is>
      </c>
      <c r="E1053" t="inlineStr">
        <is>
          <t>NORRTÄLJE</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30290-2022</t>
        </is>
      </c>
      <c r="B1054" s="1" t="n">
        <v>44760</v>
      </c>
      <c r="C1054" s="1" t="n">
        <v>46133</v>
      </c>
      <c r="D1054" t="inlineStr">
        <is>
          <t>STOCKHOLMS LÄN</t>
        </is>
      </c>
      <c r="E1054" t="inlineStr">
        <is>
          <t>NORRTÄLJE</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29684-2021</t>
        </is>
      </c>
      <c r="B1055" s="1" t="n">
        <v>44362.37172453704</v>
      </c>
      <c r="C1055" s="1" t="n">
        <v>46133</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60884-2024</t>
        </is>
      </c>
      <c r="B1056" s="1" t="n">
        <v>45644.90815972222</v>
      </c>
      <c r="C1056" s="1" t="n">
        <v>46133</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38610-2022</t>
        </is>
      </c>
      <c r="B1057" s="1" t="n">
        <v>44813.59915509259</v>
      </c>
      <c r="C1057" s="1" t="n">
        <v>46133</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10090-2022</t>
        </is>
      </c>
      <c r="B1058" s="1" t="n">
        <v>44621</v>
      </c>
      <c r="C1058" s="1" t="n">
        <v>46133</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14724-2022</t>
        </is>
      </c>
      <c r="B1059" s="1" t="n">
        <v>44656</v>
      </c>
      <c r="C1059" s="1" t="n">
        <v>46133</v>
      </c>
      <c r="D1059" t="inlineStr">
        <is>
          <t>STOCKHOLMS LÄN</t>
        </is>
      </c>
      <c r="E1059" t="inlineStr">
        <is>
          <t>NORRTÄLJE</t>
        </is>
      </c>
      <c r="F1059" t="inlineStr">
        <is>
          <t>Sveaskog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18846-2022</t>
        </is>
      </c>
      <c r="B1060" s="1" t="n">
        <v>44690</v>
      </c>
      <c r="C1060" s="1" t="n">
        <v>46133</v>
      </c>
      <c r="D1060" t="inlineStr">
        <is>
          <t>STOCKHOLMS LÄN</t>
        </is>
      </c>
      <c r="E1060" t="inlineStr">
        <is>
          <t>NORRTÄLJE</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43300-2023</t>
        </is>
      </c>
      <c r="B1061" s="1" t="n">
        <v>45183</v>
      </c>
      <c r="C1061" s="1" t="n">
        <v>46133</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25654-2023</t>
        </is>
      </c>
      <c r="B1062" s="1" t="n">
        <v>45089</v>
      </c>
      <c r="C1062" s="1" t="n">
        <v>46133</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23125-2022</t>
        </is>
      </c>
      <c r="B1063" s="1" t="n">
        <v>44719</v>
      </c>
      <c r="C1063" s="1" t="n">
        <v>46133</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20121-2022</t>
        </is>
      </c>
      <c r="B1064" s="1" t="n">
        <v>44698</v>
      </c>
      <c r="C1064" s="1" t="n">
        <v>46133</v>
      </c>
      <c r="D1064" t="inlineStr">
        <is>
          <t>STOCKHOLMS LÄN</t>
        </is>
      </c>
      <c r="E1064" t="inlineStr">
        <is>
          <t>NORRTÄLJE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33385-2024</t>
        </is>
      </c>
      <c r="B1065" s="1" t="n">
        <v>45519</v>
      </c>
      <c r="C1065" s="1" t="n">
        <v>46133</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41172-2023</t>
        </is>
      </c>
      <c r="B1066" s="1" t="n">
        <v>45170</v>
      </c>
      <c r="C1066" s="1" t="n">
        <v>46133</v>
      </c>
      <c r="D1066" t="inlineStr">
        <is>
          <t>STOCKHOLMS LÄN</t>
        </is>
      </c>
      <c r="E1066" t="inlineStr">
        <is>
          <t>NORRTÄLJE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73307-2021</t>
        </is>
      </c>
      <c r="B1067" s="1" t="n">
        <v>44549</v>
      </c>
      <c r="C1067" s="1" t="n">
        <v>46133</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50534-2024</t>
        </is>
      </c>
      <c r="B1068" s="1" t="n">
        <v>45601.56726851852</v>
      </c>
      <c r="C1068" s="1" t="n">
        <v>46133</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65499-2021</t>
        </is>
      </c>
      <c r="B1069" s="1" t="n">
        <v>44516</v>
      </c>
      <c r="C1069" s="1" t="n">
        <v>46133</v>
      </c>
      <c r="D1069" t="inlineStr">
        <is>
          <t>STOCKHOLMS LÄN</t>
        </is>
      </c>
      <c r="E1069" t="inlineStr">
        <is>
          <t>NORRTÄLJE</t>
        </is>
      </c>
      <c r="F1069" t="inlineStr">
        <is>
          <t>Kommuner</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65511-2021</t>
        </is>
      </c>
      <c r="B1070" s="1" t="n">
        <v>44516.40674768519</v>
      </c>
      <c r="C1070" s="1" t="n">
        <v>46133</v>
      </c>
      <c r="D1070" t="inlineStr">
        <is>
          <t>STOCKHOLMS LÄN</t>
        </is>
      </c>
      <c r="E1070" t="inlineStr">
        <is>
          <t>NORRTÄLJE</t>
        </is>
      </c>
      <c r="F1070" t="inlineStr">
        <is>
          <t>Kommuner</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22833-2024</t>
        </is>
      </c>
      <c r="B1071" s="1" t="n">
        <v>45448.56746527777</v>
      </c>
      <c r="C1071" s="1" t="n">
        <v>46133</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32514-2022</t>
        </is>
      </c>
      <c r="B1072" s="1" t="n">
        <v>44782</v>
      </c>
      <c r="C1072" s="1" t="n">
        <v>46133</v>
      </c>
      <c r="D1072" t="inlineStr">
        <is>
          <t>STOCKHOLMS LÄN</t>
        </is>
      </c>
      <c r="E1072" t="inlineStr">
        <is>
          <t>NORRTÄLJE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29362-2022</t>
        </is>
      </c>
      <c r="B1073" s="1" t="n">
        <v>44753</v>
      </c>
      <c r="C1073" s="1" t="n">
        <v>46133</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58492-2022</t>
        </is>
      </c>
      <c r="B1074" s="1" t="n">
        <v>44902</v>
      </c>
      <c r="C1074" s="1" t="n">
        <v>46133</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51315-2021</t>
        </is>
      </c>
      <c r="B1075" s="1" t="n">
        <v>44461</v>
      </c>
      <c r="C1075" s="1" t="n">
        <v>46133</v>
      </c>
      <c r="D1075" t="inlineStr">
        <is>
          <t>STOCKHOLMS LÄN</t>
        </is>
      </c>
      <c r="E1075" t="inlineStr">
        <is>
          <t>NORRTÄLJE</t>
        </is>
      </c>
      <c r="F1075" t="inlineStr">
        <is>
          <t>Holmen skog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14873-2025</t>
        </is>
      </c>
      <c r="B1076" s="1" t="n">
        <v>45743.44953703704</v>
      </c>
      <c r="C1076" s="1" t="n">
        <v>46133</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34773-2022</t>
        </is>
      </c>
      <c r="B1077" s="1" t="n">
        <v>44795</v>
      </c>
      <c r="C1077" s="1" t="n">
        <v>46133</v>
      </c>
      <c r="D1077" t="inlineStr">
        <is>
          <t>STOCKHOLMS LÄN</t>
        </is>
      </c>
      <c r="E1077" t="inlineStr">
        <is>
          <t>NORRTÄLJE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33173-2024</t>
        </is>
      </c>
      <c r="B1078" s="1" t="n">
        <v>45518</v>
      </c>
      <c r="C1078" s="1" t="n">
        <v>46133</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4484-2025</t>
        </is>
      </c>
      <c r="B1079" s="1" t="n">
        <v>45686.65545138889</v>
      </c>
      <c r="C1079" s="1" t="n">
        <v>46133</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33878-2024</t>
        </is>
      </c>
      <c r="B1080" s="1" t="n">
        <v>45522.44414351852</v>
      </c>
      <c r="C1080" s="1" t="n">
        <v>46133</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9246-2024</t>
        </is>
      </c>
      <c r="B1081" s="1" t="n">
        <v>45357</v>
      </c>
      <c r="C1081" s="1" t="n">
        <v>46133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35698-2023</t>
        </is>
      </c>
      <c r="B1082" s="1" t="n">
        <v>45147</v>
      </c>
      <c r="C1082" s="1" t="n">
        <v>46133</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62398-2022</t>
        </is>
      </c>
      <c r="B1083" s="1" t="n">
        <v>44923.90159722222</v>
      </c>
      <c r="C1083" s="1" t="n">
        <v>46133</v>
      </c>
      <c r="D1083" t="inlineStr">
        <is>
          <t>STOCKHOLMS LÄN</t>
        </is>
      </c>
      <c r="E1083" t="inlineStr">
        <is>
          <t>NORRTÄLJE</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49700-2023</t>
        </is>
      </c>
      <c r="B1084" s="1" t="n">
        <v>45212</v>
      </c>
      <c r="C1084" s="1" t="n">
        <v>46133</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32071-2023</t>
        </is>
      </c>
      <c r="B1085" s="1" t="n">
        <v>45119.57728009259</v>
      </c>
      <c r="C1085" s="1" t="n">
        <v>46133</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1425-2025</t>
        </is>
      </c>
      <c r="B1086" s="1" t="n">
        <v>45668.67446759259</v>
      </c>
      <c r="C1086" s="1" t="n">
        <v>46133</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17775-2022</t>
        </is>
      </c>
      <c r="B1087" s="1" t="n">
        <v>44682.78430555556</v>
      </c>
      <c r="C1087" s="1" t="n">
        <v>46133</v>
      </c>
      <c r="D1087" t="inlineStr">
        <is>
          <t>STOCKHOLMS LÄN</t>
        </is>
      </c>
      <c r="E1087" t="inlineStr">
        <is>
          <t>NORRTÄLJE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38720-2022</t>
        </is>
      </c>
      <c r="B1088" s="1" t="n">
        <v>44815.74539351852</v>
      </c>
      <c r="C1088" s="1" t="n">
        <v>46133</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44986.5887962963</v>
      </c>
      <c r="C1089" s="1" t="n">
        <v>46133</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25609-2023</t>
        </is>
      </c>
      <c r="B1090" s="1" t="n">
        <v>45089</v>
      </c>
      <c r="C1090" s="1" t="n">
        <v>46133</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20014-2025</t>
        </is>
      </c>
      <c r="B1091" s="1" t="n">
        <v>45772.3078125</v>
      </c>
      <c r="C1091" s="1" t="n">
        <v>46133</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20136-2025</t>
        </is>
      </c>
      <c r="B1092" s="1" t="n">
        <v>45772.51127314815</v>
      </c>
      <c r="C1092" s="1" t="n">
        <v>46133</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2287-2024</t>
        </is>
      </c>
      <c r="B1093" s="1" t="n">
        <v>45310</v>
      </c>
      <c r="C1093" s="1" t="n">
        <v>46133</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13785-2024</t>
        </is>
      </c>
      <c r="B1094" s="1" t="n">
        <v>45391.3395949074</v>
      </c>
      <c r="C1094" s="1" t="n">
        <v>46133</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50469-2022</t>
        </is>
      </c>
      <c r="B1095" s="1" t="n">
        <v>44866.49827546296</v>
      </c>
      <c r="C1095" s="1" t="n">
        <v>46133</v>
      </c>
      <c r="D1095" t="inlineStr">
        <is>
          <t>STOCKHOLMS LÄN</t>
        </is>
      </c>
      <c r="E1095" t="inlineStr">
        <is>
          <t>NORRTÄLJE</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51116-2022</t>
        </is>
      </c>
      <c r="B1096" s="1" t="n">
        <v>44868.45741898148</v>
      </c>
      <c r="C1096" s="1" t="n">
        <v>46133</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60217-2021</t>
        </is>
      </c>
      <c r="B1097" s="1" t="n">
        <v>44495.5893287037</v>
      </c>
      <c r="C1097" s="1" t="n">
        <v>46133</v>
      </c>
      <c r="D1097" t="inlineStr">
        <is>
          <t>STOCKHOLMS LÄN</t>
        </is>
      </c>
      <c r="E1097" t="inlineStr">
        <is>
          <t>NORRTÄLJE</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46133</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38985-2022</t>
        </is>
      </c>
      <c r="B1099" s="1" t="n">
        <v>44816</v>
      </c>
      <c r="C1099" s="1" t="n">
        <v>46133</v>
      </c>
      <c r="D1099" t="inlineStr">
        <is>
          <t>STOCKHOLMS LÄN</t>
        </is>
      </c>
      <c r="E1099" t="inlineStr">
        <is>
          <t>NORRTÄLJE</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5665-2025</t>
        </is>
      </c>
      <c r="B1100" s="1" t="n">
        <v>45693</v>
      </c>
      <c r="C1100" s="1" t="n">
        <v>46133</v>
      </c>
      <c r="D1100" t="inlineStr">
        <is>
          <t>STOCKHOLMS LÄN</t>
        </is>
      </c>
      <c r="E1100" t="inlineStr">
        <is>
          <t>NORRTÄLJE</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3426-2025</t>
        </is>
      </c>
      <c r="B1101" s="1" t="n">
        <v>45680.42665509259</v>
      </c>
      <c r="C1101" s="1" t="n">
        <v>46133</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58530-2024</t>
        </is>
      </c>
      <c r="B1102" s="1" t="n">
        <v>45635.44788194444</v>
      </c>
      <c r="C1102" s="1" t="n">
        <v>46133</v>
      </c>
      <c r="D1102" t="inlineStr">
        <is>
          <t>STOCKHOLMS LÄN</t>
        </is>
      </c>
      <c r="E1102" t="inlineStr">
        <is>
          <t>NORRTÄLJE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22421-2021</t>
        </is>
      </c>
      <c r="B1103" s="1" t="n">
        <v>44326</v>
      </c>
      <c r="C1103" s="1" t="n">
        <v>46133</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40761-2024</t>
        </is>
      </c>
      <c r="B1104" s="1" t="n">
        <v>45558.46283564815</v>
      </c>
      <c r="C1104" s="1" t="n">
        <v>46133</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4553-2023</t>
        </is>
      </c>
      <c r="B1105" s="1" t="n">
        <v>44956.65920138889</v>
      </c>
      <c r="C1105" s="1" t="n">
        <v>46133</v>
      </c>
      <c r="D1105" t="inlineStr">
        <is>
          <t>STOCKHOLMS LÄN</t>
        </is>
      </c>
      <c r="E1105" t="inlineStr">
        <is>
          <t>NORRTÄLJE</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4593-2023</t>
        </is>
      </c>
      <c r="B1106" s="1" t="n">
        <v>44956</v>
      </c>
      <c r="C1106" s="1" t="n">
        <v>46133</v>
      </c>
      <c r="D1106" t="inlineStr">
        <is>
          <t>STOCKHOLMS LÄN</t>
        </is>
      </c>
      <c r="E1106" t="inlineStr">
        <is>
          <t>NORRTÄLJE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13171-2025</t>
        </is>
      </c>
      <c r="B1107" s="1" t="n">
        <v>45735.36594907408</v>
      </c>
      <c r="C1107" s="1" t="n">
        <v>46133</v>
      </c>
      <c r="D1107" t="inlineStr">
        <is>
          <t>STOCKHOLMS LÄN</t>
        </is>
      </c>
      <c r="E1107" t="inlineStr">
        <is>
          <t>NORRTÄLJE</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51978-2023</t>
        </is>
      </c>
      <c r="B1108" s="1" t="n">
        <v>45223</v>
      </c>
      <c r="C1108" s="1" t="n">
        <v>46133</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18092-2022</t>
        </is>
      </c>
      <c r="B1109" s="1" t="n">
        <v>44684</v>
      </c>
      <c r="C1109" s="1" t="n">
        <v>46133</v>
      </c>
      <c r="D1109" t="inlineStr">
        <is>
          <t>STOCKHOLMS LÄN</t>
        </is>
      </c>
      <c r="E1109" t="inlineStr">
        <is>
          <t>NORRTÄLJE</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59310-2023</t>
        </is>
      </c>
      <c r="B1110" s="1" t="n">
        <v>45253.61146990741</v>
      </c>
      <c r="C1110" s="1" t="n">
        <v>46133</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46133</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59878-2024</t>
        </is>
      </c>
      <c r="B1112" s="1" t="n">
        <v>45640.60240740741</v>
      </c>
      <c r="C1112" s="1" t="n">
        <v>46133</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41335-2023</t>
        </is>
      </c>
      <c r="B1113" s="1" t="n">
        <v>45174.68702546296</v>
      </c>
      <c r="C1113" s="1" t="n">
        <v>46133</v>
      </c>
      <c r="D1113" t="inlineStr">
        <is>
          <t>STOCKHOLMS LÄN</t>
        </is>
      </c>
      <c r="E1113" t="inlineStr">
        <is>
          <t>NORRTÄLJE</t>
        </is>
      </c>
      <c r="F1113" t="inlineStr">
        <is>
          <t>Holmen skog AB</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33040-2021</t>
        </is>
      </c>
      <c r="B1114" s="1" t="n">
        <v>44376.50728009259</v>
      </c>
      <c r="C1114" s="1" t="n">
        <v>46133</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33053-2021</t>
        </is>
      </c>
      <c r="B1115" s="1" t="n">
        <v>44376</v>
      </c>
      <c r="C1115" s="1" t="n">
        <v>46133</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43150-2023</t>
        </is>
      </c>
      <c r="B1116" s="1" t="n">
        <v>45183</v>
      </c>
      <c r="C1116" s="1" t="n">
        <v>46133</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54259-2023</t>
        </is>
      </c>
      <c r="B1117" s="1" t="n">
        <v>45232</v>
      </c>
      <c r="C1117" s="1" t="n">
        <v>46133</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60822-2023</t>
        </is>
      </c>
      <c r="B1118" s="1" t="n">
        <v>45259</v>
      </c>
      <c r="C1118" s="1" t="n">
        <v>46133</v>
      </c>
      <c r="D1118" t="inlineStr">
        <is>
          <t>STOCKHOLMS LÄN</t>
        </is>
      </c>
      <c r="E1118" t="inlineStr">
        <is>
          <t>NORRTÄLJE</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27381-2024</t>
        </is>
      </c>
      <c r="B1119" s="1" t="n">
        <v>45473.94501157408</v>
      </c>
      <c r="C1119" s="1" t="n">
        <v>46133</v>
      </c>
      <c r="D1119" t="inlineStr">
        <is>
          <t>STOCKHOLMS LÄN</t>
        </is>
      </c>
      <c r="E1119" t="inlineStr">
        <is>
          <t>NORRTÄLJE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23265-2023</t>
        </is>
      </c>
      <c r="B1120" s="1" t="n">
        <v>45075.90703703704</v>
      </c>
      <c r="C1120" s="1" t="n">
        <v>46133</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26117-2024</t>
        </is>
      </c>
      <c r="B1121" s="1" t="n">
        <v>45468.45877314815</v>
      </c>
      <c r="C1121" s="1" t="n">
        <v>46133</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20336-2024</t>
        </is>
      </c>
      <c r="B1122" s="1" t="n">
        <v>45435.43123842592</v>
      </c>
      <c r="C1122" s="1" t="n">
        <v>46133</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1847-2023</t>
        </is>
      </c>
      <c r="B1123" s="1" t="n">
        <v>44938</v>
      </c>
      <c r="C1123" s="1" t="n">
        <v>46133</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59721-2024</t>
        </is>
      </c>
      <c r="B1124" s="1" t="n">
        <v>45639.47385416667</v>
      </c>
      <c r="C1124" s="1" t="n">
        <v>46133</v>
      </c>
      <c r="D1124" t="inlineStr">
        <is>
          <t>STOCKHOLMS LÄN</t>
        </is>
      </c>
      <c r="E1124" t="inlineStr">
        <is>
          <t>NORRTÄLJE</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37010-2022</t>
        </is>
      </c>
      <c r="B1125" s="1" t="n">
        <v>44806.41576388889</v>
      </c>
      <c r="C1125" s="1" t="n">
        <v>46133</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951-2023</t>
        </is>
      </c>
      <c r="B1126" s="1" t="n">
        <v>44934</v>
      </c>
      <c r="C1126" s="1" t="n">
        <v>46133</v>
      </c>
      <c r="D1126" t="inlineStr">
        <is>
          <t>STOCKHOLMS LÄN</t>
        </is>
      </c>
      <c r="E1126" t="inlineStr">
        <is>
          <t>NORRTÄLJE</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5423-2023</t>
        </is>
      </c>
      <c r="B1127" s="1" t="n">
        <v>44959.74533564815</v>
      </c>
      <c r="C1127" s="1" t="n">
        <v>46133</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50182-2024</t>
        </is>
      </c>
      <c r="B1128" s="1" t="n">
        <v>45600.47275462963</v>
      </c>
      <c r="C1128" s="1" t="n">
        <v>46133</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12629-2024</t>
        </is>
      </c>
      <c r="B1129" s="1" t="n">
        <v>45383</v>
      </c>
      <c r="C1129" s="1" t="n">
        <v>46133</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35708-2022</t>
        </is>
      </c>
      <c r="B1130" s="1" t="n">
        <v>44799.65013888889</v>
      </c>
      <c r="C1130" s="1" t="n">
        <v>46133</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45220-2024</t>
        </is>
      </c>
      <c r="B1131" s="1" t="n">
        <v>45575</v>
      </c>
      <c r="C1131" s="1" t="n">
        <v>46133</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46133</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23266-2023</t>
        </is>
      </c>
      <c r="B1133" s="1" t="n">
        <v>45075.90817129629</v>
      </c>
      <c r="C1133" s="1" t="n">
        <v>46133</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47521-2024</t>
        </is>
      </c>
      <c r="B1134" s="1" t="n">
        <v>45587.62565972222</v>
      </c>
      <c r="C1134" s="1" t="n">
        <v>46133</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58260-2023</t>
        </is>
      </c>
      <c r="B1135" s="1" t="n">
        <v>45245</v>
      </c>
      <c r="C1135" s="1" t="n">
        <v>46133</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58261-2023</t>
        </is>
      </c>
      <c r="B1136" s="1" t="n">
        <v>45245</v>
      </c>
      <c r="C1136" s="1" t="n">
        <v>46133</v>
      </c>
      <c r="D1136" t="inlineStr">
        <is>
          <t>STOCKHOLMS LÄN</t>
        </is>
      </c>
      <c r="E1136" t="inlineStr">
        <is>
          <t>NORRTÄLJE</t>
        </is>
      </c>
      <c r="G1136" t="n">
        <v>53.5</v>
      </c>
      <c r="H1136" t="n">
        <v>0</v>
      </c>
      <c r="I1136" t="n">
        <v>0</v>
      </c>
      <c r="J1136" t="n">
        <v>0</v>
      </c>
      <c r="K1136" t="n">
        <v>0</v>
      </c>
      <c r="L1136" t="n">
        <v>0</v>
      </c>
      <c r="M1136" t="n">
        <v>0</v>
      </c>
      <c r="N1136" t="n">
        <v>0</v>
      </c>
      <c r="O1136" t="n">
        <v>0</v>
      </c>
      <c r="P1136" t="n">
        <v>0</v>
      </c>
      <c r="Q1136" t="n">
        <v>0</v>
      </c>
      <c r="R1136" s="2" t="inlineStr"/>
    </row>
    <row r="1137" ht="15" customHeight="1">
      <c r="A1137" t="inlineStr">
        <is>
          <t>A 29266-2022</t>
        </is>
      </c>
      <c r="B1137" s="1" t="n">
        <v>44750.66068287037</v>
      </c>
      <c r="C1137" s="1" t="n">
        <v>46133</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29278-2022</t>
        </is>
      </c>
      <c r="B1138" s="1" t="n">
        <v>44750</v>
      </c>
      <c r="C1138" s="1" t="n">
        <v>46133</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37273-2024</t>
        </is>
      </c>
      <c r="B1139" s="1" t="n">
        <v>45540</v>
      </c>
      <c r="C1139" s="1" t="n">
        <v>46133</v>
      </c>
      <c r="D1139" t="inlineStr">
        <is>
          <t>STOCKHOLMS LÄN</t>
        </is>
      </c>
      <c r="E1139" t="inlineStr">
        <is>
          <t>NORRTÄLJE</t>
        </is>
      </c>
      <c r="F1139" t="inlineStr">
        <is>
          <t>Sveaskog</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12908-2025</t>
        </is>
      </c>
      <c r="B1140" s="1" t="n">
        <v>45733.82105324074</v>
      </c>
      <c r="C1140" s="1" t="n">
        <v>46133</v>
      </c>
      <c r="D1140" t="inlineStr">
        <is>
          <t>STOCKHOLMS LÄN</t>
        </is>
      </c>
      <c r="E1140" t="inlineStr">
        <is>
          <t>NORRTÄLJE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23060-2023</t>
        </is>
      </c>
      <c r="B1141" s="1" t="n">
        <v>45075</v>
      </c>
      <c r="C1141" s="1" t="n">
        <v>46133</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32103-2022</t>
        </is>
      </c>
      <c r="B1142" s="1" t="n">
        <v>44778</v>
      </c>
      <c r="C1142" s="1" t="n">
        <v>46133</v>
      </c>
      <c r="D1142" t="inlineStr">
        <is>
          <t>STOCKHOLMS LÄN</t>
        </is>
      </c>
      <c r="E1142" t="inlineStr">
        <is>
          <t>NORRTÄLJE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6401-2024</t>
        </is>
      </c>
      <c r="B1143" s="1" t="n">
        <v>45338</v>
      </c>
      <c r="C1143" s="1" t="n">
        <v>46133</v>
      </c>
      <c r="D1143" t="inlineStr">
        <is>
          <t>STOCKHOLMS LÄN</t>
        </is>
      </c>
      <c r="E1143" t="inlineStr">
        <is>
          <t>NORRTÄLJE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59504-2023</t>
        </is>
      </c>
      <c r="B1144" s="1" t="n">
        <v>45254</v>
      </c>
      <c r="C1144" s="1" t="n">
        <v>46133</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52321-2024</t>
        </is>
      </c>
      <c r="B1145" s="1" t="n">
        <v>45608</v>
      </c>
      <c r="C1145" s="1" t="n">
        <v>46133</v>
      </c>
      <c r="D1145" t="inlineStr">
        <is>
          <t>STOCKHOLMS LÄN</t>
        </is>
      </c>
      <c r="E1145" t="inlineStr">
        <is>
          <t>NORRTÄLJE</t>
        </is>
      </c>
      <c r="G1145" t="n">
        <v>18.1</v>
      </c>
      <c r="H1145" t="n">
        <v>0</v>
      </c>
      <c r="I1145" t="n">
        <v>0</v>
      </c>
      <c r="J1145" t="n">
        <v>0</v>
      </c>
      <c r="K1145" t="n">
        <v>0</v>
      </c>
      <c r="L1145" t="n">
        <v>0</v>
      </c>
      <c r="M1145" t="n">
        <v>0</v>
      </c>
      <c r="N1145" t="n">
        <v>0</v>
      </c>
      <c r="O1145" t="n">
        <v>0</v>
      </c>
      <c r="P1145" t="n">
        <v>0</v>
      </c>
      <c r="Q1145" t="n">
        <v>0</v>
      </c>
      <c r="R1145" s="2" t="inlineStr"/>
    </row>
    <row r="1146" ht="15" customHeight="1">
      <c r="A1146" t="inlineStr">
        <is>
          <t>A 48151-2024</t>
        </is>
      </c>
      <c r="B1146" s="1" t="n">
        <v>45589.68289351852</v>
      </c>
      <c r="C1146" s="1" t="n">
        <v>46133</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20370-2025</t>
        </is>
      </c>
      <c r="B1147" s="1" t="n">
        <v>45775.41451388889</v>
      </c>
      <c r="C1147" s="1" t="n">
        <v>46133</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46133</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30731-2023</t>
        </is>
      </c>
      <c r="B1149" s="1" t="n">
        <v>45112</v>
      </c>
      <c r="C1149" s="1" t="n">
        <v>46133</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4580-2025</t>
        </is>
      </c>
      <c r="B1150" s="1" t="n">
        <v>45687.5038425926</v>
      </c>
      <c r="C1150" s="1" t="n">
        <v>46133</v>
      </c>
      <c r="D1150" t="inlineStr">
        <is>
          <t>STOCKHOLMS LÄN</t>
        </is>
      </c>
      <c r="E1150" t="inlineStr">
        <is>
          <t>NORRTÄLJE</t>
        </is>
      </c>
      <c r="F1150" t="inlineStr">
        <is>
          <t>Holmen skog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31057-2022</t>
        </is>
      </c>
      <c r="B1151" s="1" t="n">
        <v>44769</v>
      </c>
      <c r="C1151" s="1" t="n">
        <v>46133</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31140-2023</t>
        </is>
      </c>
      <c r="B1152" s="1" t="n">
        <v>45113</v>
      </c>
      <c r="C1152" s="1" t="n">
        <v>46133</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31149-2023</t>
        </is>
      </c>
      <c r="B1153" s="1" t="n">
        <v>45113</v>
      </c>
      <c r="C1153" s="1" t="n">
        <v>46133</v>
      </c>
      <c r="D1153" t="inlineStr">
        <is>
          <t>STOCKHOLMS LÄN</t>
        </is>
      </c>
      <c r="E1153" t="inlineStr">
        <is>
          <t>NORRTÄLJE</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4658-2024</t>
        </is>
      </c>
      <c r="B1154" s="1" t="n">
        <v>45328.46336805556</v>
      </c>
      <c r="C1154" s="1" t="n">
        <v>46133</v>
      </c>
      <c r="D1154" t="inlineStr">
        <is>
          <t>STOCKHOLMS LÄN</t>
        </is>
      </c>
      <c r="E1154" t="inlineStr">
        <is>
          <t>NORRTÄLJE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19131-2025</t>
        </is>
      </c>
      <c r="B1155" s="1" t="n">
        <v>45769</v>
      </c>
      <c r="C1155" s="1" t="n">
        <v>46133</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7571-2024</t>
        </is>
      </c>
      <c r="B1156" s="1" t="n">
        <v>45348.46300925926</v>
      </c>
      <c r="C1156" s="1" t="n">
        <v>46133</v>
      </c>
      <c r="D1156" t="inlineStr">
        <is>
          <t>STOCKHOLMS LÄN</t>
        </is>
      </c>
      <c r="E1156" t="inlineStr">
        <is>
          <t>NORRTÄLJE</t>
        </is>
      </c>
      <c r="F1156" t="inlineStr">
        <is>
          <t>Holmen skog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11849-2025</t>
        </is>
      </c>
      <c r="B1157" s="1" t="n">
        <v>45728.38409722222</v>
      </c>
      <c r="C1157" s="1" t="n">
        <v>46133</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40425-2021</t>
        </is>
      </c>
      <c r="B1158" s="1" t="n">
        <v>44419</v>
      </c>
      <c r="C1158" s="1" t="n">
        <v>46133</v>
      </c>
      <c r="D1158" t="inlineStr">
        <is>
          <t>STOCKHOLMS LÄN</t>
        </is>
      </c>
      <c r="E1158" t="inlineStr">
        <is>
          <t>NORRTÄLJE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58990-2021</t>
        </is>
      </c>
      <c r="B1159" s="1" t="n">
        <v>44490.03621527777</v>
      </c>
      <c r="C1159" s="1" t="n">
        <v>46133</v>
      </c>
      <c r="D1159" t="inlineStr">
        <is>
          <t>STOCKHOLMS LÄN</t>
        </is>
      </c>
      <c r="E1159" t="inlineStr">
        <is>
          <t>NORRTÄLJE</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20790-2025</t>
        </is>
      </c>
      <c r="B1160" s="1" t="n">
        <v>45776.62563657408</v>
      </c>
      <c r="C1160" s="1" t="n">
        <v>46133</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20699-2025</t>
        </is>
      </c>
      <c r="B1161" s="1" t="n">
        <v>45776.47346064815</v>
      </c>
      <c r="C1161" s="1" t="n">
        <v>46133</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3152-2024</t>
        </is>
      </c>
      <c r="B1162" s="1" t="n">
        <v>45316.60306712963</v>
      </c>
      <c r="C1162" s="1" t="n">
        <v>46133</v>
      </c>
      <c r="D1162" t="inlineStr">
        <is>
          <t>STOCKHOLMS LÄN</t>
        </is>
      </c>
      <c r="E1162" t="inlineStr">
        <is>
          <t>NORRTÄLJE</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59326-2023</t>
        </is>
      </c>
      <c r="B1163" s="1" t="n">
        <v>45253.63089120371</v>
      </c>
      <c r="C1163" s="1" t="n">
        <v>46133</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44836-2023</t>
        </is>
      </c>
      <c r="B1164" s="1" t="n">
        <v>45190.55609953704</v>
      </c>
      <c r="C1164" s="1" t="n">
        <v>46133</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20779-2025</t>
        </is>
      </c>
      <c r="B1165" s="1" t="n">
        <v>45776.59871527777</v>
      </c>
      <c r="C1165" s="1" t="n">
        <v>46133</v>
      </c>
      <c r="D1165" t="inlineStr">
        <is>
          <t>STOCKHOLMS LÄN</t>
        </is>
      </c>
      <c r="E1165" t="inlineStr">
        <is>
          <t>NORRTÄLJE</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21771-2025</t>
        </is>
      </c>
      <c r="B1166" s="1" t="n">
        <v>45783</v>
      </c>
      <c r="C1166" s="1" t="n">
        <v>46133</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21778-2025</t>
        </is>
      </c>
      <c r="B1167" s="1" t="n">
        <v>45783.66429398148</v>
      </c>
      <c r="C1167" s="1" t="n">
        <v>46133</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22202-2025</t>
        </is>
      </c>
      <c r="B1168" s="1" t="n">
        <v>45785.65300925926</v>
      </c>
      <c r="C1168" s="1" t="n">
        <v>46133</v>
      </c>
      <c r="D1168" t="inlineStr">
        <is>
          <t>STOCKHOLMS LÄN</t>
        </is>
      </c>
      <c r="E1168" t="inlineStr">
        <is>
          <t>NORRTÄLJE</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16620-2024</t>
        </is>
      </c>
      <c r="B1169" s="1" t="n">
        <v>45408.57707175926</v>
      </c>
      <c r="C1169" s="1" t="n">
        <v>46133</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c r="A1170" t="inlineStr">
        <is>
          <t>A 22416-2025</t>
        </is>
      </c>
      <c r="B1170" s="1" t="n">
        <v>45786.55645833333</v>
      </c>
      <c r="C1170" s="1" t="n">
        <v>46133</v>
      </c>
      <c r="D1170" t="inlineStr">
        <is>
          <t>STOCKHOLMS LÄN</t>
        </is>
      </c>
      <c r="E1170" t="inlineStr">
        <is>
          <t>NORRTÄLJE</t>
        </is>
      </c>
      <c r="F1170" t="inlineStr">
        <is>
          <t>Sveaskog</t>
        </is>
      </c>
      <c r="G1170" t="n">
        <v>0.8</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2026-04-21T10:52:09Z</dcterms:created>
  <dcterms:modified xmlns:dcterms="http://purl.org/dc/terms/" xmlns:xsi="http://www.w3.org/2001/XMLSchema-instance" xsi:type="dcterms:W3CDTF">2026-04-21T10:52:10Z</dcterms:modified>
</cp:coreProperties>
</file>