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46103</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46103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46103</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30799-2025</t>
        </is>
      </c>
      <c r="B6" s="1" t="n">
        <v>45831.65079861111</v>
      </c>
      <c r="C6" s="1" t="n">
        <v>46103</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46103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46103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46103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46103</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46103</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46103</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46103</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46103</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46103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46103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46103</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46103</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46103</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46103</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46103</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46103</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46103</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47274-2024</t>
        </is>
      </c>
      <c r="B24" s="1" t="n">
        <v>45586</v>
      </c>
      <c r="C24" s="1" t="n">
        <v>46103</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46103</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46103</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46103</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46103</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46103</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46103</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46103</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46103</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46103</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46103</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46103</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10430-2026</t>
        </is>
      </c>
      <c r="B36" s="1" t="n">
        <v>46077</v>
      </c>
      <c r="C36" s="1" t="n">
        <v>46103</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46103</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46103</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56791-2025</t>
        </is>
      </c>
      <c r="B39" s="1" t="n">
        <v>45978</v>
      </c>
      <c r="C39" s="1" t="n">
        <v>46103</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30687-2025</t>
        </is>
      </c>
      <c r="B40" s="1" t="n">
        <v>45831.53390046296</v>
      </c>
      <c r="C40" s="1" t="n">
        <v>46103</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46103</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46103</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46103</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21922-2023</t>
        </is>
      </c>
      <c r="B44" s="1" t="n">
        <v>45068</v>
      </c>
      <c r="C44" s="1" t="n">
        <v>46103</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46103</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41276-2025</t>
        </is>
      </c>
      <c r="B46" s="1" t="n">
        <v>45898.62723379629</v>
      </c>
      <c r="C46" s="1" t="n">
        <v>46103</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46103</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47212-2025</t>
        </is>
      </c>
      <c r="B48" s="1" t="n">
        <v>45930</v>
      </c>
      <c r="C48" s="1" t="n">
        <v>46103</v>
      </c>
      <c r="D48" t="inlineStr">
        <is>
          <t>STOCKHOLMS LÄN</t>
        </is>
      </c>
      <c r="E48" t="inlineStr">
        <is>
          <t>NORRTÄLJE</t>
        </is>
      </c>
      <c r="G48" t="n">
        <v>5.5</v>
      </c>
      <c r="H48" t="n">
        <v>2</v>
      </c>
      <c r="I48" t="n">
        <v>2</v>
      </c>
      <c r="J48" t="n">
        <v>0</v>
      </c>
      <c r="K48" t="n">
        <v>0</v>
      </c>
      <c r="L48" t="n">
        <v>0</v>
      </c>
      <c r="M48" t="n">
        <v>0</v>
      </c>
      <c r="N48" t="n">
        <v>0</v>
      </c>
      <c r="O48" t="n">
        <v>0</v>
      </c>
      <c r="P48" t="n">
        <v>0</v>
      </c>
      <c r="Q48" t="n">
        <v>4</v>
      </c>
      <c r="R48" s="2" t="inlineStr">
        <is>
          <t>Grönpyrola
Skarp dropptaggsvamp
Kungsfågel
Blåsippa</t>
        </is>
      </c>
      <c r="S48">
        <f>HYPERLINK("https://klasma.github.io/Logging_0188/artfynd/A 47212-2025 artfynd.xlsx", "A 47212-2025")</f>
        <v/>
      </c>
      <c r="T48">
        <f>HYPERLINK("https://klasma.github.io/Logging_0188/kartor/A 47212-2025 karta.png", "A 47212-2025")</f>
        <v/>
      </c>
      <c r="V48">
        <f>HYPERLINK("https://klasma.github.io/Logging_0188/klagomål/A 47212-2025 FSC-klagomål.docx", "A 47212-2025")</f>
        <v/>
      </c>
      <c r="W48">
        <f>HYPERLINK("https://klasma.github.io/Logging_0188/klagomålsmail/A 47212-2025 FSC-klagomål mail.docx", "A 47212-2025")</f>
        <v/>
      </c>
      <c r="X48">
        <f>HYPERLINK("https://klasma.github.io/Logging_0188/tillsyn/A 47212-2025 tillsynsbegäran.docx", "A 47212-2025")</f>
        <v/>
      </c>
      <c r="Y48">
        <f>HYPERLINK("https://klasma.github.io/Logging_0188/tillsynsmail/A 47212-2025 tillsynsbegäran mail.docx", "A 47212-2025")</f>
        <v/>
      </c>
      <c r="Z48">
        <f>HYPERLINK("https://klasma.github.io/Logging_0188/fåglar/A 47212-2025 prioriterade fågelarter.docx", "A 47212-2025")</f>
        <v/>
      </c>
    </row>
    <row r="49" ht="15" customHeight="1">
      <c r="A49" t="inlineStr">
        <is>
          <t>A 72305-2021</t>
        </is>
      </c>
      <c r="B49" s="1" t="n">
        <v>44545</v>
      </c>
      <c r="C49" s="1" t="n">
        <v>46103</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25687-2025</t>
        </is>
      </c>
      <c r="B50" s="1" t="n">
        <v>45800</v>
      </c>
      <c r="C50" s="1" t="n">
        <v>46103</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34521-2025</t>
        </is>
      </c>
      <c r="B51" s="1" t="n">
        <v>45847.47052083333</v>
      </c>
      <c r="C51" s="1" t="n">
        <v>46103</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24052-2021</t>
        </is>
      </c>
      <c r="B52" s="1" t="n">
        <v>44336</v>
      </c>
      <c r="C52" s="1" t="n">
        <v>46103</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46103</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46103</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46103</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46103</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46103</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14560-2021</t>
        </is>
      </c>
      <c r="B58" s="1" t="n">
        <v>44279</v>
      </c>
      <c r="C58" s="1" t="n">
        <v>46103</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53065-2024</t>
        </is>
      </c>
      <c r="B59" s="1" t="n">
        <v>45611.47233796296</v>
      </c>
      <c r="C59" s="1" t="n">
        <v>46103</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54110-2024</t>
        </is>
      </c>
      <c r="B60" s="1" t="n">
        <v>45616.54866898148</v>
      </c>
      <c r="C60" s="1" t="n">
        <v>46103</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2851-2023</t>
        </is>
      </c>
      <c r="B61" s="1" t="n">
        <v>44945</v>
      </c>
      <c r="C61" s="1" t="n">
        <v>46103</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25270-2025</t>
        </is>
      </c>
      <c r="B62" s="1" t="n">
        <v>45800</v>
      </c>
      <c r="C62" s="1" t="n">
        <v>46103</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52726-2025</t>
        </is>
      </c>
      <c r="B63" s="1" t="n">
        <v>45957.34722222222</v>
      </c>
      <c r="C63" s="1" t="n">
        <v>46103</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27870-2022</t>
        </is>
      </c>
      <c r="B64" s="1" t="n">
        <v>44743.64592592593</v>
      </c>
      <c r="C64" s="1" t="n">
        <v>46103</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29185-2025</t>
        </is>
      </c>
      <c r="B65" s="1" t="n">
        <v>45821</v>
      </c>
      <c r="C65" s="1" t="n">
        <v>46103</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50618-2022</t>
        </is>
      </c>
      <c r="B66" s="1" t="n">
        <v>44866</v>
      </c>
      <c r="C66" s="1" t="n">
        <v>46103</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34524-2025</t>
        </is>
      </c>
      <c r="B67" s="1" t="n">
        <v>45847.47685185185</v>
      </c>
      <c r="C67" s="1" t="n">
        <v>46103</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20185-2022</t>
        </is>
      </c>
      <c r="B68" s="1" t="n">
        <v>44698</v>
      </c>
      <c r="C68" s="1" t="n">
        <v>46103</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52133-2022</t>
        </is>
      </c>
      <c r="B69" s="1" t="n">
        <v>44868</v>
      </c>
      <c r="C69" s="1" t="n">
        <v>46103</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46103</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46103</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46103</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46103</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53608-2025</t>
        </is>
      </c>
      <c r="B74" s="1" t="n">
        <v>45960</v>
      </c>
      <c r="C74" s="1" t="n">
        <v>46103</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11031-2025</t>
        </is>
      </c>
      <c r="B75" s="1" t="n">
        <v>45723</v>
      </c>
      <c r="C75" s="1" t="n">
        <v>46103</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50697-2025</t>
        </is>
      </c>
      <c r="B76" s="1" t="n">
        <v>45945.90854166666</v>
      </c>
      <c r="C76" s="1" t="n">
        <v>46103</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22190-2024</t>
        </is>
      </c>
      <c r="B77" s="1" t="n">
        <v>45446.35888888889</v>
      </c>
      <c r="C77" s="1" t="n">
        <v>46103</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17952-2022</t>
        </is>
      </c>
      <c r="B78" s="1" t="n">
        <v>44683</v>
      </c>
      <c r="C78" s="1" t="n">
        <v>46103</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46103</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33548-2025</t>
        </is>
      </c>
      <c r="B80" s="1" t="n">
        <v>45841.5721875</v>
      </c>
      <c r="C80" s="1" t="n">
        <v>46103</v>
      </c>
      <c r="D80" t="inlineStr">
        <is>
          <t>STOCKHOLMS LÄN</t>
        </is>
      </c>
      <c r="E80" t="inlineStr">
        <is>
          <t>NORRTÄLJE</t>
        </is>
      </c>
      <c r="G80" t="n">
        <v>12.2</v>
      </c>
      <c r="H80" t="n">
        <v>1</v>
      </c>
      <c r="I80" t="n">
        <v>0</v>
      </c>
      <c r="J80" t="n">
        <v>1</v>
      </c>
      <c r="K80" t="n">
        <v>0</v>
      </c>
      <c r="L80" t="n">
        <v>0</v>
      </c>
      <c r="M80" t="n">
        <v>0</v>
      </c>
      <c r="N80" t="n">
        <v>0</v>
      </c>
      <c r="O80" t="n">
        <v>1</v>
      </c>
      <c r="P80" t="n">
        <v>0</v>
      </c>
      <c r="Q80" t="n">
        <v>2</v>
      </c>
      <c r="R80" s="2" t="inlineStr">
        <is>
          <t>Dofttaggsvamp
Sparvuggla</t>
        </is>
      </c>
      <c r="S80">
        <f>HYPERLINK("https://klasma.github.io/Logging_0188/artfynd/A 33548-2025 artfynd.xlsx", "A 33548-2025")</f>
        <v/>
      </c>
      <c r="T80">
        <f>HYPERLINK("https://klasma.github.io/Logging_0188/kartor/A 33548-2025 karta.png", "A 33548-2025")</f>
        <v/>
      </c>
      <c r="V80">
        <f>HYPERLINK("https://klasma.github.io/Logging_0188/klagomål/A 33548-2025 FSC-klagomål.docx", "A 33548-2025")</f>
        <v/>
      </c>
      <c r="W80">
        <f>HYPERLINK("https://klasma.github.io/Logging_0188/klagomålsmail/A 33548-2025 FSC-klagomål mail.docx", "A 33548-2025")</f>
        <v/>
      </c>
      <c r="X80">
        <f>HYPERLINK("https://klasma.github.io/Logging_0188/tillsyn/A 33548-2025 tillsynsbegäran.docx", "A 33548-2025")</f>
        <v/>
      </c>
      <c r="Y80">
        <f>HYPERLINK("https://klasma.github.io/Logging_0188/tillsynsmail/A 33548-2025 tillsynsbegäran mail.docx", "A 33548-2025")</f>
        <v/>
      </c>
      <c r="Z80">
        <f>HYPERLINK("https://klasma.github.io/Logging_0188/fåglar/A 33548-2025 prioriterade fågelarter.docx", "A 33548-2025")</f>
        <v/>
      </c>
    </row>
    <row r="81" ht="15" customHeight="1">
      <c r="A81" t="inlineStr">
        <is>
          <t>A 51220-2023</t>
        </is>
      </c>
      <c r="B81" s="1" t="n">
        <v>45219</v>
      </c>
      <c r="C81" s="1" t="n">
        <v>46103</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46103</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46103</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46103</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46103</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46103</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46103</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46103</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46103</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46103</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11429-2023</t>
        </is>
      </c>
      <c r="B91" s="1" t="n">
        <v>44993</v>
      </c>
      <c r="C91" s="1" t="n">
        <v>46103</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9955-2022</t>
        </is>
      </c>
      <c r="B92" s="1" t="n">
        <v>44620</v>
      </c>
      <c r="C92" s="1" t="n">
        <v>46103</v>
      </c>
      <c r="D92" t="inlineStr">
        <is>
          <t>STOCKHOLMS LÄN</t>
        </is>
      </c>
      <c r="E92" t="inlineStr">
        <is>
          <t>NORRTÄLJE</t>
        </is>
      </c>
      <c r="G92" t="n">
        <v>7.8</v>
      </c>
      <c r="H92" t="n">
        <v>1</v>
      </c>
      <c r="I92" t="n">
        <v>0</v>
      </c>
      <c r="J92" t="n">
        <v>0</v>
      </c>
      <c r="K92" t="n">
        <v>0</v>
      </c>
      <c r="L92" t="n">
        <v>0</v>
      </c>
      <c r="M92" t="n">
        <v>0</v>
      </c>
      <c r="N92" t="n">
        <v>0</v>
      </c>
      <c r="O92" t="n">
        <v>0</v>
      </c>
      <c r="P92" t="n">
        <v>0</v>
      </c>
      <c r="Q92" t="n">
        <v>1</v>
      </c>
      <c r="R92" s="2" t="inlineStr">
        <is>
          <t>Åkergroda</t>
        </is>
      </c>
      <c r="S92">
        <f>HYPERLINK("https://klasma.github.io/Logging_0188/artfynd/A 9955-2022 artfynd.xlsx", "A 9955-2022")</f>
        <v/>
      </c>
      <c r="T92">
        <f>HYPERLINK("https://klasma.github.io/Logging_0188/kartor/A 9955-2022 karta.png", "A 9955-2022")</f>
        <v/>
      </c>
      <c r="V92">
        <f>HYPERLINK("https://klasma.github.io/Logging_0188/klagomål/A 9955-2022 FSC-klagomål.docx", "A 9955-2022")</f>
        <v/>
      </c>
      <c r="W92">
        <f>HYPERLINK("https://klasma.github.io/Logging_0188/klagomålsmail/A 9955-2022 FSC-klagomål mail.docx", "A 9955-2022")</f>
        <v/>
      </c>
      <c r="X92">
        <f>HYPERLINK("https://klasma.github.io/Logging_0188/tillsyn/A 9955-2022 tillsynsbegäran.docx", "A 9955-2022")</f>
        <v/>
      </c>
      <c r="Y92">
        <f>HYPERLINK("https://klasma.github.io/Logging_0188/tillsynsmail/A 9955-2022 tillsynsbegäran mail.docx", "A 9955-2022")</f>
        <v/>
      </c>
    </row>
    <row r="93" ht="15" customHeight="1">
      <c r="A93" t="inlineStr">
        <is>
          <t>A 4595-2023</t>
        </is>
      </c>
      <c r="B93" s="1" t="n">
        <v>44956</v>
      </c>
      <c r="C93" s="1" t="n">
        <v>46103</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59682-2025</t>
        </is>
      </c>
      <c r="B94" s="1" t="n">
        <v>45992.47116898148</v>
      </c>
      <c r="C94" s="1" t="n">
        <v>46103</v>
      </c>
      <c r="D94" t="inlineStr">
        <is>
          <t>STOCKHOLMS LÄN</t>
        </is>
      </c>
      <c r="E94" t="inlineStr">
        <is>
          <t>NORRTÄLJE</t>
        </is>
      </c>
      <c r="G94" t="n">
        <v>1.6</v>
      </c>
      <c r="H94" t="n">
        <v>0</v>
      </c>
      <c r="I94" t="n">
        <v>1</v>
      </c>
      <c r="J94" t="n">
        <v>0</v>
      </c>
      <c r="K94" t="n">
        <v>0</v>
      </c>
      <c r="L94" t="n">
        <v>0</v>
      </c>
      <c r="M94" t="n">
        <v>0</v>
      </c>
      <c r="N94" t="n">
        <v>0</v>
      </c>
      <c r="O94" t="n">
        <v>0</v>
      </c>
      <c r="P94" t="n">
        <v>0</v>
      </c>
      <c r="Q94" t="n">
        <v>1</v>
      </c>
      <c r="R94" s="2" t="inlineStr">
        <is>
          <t>Grönpyrola</t>
        </is>
      </c>
      <c r="S94">
        <f>HYPERLINK("https://klasma.github.io/Logging_0188/artfynd/A 59682-2025 artfynd.xlsx", "A 59682-2025")</f>
        <v/>
      </c>
      <c r="T94">
        <f>HYPERLINK("https://klasma.github.io/Logging_0188/kartor/A 59682-2025 karta.png", "A 59682-2025")</f>
        <v/>
      </c>
      <c r="V94">
        <f>HYPERLINK("https://klasma.github.io/Logging_0188/klagomål/A 59682-2025 FSC-klagomål.docx", "A 59682-2025")</f>
        <v/>
      </c>
      <c r="W94">
        <f>HYPERLINK("https://klasma.github.io/Logging_0188/klagomålsmail/A 59682-2025 FSC-klagomål mail.docx", "A 59682-2025")</f>
        <v/>
      </c>
      <c r="X94">
        <f>HYPERLINK("https://klasma.github.io/Logging_0188/tillsyn/A 59682-2025 tillsynsbegäran.docx", "A 59682-2025")</f>
        <v/>
      </c>
      <c r="Y94">
        <f>HYPERLINK("https://klasma.github.io/Logging_0188/tillsynsmail/A 59682-2025 tillsynsbegäran mail.docx", "A 59682-2025")</f>
        <v/>
      </c>
    </row>
    <row r="95" ht="15" customHeight="1">
      <c r="A95" t="inlineStr">
        <is>
          <t>A 40861-2025</t>
        </is>
      </c>
      <c r="B95" s="1" t="n">
        <v>45897.56356481482</v>
      </c>
      <c r="C95" s="1" t="n">
        <v>46103</v>
      </c>
      <c r="D95" t="inlineStr">
        <is>
          <t>STOCKHOLMS LÄN</t>
        </is>
      </c>
      <c r="E95" t="inlineStr">
        <is>
          <t>NORRTÄLJE</t>
        </is>
      </c>
      <c r="G95" t="n">
        <v>4</v>
      </c>
      <c r="H95" t="n">
        <v>0</v>
      </c>
      <c r="I95" t="n">
        <v>0</v>
      </c>
      <c r="J95" t="n">
        <v>1</v>
      </c>
      <c r="K95" t="n">
        <v>0</v>
      </c>
      <c r="L95" t="n">
        <v>0</v>
      </c>
      <c r="M95" t="n">
        <v>0</v>
      </c>
      <c r="N95" t="n">
        <v>0</v>
      </c>
      <c r="O95" t="n">
        <v>1</v>
      </c>
      <c r="P95" t="n">
        <v>0</v>
      </c>
      <c r="Q95" t="n">
        <v>1</v>
      </c>
      <c r="R95" s="2" t="inlineStr">
        <is>
          <t>Skogsklocka</t>
        </is>
      </c>
      <c r="S95">
        <f>HYPERLINK("https://klasma.github.io/Logging_0188/artfynd/A 40861-2025 artfynd.xlsx", "A 40861-2025")</f>
        <v/>
      </c>
      <c r="T95">
        <f>HYPERLINK("https://klasma.github.io/Logging_0188/kartor/A 40861-2025 karta.png", "A 40861-2025")</f>
        <v/>
      </c>
      <c r="V95">
        <f>HYPERLINK("https://klasma.github.io/Logging_0188/klagomål/A 40861-2025 FSC-klagomål.docx", "A 40861-2025")</f>
        <v/>
      </c>
      <c r="W95">
        <f>HYPERLINK("https://klasma.github.io/Logging_0188/klagomålsmail/A 40861-2025 FSC-klagomål mail.docx", "A 40861-2025")</f>
        <v/>
      </c>
      <c r="X95">
        <f>HYPERLINK("https://klasma.github.io/Logging_0188/tillsyn/A 40861-2025 tillsynsbegäran.docx", "A 40861-2025")</f>
        <v/>
      </c>
      <c r="Y95">
        <f>HYPERLINK("https://klasma.github.io/Logging_0188/tillsynsmail/A 40861-2025 tillsynsbegäran mail.docx", "A 40861-2025")</f>
        <v/>
      </c>
    </row>
    <row r="96" ht="15" customHeight="1">
      <c r="A96" t="inlineStr">
        <is>
          <t>A 13271-2025</t>
        </is>
      </c>
      <c r="B96" s="1" t="n">
        <v>45735.54510416667</v>
      </c>
      <c r="C96" s="1" t="n">
        <v>46103</v>
      </c>
      <c r="D96" t="inlineStr">
        <is>
          <t>STOCKHOLMS LÄN</t>
        </is>
      </c>
      <c r="E96" t="inlineStr">
        <is>
          <t>NORRTÄLJE</t>
        </is>
      </c>
      <c r="G96" t="n">
        <v>7.2</v>
      </c>
      <c r="H96" t="n">
        <v>1</v>
      </c>
      <c r="I96" t="n">
        <v>0</v>
      </c>
      <c r="J96" t="n">
        <v>0</v>
      </c>
      <c r="K96" t="n">
        <v>0</v>
      </c>
      <c r="L96" t="n">
        <v>1</v>
      </c>
      <c r="M96" t="n">
        <v>0</v>
      </c>
      <c r="N96" t="n">
        <v>0</v>
      </c>
      <c r="O96" t="n">
        <v>1</v>
      </c>
      <c r="P96" t="n">
        <v>1</v>
      </c>
      <c r="Q96" t="n">
        <v>1</v>
      </c>
      <c r="R96" s="2" t="inlineStr">
        <is>
          <t>Asknätfjäril</t>
        </is>
      </c>
      <c r="S96">
        <f>HYPERLINK("https://klasma.github.io/Logging_0188/artfynd/A 13271-2025 artfynd.xlsx", "A 13271-2025")</f>
        <v/>
      </c>
      <c r="T96">
        <f>HYPERLINK("https://klasma.github.io/Logging_0188/kartor/A 13271-2025 karta.png", "A 13271-2025")</f>
        <v/>
      </c>
      <c r="V96">
        <f>HYPERLINK("https://klasma.github.io/Logging_0188/klagomål/A 13271-2025 FSC-klagomål.docx", "A 13271-2025")</f>
        <v/>
      </c>
      <c r="W96">
        <f>HYPERLINK("https://klasma.github.io/Logging_0188/klagomålsmail/A 13271-2025 FSC-klagomål mail.docx", "A 13271-2025")</f>
        <v/>
      </c>
      <c r="X96">
        <f>HYPERLINK("https://klasma.github.io/Logging_0188/tillsyn/A 13271-2025 tillsynsbegäran.docx", "A 13271-2025")</f>
        <v/>
      </c>
      <c r="Y96">
        <f>HYPERLINK("https://klasma.github.io/Logging_0188/tillsynsmail/A 13271-2025 tillsynsbegäran mail.docx", "A 13271-2025")</f>
        <v/>
      </c>
    </row>
    <row r="97" ht="15" customHeight="1">
      <c r="A97" t="inlineStr">
        <is>
          <t>A 24535-2023</t>
        </is>
      </c>
      <c r="B97" s="1" t="n">
        <v>45082</v>
      </c>
      <c r="C97" s="1" t="n">
        <v>46103</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42313-2025</t>
        </is>
      </c>
      <c r="B98" s="1" t="n">
        <v>45904.6575</v>
      </c>
      <c r="C98" s="1" t="n">
        <v>46103</v>
      </c>
      <c r="D98" t="inlineStr">
        <is>
          <t>STOCKHOLMS LÄN</t>
        </is>
      </c>
      <c r="E98" t="inlineStr">
        <is>
          <t>NORRTÄLJE</t>
        </is>
      </c>
      <c r="G98" t="n">
        <v>1.7</v>
      </c>
      <c r="H98" t="n">
        <v>1</v>
      </c>
      <c r="I98" t="n">
        <v>0</v>
      </c>
      <c r="J98" t="n">
        <v>0</v>
      </c>
      <c r="K98" t="n">
        <v>0</v>
      </c>
      <c r="L98" t="n">
        <v>0</v>
      </c>
      <c r="M98" t="n">
        <v>0</v>
      </c>
      <c r="N98" t="n">
        <v>0</v>
      </c>
      <c r="O98" t="n">
        <v>0</v>
      </c>
      <c r="P98" t="n">
        <v>0</v>
      </c>
      <c r="Q98" t="n">
        <v>1</v>
      </c>
      <c r="R98" s="2" t="inlineStr">
        <is>
          <t>Vanlig padda</t>
        </is>
      </c>
      <c r="S98">
        <f>HYPERLINK("https://klasma.github.io/Logging_0188/artfynd/A 42313-2025 artfynd.xlsx", "A 42313-2025")</f>
        <v/>
      </c>
      <c r="T98">
        <f>HYPERLINK("https://klasma.github.io/Logging_0188/kartor/A 42313-2025 karta.png", "A 42313-2025")</f>
        <v/>
      </c>
      <c r="V98">
        <f>HYPERLINK("https://klasma.github.io/Logging_0188/klagomål/A 42313-2025 FSC-klagomål.docx", "A 42313-2025")</f>
        <v/>
      </c>
      <c r="W98">
        <f>HYPERLINK("https://klasma.github.io/Logging_0188/klagomålsmail/A 42313-2025 FSC-klagomål mail.docx", "A 42313-2025")</f>
        <v/>
      </c>
      <c r="X98">
        <f>HYPERLINK("https://klasma.github.io/Logging_0188/tillsyn/A 42313-2025 tillsynsbegäran.docx", "A 42313-2025")</f>
        <v/>
      </c>
      <c r="Y98">
        <f>HYPERLINK("https://klasma.github.io/Logging_0188/tillsynsmail/A 42313-2025 tillsynsbegäran mail.docx", "A 42313-2025")</f>
        <v/>
      </c>
    </row>
    <row r="99" ht="15" customHeight="1">
      <c r="A99" t="inlineStr">
        <is>
          <t>A 4532-2025</t>
        </is>
      </c>
      <c r="B99" s="1" t="n">
        <v>45687.34177083334</v>
      </c>
      <c r="C99" s="1" t="n">
        <v>46103</v>
      </c>
      <c r="D99" t="inlineStr">
        <is>
          <t>STOCKHOLMS LÄN</t>
        </is>
      </c>
      <c r="E99" t="inlineStr">
        <is>
          <t>NORRTÄLJE</t>
        </is>
      </c>
      <c r="F99" t="inlineStr">
        <is>
          <t>Holmen skog AB</t>
        </is>
      </c>
      <c r="G99" t="n">
        <v>6.4</v>
      </c>
      <c r="H99" t="n">
        <v>1</v>
      </c>
      <c r="I99" t="n">
        <v>0</v>
      </c>
      <c r="J99" t="n">
        <v>0</v>
      </c>
      <c r="K99" t="n">
        <v>0</v>
      </c>
      <c r="L99" t="n">
        <v>1</v>
      </c>
      <c r="M99" t="n">
        <v>0</v>
      </c>
      <c r="N99" t="n">
        <v>0</v>
      </c>
      <c r="O99" t="n">
        <v>1</v>
      </c>
      <c r="P99" t="n">
        <v>1</v>
      </c>
      <c r="Q99" t="n">
        <v>1</v>
      </c>
      <c r="R99" s="2" t="inlineStr">
        <is>
          <t>Asknätfjäril</t>
        </is>
      </c>
      <c r="S99">
        <f>HYPERLINK("https://klasma.github.io/Logging_0188/artfynd/A 4532-2025 artfynd.xlsx", "A 4532-2025")</f>
        <v/>
      </c>
      <c r="T99">
        <f>HYPERLINK("https://klasma.github.io/Logging_0188/kartor/A 4532-2025 karta.png", "A 4532-2025")</f>
        <v/>
      </c>
      <c r="V99">
        <f>HYPERLINK("https://klasma.github.io/Logging_0188/klagomål/A 4532-2025 FSC-klagomål.docx", "A 4532-2025")</f>
        <v/>
      </c>
      <c r="W99">
        <f>HYPERLINK("https://klasma.github.io/Logging_0188/klagomålsmail/A 4532-2025 FSC-klagomål mail.docx", "A 4532-2025")</f>
        <v/>
      </c>
      <c r="X99">
        <f>HYPERLINK("https://klasma.github.io/Logging_0188/tillsyn/A 4532-2025 tillsynsbegäran.docx", "A 4532-2025")</f>
        <v/>
      </c>
      <c r="Y99">
        <f>HYPERLINK("https://klasma.github.io/Logging_0188/tillsynsmail/A 4532-2025 tillsynsbegäran mail.docx", "A 4532-2025")</f>
        <v/>
      </c>
    </row>
    <row r="100" ht="15" customHeight="1">
      <c r="A100" t="inlineStr">
        <is>
          <t>A 35691-2023</t>
        </is>
      </c>
      <c r="B100" s="1" t="n">
        <v>45147.65222222222</v>
      </c>
      <c r="C100" s="1" t="n">
        <v>46103</v>
      </c>
      <c r="D100" t="inlineStr">
        <is>
          <t>STOCKHOLMS LÄN</t>
        </is>
      </c>
      <c r="E100" t="inlineStr">
        <is>
          <t>NORRTÄLJE</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HYPERLINK("https://klasma.github.io/Logging_0188/artfynd/A 35691-2023 artfynd.xlsx", "A 35691-2023")</f>
        <v/>
      </c>
      <c r="T100">
        <f>HYPERLINK("https://klasma.github.io/Logging_0188/kartor/A 35691-2023 karta.png", "A 35691-2023")</f>
        <v/>
      </c>
      <c r="V100">
        <f>HYPERLINK("https://klasma.github.io/Logging_0188/klagomål/A 35691-2023 FSC-klagomål.docx", "A 35691-2023")</f>
        <v/>
      </c>
      <c r="W100">
        <f>HYPERLINK("https://klasma.github.io/Logging_0188/klagomålsmail/A 35691-2023 FSC-klagomål mail.docx", "A 35691-2023")</f>
        <v/>
      </c>
      <c r="X100">
        <f>HYPERLINK("https://klasma.github.io/Logging_0188/tillsyn/A 35691-2023 tillsynsbegäran.docx", "A 35691-2023")</f>
        <v/>
      </c>
      <c r="Y100">
        <f>HYPERLINK("https://klasma.github.io/Logging_0188/tillsynsmail/A 35691-2023 tillsynsbegäran mail.docx", "A 35691-2023")</f>
        <v/>
      </c>
      <c r="Z100">
        <f>HYPERLINK("https://klasma.github.io/Logging_0188/fåglar/A 35691-2023 prioriterade fågelarter.docx", "A 35691-2023")</f>
        <v/>
      </c>
    </row>
    <row r="101" ht="15" customHeight="1">
      <c r="A101" t="inlineStr">
        <is>
          <t>A 35693-2023</t>
        </is>
      </c>
      <c r="B101" s="1" t="n">
        <v>45147.65311342593</v>
      </c>
      <c r="C101" s="1" t="n">
        <v>46103</v>
      </c>
      <c r="D101" t="inlineStr">
        <is>
          <t>STOCKHOLMS LÄN</t>
        </is>
      </c>
      <c r="E101" t="inlineStr">
        <is>
          <t>NORRTÄLJE</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HYPERLINK("https://klasma.github.io/Logging_0188/artfynd/A 35693-2023 artfynd.xlsx", "A 35693-2023")</f>
        <v/>
      </c>
      <c r="T101">
        <f>HYPERLINK("https://klasma.github.io/Logging_0188/kartor/A 35693-2023 karta.png", "A 35693-2023")</f>
        <v/>
      </c>
      <c r="V101">
        <f>HYPERLINK("https://klasma.github.io/Logging_0188/klagomål/A 35693-2023 FSC-klagomål.docx", "A 35693-2023")</f>
        <v/>
      </c>
      <c r="W101">
        <f>HYPERLINK("https://klasma.github.io/Logging_0188/klagomålsmail/A 35693-2023 FSC-klagomål mail.docx", "A 35693-2023")</f>
        <v/>
      </c>
      <c r="X101">
        <f>HYPERLINK("https://klasma.github.io/Logging_0188/tillsyn/A 35693-2023 tillsynsbegäran.docx", "A 35693-2023")</f>
        <v/>
      </c>
      <c r="Y101">
        <f>HYPERLINK("https://klasma.github.io/Logging_0188/tillsynsmail/A 35693-2023 tillsynsbegäran mail.docx", "A 35693-2023")</f>
        <v/>
      </c>
    </row>
    <row r="102" ht="15" customHeight="1">
      <c r="A102" t="inlineStr">
        <is>
          <t>A 62715-2025</t>
        </is>
      </c>
      <c r="B102" s="1" t="n">
        <v>46008.52034722222</v>
      </c>
      <c r="C102" s="1" t="n">
        <v>46103</v>
      </c>
      <c r="D102" t="inlineStr">
        <is>
          <t>STOCKHOLMS LÄN</t>
        </is>
      </c>
      <c r="E102" t="inlineStr">
        <is>
          <t>NORRTÄLJE</t>
        </is>
      </c>
      <c r="G102" t="n">
        <v>0.8</v>
      </c>
      <c r="H102" t="n">
        <v>0</v>
      </c>
      <c r="I102" t="n">
        <v>1</v>
      </c>
      <c r="J102" t="n">
        <v>0</v>
      </c>
      <c r="K102" t="n">
        <v>0</v>
      </c>
      <c r="L102" t="n">
        <v>0</v>
      </c>
      <c r="M102" t="n">
        <v>0</v>
      </c>
      <c r="N102" t="n">
        <v>0</v>
      </c>
      <c r="O102" t="n">
        <v>0</v>
      </c>
      <c r="P102" t="n">
        <v>0</v>
      </c>
      <c r="Q102" t="n">
        <v>1</v>
      </c>
      <c r="R102" s="2" t="inlineStr">
        <is>
          <t>Granbarkgnagare</t>
        </is>
      </c>
      <c r="S102">
        <f>HYPERLINK("https://klasma.github.io/Logging_0188/artfynd/A 62715-2025 artfynd.xlsx", "A 62715-2025")</f>
        <v/>
      </c>
      <c r="T102">
        <f>HYPERLINK("https://klasma.github.io/Logging_0188/kartor/A 62715-2025 karta.png", "A 62715-2025")</f>
        <v/>
      </c>
      <c r="V102">
        <f>HYPERLINK("https://klasma.github.io/Logging_0188/klagomål/A 62715-2025 FSC-klagomål.docx", "A 62715-2025")</f>
        <v/>
      </c>
      <c r="W102">
        <f>HYPERLINK("https://klasma.github.io/Logging_0188/klagomålsmail/A 62715-2025 FSC-klagomål mail.docx", "A 62715-2025")</f>
        <v/>
      </c>
      <c r="X102">
        <f>HYPERLINK("https://klasma.github.io/Logging_0188/tillsyn/A 62715-2025 tillsynsbegäran.docx", "A 62715-2025")</f>
        <v/>
      </c>
      <c r="Y102">
        <f>HYPERLINK("https://klasma.github.io/Logging_0188/tillsynsmail/A 62715-2025 tillsynsbegäran mail.docx", "A 62715-2025")</f>
        <v/>
      </c>
    </row>
    <row r="103" ht="15" customHeight="1">
      <c r="A103" t="inlineStr">
        <is>
          <t>A 23905-2025</t>
        </is>
      </c>
      <c r="B103" s="1" t="n">
        <v>45794.63298611111</v>
      </c>
      <c r="C103" s="1" t="n">
        <v>46103</v>
      </c>
      <c r="D103" t="inlineStr">
        <is>
          <t>STOCKHOLMS LÄN</t>
        </is>
      </c>
      <c r="E103" t="inlineStr">
        <is>
          <t>NORRTÄLJE</t>
        </is>
      </c>
      <c r="G103" t="n">
        <v>8.4</v>
      </c>
      <c r="H103" t="n">
        <v>1</v>
      </c>
      <c r="I103" t="n">
        <v>0</v>
      </c>
      <c r="J103" t="n">
        <v>0</v>
      </c>
      <c r="K103" t="n">
        <v>0</v>
      </c>
      <c r="L103" t="n">
        <v>0</v>
      </c>
      <c r="M103" t="n">
        <v>0</v>
      </c>
      <c r="N103" t="n">
        <v>0</v>
      </c>
      <c r="O103" t="n">
        <v>0</v>
      </c>
      <c r="P103" t="n">
        <v>0</v>
      </c>
      <c r="Q103" t="n">
        <v>1</v>
      </c>
      <c r="R103" s="2" t="inlineStr">
        <is>
          <t>Blåsippa</t>
        </is>
      </c>
      <c r="S103">
        <f>HYPERLINK("https://klasma.github.io/Logging_0188/artfynd/A 23905-2025 artfynd.xlsx", "A 23905-2025")</f>
        <v/>
      </c>
      <c r="T103">
        <f>HYPERLINK("https://klasma.github.io/Logging_0188/kartor/A 23905-2025 karta.png", "A 23905-2025")</f>
        <v/>
      </c>
      <c r="V103">
        <f>HYPERLINK("https://klasma.github.io/Logging_0188/klagomål/A 23905-2025 FSC-klagomål.docx", "A 23905-2025")</f>
        <v/>
      </c>
      <c r="W103">
        <f>HYPERLINK("https://klasma.github.io/Logging_0188/klagomålsmail/A 23905-2025 FSC-klagomål mail.docx", "A 23905-2025")</f>
        <v/>
      </c>
      <c r="X103">
        <f>HYPERLINK("https://klasma.github.io/Logging_0188/tillsyn/A 23905-2025 tillsynsbegäran.docx", "A 23905-2025")</f>
        <v/>
      </c>
      <c r="Y103">
        <f>HYPERLINK("https://klasma.github.io/Logging_0188/tillsynsmail/A 23905-2025 tillsynsbegäran mail.docx", "A 23905-2025")</f>
        <v/>
      </c>
    </row>
    <row r="104" ht="15" customHeight="1">
      <c r="A104" t="inlineStr">
        <is>
          <t>A 63292-2025</t>
        </is>
      </c>
      <c r="B104" s="1" t="n">
        <v>46010.59232638889</v>
      </c>
      <c r="C104" s="1" t="n">
        <v>46103</v>
      </c>
      <c r="D104" t="inlineStr">
        <is>
          <t>STOCKHOLMS LÄN</t>
        </is>
      </c>
      <c r="E104" t="inlineStr">
        <is>
          <t>NORRTÄLJE</t>
        </is>
      </c>
      <c r="G104" t="n">
        <v>11.1</v>
      </c>
      <c r="H104" t="n">
        <v>1</v>
      </c>
      <c r="I104" t="n">
        <v>1</v>
      </c>
      <c r="J104" t="n">
        <v>0</v>
      </c>
      <c r="K104" t="n">
        <v>0</v>
      </c>
      <c r="L104" t="n">
        <v>0</v>
      </c>
      <c r="M104" t="n">
        <v>0</v>
      </c>
      <c r="N104" t="n">
        <v>0</v>
      </c>
      <c r="O104" t="n">
        <v>0</v>
      </c>
      <c r="P104" t="n">
        <v>0</v>
      </c>
      <c r="Q104" t="n">
        <v>1</v>
      </c>
      <c r="R104" s="2" t="inlineStr">
        <is>
          <t>Nästrot</t>
        </is>
      </c>
      <c r="S104">
        <f>HYPERLINK("https://klasma.github.io/Logging_0188/artfynd/A 63292-2025 artfynd.xlsx", "A 63292-2025")</f>
        <v/>
      </c>
      <c r="T104">
        <f>HYPERLINK("https://klasma.github.io/Logging_0188/kartor/A 63292-2025 karta.png", "A 63292-2025")</f>
        <v/>
      </c>
      <c r="V104">
        <f>HYPERLINK("https://klasma.github.io/Logging_0188/klagomål/A 63292-2025 FSC-klagomål.docx", "A 63292-2025")</f>
        <v/>
      </c>
      <c r="W104">
        <f>HYPERLINK("https://klasma.github.io/Logging_0188/klagomålsmail/A 63292-2025 FSC-klagomål mail.docx", "A 63292-2025")</f>
        <v/>
      </c>
      <c r="X104">
        <f>HYPERLINK("https://klasma.github.io/Logging_0188/tillsyn/A 63292-2025 tillsynsbegäran.docx", "A 63292-2025")</f>
        <v/>
      </c>
      <c r="Y104">
        <f>HYPERLINK("https://klasma.github.io/Logging_0188/tillsynsmail/A 63292-2025 tillsynsbegäran mail.docx", "A 63292-2025")</f>
        <v/>
      </c>
    </row>
    <row r="105" ht="15" customHeight="1">
      <c r="A105" t="inlineStr">
        <is>
          <t>A 7734-2026</t>
        </is>
      </c>
      <c r="B105" s="1" t="n">
        <v>46062.52902777777</v>
      </c>
      <c r="C105" s="1" t="n">
        <v>46103</v>
      </c>
      <c r="D105" t="inlineStr">
        <is>
          <t>STOCKHOLMS LÄN</t>
        </is>
      </c>
      <c r="E105" t="inlineStr">
        <is>
          <t>NORRTÄLJE</t>
        </is>
      </c>
      <c r="G105" t="n">
        <v>6.6</v>
      </c>
      <c r="H105" t="n">
        <v>0</v>
      </c>
      <c r="I105" t="n">
        <v>1</v>
      </c>
      <c r="J105" t="n">
        <v>0</v>
      </c>
      <c r="K105" t="n">
        <v>0</v>
      </c>
      <c r="L105" t="n">
        <v>0</v>
      </c>
      <c r="M105" t="n">
        <v>0</v>
      </c>
      <c r="N105" t="n">
        <v>0</v>
      </c>
      <c r="O105" t="n">
        <v>0</v>
      </c>
      <c r="P105" t="n">
        <v>0</v>
      </c>
      <c r="Q105" t="n">
        <v>1</v>
      </c>
      <c r="R105" s="2" t="inlineStr">
        <is>
          <t>Kastanjefjällskivling</t>
        </is>
      </c>
      <c r="S105">
        <f>HYPERLINK("https://klasma.github.io/Logging_0188/artfynd/A 7734-2026 artfynd.xlsx", "A 7734-2026")</f>
        <v/>
      </c>
      <c r="T105">
        <f>HYPERLINK("https://klasma.github.io/Logging_0188/kartor/A 7734-2026 karta.png", "A 7734-2026")</f>
        <v/>
      </c>
      <c r="V105">
        <f>HYPERLINK("https://klasma.github.io/Logging_0188/klagomål/A 7734-2026 FSC-klagomål.docx", "A 7734-2026")</f>
        <v/>
      </c>
      <c r="W105">
        <f>HYPERLINK("https://klasma.github.io/Logging_0188/klagomålsmail/A 7734-2026 FSC-klagomål mail.docx", "A 7734-2026")</f>
        <v/>
      </c>
      <c r="X105">
        <f>HYPERLINK("https://klasma.github.io/Logging_0188/tillsyn/A 7734-2026 tillsynsbegäran.docx", "A 7734-2026")</f>
        <v/>
      </c>
      <c r="Y105">
        <f>HYPERLINK("https://klasma.github.io/Logging_0188/tillsynsmail/A 7734-2026 tillsynsbegäran mail.docx", "A 7734-2026")</f>
        <v/>
      </c>
    </row>
    <row r="106" ht="15" customHeight="1">
      <c r="A106" t="inlineStr">
        <is>
          <t>A 50854-2022</t>
        </is>
      </c>
      <c r="B106" s="1" t="n">
        <v>44863</v>
      </c>
      <c r="C106" s="1" t="n">
        <v>46103</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364-2026</t>
        </is>
      </c>
      <c r="B107" s="1" t="n">
        <v>46027.67134259259</v>
      </c>
      <c r="C107" s="1" t="n">
        <v>46103</v>
      </c>
      <c r="D107" t="inlineStr">
        <is>
          <t>STOCKHOLMS LÄN</t>
        </is>
      </c>
      <c r="E107" t="inlineStr">
        <is>
          <t>NORRTÄLJE</t>
        </is>
      </c>
      <c r="F107" t="inlineStr">
        <is>
          <t>Holmen skog AB</t>
        </is>
      </c>
      <c r="G107" t="n">
        <v>4.3</v>
      </c>
      <c r="H107" t="n">
        <v>1</v>
      </c>
      <c r="I107" t="n">
        <v>0</v>
      </c>
      <c r="J107" t="n">
        <v>0</v>
      </c>
      <c r="K107" t="n">
        <v>0</v>
      </c>
      <c r="L107" t="n">
        <v>1</v>
      </c>
      <c r="M107" t="n">
        <v>0</v>
      </c>
      <c r="N107" t="n">
        <v>0</v>
      </c>
      <c r="O107" t="n">
        <v>1</v>
      </c>
      <c r="P107" t="n">
        <v>1</v>
      </c>
      <c r="Q107" t="n">
        <v>1</v>
      </c>
      <c r="R107" s="2" t="inlineStr">
        <is>
          <t>Asknätfjäril</t>
        </is>
      </c>
      <c r="S107">
        <f>HYPERLINK("https://klasma.github.io/Logging_0188/artfynd/A 364-2026 artfynd.xlsx", "A 364-2026")</f>
        <v/>
      </c>
      <c r="T107">
        <f>HYPERLINK("https://klasma.github.io/Logging_0188/kartor/A 364-2026 karta.png", "A 364-2026")</f>
        <v/>
      </c>
      <c r="V107">
        <f>HYPERLINK("https://klasma.github.io/Logging_0188/klagomål/A 364-2026 FSC-klagomål.docx", "A 364-2026")</f>
        <v/>
      </c>
      <c r="W107">
        <f>HYPERLINK("https://klasma.github.io/Logging_0188/klagomålsmail/A 364-2026 FSC-klagomål mail.docx", "A 364-2026")</f>
        <v/>
      </c>
      <c r="X107">
        <f>HYPERLINK("https://klasma.github.io/Logging_0188/tillsyn/A 364-2026 tillsynsbegäran.docx", "A 364-2026")</f>
        <v/>
      </c>
      <c r="Y107">
        <f>HYPERLINK("https://klasma.github.io/Logging_0188/tillsynsmail/A 364-2026 tillsynsbegäran mail.docx", "A 364-2026")</f>
        <v/>
      </c>
    </row>
    <row r="108" ht="15" customHeight="1">
      <c r="A108" t="inlineStr">
        <is>
          <t>A 39158-2025</t>
        </is>
      </c>
      <c r="B108" s="1" t="n">
        <v>45888</v>
      </c>
      <c r="C108" s="1" t="n">
        <v>46103</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25669-2025</t>
        </is>
      </c>
      <c r="B109" s="1" t="n">
        <v>45803.62766203703</v>
      </c>
      <c r="C109" s="1" t="n">
        <v>46103</v>
      </c>
      <c r="D109" t="inlineStr">
        <is>
          <t>STOCKHOLMS LÄN</t>
        </is>
      </c>
      <c r="E109" t="inlineStr">
        <is>
          <t>NORRTÄLJE</t>
        </is>
      </c>
      <c r="F109" t="inlineStr">
        <is>
          <t>Holmen skog AB</t>
        </is>
      </c>
      <c r="G109" t="n">
        <v>3.1</v>
      </c>
      <c r="H109" t="n">
        <v>1</v>
      </c>
      <c r="I109" t="n">
        <v>0</v>
      </c>
      <c r="J109" t="n">
        <v>0</v>
      </c>
      <c r="K109" t="n">
        <v>0</v>
      </c>
      <c r="L109" t="n">
        <v>0</v>
      </c>
      <c r="M109" t="n">
        <v>0</v>
      </c>
      <c r="N109" t="n">
        <v>0</v>
      </c>
      <c r="O109" t="n">
        <v>0</v>
      </c>
      <c r="P109" t="n">
        <v>0</v>
      </c>
      <c r="Q109" t="n">
        <v>1</v>
      </c>
      <c r="R109" s="2" t="inlineStr">
        <is>
          <t>Tjäder</t>
        </is>
      </c>
      <c r="S109">
        <f>HYPERLINK("https://klasma.github.io/Logging_0188/artfynd/A 25669-2025 artfynd.xlsx", "A 25669-2025")</f>
        <v/>
      </c>
      <c r="T109">
        <f>HYPERLINK("https://klasma.github.io/Logging_0188/kartor/A 25669-2025 karta.png", "A 25669-2025")</f>
        <v/>
      </c>
      <c r="V109">
        <f>HYPERLINK("https://klasma.github.io/Logging_0188/klagomål/A 25669-2025 FSC-klagomål.docx", "A 25669-2025")</f>
        <v/>
      </c>
      <c r="W109">
        <f>HYPERLINK("https://klasma.github.io/Logging_0188/klagomålsmail/A 25669-2025 FSC-klagomål mail.docx", "A 25669-2025")</f>
        <v/>
      </c>
      <c r="X109">
        <f>HYPERLINK("https://klasma.github.io/Logging_0188/tillsyn/A 25669-2025 tillsynsbegäran.docx", "A 25669-2025")</f>
        <v/>
      </c>
      <c r="Y109">
        <f>HYPERLINK("https://klasma.github.io/Logging_0188/tillsynsmail/A 25669-2025 tillsynsbegäran mail.docx", "A 25669-2025")</f>
        <v/>
      </c>
      <c r="Z109">
        <f>HYPERLINK("https://klasma.github.io/Logging_0188/fåglar/A 25669-2025 prioriterade fågelarter.docx", "A 25669-2025")</f>
        <v/>
      </c>
    </row>
    <row r="110" ht="15" customHeight="1">
      <c r="A110" t="inlineStr">
        <is>
          <t>A 35764-2024</t>
        </is>
      </c>
      <c r="B110" s="1" t="n">
        <v>45532</v>
      </c>
      <c r="C110" s="1" t="n">
        <v>46103</v>
      </c>
      <c r="D110" t="inlineStr">
        <is>
          <t>STOCKHOLMS LÄN</t>
        </is>
      </c>
      <c r="E110" t="inlineStr">
        <is>
          <t>NORRTÄLJE</t>
        </is>
      </c>
      <c r="G110" t="n">
        <v>14.2</v>
      </c>
      <c r="H110" t="n">
        <v>1</v>
      </c>
      <c r="I110" t="n">
        <v>0</v>
      </c>
      <c r="J110" t="n">
        <v>0</v>
      </c>
      <c r="K110" t="n">
        <v>1</v>
      </c>
      <c r="L110" t="n">
        <v>0</v>
      </c>
      <c r="M110" t="n">
        <v>0</v>
      </c>
      <c r="N110" t="n">
        <v>0</v>
      </c>
      <c r="O110" t="n">
        <v>1</v>
      </c>
      <c r="P110" t="n">
        <v>1</v>
      </c>
      <c r="Q110" t="n">
        <v>1</v>
      </c>
      <c r="R110" s="2" t="inlineStr">
        <is>
          <t>Knärot</t>
        </is>
      </c>
      <c r="S110">
        <f>HYPERLINK("https://klasma.github.io/Logging_0188/artfynd/A 35764-2024 artfynd.xlsx", "A 35764-2024")</f>
        <v/>
      </c>
      <c r="T110">
        <f>HYPERLINK("https://klasma.github.io/Logging_0188/kartor/A 35764-2024 karta.png", "A 35764-2024")</f>
        <v/>
      </c>
      <c r="U110">
        <f>HYPERLINK("https://klasma.github.io/Logging_0188/knärot/A 35764-2024 karta knärot.png", "A 35764-2024")</f>
        <v/>
      </c>
      <c r="V110">
        <f>HYPERLINK("https://klasma.github.io/Logging_0188/klagomål/A 35764-2024 FSC-klagomål.docx", "A 35764-2024")</f>
        <v/>
      </c>
      <c r="W110">
        <f>HYPERLINK("https://klasma.github.io/Logging_0188/klagomålsmail/A 35764-2024 FSC-klagomål mail.docx", "A 35764-2024")</f>
        <v/>
      </c>
      <c r="X110">
        <f>HYPERLINK("https://klasma.github.io/Logging_0188/tillsyn/A 35764-2024 tillsynsbegäran.docx", "A 35764-2024")</f>
        <v/>
      </c>
      <c r="Y110">
        <f>HYPERLINK("https://klasma.github.io/Logging_0188/tillsynsmail/A 35764-2024 tillsynsbegäran mail.docx", "A 35764-2024")</f>
        <v/>
      </c>
    </row>
    <row r="111" ht="15" customHeight="1">
      <c r="A111" t="inlineStr">
        <is>
          <t>A 25725-2025</t>
        </is>
      </c>
      <c r="B111" s="1" t="n">
        <v>45800</v>
      </c>
      <c r="C111" s="1" t="n">
        <v>46103</v>
      </c>
      <c r="D111" t="inlineStr">
        <is>
          <t>STOCKHOLMS LÄN</t>
        </is>
      </c>
      <c r="E111" t="inlineStr">
        <is>
          <t>NORRTÄLJE</t>
        </is>
      </c>
      <c r="G111" t="n">
        <v>5.2</v>
      </c>
      <c r="H111" t="n">
        <v>0</v>
      </c>
      <c r="I111" t="n">
        <v>0</v>
      </c>
      <c r="J111" t="n">
        <v>1</v>
      </c>
      <c r="K111" t="n">
        <v>0</v>
      </c>
      <c r="L111" t="n">
        <v>0</v>
      </c>
      <c r="M111" t="n">
        <v>0</v>
      </c>
      <c r="N111" t="n">
        <v>0</v>
      </c>
      <c r="O111" t="n">
        <v>1</v>
      </c>
      <c r="P111" t="n">
        <v>0</v>
      </c>
      <c r="Q111" t="n">
        <v>1</v>
      </c>
      <c r="R111" s="2" t="inlineStr">
        <is>
          <t>Tallticka</t>
        </is>
      </c>
      <c r="S111">
        <f>HYPERLINK("https://klasma.github.io/Logging_0188/artfynd/A 25725-2025 artfynd.xlsx", "A 25725-2025")</f>
        <v/>
      </c>
      <c r="T111">
        <f>HYPERLINK("https://klasma.github.io/Logging_0188/kartor/A 25725-2025 karta.png", "A 25725-2025")</f>
        <v/>
      </c>
      <c r="V111">
        <f>HYPERLINK("https://klasma.github.io/Logging_0188/klagomål/A 25725-2025 FSC-klagomål.docx", "A 25725-2025")</f>
        <v/>
      </c>
      <c r="W111">
        <f>HYPERLINK("https://klasma.github.io/Logging_0188/klagomålsmail/A 25725-2025 FSC-klagomål mail.docx", "A 25725-2025")</f>
        <v/>
      </c>
      <c r="X111">
        <f>HYPERLINK("https://klasma.github.io/Logging_0188/tillsyn/A 25725-2025 tillsynsbegäran.docx", "A 25725-2025")</f>
        <v/>
      </c>
      <c r="Y111">
        <f>HYPERLINK("https://klasma.github.io/Logging_0188/tillsynsmail/A 25725-2025 tillsynsbegäran mail.docx", "A 25725-2025")</f>
        <v/>
      </c>
    </row>
    <row r="112" ht="15" customHeight="1">
      <c r="A112" t="inlineStr">
        <is>
          <t>A 25709-2025</t>
        </is>
      </c>
      <c r="B112" s="1" t="n">
        <v>45800</v>
      </c>
      <c r="C112" s="1" t="n">
        <v>46103</v>
      </c>
      <c r="D112" t="inlineStr">
        <is>
          <t>STOCKHOLMS LÄN</t>
        </is>
      </c>
      <c r="E112" t="inlineStr">
        <is>
          <t>NORRTÄLJE</t>
        </is>
      </c>
      <c r="G112" t="n">
        <v>4.6</v>
      </c>
      <c r="H112" t="n">
        <v>0</v>
      </c>
      <c r="I112" t="n">
        <v>0</v>
      </c>
      <c r="J112" t="n">
        <v>1</v>
      </c>
      <c r="K112" t="n">
        <v>0</v>
      </c>
      <c r="L112" t="n">
        <v>0</v>
      </c>
      <c r="M112" t="n">
        <v>0</v>
      </c>
      <c r="N112" t="n">
        <v>0</v>
      </c>
      <c r="O112" t="n">
        <v>1</v>
      </c>
      <c r="P112" t="n">
        <v>0</v>
      </c>
      <c r="Q112" t="n">
        <v>1</v>
      </c>
      <c r="R112" s="2" t="inlineStr">
        <is>
          <t>Ullticka</t>
        </is>
      </c>
      <c r="S112">
        <f>HYPERLINK("https://klasma.github.io/Logging_0188/artfynd/A 25709-2025 artfynd.xlsx", "A 25709-2025")</f>
        <v/>
      </c>
      <c r="T112">
        <f>HYPERLINK("https://klasma.github.io/Logging_0188/kartor/A 25709-2025 karta.png", "A 25709-2025")</f>
        <v/>
      </c>
      <c r="V112">
        <f>HYPERLINK("https://klasma.github.io/Logging_0188/klagomål/A 25709-2025 FSC-klagomål.docx", "A 25709-2025")</f>
        <v/>
      </c>
      <c r="W112">
        <f>HYPERLINK("https://klasma.github.io/Logging_0188/klagomålsmail/A 25709-2025 FSC-klagomål mail.docx", "A 25709-2025")</f>
        <v/>
      </c>
      <c r="X112">
        <f>HYPERLINK("https://klasma.github.io/Logging_0188/tillsyn/A 25709-2025 tillsynsbegäran.docx", "A 25709-2025")</f>
        <v/>
      </c>
      <c r="Y112">
        <f>HYPERLINK("https://klasma.github.io/Logging_0188/tillsynsmail/A 25709-2025 tillsynsbegäran mail.docx", "A 25709-2025")</f>
        <v/>
      </c>
    </row>
    <row r="113" ht="15" customHeight="1">
      <c r="A113" t="inlineStr">
        <is>
          <t>A 26120-2024</t>
        </is>
      </c>
      <c r="B113" s="1" t="n">
        <v>45468.45995370371</v>
      </c>
      <c r="C113" s="1" t="n">
        <v>46103</v>
      </c>
      <c r="D113" t="inlineStr">
        <is>
          <t>STOCKHOLMS LÄN</t>
        </is>
      </c>
      <c r="E113" t="inlineStr">
        <is>
          <t>NORRTÄLJE</t>
        </is>
      </c>
      <c r="G113" t="n">
        <v>1.8</v>
      </c>
      <c r="H113" t="n">
        <v>0</v>
      </c>
      <c r="I113" t="n">
        <v>0</v>
      </c>
      <c r="J113" t="n">
        <v>1</v>
      </c>
      <c r="K113" t="n">
        <v>0</v>
      </c>
      <c r="L113" t="n">
        <v>0</v>
      </c>
      <c r="M113" t="n">
        <v>0</v>
      </c>
      <c r="N113" t="n">
        <v>0</v>
      </c>
      <c r="O113" t="n">
        <v>1</v>
      </c>
      <c r="P113" t="n">
        <v>0</v>
      </c>
      <c r="Q113" t="n">
        <v>1</v>
      </c>
      <c r="R113" s="2" t="inlineStr">
        <is>
          <t>Majviva</t>
        </is>
      </c>
      <c r="S113">
        <f>HYPERLINK("https://klasma.github.io/Logging_0188/artfynd/A 26120-2024 artfynd.xlsx", "A 26120-2024")</f>
        <v/>
      </c>
      <c r="T113">
        <f>HYPERLINK("https://klasma.github.io/Logging_0188/kartor/A 26120-2024 karta.png", "A 26120-2024")</f>
        <v/>
      </c>
      <c r="V113">
        <f>HYPERLINK("https://klasma.github.io/Logging_0188/klagomål/A 26120-2024 FSC-klagomål.docx", "A 26120-2024")</f>
        <v/>
      </c>
      <c r="W113">
        <f>HYPERLINK("https://klasma.github.io/Logging_0188/klagomålsmail/A 26120-2024 FSC-klagomål mail.docx", "A 26120-2024")</f>
        <v/>
      </c>
      <c r="X113">
        <f>HYPERLINK("https://klasma.github.io/Logging_0188/tillsyn/A 26120-2024 tillsynsbegäran.docx", "A 26120-2024")</f>
        <v/>
      </c>
      <c r="Y113">
        <f>HYPERLINK("https://klasma.github.io/Logging_0188/tillsynsmail/A 26120-2024 tillsynsbegäran mail.docx", "A 26120-2024")</f>
        <v/>
      </c>
    </row>
    <row r="114" ht="15" customHeight="1">
      <c r="A114" t="inlineStr">
        <is>
          <t>A 13291-2025</t>
        </is>
      </c>
      <c r="B114" s="1" t="n">
        <v>45735</v>
      </c>
      <c r="C114" s="1" t="n">
        <v>46103</v>
      </c>
      <c r="D114" t="inlineStr">
        <is>
          <t>STOCKHOLMS LÄN</t>
        </is>
      </c>
      <c r="E114" t="inlineStr">
        <is>
          <t>NORRTÄLJE</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HYPERLINK("https://klasma.github.io/Logging_0188/artfynd/A 13291-2025 artfynd.xlsx", "A 13291-2025")</f>
        <v/>
      </c>
      <c r="T114">
        <f>HYPERLINK("https://klasma.github.io/Logging_0188/kartor/A 13291-2025 karta.png", "A 13291-2025")</f>
        <v/>
      </c>
      <c r="V114">
        <f>HYPERLINK("https://klasma.github.io/Logging_0188/klagomål/A 13291-2025 FSC-klagomål.docx", "A 13291-2025")</f>
        <v/>
      </c>
      <c r="W114">
        <f>HYPERLINK("https://klasma.github.io/Logging_0188/klagomålsmail/A 13291-2025 FSC-klagomål mail.docx", "A 13291-2025")</f>
        <v/>
      </c>
      <c r="X114">
        <f>HYPERLINK("https://klasma.github.io/Logging_0188/tillsyn/A 13291-2025 tillsynsbegäran.docx", "A 13291-2025")</f>
        <v/>
      </c>
      <c r="Y114">
        <f>HYPERLINK("https://klasma.github.io/Logging_0188/tillsynsmail/A 13291-2025 tillsynsbegäran mail.docx", "A 13291-2025")</f>
        <v/>
      </c>
    </row>
    <row r="115" ht="15" customHeight="1">
      <c r="A115" t="inlineStr">
        <is>
          <t>A 64456-2023</t>
        </is>
      </c>
      <c r="B115" s="1" t="n">
        <v>45280</v>
      </c>
      <c r="C115" s="1" t="n">
        <v>46103</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52775-2025</t>
        </is>
      </c>
      <c r="B116" s="1" t="n">
        <v>45957.41608796296</v>
      </c>
      <c r="C116" s="1" t="n">
        <v>46103</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46103</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16870-2025</t>
        </is>
      </c>
      <c r="B118" s="1" t="n">
        <v>45754</v>
      </c>
      <c r="C118" s="1" t="n">
        <v>46103</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35649-2023</t>
        </is>
      </c>
      <c r="B119" s="1" t="n">
        <v>45146</v>
      </c>
      <c r="C119" s="1" t="n">
        <v>46103</v>
      </c>
      <c r="D119" t="inlineStr">
        <is>
          <t>STOCKHOLMS LÄN</t>
        </is>
      </c>
      <c r="E119" t="inlineStr">
        <is>
          <t>NORRTÄLJE</t>
        </is>
      </c>
      <c r="G119" t="n">
        <v>25.1</v>
      </c>
      <c r="H119" t="n">
        <v>0</v>
      </c>
      <c r="I119" t="n">
        <v>0</v>
      </c>
      <c r="J119" t="n">
        <v>1</v>
      </c>
      <c r="K119" t="n">
        <v>0</v>
      </c>
      <c r="L119" t="n">
        <v>0</v>
      </c>
      <c r="M119" t="n">
        <v>0</v>
      </c>
      <c r="N119" t="n">
        <v>0</v>
      </c>
      <c r="O119" t="n">
        <v>1</v>
      </c>
      <c r="P119" t="n">
        <v>0</v>
      </c>
      <c r="Q119" t="n">
        <v>1</v>
      </c>
      <c r="R119" s="2" t="inlineStr">
        <is>
          <t>Månlåsbräken</t>
        </is>
      </c>
      <c r="S119">
        <f>HYPERLINK("https://klasma.github.io/Logging_0188/artfynd/A 35649-2023 artfynd.xlsx", "A 35649-2023")</f>
        <v/>
      </c>
      <c r="T119">
        <f>HYPERLINK("https://klasma.github.io/Logging_0188/kartor/A 35649-2023 karta.png", "A 35649-2023")</f>
        <v/>
      </c>
      <c r="V119">
        <f>HYPERLINK("https://klasma.github.io/Logging_0188/klagomål/A 35649-2023 FSC-klagomål.docx", "A 35649-2023")</f>
        <v/>
      </c>
      <c r="W119">
        <f>HYPERLINK("https://klasma.github.io/Logging_0188/klagomålsmail/A 35649-2023 FSC-klagomål mail.docx", "A 35649-2023")</f>
        <v/>
      </c>
      <c r="X119">
        <f>HYPERLINK("https://klasma.github.io/Logging_0188/tillsyn/A 35649-2023 tillsynsbegäran.docx", "A 35649-2023")</f>
        <v/>
      </c>
      <c r="Y119">
        <f>HYPERLINK("https://klasma.github.io/Logging_0188/tillsynsmail/A 35649-2023 tillsynsbegäran mail.docx", "A 35649-2023")</f>
        <v/>
      </c>
    </row>
    <row r="120" ht="15" customHeight="1">
      <c r="A120" t="inlineStr">
        <is>
          <t>A 24330-2023</t>
        </is>
      </c>
      <c r="B120" s="1" t="n">
        <v>45081</v>
      </c>
      <c r="C120" s="1" t="n">
        <v>46103</v>
      </c>
      <c r="D120" t="inlineStr">
        <is>
          <t>STOCKHOLMS LÄN</t>
        </is>
      </c>
      <c r="E120" t="inlineStr">
        <is>
          <t>NORRTÄLJE</t>
        </is>
      </c>
      <c r="G120" t="n">
        <v>5</v>
      </c>
      <c r="H120" t="n">
        <v>1</v>
      </c>
      <c r="I120" t="n">
        <v>0</v>
      </c>
      <c r="J120" t="n">
        <v>1</v>
      </c>
      <c r="K120" t="n">
        <v>0</v>
      </c>
      <c r="L120" t="n">
        <v>0</v>
      </c>
      <c r="M120" t="n">
        <v>0</v>
      </c>
      <c r="N120" t="n">
        <v>0</v>
      </c>
      <c r="O120" t="n">
        <v>1</v>
      </c>
      <c r="P120" t="n">
        <v>0</v>
      </c>
      <c r="Q120" t="n">
        <v>1</v>
      </c>
      <c r="R120" s="2" t="inlineStr">
        <is>
          <t>Mindre hackspett</t>
        </is>
      </c>
      <c r="S120">
        <f>HYPERLINK("https://klasma.github.io/Logging_0188/artfynd/A 24330-2023 artfynd.xlsx", "A 24330-2023")</f>
        <v/>
      </c>
      <c r="T120">
        <f>HYPERLINK("https://klasma.github.io/Logging_0188/kartor/A 24330-2023 karta.png", "A 24330-2023")</f>
        <v/>
      </c>
      <c r="V120">
        <f>HYPERLINK("https://klasma.github.io/Logging_0188/klagomål/A 24330-2023 FSC-klagomål.docx", "A 24330-2023")</f>
        <v/>
      </c>
      <c r="W120">
        <f>HYPERLINK("https://klasma.github.io/Logging_0188/klagomålsmail/A 24330-2023 FSC-klagomål mail.docx", "A 24330-2023")</f>
        <v/>
      </c>
      <c r="X120">
        <f>HYPERLINK("https://klasma.github.io/Logging_0188/tillsyn/A 24330-2023 tillsynsbegäran.docx", "A 24330-2023")</f>
        <v/>
      </c>
      <c r="Y120">
        <f>HYPERLINK("https://klasma.github.io/Logging_0188/tillsynsmail/A 24330-2023 tillsynsbegäran mail.docx", "A 24330-2023")</f>
        <v/>
      </c>
      <c r="Z120">
        <f>HYPERLINK("https://klasma.github.io/Logging_0188/fåglar/A 24330-2023 prioriterade fågelarter.docx", "A 24330-2023")</f>
        <v/>
      </c>
    </row>
    <row r="121" ht="15" customHeight="1">
      <c r="A121" t="inlineStr">
        <is>
          <t>A 21744-2023</t>
        </is>
      </c>
      <c r="B121" s="1" t="n">
        <v>45065</v>
      </c>
      <c r="C121" s="1" t="n">
        <v>46103</v>
      </c>
      <c r="D121" t="inlineStr">
        <is>
          <t>STOCKHOLMS LÄN</t>
        </is>
      </c>
      <c r="E121" t="inlineStr">
        <is>
          <t>NORRTÄLJE</t>
        </is>
      </c>
      <c r="F121" t="inlineStr">
        <is>
          <t>Holmen skog AB</t>
        </is>
      </c>
      <c r="G121" t="n">
        <v>4.2</v>
      </c>
      <c r="H121" t="n">
        <v>0</v>
      </c>
      <c r="I121" t="n">
        <v>1</v>
      </c>
      <c r="J121" t="n">
        <v>0</v>
      </c>
      <c r="K121" t="n">
        <v>0</v>
      </c>
      <c r="L121" t="n">
        <v>0</v>
      </c>
      <c r="M121" t="n">
        <v>0</v>
      </c>
      <c r="N121" t="n">
        <v>0</v>
      </c>
      <c r="O121" t="n">
        <v>0</v>
      </c>
      <c r="P121" t="n">
        <v>0</v>
      </c>
      <c r="Q121" t="n">
        <v>1</v>
      </c>
      <c r="R121" s="2" t="inlineStr">
        <is>
          <t>Korallblylav</t>
        </is>
      </c>
      <c r="S121">
        <f>HYPERLINK("https://klasma.github.io/Logging_0188/artfynd/A 21744-2023 artfynd.xlsx", "A 21744-2023")</f>
        <v/>
      </c>
      <c r="T121">
        <f>HYPERLINK("https://klasma.github.io/Logging_0188/kartor/A 21744-2023 karta.png", "A 21744-2023")</f>
        <v/>
      </c>
      <c r="V121">
        <f>HYPERLINK("https://klasma.github.io/Logging_0188/klagomål/A 21744-2023 FSC-klagomål.docx", "A 21744-2023")</f>
        <v/>
      </c>
      <c r="W121">
        <f>HYPERLINK("https://klasma.github.io/Logging_0188/klagomålsmail/A 21744-2023 FSC-klagomål mail.docx", "A 21744-2023")</f>
        <v/>
      </c>
      <c r="X121">
        <f>HYPERLINK("https://klasma.github.io/Logging_0188/tillsyn/A 21744-2023 tillsynsbegäran.docx", "A 21744-2023")</f>
        <v/>
      </c>
      <c r="Y121">
        <f>HYPERLINK("https://klasma.github.io/Logging_0188/tillsynsmail/A 21744-2023 tillsynsbegäran mail.docx", "A 21744-2023")</f>
        <v/>
      </c>
    </row>
    <row r="122" ht="15" customHeight="1">
      <c r="A122" t="inlineStr">
        <is>
          <t>A 52611-2024</t>
        </is>
      </c>
      <c r="B122" s="1" t="n">
        <v>45609.83747685186</v>
      </c>
      <c r="C122" s="1" t="n">
        <v>46103</v>
      </c>
      <c r="D122" t="inlineStr">
        <is>
          <t>STOCKHOLMS LÄN</t>
        </is>
      </c>
      <c r="E122" t="inlineStr">
        <is>
          <t>NORRTÄLJE</t>
        </is>
      </c>
      <c r="G122" t="n">
        <v>10.6</v>
      </c>
      <c r="H122" t="n">
        <v>1</v>
      </c>
      <c r="I122" t="n">
        <v>0</v>
      </c>
      <c r="J122" t="n">
        <v>0</v>
      </c>
      <c r="K122" t="n">
        <v>0</v>
      </c>
      <c r="L122" t="n">
        <v>0</v>
      </c>
      <c r="M122" t="n">
        <v>0</v>
      </c>
      <c r="N122" t="n">
        <v>0</v>
      </c>
      <c r="O122" t="n">
        <v>0</v>
      </c>
      <c r="P122" t="n">
        <v>0</v>
      </c>
      <c r="Q122" t="n">
        <v>1</v>
      </c>
      <c r="R122" s="2" t="inlineStr">
        <is>
          <t>Blåsippa</t>
        </is>
      </c>
      <c r="S122">
        <f>HYPERLINK("https://klasma.github.io/Logging_0188/artfynd/A 52611-2024 artfynd.xlsx", "A 52611-2024")</f>
        <v/>
      </c>
      <c r="T122">
        <f>HYPERLINK("https://klasma.github.io/Logging_0188/kartor/A 52611-2024 karta.png", "A 52611-2024")</f>
        <v/>
      </c>
      <c r="V122">
        <f>HYPERLINK("https://klasma.github.io/Logging_0188/klagomål/A 52611-2024 FSC-klagomål.docx", "A 52611-2024")</f>
        <v/>
      </c>
      <c r="W122">
        <f>HYPERLINK("https://klasma.github.io/Logging_0188/klagomålsmail/A 52611-2024 FSC-klagomål mail.docx", "A 52611-2024")</f>
        <v/>
      </c>
      <c r="X122">
        <f>HYPERLINK("https://klasma.github.io/Logging_0188/tillsyn/A 52611-2024 tillsynsbegäran.docx", "A 52611-2024")</f>
        <v/>
      </c>
      <c r="Y122">
        <f>HYPERLINK("https://klasma.github.io/Logging_0188/tillsynsmail/A 52611-2024 tillsynsbegäran mail.docx", "A 52611-2024")</f>
        <v/>
      </c>
    </row>
    <row r="123" ht="15" customHeight="1">
      <c r="A123" t="inlineStr">
        <is>
          <t>A 6381-2023</t>
        </is>
      </c>
      <c r="B123" s="1" t="n">
        <v>44965</v>
      </c>
      <c r="C123" s="1" t="n">
        <v>46103</v>
      </c>
      <c r="D123" t="inlineStr">
        <is>
          <t>STOCKHOLMS LÄN</t>
        </is>
      </c>
      <c r="E123" t="inlineStr">
        <is>
          <t>NORRTÄLJE</t>
        </is>
      </c>
      <c r="G123" t="n">
        <v>3.5</v>
      </c>
      <c r="H123" t="n">
        <v>1</v>
      </c>
      <c r="I123" t="n">
        <v>1</v>
      </c>
      <c r="J123" t="n">
        <v>0</v>
      </c>
      <c r="K123" t="n">
        <v>0</v>
      </c>
      <c r="L123" t="n">
        <v>0</v>
      </c>
      <c r="M123" t="n">
        <v>0</v>
      </c>
      <c r="N123" t="n">
        <v>0</v>
      </c>
      <c r="O123" t="n">
        <v>0</v>
      </c>
      <c r="P123" t="n">
        <v>0</v>
      </c>
      <c r="Q123" t="n">
        <v>1</v>
      </c>
      <c r="R123" s="2" t="inlineStr">
        <is>
          <t>Guckusko</t>
        </is>
      </c>
      <c r="S123">
        <f>HYPERLINK("https://klasma.github.io/Logging_0188/artfynd/A 6381-2023 artfynd.xlsx", "A 6381-2023")</f>
        <v/>
      </c>
      <c r="T123">
        <f>HYPERLINK("https://klasma.github.io/Logging_0188/kartor/A 6381-2023 karta.png", "A 6381-2023")</f>
        <v/>
      </c>
      <c r="V123">
        <f>HYPERLINK("https://klasma.github.io/Logging_0188/klagomål/A 6381-2023 FSC-klagomål.docx", "A 6381-2023")</f>
        <v/>
      </c>
      <c r="W123">
        <f>HYPERLINK("https://klasma.github.io/Logging_0188/klagomålsmail/A 6381-2023 FSC-klagomål mail.docx", "A 6381-2023")</f>
        <v/>
      </c>
      <c r="X123">
        <f>HYPERLINK("https://klasma.github.io/Logging_0188/tillsyn/A 6381-2023 tillsynsbegäran.docx", "A 6381-2023")</f>
        <v/>
      </c>
      <c r="Y123">
        <f>HYPERLINK("https://klasma.github.io/Logging_0188/tillsynsmail/A 6381-2023 tillsynsbegäran mail.docx", "A 6381-2023")</f>
        <v/>
      </c>
    </row>
    <row r="124" ht="15" customHeight="1">
      <c r="A124" t="inlineStr">
        <is>
          <t>A 29946-2025</t>
        </is>
      </c>
      <c r="B124" s="1" t="n">
        <v>45826.46392361111</v>
      </c>
      <c r="C124" s="1" t="n">
        <v>46103</v>
      </c>
      <c r="D124" t="inlineStr">
        <is>
          <t>STOCKHOLMS LÄN</t>
        </is>
      </c>
      <c r="E124" t="inlineStr">
        <is>
          <t>NORRTÄLJE</t>
        </is>
      </c>
      <c r="F124" t="inlineStr">
        <is>
          <t>Holmen skog AB</t>
        </is>
      </c>
      <c r="G124" t="n">
        <v>3.6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29946-2025 artfynd.xlsx", "A 29946-2025")</f>
        <v/>
      </c>
      <c r="T124">
        <f>HYPERLINK("https://klasma.github.io/Logging_0188/kartor/A 29946-2025 karta.png", "A 29946-2025")</f>
        <v/>
      </c>
      <c r="V124">
        <f>HYPERLINK("https://klasma.github.io/Logging_0188/klagomål/A 29946-2025 FSC-klagomål.docx", "A 29946-2025")</f>
        <v/>
      </c>
      <c r="W124">
        <f>HYPERLINK("https://klasma.github.io/Logging_0188/klagomålsmail/A 29946-2025 FSC-klagomål mail.docx", "A 29946-2025")</f>
        <v/>
      </c>
      <c r="X124">
        <f>HYPERLINK("https://klasma.github.io/Logging_0188/tillsyn/A 29946-2025 tillsynsbegäran.docx", "A 29946-2025")</f>
        <v/>
      </c>
      <c r="Y124">
        <f>HYPERLINK("https://klasma.github.io/Logging_0188/tillsynsmail/A 29946-2025 tillsynsbegäran mail.docx", "A 29946-2025")</f>
        <v/>
      </c>
    </row>
    <row r="125" ht="15" customHeight="1">
      <c r="A125" t="inlineStr">
        <is>
          <t>A 26635-2023</t>
        </is>
      </c>
      <c r="B125" s="1" t="n">
        <v>45092</v>
      </c>
      <c r="C125" s="1" t="n">
        <v>46103</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33546-2025</t>
        </is>
      </c>
      <c r="B126" s="1" t="n">
        <v>45841.56996527778</v>
      </c>
      <c r="C126" s="1" t="n">
        <v>46103</v>
      </c>
      <c r="D126" t="inlineStr">
        <is>
          <t>STOCKHOLMS LÄN</t>
        </is>
      </c>
      <c r="E126" t="inlineStr">
        <is>
          <t>NORRTÄLJE</t>
        </is>
      </c>
      <c r="G126" t="n">
        <v>7.2</v>
      </c>
      <c r="H126" t="n">
        <v>1</v>
      </c>
      <c r="I126" t="n">
        <v>1</v>
      </c>
      <c r="J126" t="n">
        <v>0</v>
      </c>
      <c r="K126" t="n">
        <v>0</v>
      </c>
      <c r="L126" t="n">
        <v>0</v>
      </c>
      <c r="M126" t="n">
        <v>0</v>
      </c>
      <c r="N126" t="n">
        <v>0</v>
      </c>
      <c r="O126" t="n">
        <v>0</v>
      </c>
      <c r="P126" t="n">
        <v>0</v>
      </c>
      <c r="Q126" t="n">
        <v>1</v>
      </c>
      <c r="R126" s="2" t="inlineStr">
        <is>
          <t>Nästrot</t>
        </is>
      </c>
      <c r="S126">
        <f>HYPERLINK("https://klasma.github.io/Logging_0188/artfynd/A 33546-2025 artfynd.xlsx", "A 33546-2025")</f>
        <v/>
      </c>
      <c r="T126">
        <f>HYPERLINK("https://klasma.github.io/Logging_0188/kartor/A 33546-2025 karta.png", "A 33546-2025")</f>
        <v/>
      </c>
      <c r="V126">
        <f>HYPERLINK("https://klasma.github.io/Logging_0188/klagomål/A 33546-2025 FSC-klagomål.docx", "A 33546-2025")</f>
        <v/>
      </c>
      <c r="W126">
        <f>HYPERLINK("https://klasma.github.io/Logging_0188/klagomålsmail/A 33546-2025 FSC-klagomål mail.docx", "A 33546-2025")</f>
        <v/>
      </c>
      <c r="X126">
        <f>HYPERLINK("https://klasma.github.io/Logging_0188/tillsyn/A 33546-2025 tillsynsbegäran.docx", "A 33546-2025")</f>
        <v/>
      </c>
      <c r="Y126">
        <f>HYPERLINK("https://klasma.github.io/Logging_0188/tillsynsmail/A 33546-2025 tillsynsbegäran mail.docx", "A 33546-2025")</f>
        <v/>
      </c>
    </row>
    <row r="127" ht="15" customHeight="1">
      <c r="A127" t="inlineStr">
        <is>
          <t>A 47898-2022</t>
        </is>
      </c>
      <c r="B127" s="1" t="n">
        <v>44855</v>
      </c>
      <c r="C127" s="1" t="n">
        <v>46103</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8371-2025</t>
        </is>
      </c>
      <c r="B128" s="1" t="n">
        <v>45708</v>
      </c>
      <c r="C128" s="1" t="n">
        <v>46103</v>
      </c>
      <c r="D128" t="inlineStr">
        <is>
          <t>STOCKHOLMS LÄN</t>
        </is>
      </c>
      <c r="E128" t="inlineStr">
        <is>
          <t>NORRTÄLJE</t>
        </is>
      </c>
      <c r="F128" t="inlineStr">
        <is>
          <t>Övriga Aktiebolag</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HYPERLINK("https://klasma.github.io/Logging_0188/artfynd/A 8371-2025 artfynd.xlsx", "A 8371-2025")</f>
        <v/>
      </c>
      <c r="T128">
        <f>HYPERLINK("https://klasma.github.io/Logging_0188/kartor/A 8371-2025 karta.png", "A 8371-2025")</f>
        <v/>
      </c>
      <c r="V128">
        <f>HYPERLINK("https://klasma.github.io/Logging_0188/klagomål/A 8371-2025 FSC-klagomål.docx", "A 8371-2025")</f>
        <v/>
      </c>
      <c r="W128">
        <f>HYPERLINK("https://klasma.github.io/Logging_0188/klagomålsmail/A 8371-2025 FSC-klagomål mail.docx", "A 8371-2025")</f>
        <v/>
      </c>
      <c r="X128">
        <f>HYPERLINK("https://klasma.github.io/Logging_0188/tillsyn/A 8371-2025 tillsynsbegäran.docx", "A 8371-2025")</f>
        <v/>
      </c>
      <c r="Y128">
        <f>HYPERLINK("https://klasma.github.io/Logging_0188/tillsynsmail/A 8371-2025 tillsynsbegäran mail.docx", "A 8371-2025")</f>
        <v/>
      </c>
      <c r="Z128">
        <f>HYPERLINK("https://klasma.github.io/Logging_0188/fåglar/A 8371-2025 prioriterade fågelarter.docx", "A 8371-2025")</f>
        <v/>
      </c>
    </row>
    <row r="129" ht="15" customHeight="1">
      <c r="A129" t="inlineStr">
        <is>
          <t>A 14365-2025</t>
        </is>
      </c>
      <c r="B129" s="1" t="n">
        <v>45741.38688657407</v>
      </c>
      <c r="C129" s="1" t="n">
        <v>46103</v>
      </c>
      <c r="D129" t="inlineStr">
        <is>
          <t>STOCKHOLMS LÄN</t>
        </is>
      </c>
      <c r="E129" t="inlineStr">
        <is>
          <t>NORRTÄLJE</t>
        </is>
      </c>
      <c r="G129" t="n">
        <v>2.4</v>
      </c>
      <c r="H129" t="n">
        <v>0</v>
      </c>
      <c r="I129" t="n">
        <v>0</v>
      </c>
      <c r="J129" t="n">
        <v>1</v>
      </c>
      <c r="K129" t="n">
        <v>0</v>
      </c>
      <c r="L129" t="n">
        <v>0</v>
      </c>
      <c r="M129" t="n">
        <v>0</v>
      </c>
      <c r="N129" t="n">
        <v>0</v>
      </c>
      <c r="O129" t="n">
        <v>1</v>
      </c>
      <c r="P129" t="n">
        <v>0</v>
      </c>
      <c r="Q129" t="n">
        <v>1</v>
      </c>
      <c r="R129" s="2" t="inlineStr">
        <is>
          <t>Granticka</t>
        </is>
      </c>
      <c r="S129">
        <f>HYPERLINK("https://klasma.github.io/Logging_0188/artfynd/A 14365-2025 artfynd.xlsx", "A 14365-2025")</f>
        <v/>
      </c>
      <c r="T129">
        <f>HYPERLINK("https://klasma.github.io/Logging_0188/kartor/A 14365-2025 karta.png", "A 14365-2025")</f>
        <v/>
      </c>
      <c r="V129">
        <f>HYPERLINK("https://klasma.github.io/Logging_0188/klagomål/A 14365-2025 FSC-klagomål.docx", "A 14365-2025")</f>
        <v/>
      </c>
      <c r="W129">
        <f>HYPERLINK("https://klasma.github.io/Logging_0188/klagomålsmail/A 14365-2025 FSC-klagomål mail.docx", "A 14365-2025")</f>
        <v/>
      </c>
      <c r="X129">
        <f>HYPERLINK("https://klasma.github.io/Logging_0188/tillsyn/A 14365-2025 tillsynsbegäran.docx", "A 14365-2025")</f>
        <v/>
      </c>
      <c r="Y129">
        <f>HYPERLINK("https://klasma.github.io/Logging_0188/tillsynsmail/A 14365-2025 tillsynsbegäran mail.docx", "A 14365-2025")</f>
        <v/>
      </c>
    </row>
    <row r="130" ht="15" customHeight="1">
      <c r="A130" t="inlineStr">
        <is>
          <t>A 32111-2022</t>
        </is>
      </c>
      <c r="B130" s="1" t="n">
        <v>44778.92797453704</v>
      </c>
      <c r="C130" s="1" t="n">
        <v>46103</v>
      </c>
      <c r="D130" t="inlineStr">
        <is>
          <t>STOCKHOLMS LÄN</t>
        </is>
      </c>
      <c r="E130" t="inlineStr">
        <is>
          <t>NORRTÄLJE</t>
        </is>
      </c>
      <c r="G130" t="n">
        <v>3.1</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32111-2022 artfynd.xlsx", "A 32111-2022")</f>
        <v/>
      </c>
      <c r="T130">
        <f>HYPERLINK("https://klasma.github.io/Logging_0188/kartor/A 32111-2022 karta.png", "A 32111-2022")</f>
        <v/>
      </c>
      <c r="V130">
        <f>HYPERLINK("https://klasma.github.io/Logging_0188/klagomål/A 32111-2022 FSC-klagomål.docx", "A 32111-2022")</f>
        <v/>
      </c>
      <c r="W130">
        <f>HYPERLINK("https://klasma.github.io/Logging_0188/klagomålsmail/A 32111-2022 FSC-klagomål mail.docx", "A 32111-2022")</f>
        <v/>
      </c>
      <c r="X130">
        <f>HYPERLINK("https://klasma.github.io/Logging_0188/tillsyn/A 32111-2022 tillsynsbegäran.docx", "A 32111-2022")</f>
        <v/>
      </c>
      <c r="Y130">
        <f>HYPERLINK("https://klasma.github.io/Logging_0188/tillsynsmail/A 32111-2022 tillsynsbegäran mail.docx", "A 32111-2022")</f>
        <v/>
      </c>
    </row>
    <row r="131" ht="15" customHeight="1">
      <c r="A131" t="inlineStr">
        <is>
          <t>A 4385-2023</t>
        </is>
      </c>
      <c r="B131" s="1" t="n">
        <v>44955.71322916666</v>
      </c>
      <c r="C131" s="1" t="n">
        <v>46103</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4860-2022</t>
        </is>
      </c>
      <c r="B132" s="1" t="n">
        <v>44592</v>
      </c>
      <c r="C132" s="1" t="n">
        <v>46103</v>
      </c>
      <c r="D132" t="inlineStr">
        <is>
          <t>STOCKHOLMS LÄN</t>
        </is>
      </c>
      <c r="E132" t="inlineStr">
        <is>
          <t>NORRTÄLJE</t>
        </is>
      </c>
      <c r="G132" t="n">
        <v>22.3</v>
      </c>
      <c r="H132" t="n">
        <v>0</v>
      </c>
      <c r="I132" t="n">
        <v>0</v>
      </c>
      <c r="J132" t="n">
        <v>1</v>
      </c>
      <c r="K132" t="n">
        <v>0</v>
      </c>
      <c r="L132" t="n">
        <v>0</v>
      </c>
      <c r="M132" t="n">
        <v>0</v>
      </c>
      <c r="N132" t="n">
        <v>0</v>
      </c>
      <c r="O132" t="n">
        <v>1</v>
      </c>
      <c r="P132" t="n">
        <v>0</v>
      </c>
      <c r="Q132" t="n">
        <v>1</v>
      </c>
      <c r="R132" s="2" t="inlineStr">
        <is>
          <t>Igelkott</t>
        </is>
      </c>
      <c r="S132">
        <f>HYPERLINK("https://klasma.github.io/Logging_0188/artfynd/A 4860-2022 artfynd.xlsx", "A 4860-2022")</f>
        <v/>
      </c>
      <c r="T132">
        <f>HYPERLINK("https://klasma.github.io/Logging_0188/kartor/A 4860-2022 karta.png", "A 4860-2022")</f>
        <v/>
      </c>
      <c r="V132">
        <f>HYPERLINK("https://klasma.github.io/Logging_0188/klagomål/A 4860-2022 FSC-klagomål.docx", "A 4860-2022")</f>
        <v/>
      </c>
      <c r="W132">
        <f>HYPERLINK("https://klasma.github.io/Logging_0188/klagomålsmail/A 4860-2022 FSC-klagomål mail.docx", "A 4860-2022")</f>
        <v/>
      </c>
      <c r="X132">
        <f>HYPERLINK("https://klasma.github.io/Logging_0188/tillsyn/A 4860-2022 tillsynsbegäran.docx", "A 4860-2022")</f>
        <v/>
      </c>
      <c r="Y132">
        <f>HYPERLINK("https://klasma.github.io/Logging_0188/tillsynsmail/A 4860-2022 tillsynsbegäran mail.docx", "A 4860-2022")</f>
        <v/>
      </c>
    </row>
    <row r="133" ht="15" customHeight="1">
      <c r="A133" t="inlineStr">
        <is>
          <t>A 19829-2022</t>
        </is>
      </c>
      <c r="B133" s="1" t="n">
        <v>44695.43527777777</v>
      </c>
      <c r="C133" s="1" t="n">
        <v>46103</v>
      </c>
      <c r="D133" t="inlineStr">
        <is>
          <t>STOCKHOLMS LÄN</t>
        </is>
      </c>
      <c r="E133" t="inlineStr">
        <is>
          <t>NORRTÄLJE</t>
        </is>
      </c>
      <c r="G133" t="n">
        <v>2</v>
      </c>
      <c r="H133" t="n">
        <v>1</v>
      </c>
      <c r="I133" t="n">
        <v>1</v>
      </c>
      <c r="J133" t="n">
        <v>0</v>
      </c>
      <c r="K133" t="n">
        <v>0</v>
      </c>
      <c r="L133" t="n">
        <v>0</v>
      </c>
      <c r="M133" t="n">
        <v>0</v>
      </c>
      <c r="N133" t="n">
        <v>0</v>
      </c>
      <c r="O133" t="n">
        <v>0</v>
      </c>
      <c r="P133" t="n">
        <v>0</v>
      </c>
      <c r="Q133" t="n">
        <v>1</v>
      </c>
      <c r="R133" s="2" t="inlineStr">
        <is>
          <t>Guckusko</t>
        </is>
      </c>
      <c r="S133">
        <f>HYPERLINK("https://klasma.github.io/Logging_0188/artfynd/A 19829-2022 artfynd.xlsx", "A 19829-2022")</f>
        <v/>
      </c>
      <c r="T133">
        <f>HYPERLINK("https://klasma.github.io/Logging_0188/kartor/A 19829-2022 karta.png", "A 19829-2022")</f>
        <v/>
      </c>
      <c r="V133">
        <f>HYPERLINK("https://klasma.github.io/Logging_0188/klagomål/A 19829-2022 FSC-klagomål.docx", "A 19829-2022")</f>
        <v/>
      </c>
      <c r="W133">
        <f>HYPERLINK("https://klasma.github.io/Logging_0188/klagomålsmail/A 19829-2022 FSC-klagomål mail.docx", "A 19829-2022")</f>
        <v/>
      </c>
      <c r="X133">
        <f>HYPERLINK("https://klasma.github.io/Logging_0188/tillsyn/A 19829-2022 tillsynsbegäran.docx", "A 19829-2022")</f>
        <v/>
      </c>
      <c r="Y133">
        <f>HYPERLINK("https://klasma.github.io/Logging_0188/tillsynsmail/A 19829-2022 tillsynsbegäran mail.docx", "A 19829-2022")</f>
        <v/>
      </c>
    </row>
    <row r="134" ht="15" customHeight="1">
      <c r="A134" t="inlineStr">
        <is>
          <t>A 28816-2023</t>
        </is>
      </c>
      <c r="B134" s="1" t="n">
        <v>45104</v>
      </c>
      <c r="C134" s="1" t="n">
        <v>46103</v>
      </c>
      <c r="D134" t="inlineStr">
        <is>
          <t>STOCKHOLMS LÄN</t>
        </is>
      </c>
      <c r="E134" t="inlineStr">
        <is>
          <t>NORRTÄLJE</t>
        </is>
      </c>
      <c r="F134" t="inlineStr">
        <is>
          <t>Kommuner</t>
        </is>
      </c>
      <c r="G134" t="n">
        <v>0.5</v>
      </c>
      <c r="H134" t="n">
        <v>1</v>
      </c>
      <c r="I134" t="n">
        <v>0</v>
      </c>
      <c r="J134" t="n">
        <v>0</v>
      </c>
      <c r="K134" t="n">
        <v>0</v>
      </c>
      <c r="L134" t="n">
        <v>0</v>
      </c>
      <c r="M134" t="n">
        <v>0</v>
      </c>
      <c r="N134" t="n">
        <v>0</v>
      </c>
      <c r="O134" t="n">
        <v>0</v>
      </c>
      <c r="P134" t="n">
        <v>0</v>
      </c>
      <c r="Q134" t="n">
        <v>1</v>
      </c>
      <c r="R134" s="2" t="inlineStr">
        <is>
          <t>Kungsfågel</t>
        </is>
      </c>
      <c r="S134">
        <f>HYPERLINK("https://klasma.github.io/Logging_0188/artfynd/A 28816-2023 artfynd.xlsx", "A 28816-2023")</f>
        <v/>
      </c>
      <c r="T134">
        <f>HYPERLINK("https://klasma.github.io/Logging_0188/kartor/A 28816-2023 karta.png", "A 28816-2023")</f>
        <v/>
      </c>
      <c r="V134">
        <f>HYPERLINK("https://klasma.github.io/Logging_0188/klagomål/A 28816-2023 FSC-klagomål.docx", "A 28816-2023")</f>
        <v/>
      </c>
      <c r="W134">
        <f>HYPERLINK("https://klasma.github.io/Logging_0188/klagomålsmail/A 28816-2023 FSC-klagomål mail.docx", "A 28816-2023")</f>
        <v/>
      </c>
      <c r="X134">
        <f>HYPERLINK("https://klasma.github.io/Logging_0188/tillsyn/A 28816-2023 tillsynsbegäran.docx", "A 28816-2023")</f>
        <v/>
      </c>
      <c r="Y134">
        <f>HYPERLINK("https://klasma.github.io/Logging_0188/tillsynsmail/A 28816-2023 tillsynsbegäran mail.docx", "A 28816-2023")</f>
        <v/>
      </c>
      <c r="Z134">
        <f>HYPERLINK("https://klasma.github.io/Logging_0188/fåglar/A 28816-2023 prioriterade fågelarter.docx", "A 28816-2023")</f>
        <v/>
      </c>
    </row>
    <row r="135" ht="15" customHeight="1">
      <c r="A135" t="inlineStr">
        <is>
          <t>A 52508-2023</t>
        </is>
      </c>
      <c r="B135" s="1" t="n">
        <v>45225</v>
      </c>
      <c r="C135" s="1" t="n">
        <v>46103</v>
      </c>
      <c r="D135" t="inlineStr">
        <is>
          <t>STOCKHOLMS LÄN</t>
        </is>
      </c>
      <c r="E135" t="inlineStr">
        <is>
          <t>NORRTÄLJE</t>
        </is>
      </c>
      <c r="G135" t="n">
        <v>19.7</v>
      </c>
      <c r="H135" t="n">
        <v>1</v>
      </c>
      <c r="I135" t="n">
        <v>0</v>
      </c>
      <c r="J135" t="n">
        <v>0</v>
      </c>
      <c r="K135" t="n">
        <v>1</v>
      </c>
      <c r="L135" t="n">
        <v>0</v>
      </c>
      <c r="M135" t="n">
        <v>0</v>
      </c>
      <c r="N135" t="n">
        <v>0</v>
      </c>
      <c r="O135" t="n">
        <v>1</v>
      </c>
      <c r="P135" t="n">
        <v>1</v>
      </c>
      <c r="Q135" t="n">
        <v>1</v>
      </c>
      <c r="R135" s="2" t="inlineStr">
        <is>
          <t>Svärta</t>
        </is>
      </c>
      <c r="S135">
        <f>HYPERLINK("https://klasma.github.io/Logging_0188/artfynd/A 52508-2023 artfynd.xlsx", "A 52508-2023")</f>
        <v/>
      </c>
      <c r="T135">
        <f>HYPERLINK("https://klasma.github.io/Logging_0188/kartor/A 52508-2023 karta.png", "A 52508-2023")</f>
        <v/>
      </c>
      <c r="V135">
        <f>HYPERLINK("https://klasma.github.io/Logging_0188/klagomål/A 52508-2023 FSC-klagomål.docx", "A 52508-2023")</f>
        <v/>
      </c>
      <c r="W135">
        <f>HYPERLINK("https://klasma.github.io/Logging_0188/klagomålsmail/A 52508-2023 FSC-klagomål mail.docx", "A 52508-2023")</f>
        <v/>
      </c>
      <c r="X135">
        <f>HYPERLINK("https://klasma.github.io/Logging_0188/tillsyn/A 52508-2023 tillsynsbegäran.docx", "A 52508-2023")</f>
        <v/>
      </c>
      <c r="Y135">
        <f>HYPERLINK("https://klasma.github.io/Logging_0188/tillsynsmail/A 52508-2023 tillsynsbegäran mail.docx", "A 52508-2023")</f>
        <v/>
      </c>
    </row>
    <row r="136" ht="15" customHeight="1">
      <c r="A136" t="inlineStr">
        <is>
          <t>A 27827-2022</t>
        </is>
      </c>
      <c r="B136" s="1" t="n">
        <v>44743.59504629629</v>
      </c>
      <c r="C136" s="1" t="n">
        <v>46103</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23146-2024</t>
        </is>
      </c>
      <c r="B137" s="1" t="n">
        <v>45450.63958333333</v>
      </c>
      <c r="C137" s="1" t="n">
        <v>46103</v>
      </c>
      <c r="D137" t="inlineStr">
        <is>
          <t>STOCKHOLMS LÄN</t>
        </is>
      </c>
      <c r="E137" t="inlineStr">
        <is>
          <t>NORRTÄLJE</t>
        </is>
      </c>
      <c r="F137" t="inlineStr">
        <is>
          <t>Kommuner</t>
        </is>
      </c>
      <c r="G137" t="n">
        <v>6</v>
      </c>
      <c r="H137" t="n">
        <v>0</v>
      </c>
      <c r="I137" t="n">
        <v>0</v>
      </c>
      <c r="J137" t="n">
        <v>1</v>
      </c>
      <c r="K137" t="n">
        <v>0</v>
      </c>
      <c r="L137" t="n">
        <v>0</v>
      </c>
      <c r="M137" t="n">
        <v>0</v>
      </c>
      <c r="N137" t="n">
        <v>0</v>
      </c>
      <c r="O137" t="n">
        <v>1</v>
      </c>
      <c r="P137" t="n">
        <v>0</v>
      </c>
      <c r="Q137" t="n">
        <v>1</v>
      </c>
      <c r="R137" s="2" t="inlineStr">
        <is>
          <t>Motaggsvamp</t>
        </is>
      </c>
      <c r="S137">
        <f>HYPERLINK("https://klasma.github.io/Logging_0188/artfynd/A 23146-2024 artfynd.xlsx", "A 23146-2024")</f>
        <v/>
      </c>
      <c r="T137">
        <f>HYPERLINK("https://klasma.github.io/Logging_0188/kartor/A 23146-2024 karta.png", "A 23146-2024")</f>
        <v/>
      </c>
      <c r="V137">
        <f>HYPERLINK("https://klasma.github.io/Logging_0188/klagomål/A 23146-2024 FSC-klagomål.docx", "A 23146-2024")</f>
        <v/>
      </c>
      <c r="W137">
        <f>HYPERLINK("https://klasma.github.io/Logging_0188/klagomålsmail/A 23146-2024 FSC-klagomål mail.docx", "A 23146-2024")</f>
        <v/>
      </c>
      <c r="X137">
        <f>HYPERLINK("https://klasma.github.io/Logging_0188/tillsyn/A 23146-2024 tillsynsbegäran.docx", "A 23146-2024")</f>
        <v/>
      </c>
      <c r="Y137">
        <f>HYPERLINK("https://klasma.github.io/Logging_0188/tillsynsmail/A 23146-2024 tillsynsbegäran mail.docx", "A 23146-2024")</f>
        <v/>
      </c>
    </row>
    <row r="138" ht="15" customHeight="1">
      <c r="A138" t="inlineStr">
        <is>
          <t>A 27538-2024</t>
        </is>
      </c>
      <c r="B138" s="1" t="n">
        <v>45474</v>
      </c>
      <c r="C138" s="1" t="n">
        <v>46103</v>
      </c>
      <c r="D138" t="inlineStr">
        <is>
          <t>STOCKHOLMS LÄN</t>
        </is>
      </c>
      <c r="E138" t="inlineStr">
        <is>
          <t>NORRTÄLJE</t>
        </is>
      </c>
      <c r="G138" t="n">
        <v>1.5</v>
      </c>
      <c r="H138" t="n">
        <v>1</v>
      </c>
      <c r="I138" t="n">
        <v>1</v>
      </c>
      <c r="J138" t="n">
        <v>0</v>
      </c>
      <c r="K138" t="n">
        <v>0</v>
      </c>
      <c r="L138" t="n">
        <v>0</v>
      </c>
      <c r="M138" t="n">
        <v>0</v>
      </c>
      <c r="N138" t="n">
        <v>0</v>
      </c>
      <c r="O138" t="n">
        <v>0</v>
      </c>
      <c r="P138" t="n">
        <v>0</v>
      </c>
      <c r="Q138" t="n">
        <v>1</v>
      </c>
      <c r="R138" s="2" t="inlineStr">
        <is>
          <t>Skogsknipprot</t>
        </is>
      </c>
      <c r="S138">
        <f>HYPERLINK("https://klasma.github.io/Logging_0188/artfynd/A 27538-2024 artfynd.xlsx", "A 27538-2024")</f>
        <v/>
      </c>
      <c r="T138">
        <f>HYPERLINK("https://klasma.github.io/Logging_0188/kartor/A 27538-2024 karta.png", "A 27538-2024")</f>
        <v/>
      </c>
      <c r="V138">
        <f>HYPERLINK("https://klasma.github.io/Logging_0188/klagomål/A 27538-2024 FSC-klagomål.docx", "A 27538-2024")</f>
        <v/>
      </c>
      <c r="W138">
        <f>HYPERLINK("https://klasma.github.io/Logging_0188/klagomålsmail/A 27538-2024 FSC-klagomål mail.docx", "A 27538-2024")</f>
        <v/>
      </c>
      <c r="X138">
        <f>HYPERLINK("https://klasma.github.io/Logging_0188/tillsyn/A 27538-2024 tillsynsbegäran.docx", "A 27538-2024")</f>
        <v/>
      </c>
      <c r="Y138">
        <f>HYPERLINK("https://klasma.github.io/Logging_0188/tillsynsmail/A 27538-2024 tillsynsbegäran mail.docx", "A 27538-2024")</f>
        <v/>
      </c>
    </row>
    <row r="139" ht="15" customHeight="1">
      <c r="A139" t="inlineStr">
        <is>
          <t>A 48131-2023</t>
        </is>
      </c>
      <c r="B139" s="1" t="n">
        <v>45205</v>
      </c>
      <c r="C139" s="1" t="n">
        <v>46103</v>
      </c>
      <c r="D139" t="inlineStr">
        <is>
          <t>STOCKHOLMS LÄN</t>
        </is>
      </c>
      <c r="E139" t="inlineStr">
        <is>
          <t>NORRTÄLJE</t>
        </is>
      </c>
      <c r="G139" t="n">
        <v>2.3</v>
      </c>
      <c r="H139" t="n">
        <v>0</v>
      </c>
      <c r="I139" t="n">
        <v>0</v>
      </c>
      <c r="J139" t="n">
        <v>1</v>
      </c>
      <c r="K139" t="n">
        <v>0</v>
      </c>
      <c r="L139" t="n">
        <v>0</v>
      </c>
      <c r="M139" t="n">
        <v>0</v>
      </c>
      <c r="N139" t="n">
        <v>0</v>
      </c>
      <c r="O139" t="n">
        <v>1</v>
      </c>
      <c r="P139" t="n">
        <v>0</v>
      </c>
      <c r="Q139" t="n">
        <v>1</v>
      </c>
      <c r="R139" s="2" t="inlineStr">
        <is>
          <t>Slåtterfibbla</t>
        </is>
      </c>
      <c r="S139">
        <f>HYPERLINK("https://klasma.github.io/Logging_0188/artfynd/A 48131-2023 artfynd.xlsx", "A 48131-2023")</f>
        <v/>
      </c>
      <c r="T139">
        <f>HYPERLINK("https://klasma.github.io/Logging_0188/kartor/A 48131-2023 karta.png", "A 48131-2023")</f>
        <v/>
      </c>
      <c r="V139">
        <f>HYPERLINK("https://klasma.github.io/Logging_0188/klagomål/A 48131-2023 FSC-klagomål.docx", "A 48131-2023")</f>
        <v/>
      </c>
      <c r="W139">
        <f>HYPERLINK("https://klasma.github.io/Logging_0188/klagomålsmail/A 48131-2023 FSC-klagomål mail.docx", "A 48131-2023")</f>
        <v/>
      </c>
      <c r="X139">
        <f>HYPERLINK("https://klasma.github.io/Logging_0188/tillsyn/A 48131-2023 tillsynsbegäran.docx", "A 48131-2023")</f>
        <v/>
      </c>
      <c r="Y139">
        <f>HYPERLINK("https://klasma.github.io/Logging_0188/tillsynsmail/A 48131-2023 tillsynsbegäran mail.docx", "A 48131-2023")</f>
        <v/>
      </c>
    </row>
    <row r="140" ht="15" customHeight="1">
      <c r="A140" t="inlineStr">
        <is>
          <t>A 21150-2022</t>
        </is>
      </c>
      <c r="B140" s="1" t="n">
        <v>44704</v>
      </c>
      <c r="C140" s="1" t="n">
        <v>46103</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58888-2021</t>
        </is>
      </c>
      <c r="B141" s="1" t="n">
        <v>44489</v>
      </c>
      <c r="C141" s="1" t="n">
        <v>46103</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18580-2021</t>
        </is>
      </c>
      <c r="B142" s="1" t="n">
        <v>44306</v>
      </c>
      <c r="C142" s="1" t="n">
        <v>46103</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12877-2022</t>
        </is>
      </c>
      <c r="B143" s="1" t="n">
        <v>44642</v>
      </c>
      <c r="C143" s="1" t="n">
        <v>46103</v>
      </c>
      <c r="D143" t="inlineStr">
        <is>
          <t>STOCKHOLMS LÄN</t>
        </is>
      </c>
      <c r="E143" t="inlineStr">
        <is>
          <t>NORRTÄLJE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71543-2021</t>
        </is>
      </c>
      <c r="B144" s="1" t="n">
        <v>44540</v>
      </c>
      <c r="C144" s="1" t="n">
        <v>46103</v>
      </c>
      <c r="D144" t="inlineStr">
        <is>
          <t>STOCKHOLMS LÄN</t>
        </is>
      </c>
      <c r="E144" t="inlineStr">
        <is>
          <t>NORRTÄLJE</t>
        </is>
      </c>
      <c r="G144" t="n">
        <v>1.8</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46103</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46103</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46103</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46103</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46103</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46103</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46103</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24977-2022</t>
        </is>
      </c>
      <c r="B152" s="1" t="n">
        <v>44728.73465277778</v>
      </c>
      <c r="C152" s="1" t="n">
        <v>46103</v>
      </c>
      <c r="D152" t="inlineStr">
        <is>
          <t>STOCKHOLMS LÄN</t>
        </is>
      </c>
      <c r="E152" t="inlineStr">
        <is>
          <t>NORRTÄLJE</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46103</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46103</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74468-2021</t>
        </is>
      </c>
      <c r="B155" s="1" t="n">
        <v>44560</v>
      </c>
      <c r="C155" s="1" t="n">
        <v>46103</v>
      </c>
      <c r="D155" t="inlineStr">
        <is>
          <t>STOCKHOLMS LÄN</t>
        </is>
      </c>
      <c r="E155" t="inlineStr">
        <is>
          <t>NORRTÄLJE</t>
        </is>
      </c>
      <c r="G155" t="n">
        <v>0.5</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46103</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54272-2021</t>
        </is>
      </c>
      <c r="B157" s="1" t="n">
        <v>44470.72148148148</v>
      </c>
      <c r="C157" s="1" t="n">
        <v>46103</v>
      </c>
      <c r="D157" t="inlineStr">
        <is>
          <t>STOCKHOLMS LÄN</t>
        </is>
      </c>
      <c r="E157" t="inlineStr">
        <is>
          <t>NORRTÄLJE</t>
        </is>
      </c>
      <c r="G157" t="n">
        <v>5.8</v>
      </c>
      <c r="H157" t="n">
        <v>0</v>
      </c>
      <c r="I157" t="n">
        <v>0</v>
      </c>
      <c r="J157" t="n">
        <v>0</v>
      </c>
      <c r="K157" t="n">
        <v>0</v>
      </c>
      <c r="L157" t="n">
        <v>0</v>
      </c>
      <c r="M157" t="n">
        <v>0</v>
      </c>
      <c r="N157" t="n">
        <v>0</v>
      </c>
      <c r="O157" t="n">
        <v>0</v>
      </c>
      <c r="P157" t="n">
        <v>0</v>
      </c>
      <c r="Q157" t="n">
        <v>0</v>
      </c>
      <c r="R157" s="2" t="inlineStr"/>
    </row>
    <row r="158" ht="15" customHeight="1">
      <c r="A158" t="inlineStr">
        <is>
          <t>A 31283-2022</t>
        </is>
      </c>
      <c r="B158" s="1" t="n">
        <v>44771</v>
      </c>
      <c r="C158" s="1" t="n">
        <v>46103</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46103</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46103</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46103</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46103</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46103</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65737-2021</t>
        </is>
      </c>
      <c r="B164" s="1" t="n">
        <v>44516.72827546296</v>
      </c>
      <c r="C164" s="1" t="n">
        <v>46103</v>
      </c>
      <c r="D164" t="inlineStr">
        <is>
          <t>STOCKHOLMS LÄN</t>
        </is>
      </c>
      <c r="E164" t="inlineStr">
        <is>
          <t>NORRTÄLJE</t>
        </is>
      </c>
      <c r="G164" t="n">
        <v>3</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46103</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43374-2022</t>
        </is>
      </c>
      <c r="B166" s="1" t="n">
        <v>44834</v>
      </c>
      <c r="C166" s="1" t="n">
        <v>46103</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46103</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46103</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46103</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60822-2021</t>
        </is>
      </c>
      <c r="B170" s="1" t="n">
        <v>44496</v>
      </c>
      <c r="C170" s="1" t="n">
        <v>46103</v>
      </c>
      <c r="D170" t="inlineStr">
        <is>
          <t>STOCKHOLMS LÄN</t>
        </is>
      </c>
      <c r="E170" t="inlineStr">
        <is>
          <t>NORRTÄLJE</t>
        </is>
      </c>
      <c r="G170" t="n">
        <v>7.6</v>
      </c>
      <c r="H170" t="n">
        <v>0</v>
      </c>
      <c r="I170" t="n">
        <v>0</v>
      </c>
      <c r="J170" t="n">
        <v>0</v>
      </c>
      <c r="K170" t="n">
        <v>0</v>
      </c>
      <c r="L170" t="n">
        <v>0</v>
      </c>
      <c r="M170" t="n">
        <v>0</v>
      </c>
      <c r="N170" t="n">
        <v>0</v>
      </c>
      <c r="O170" t="n">
        <v>0</v>
      </c>
      <c r="P170" t="n">
        <v>0</v>
      </c>
      <c r="Q170" t="n">
        <v>0</v>
      </c>
      <c r="R170" s="2" t="inlineStr"/>
    </row>
    <row r="171" ht="15" customHeight="1">
      <c r="A171" t="inlineStr">
        <is>
          <t>A 10711-2022</t>
        </is>
      </c>
      <c r="B171" s="1" t="n">
        <v>44626</v>
      </c>
      <c r="C171" s="1" t="n">
        <v>46103</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46103</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17777-2022</t>
        </is>
      </c>
      <c r="B173" s="1" t="n">
        <v>44682.79203703703</v>
      </c>
      <c r="C173" s="1" t="n">
        <v>46103</v>
      </c>
      <c r="D173" t="inlineStr">
        <is>
          <t>STOCKHOLMS LÄN</t>
        </is>
      </c>
      <c r="E173" t="inlineStr">
        <is>
          <t>NORRTÄLJE</t>
        </is>
      </c>
      <c r="G173" t="n">
        <v>3.7</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46103</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21723-2022</t>
        </is>
      </c>
      <c r="B175" s="1" t="n">
        <v>44708</v>
      </c>
      <c r="C175" s="1" t="n">
        <v>46103</v>
      </c>
      <c r="D175" t="inlineStr">
        <is>
          <t>STOCKHOLMS LÄN</t>
        </is>
      </c>
      <c r="E175" t="inlineStr">
        <is>
          <t>NORRTÄLJE</t>
        </is>
      </c>
      <c r="G175" t="n">
        <v>0.3</v>
      </c>
      <c r="H175" t="n">
        <v>0</v>
      </c>
      <c r="I175" t="n">
        <v>0</v>
      </c>
      <c r="J175" t="n">
        <v>0</v>
      </c>
      <c r="K175" t="n">
        <v>0</v>
      </c>
      <c r="L175" t="n">
        <v>0</v>
      </c>
      <c r="M175" t="n">
        <v>0</v>
      </c>
      <c r="N175" t="n">
        <v>0</v>
      </c>
      <c r="O175" t="n">
        <v>0</v>
      </c>
      <c r="P175" t="n">
        <v>0</v>
      </c>
      <c r="Q175" t="n">
        <v>0</v>
      </c>
      <c r="R175" s="2" t="inlineStr"/>
    </row>
    <row r="176" ht="15" customHeight="1">
      <c r="A176" t="inlineStr">
        <is>
          <t>A 12816-2022</t>
        </is>
      </c>
      <c r="B176" s="1" t="n">
        <v>44642</v>
      </c>
      <c r="C176" s="1" t="n">
        <v>46103</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31807-2022</t>
        </is>
      </c>
      <c r="B177" s="1" t="n">
        <v>44776</v>
      </c>
      <c r="C177" s="1" t="n">
        <v>46103</v>
      </c>
      <c r="D177" t="inlineStr">
        <is>
          <t>STOCKHOLMS LÄN</t>
        </is>
      </c>
      <c r="E177" t="inlineStr">
        <is>
          <t>NORRTÄLJE</t>
        </is>
      </c>
      <c r="G177" t="n">
        <v>2.5</v>
      </c>
      <c r="H177" t="n">
        <v>0</v>
      </c>
      <c r="I177" t="n">
        <v>0</v>
      </c>
      <c r="J177" t="n">
        <v>0</v>
      </c>
      <c r="K177" t="n">
        <v>0</v>
      </c>
      <c r="L177" t="n">
        <v>0</v>
      </c>
      <c r="M177" t="n">
        <v>0</v>
      </c>
      <c r="N177" t="n">
        <v>0</v>
      </c>
      <c r="O177" t="n">
        <v>0</v>
      </c>
      <c r="P177" t="n">
        <v>0</v>
      </c>
      <c r="Q177" t="n">
        <v>0</v>
      </c>
      <c r="R177" s="2" t="inlineStr"/>
    </row>
    <row r="178" ht="15" customHeight="1">
      <c r="A178" t="inlineStr">
        <is>
          <t>A 28209-2022</t>
        </is>
      </c>
      <c r="B178" s="1" t="n">
        <v>44746</v>
      </c>
      <c r="C178" s="1" t="n">
        <v>46103</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46103</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46103</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46103</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46103</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46103</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46103</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46103</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46103</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46103</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46103</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46103</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46103</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46103</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46103</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46103</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46103</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46103</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46103</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46103</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46103</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46103</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46103</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46103</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46103</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46103</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46103</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46103</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46103</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46103</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46103</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46103</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46103</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46103</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46103</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17460-2021</t>
        </is>
      </c>
      <c r="B213" s="1" t="n">
        <v>44299</v>
      </c>
      <c r="C213" s="1" t="n">
        <v>46103</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46103</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46103</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46103</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46103</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22316-2022</t>
        </is>
      </c>
      <c r="B218" s="1" t="n">
        <v>44712.83118055556</v>
      </c>
      <c r="C218" s="1" t="n">
        <v>46103</v>
      </c>
      <c r="D218" t="inlineStr">
        <is>
          <t>STOCKHOLMS LÄN</t>
        </is>
      </c>
      <c r="E218" t="inlineStr">
        <is>
          <t>NORRTÄLJE</t>
        </is>
      </c>
      <c r="G218" t="n">
        <v>6.3</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46103</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46103</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46103</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46103</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46103</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46103</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46103</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46103</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46103</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46103</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46103</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46103</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46103</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26328-2022</t>
        </is>
      </c>
      <c r="B232" s="1" t="n">
        <v>44735</v>
      </c>
      <c r="C232" s="1" t="n">
        <v>46103</v>
      </c>
      <c r="D232" t="inlineStr">
        <is>
          <t>STOCKHOLMS LÄN</t>
        </is>
      </c>
      <c r="E232" t="inlineStr">
        <is>
          <t>NORRTÄLJE</t>
        </is>
      </c>
      <c r="G232" t="n">
        <v>2.8</v>
      </c>
      <c r="H232" t="n">
        <v>0</v>
      </c>
      <c r="I232" t="n">
        <v>0</v>
      </c>
      <c r="J232" t="n">
        <v>0</v>
      </c>
      <c r="K232" t="n">
        <v>0</v>
      </c>
      <c r="L232" t="n">
        <v>0</v>
      </c>
      <c r="M232" t="n">
        <v>0</v>
      </c>
      <c r="N232" t="n">
        <v>0</v>
      </c>
      <c r="O232" t="n">
        <v>0</v>
      </c>
      <c r="P232" t="n">
        <v>0</v>
      </c>
      <c r="Q232" t="n">
        <v>0</v>
      </c>
      <c r="R232" s="2" t="inlineStr"/>
    </row>
    <row r="233" ht="15" customHeight="1">
      <c r="A233" t="inlineStr">
        <is>
          <t>A 15441-2021</t>
        </is>
      </c>
      <c r="B233" s="1" t="n">
        <v>44284</v>
      </c>
      <c r="C233" s="1" t="n">
        <v>46103</v>
      </c>
      <c r="D233" t="inlineStr">
        <is>
          <t>STOCKHOLMS LÄN</t>
        </is>
      </c>
      <c r="E233" t="inlineStr">
        <is>
          <t>NORRTÄLJE</t>
        </is>
      </c>
      <c r="G233" t="n">
        <v>27</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46103</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46103</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46103</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46103</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46103</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46103</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46103</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46103</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46103</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46103</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46103</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46103</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46103</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46103</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46103</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46103</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46103</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46103</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46103</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46103</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46103</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27217-2021</t>
        </is>
      </c>
      <c r="B255" s="1" t="n">
        <v>44350</v>
      </c>
      <c r="C255" s="1" t="n">
        <v>46103</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46103</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46103</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46103</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46103</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46103</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41822-2021</t>
        </is>
      </c>
      <c r="B261" s="1" t="n">
        <v>44425</v>
      </c>
      <c r="C261" s="1" t="n">
        <v>46103</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41823-2021</t>
        </is>
      </c>
      <c r="B262" s="1" t="n">
        <v>44425</v>
      </c>
      <c r="C262" s="1" t="n">
        <v>46103</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46103</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46103</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46103</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46103</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46103</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46103</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46103</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46103</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3300-2022</t>
        </is>
      </c>
      <c r="B271" s="1" t="n">
        <v>44584.91538194445</v>
      </c>
      <c r="C271" s="1" t="n">
        <v>46103</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46103</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10521-2022</t>
        </is>
      </c>
      <c r="B273" s="1" t="n">
        <v>44623</v>
      </c>
      <c r="C273" s="1" t="n">
        <v>46103</v>
      </c>
      <c r="D273" t="inlineStr">
        <is>
          <t>STOCKHOLMS LÄN</t>
        </is>
      </c>
      <c r="E273" t="inlineStr">
        <is>
          <t>NORRTÄLJE</t>
        </is>
      </c>
      <c r="G273" t="n">
        <v>2.9</v>
      </c>
      <c r="H273" t="n">
        <v>0</v>
      </c>
      <c r="I273" t="n">
        <v>0</v>
      </c>
      <c r="J273" t="n">
        <v>0</v>
      </c>
      <c r="K273" t="n">
        <v>0</v>
      </c>
      <c r="L273" t="n">
        <v>0</v>
      </c>
      <c r="M273" t="n">
        <v>0</v>
      </c>
      <c r="N273" t="n">
        <v>0</v>
      </c>
      <c r="O273" t="n">
        <v>0</v>
      </c>
      <c r="P273" t="n">
        <v>0</v>
      </c>
      <c r="Q273" t="n">
        <v>0</v>
      </c>
      <c r="R273" s="2" t="inlineStr"/>
    </row>
    <row r="274" ht="15" customHeight="1">
      <c r="A274" t="inlineStr">
        <is>
          <t>A 17771-2022</t>
        </is>
      </c>
      <c r="B274" s="1" t="n">
        <v>44682.75924768519</v>
      </c>
      <c r="C274" s="1" t="n">
        <v>46103</v>
      </c>
      <c r="D274" t="inlineStr">
        <is>
          <t>STOCKHOLMS LÄN</t>
        </is>
      </c>
      <c r="E274" t="inlineStr">
        <is>
          <t>NORRTÄLJE</t>
        </is>
      </c>
      <c r="G274" t="n">
        <v>13.3</v>
      </c>
      <c r="H274" t="n">
        <v>0</v>
      </c>
      <c r="I274" t="n">
        <v>0</v>
      </c>
      <c r="J274" t="n">
        <v>0</v>
      </c>
      <c r="K274" t="n">
        <v>0</v>
      </c>
      <c r="L274" t="n">
        <v>0</v>
      </c>
      <c r="M274" t="n">
        <v>0</v>
      </c>
      <c r="N274" t="n">
        <v>0</v>
      </c>
      <c r="O274" t="n">
        <v>0</v>
      </c>
      <c r="P274" t="n">
        <v>0</v>
      </c>
      <c r="Q274" t="n">
        <v>0</v>
      </c>
      <c r="R274" s="2" t="inlineStr"/>
    </row>
    <row r="275" ht="15" customHeight="1">
      <c r="A275" t="inlineStr">
        <is>
          <t>A 17773-2022</t>
        </is>
      </c>
      <c r="B275" s="1" t="n">
        <v>44682.77616898148</v>
      </c>
      <c r="C275" s="1" t="n">
        <v>46103</v>
      </c>
      <c r="D275" t="inlineStr">
        <is>
          <t>STOCKHOLMS LÄN</t>
        </is>
      </c>
      <c r="E275" t="inlineStr">
        <is>
          <t>NORRTÄLJE</t>
        </is>
      </c>
      <c r="G275" t="n">
        <v>10.8</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46103</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46103</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46103</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71880-2021</t>
        </is>
      </c>
      <c r="B279" s="1" t="n">
        <v>44543</v>
      </c>
      <c r="C279" s="1" t="n">
        <v>46103</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17772-2022</t>
        </is>
      </c>
      <c r="B280" s="1" t="n">
        <v>44682.76528935185</v>
      </c>
      <c r="C280" s="1" t="n">
        <v>46103</v>
      </c>
      <c r="D280" t="inlineStr">
        <is>
          <t>STOCKHOLMS LÄN</t>
        </is>
      </c>
      <c r="E280" t="inlineStr">
        <is>
          <t>NORRTÄLJE</t>
        </is>
      </c>
      <c r="G280" t="n">
        <v>4</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46103</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24101-2022</t>
        </is>
      </c>
      <c r="B282" s="1" t="n">
        <v>44725</v>
      </c>
      <c r="C282" s="1" t="n">
        <v>46103</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46103</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46103</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46103</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46103</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60184-2021</t>
        </is>
      </c>
      <c r="B287" s="1" t="n">
        <v>44495</v>
      </c>
      <c r="C287" s="1" t="n">
        <v>46103</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27828-2022</t>
        </is>
      </c>
      <c r="B288" s="1" t="n">
        <v>44743.59765046297</v>
      </c>
      <c r="C288" s="1" t="n">
        <v>46103</v>
      </c>
      <c r="D288" t="inlineStr">
        <is>
          <t>STOCKHOLMS LÄN</t>
        </is>
      </c>
      <c r="E288" t="inlineStr">
        <is>
          <t>NORRTÄLJE</t>
        </is>
      </c>
      <c r="F288" t="inlineStr">
        <is>
          <t>Kommuner</t>
        </is>
      </c>
      <c r="G288" t="n">
        <v>1.6</v>
      </c>
      <c r="H288" t="n">
        <v>0</v>
      </c>
      <c r="I288" t="n">
        <v>0</v>
      </c>
      <c r="J288" t="n">
        <v>0</v>
      </c>
      <c r="K288" t="n">
        <v>0</v>
      </c>
      <c r="L288" t="n">
        <v>0</v>
      </c>
      <c r="M288" t="n">
        <v>0</v>
      </c>
      <c r="N288" t="n">
        <v>0</v>
      </c>
      <c r="O288" t="n">
        <v>0</v>
      </c>
      <c r="P288" t="n">
        <v>0</v>
      </c>
      <c r="Q288" t="n">
        <v>0</v>
      </c>
      <c r="R288" s="2" t="inlineStr"/>
    </row>
    <row r="289" ht="15" customHeight="1">
      <c r="A289" t="inlineStr">
        <is>
          <t>A 16229-2022</t>
        </is>
      </c>
      <c r="B289" s="1" t="n">
        <v>44670.4190162037</v>
      </c>
      <c r="C289" s="1" t="n">
        <v>46103</v>
      </c>
      <c r="D289" t="inlineStr">
        <is>
          <t>STOCKHOLMS LÄN</t>
        </is>
      </c>
      <c r="E289" t="inlineStr">
        <is>
          <t>NORRTÄLJE</t>
        </is>
      </c>
      <c r="G289" t="n">
        <v>7.4</v>
      </c>
      <c r="H289" t="n">
        <v>0</v>
      </c>
      <c r="I289" t="n">
        <v>0</v>
      </c>
      <c r="J289" t="n">
        <v>0</v>
      </c>
      <c r="K289" t="n">
        <v>0</v>
      </c>
      <c r="L289" t="n">
        <v>0</v>
      </c>
      <c r="M289" t="n">
        <v>0</v>
      </c>
      <c r="N289" t="n">
        <v>0</v>
      </c>
      <c r="O289" t="n">
        <v>0</v>
      </c>
      <c r="P289" t="n">
        <v>0</v>
      </c>
      <c r="Q289" t="n">
        <v>0</v>
      </c>
      <c r="R289" s="2" t="inlineStr"/>
    </row>
    <row r="290" ht="15" customHeight="1">
      <c r="A290" t="inlineStr">
        <is>
          <t>A 25463-2021</t>
        </is>
      </c>
      <c r="B290" s="1" t="n">
        <v>44342</v>
      </c>
      <c r="C290" s="1" t="n">
        <v>46103</v>
      </c>
      <c r="D290" t="inlineStr">
        <is>
          <t>STOCKHOLMS LÄN</t>
        </is>
      </c>
      <c r="E290" t="inlineStr">
        <is>
          <t>NORRTÄLJE</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55243-2023</t>
        </is>
      </c>
      <c r="B291" s="1" t="n">
        <v>45237</v>
      </c>
      <c r="C291" s="1" t="n">
        <v>46103</v>
      </c>
      <c r="D291" t="inlineStr">
        <is>
          <t>STOCKHOLMS LÄN</t>
        </is>
      </c>
      <c r="E291" t="inlineStr">
        <is>
          <t>NORRTÄLJE</t>
        </is>
      </c>
      <c r="G291" t="n">
        <v>6.5</v>
      </c>
      <c r="H291" t="n">
        <v>0</v>
      </c>
      <c r="I291" t="n">
        <v>0</v>
      </c>
      <c r="J291" t="n">
        <v>0</v>
      </c>
      <c r="K291" t="n">
        <v>0</v>
      </c>
      <c r="L291" t="n">
        <v>0</v>
      </c>
      <c r="M291" t="n">
        <v>0</v>
      </c>
      <c r="N291" t="n">
        <v>0</v>
      </c>
      <c r="O291" t="n">
        <v>0</v>
      </c>
      <c r="P291" t="n">
        <v>0</v>
      </c>
      <c r="Q291" t="n">
        <v>0</v>
      </c>
      <c r="R291" s="2" t="inlineStr"/>
    </row>
    <row r="292" ht="15" customHeight="1">
      <c r="A292" t="inlineStr">
        <is>
          <t>A 33226-2024</t>
        </is>
      </c>
      <c r="B292" s="1" t="n">
        <v>45518</v>
      </c>
      <c r="C292" s="1" t="n">
        <v>46103</v>
      </c>
      <c r="D292" t="inlineStr">
        <is>
          <t>STOCKHOLMS LÄN</t>
        </is>
      </c>
      <c r="E292" t="inlineStr">
        <is>
          <t>NORRTÄLJE</t>
        </is>
      </c>
      <c r="G292" t="n">
        <v>13.8</v>
      </c>
      <c r="H292" t="n">
        <v>0</v>
      </c>
      <c r="I292" t="n">
        <v>0</v>
      </c>
      <c r="J292" t="n">
        <v>0</v>
      </c>
      <c r="K292" t="n">
        <v>0</v>
      </c>
      <c r="L292" t="n">
        <v>0</v>
      </c>
      <c r="M292" t="n">
        <v>0</v>
      </c>
      <c r="N292" t="n">
        <v>0</v>
      </c>
      <c r="O292" t="n">
        <v>0</v>
      </c>
      <c r="P292" t="n">
        <v>0</v>
      </c>
      <c r="Q292" t="n">
        <v>0</v>
      </c>
      <c r="R292" s="2" t="inlineStr"/>
    </row>
    <row r="293" ht="15" customHeight="1">
      <c r="A293" t="inlineStr">
        <is>
          <t>A 52260-2022</t>
        </is>
      </c>
      <c r="B293" s="1" t="n">
        <v>44869</v>
      </c>
      <c r="C293" s="1" t="n">
        <v>46103</v>
      </c>
      <c r="D293" t="inlineStr">
        <is>
          <t>STOCKHOLMS LÄN</t>
        </is>
      </c>
      <c r="E293" t="inlineStr">
        <is>
          <t>NORRTÄLJE</t>
        </is>
      </c>
      <c r="G293" t="n">
        <v>3.1</v>
      </c>
      <c r="H293" t="n">
        <v>0</v>
      </c>
      <c r="I293" t="n">
        <v>0</v>
      </c>
      <c r="J293" t="n">
        <v>0</v>
      </c>
      <c r="K293" t="n">
        <v>0</v>
      </c>
      <c r="L293" t="n">
        <v>0</v>
      </c>
      <c r="M293" t="n">
        <v>0</v>
      </c>
      <c r="N293" t="n">
        <v>0</v>
      </c>
      <c r="O293" t="n">
        <v>0</v>
      </c>
      <c r="P293" t="n">
        <v>0</v>
      </c>
      <c r="Q293" t="n">
        <v>0</v>
      </c>
      <c r="R293" s="2" t="inlineStr"/>
    </row>
    <row r="294" ht="15" customHeight="1">
      <c r="A294" t="inlineStr">
        <is>
          <t>A 55696-2022</t>
        </is>
      </c>
      <c r="B294" s="1" t="n">
        <v>44888</v>
      </c>
      <c r="C294" s="1" t="n">
        <v>46103</v>
      </c>
      <c r="D294" t="inlineStr">
        <is>
          <t>STOCKHOLMS LÄN</t>
        </is>
      </c>
      <c r="E294" t="inlineStr">
        <is>
          <t>NORRTÄLJE</t>
        </is>
      </c>
      <c r="G294" t="n">
        <v>2.2</v>
      </c>
      <c r="H294" t="n">
        <v>0</v>
      </c>
      <c r="I294" t="n">
        <v>0</v>
      </c>
      <c r="J294" t="n">
        <v>0</v>
      </c>
      <c r="K294" t="n">
        <v>0</v>
      </c>
      <c r="L294" t="n">
        <v>0</v>
      </c>
      <c r="M294" t="n">
        <v>0</v>
      </c>
      <c r="N294" t="n">
        <v>0</v>
      </c>
      <c r="O294" t="n">
        <v>0</v>
      </c>
      <c r="P294" t="n">
        <v>0</v>
      </c>
      <c r="Q294" t="n">
        <v>0</v>
      </c>
      <c r="R294" s="2" t="inlineStr"/>
    </row>
    <row r="295" ht="15" customHeight="1">
      <c r="A295" t="inlineStr">
        <is>
          <t>A 22008-2024</t>
        </is>
      </c>
      <c r="B295" s="1" t="n">
        <v>45443</v>
      </c>
      <c r="C295" s="1" t="n">
        <v>46103</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22412-2021</t>
        </is>
      </c>
      <c r="B296" s="1" t="n">
        <v>44326.61967592593</v>
      </c>
      <c r="C296" s="1" t="n">
        <v>46103</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25557-2023</t>
        </is>
      </c>
      <c r="B297" s="1" t="n">
        <v>45089</v>
      </c>
      <c r="C297" s="1" t="n">
        <v>46103</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27715-2022</t>
        </is>
      </c>
      <c r="B298" s="1" t="n">
        <v>44743.47407407407</v>
      </c>
      <c r="C298" s="1" t="n">
        <v>46103</v>
      </c>
      <c r="D298" t="inlineStr">
        <is>
          <t>STOCKHOLMS LÄN</t>
        </is>
      </c>
      <c r="E298" t="inlineStr">
        <is>
          <t>NORRTÄLJE</t>
        </is>
      </c>
      <c r="G298" t="n">
        <v>2.2</v>
      </c>
      <c r="H298" t="n">
        <v>0</v>
      </c>
      <c r="I298" t="n">
        <v>0</v>
      </c>
      <c r="J298" t="n">
        <v>0</v>
      </c>
      <c r="K298" t="n">
        <v>0</v>
      </c>
      <c r="L298" t="n">
        <v>0</v>
      </c>
      <c r="M298" t="n">
        <v>0</v>
      </c>
      <c r="N298" t="n">
        <v>0</v>
      </c>
      <c r="O298" t="n">
        <v>0</v>
      </c>
      <c r="P298" t="n">
        <v>0</v>
      </c>
      <c r="Q298" t="n">
        <v>0</v>
      </c>
      <c r="R298" s="2" t="inlineStr"/>
    </row>
    <row r="299" ht="15" customHeight="1">
      <c r="A299" t="inlineStr">
        <is>
          <t>A 64137-2021</t>
        </is>
      </c>
      <c r="B299" s="1" t="n">
        <v>44510.51422453704</v>
      </c>
      <c r="C299" s="1" t="n">
        <v>46103</v>
      </c>
      <c r="D299" t="inlineStr">
        <is>
          <t>STOCKHOLMS LÄN</t>
        </is>
      </c>
      <c r="E299" t="inlineStr">
        <is>
          <t>NORRTÄLJE</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15915-2023</t>
        </is>
      </c>
      <c r="B300" s="1" t="n">
        <v>45022</v>
      </c>
      <c r="C300" s="1" t="n">
        <v>46103</v>
      </c>
      <c r="D300" t="inlineStr">
        <is>
          <t>STOCKHOLMS LÄN</t>
        </is>
      </c>
      <c r="E300" t="inlineStr">
        <is>
          <t>NORRTÄLJE</t>
        </is>
      </c>
      <c r="G300" t="n">
        <v>2.9</v>
      </c>
      <c r="H300" t="n">
        <v>0</v>
      </c>
      <c r="I300" t="n">
        <v>0</v>
      </c>
      <c r="J300" t="n">
        <v>0</v>
      </c>
      <c r="K300" t="n">
        <v>0</v>
      </c>
      <c r="L300" t="n">
        <v>0</v>
      </c>
      <c r="M300" t="n">
        <v>0</v>
      </c>
      <c r="N300" t="n">
        <v>0</v>
      </c>
      <c r="O300" t="n">
        <v>0</v>
      </c>
      <c r="P300" t="n">
        <v>0</v>
      </c>
      <c r="Q300" t="n">
        <v>0</v>
      </c>
      <c r="R300" s="2" t="inlineStr"/>
    </row>
    <row r="301" ht="15" customHeight="1">
      <c r="A301" t="inlineStr">
        <is>
          <t>A 29972-2024</t>
        </is>
      </c>
      <c r="B301" s="1" t="n">
        <v>45485</v>
      </c>
      <c r="C301" s="1" t="n">
        <v>46103</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46103</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48716-2023</t>
        </is>
      </c>
      <c r="B303" s="1" t="n">
        <v>45208.69671296296</v>
      </c>
      <c r="C303" s="1" t="n">
        <v>46103</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5027-2025</t>
        </is>
      </c>
      <c r="B304" s="1" t="n">
        <v>45691.41101851852</v>
      </c>
      <c r="C304" s="1" t="n">
        <v>46103</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46103</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20015-2023</t>
        </is>
      </c>
      <c r="B306" s="1" t="n">
        <v>45054</v>
      </c>
      <c r="C306" s="1" t="n">
        <v>46103</v>
      </c>
      <c r="D306" t="inlineStr">
        <is>
          <t>STOCKHOLMS LÄN</t>
        </is>
      </c>
      <c r="E306" t="inlineStr">
        <is>
          <t>NORRTÄLJE</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3273-2025</t>
        </is>
      </c>
      <c r="B307" s="1" t="n">
        <v>45679</v>
      </c>
      <c r="C307" s="1" t="n">
        <v>46103</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24245-2024</t>
        </is>
      </c>
      <c r="B308" s="1" t="n">
        <v>45457</v>
      </c>
      <c r="C308" s="1" t="n">
        <v>46103</v>
      </c>
      <c r="D308" t="inlineStr">
        <is>
          <t>STOCKHOLMS LÄN</t>
        </is>
      </c>
      <c r="E308" t="inlineStr">
        <is>
          <t>NORRTÄLJE</t>
        </is>
      </c>
      <c r="F308" t="inlineStr">
        <is>
          <t>Holmen skog AB</t>
        </is>
      </c>
      <c r="G308" t="n">
        <v>3.4</v>
      </c>
      <c r="H308" t="n">
        <v>0</v>
      </c>
      <c r="I308" t="n">
        <v>0</v>
      </c>
      <c r="J308" t="n">
        <v>0</v>
      </c>
      <c r="K308" t="n">
        <v>0</v>
      </c>
      <c r="L308" t="n">
        <v>0</v>
      </c>
      <c r="M308" t="n">
        <v>0</v>
      </c>
      <c r="N308" t="n">
        <v>0</v>
      </c>
      <c r="O308" t="n">
        <v>0</v>
      </c>
      <c r="P308" t="n">
        <v>0</v>
      </c>
      <c r="Q308" t="n">
        <v>0</v>
      </c>
      <c r="R308" s="2" t="inlineStr"/>
    </row>
    <row r="309" ht="15" customHeight="1">
      <c r="A309" t="inlineStr">
        <is>
          <t>A 21291-2021</t>
        </is>
      </c>
      <c r="B309" s="1" t="n">
        <v>44319</v>
      </c>
      <c r="C309" s="1" t="n">
        <v>46103</v>
      </c>
      <c r="D309" t="inlineStr">
        <is>
          <t>STOCKHOLMS LÄN</t>
        </is>
      </c>
      <c r="E309" t="inlineStr">
        <is>
          <t>NORRTÄLJE</t>
        </is>
      </c>
      <c r="G309" t="n">
        <v>12.7</v>
      </c>
      <c r="H309" t="n">
        <v>0</v>
      </c>
      <c r="I309" t="n">
        <v>0</v>
      </c>
      <c r="J309" t="n">
        <v>0</v>
      </c>
      <c r="K309" t="n">
        <v>0</v>
      </c>
      <c r="L309" t="n">
        <v>0</v>
      </c>
      <c r="M309" t="n">
        <v>0</v>
      </c>
      <c r="N309" t="n">
        <v>0</v>
      </c>
      <c r="O309" t="n">
        <v>0</v>
      </c>
      <c r="P309" t="n">
        <v>0</v>
      </c>
      <c r="Q309" t="n">
        <v>0</v>
      </c>
      <c r="R309" s="2" t="inlineStr"/>
    </row>
    <row r="310" ht="15" customHeight="1">
      <c r="A310" t="inlineStr">
        <is>
          <t>A 15256-2023</t>
        </is>
      </c>
      <c r="B310" s="1" t="n">
        <v>45019.3959837963</v>
      </c>
      <c r="C310" s="1" t="n">
        <v>46103</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13172-2025</t>
        </is>
      </c>
      <c r="B311" s="1" t="n">
        <v>45735.36873842592</v>
      </c>
      <c r="C311" s="1" t="n">
        <v>46103</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46103</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64145-2021</t>
        </is>
      </c>
      <c r="B313" s="1" t="n">
        <v>44510</v>
      </c>
      <c r="C313" s="1" t="n">
        <v>46103</v>
      </c>
      <c r="D313" t="inlineStr">
        <is>
          <t>STOCKHOLMS LÄN</t>
        </is>
      </c>
      <c r="E313" t="inlineStr">
        <is>
          <t>NORRTÄLJE</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1740-2023</t>
        </is>
      </c>
      <c r="B314" s="1" t="n">
        <v>44938</v>
      </c>
      <c r="C314" s="1" t="n">
        <v>46103</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4596-2023</t>
        </is>
      </c>
      <c r="B315" s="1" t="n">
        <v>44956</v>
      </c>
      <c r="C315" s="1" t="n">
        <v>46103</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22456-2023</t>
        </is>
      </c>
      <c r="B316" s="1" t="n">
        <v>45070</v>
      </c>
      <c r="C316" s="1" t="n">
        <v>46103</v>
      </c>
      <c r="D316" t="inlineStr">
        <is>
          <t>STOCKHOLMS LÄN</t>
        </is>
      </c>
      <c r="E316" t="inlineStr">
        <is>
          <t>NORRTÄLJE</t>
        </is>
      </c>
      <c r="G316" t="n">
        <v>3.1</v>
      </c>
      <c r="H316" t="n">
        <v>0</v>
      </c>
      <c r="I316" t="n">
        <v>0</v>
      </c>
      <c r="J316" t="n">
        <v>0</v>
      </c>
      <c r="K316" t="n">
        <v>0</v>
      </c>
      <c r="L316" t="n">
        <v>0</v>
      </c>
      <c r="M316" t="n">
        <v>0</v>
      </c>
      <c r="N316" t="n">
        <v>0</v>
      </c>
      <c r="O316" t="n">
        <v>0</v>
      </c>
      <c r="P316" t="n">
        <v>0</v>
      </c>
      <c r="Q316" t="n">
        <v>0</v>
      </c>
      <c r="R316" s="2" t="inlineStr"/>
    </row>
    <row r="317" ht="15" customHeight="1">
      <c r="A317" t="inlineStr">
        <is>
          <t>A 17785-2024</t>
        </is>
      </c>
      <c r="B317" s="1" t="n">
        <v>45418.6968287037</v>
      </c>
      <c r="C317" s="1" t="n">
        <v>46103</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10676-2025</t>
        </is>
      </c>
      <c r="B318" s="1" t="n">
        <v>45721.88684027778</v>
      </c>
      <c r="C318" s="1" t="n">
        <v>46103</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20852-2023</t>
        </is>
      </c>
      <c r="B319" s="1" t="n">
        <v>45058.78607638889</v>
      </c>
      <c r="C319" s="1" t="n">
        <v>46103</v>
      </c>
      <c r="D319" t="inlineStr">
        <is>
          <t>STOCKHOLMS LÄN</t>
        </is>
      </c>
      <c r="E319" t="inlineStr">
        <is>
          <t>NORRTÄLJE</t>
        </is>
      </c>
      <c r="G319" t="n">
        <v>3.5</v>
      </c>
      <c r="H319" t="n">
        <v>0</v>
      </c>
      <c r="I319" t="n">
        <v>0</v>
      </c>
      <c r="J319" t="n">
        <v>0</v>
      </c>
      <c r="K319" t="n">
        <v>0</v>
      </c>
      <c r="L319" t="n">
        <v>0</v>
      </c>
      <c r="M319" t="n">
        <v>0</v>
      </c>
      <c r="N319" t="n">
        <v>0</v>
      </c>
      <c r="O319" t="n">
        <v>0</v>
      </c>
      <c r="P319" t="n">
        <v>0</v>
      </c>
      <c r="Q319" t="n">
        <v>0</v>
      </c>
      <c r="R319" s="2" t="inlineStr"/>
    </row>
    <row r="320" ht="15" customHeight="1">
      <c r="A320" t="inlineStr">
        <is>
          <t>A 6678-2025</t>
        </is>
      </c>
      <c r="B320" s="1" t="n">
        <v>45700</v>
      </c>
      <c r="C320" s="1" t="n">
        <v>46103</v>
      </c>
      <c r="D320" t="inlineStr">
        <is>
          <t>STOCKHOLMS LÄN</t>
        </is>
      </c>
      <c r="E320" t="inlineStr">
        <is>
          <t>NORRTÄLJE</t>
        </is>
      </c>
      <c r="F320" t="inlineStr">
        <is>
          <t>Övriga Aktiebolag</t>
        </is>
      </c>
      <c r="G320" t="n">
        <v>6.6</v>
      </c>
      <c r="H320" t="n">
        <v>0</v>
      </c>
      <c r="I320" t="n">
        <v>0</v>
      </c>
      <c r="J320" t="n">
        <v>0</v>
      </c>
      <c r="K320" t="n">
        <v>0</v>
      </c>
      <c r="L320" t="n">
        <v>0</v>
      </c>
      <c r="M320" t="n">
        <v>0</v>
      </c>
      <c r="N320" t="n">
        <v>0</v>
      </c>
      <c r="O320" t="n">
        <v>0</v>
      </c>
      <c r="P320" t="n">
        <v>0</v>
      </c>
      <c r="Q320" t="n">
        <v>0</v>
      </c>
      <c r="R320" s="2" t="inlineStr"/>
    </row>
    <row r="321" ht="15" customHeight="1">
      <c r="A321" t="inlineStr">
        <is>
          <t>A 19982-2022</t>
        </is>
      </c>
      <c r="B321" s="1" t="n">
        <v>44697</v>
      </c>
      <c r="C321" s="1" t="n">
        <v>46103</v>
      </c>
      <c r="D321" t="inlineStr">
        <is>
          <t>STOCKHOLMS LÄN</t>
        </is>
      </c>
      <c r="E321" t="inlineStr">
        <is>
          <t>NORRTÄLJE</t>
        </is>
      </c>
      <c r="G321" t="n">
        <v>0.9</v>
      </c>
      <c r="H321" t="n">
        <v>0</v>
      </c>
      <c r="I321" t="n">
        <v>0</v>
      </c>
      <c r="J321" t="n">
        <v>0</v>
      </c>
      <c r="K321" t="n">
        <v>0</v>
      </c>
      <c r="L321" t="n">
        <v>0</v>
      </c>
      <c r="M321" t="n">
        <v>0</v>
      </c>
      <c r="N321" t="n">
        <v>0</v>
      </c>
      <c r="O321" t="n">
        <v>0</v>
      </c>
      <c r="P321" t="n">
        <v>0</v>
      </c>
      <c r="Q321" t="n">
        <v>0</v>
      </c>
      <c r="R321" s="2" t="inlineStr"/>
    </row>
    <row r="322" ht="15" customHeight="1">
      <c r="A322" t="inlineStr">
        <is>
          <t>A 42075-2023</t>
        </is>
      </c>
      <c r="B322" s="1" t="n">
        <v>45177</v>
      </c>
      <c r="C322" s="1" t="n">
        <v>46103</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50108-2021</t>
        </is>
      </c>
      <c r="B323" s="1" t="n">
        <v>44456</v>
      </c>
      <c r="C323" s="1" t="n">
        <v>46103</v>
      </c>
      <c r="D323" t="inlineStr">
        <is>
          <t>STOCKHOLMS LÄN</t>
        </is>
      </c>
      <c r="E323" t="inlineStr">
        <is>
          <t>NORRTÄLJE</t>
        </is>
      </c>
      <c r="G323" t="n">
        <v>0.7</v>
      </c>
      <c r="H323" t="n">
        <v>0</v>
      </c>
      <c r="I323" t="n">
        <v>0</v>
      </c>
      <c r="J323" t="n">
        <v>0</v>
      </c>
      <c r="K323" t="n">
        <v>0</v>
      </c>
      <c r="L323" t="n">
        <v>0</v>
      </c>
      <c r="M323" t="n">
        <v>0</v>
      </c>
      <c r="N323" t="n">
        <v>0</v>
      </c>
      <c r="O323" t="n">
        <v>0</v>
      </c>
      <c r="P323" t="n">
        <v>0</v>
      </c>
      <c r="Q323" t="n">
        <v>0</v>
      </c>
      <c r="R323" s="2" t="inlineStr"/>
    </row>
    <row r="324" ht="15" customHeight="1">
      <c r="A324" t="inlineStr">
        <is>
          <t>A 16620-2024</t>
        </is>
      </c>
      <c r="B324" s="1" t="n">
        <v>45408.57707175926</v>
      </c>
      <c r="C324" s="1" t="n">
        <v>46103</v>
      </c>
      <c r="D324" t="inlineStr">
        <is>
          <t>STOCKHOLMS LÄN</t>
        </is>
      </c>
      <c r="E324" t="inlineStr">
        <is>
          <t>NORRTÄLJE</t>
        </is>
      </c>
      <c r="G324" t="n">
        <v>2.7</v>
      </c>
      <c r="H324" t="n">
        <v>0</v>
      </c>
      <c r="I324" t="n">
        <v>0</v>
      </c>
      <c r="J324" t="n">
        <v>0</v>
      </c>
      <c r="K324" t="n">
        <v>0</v>
      </c>
      <c r="L324" t="n">
        <v>0</v>
      </c>
      <c r="M324" t="n">
        <v>0</v>
      </c>
      <c r="N324" t="n">
        <v>0</v>
      </c>
      <c r="O324" t="n">
        <v>0</v>
      </c>
      <c r="P324" t="n">
        <v>0</v>
      </c>
      <c r="Q324" t="n">
        <v>0</v>
      </c>
      <c r="R324" s="2" t="inlineStr"/>
    </row>
    <row r="325" ht="15" customHeight="1">
      <c r="A325" t="inlineStr">
        <is>
          <t>A 22416-2025</t>
        </is>
      </c>
      <c r="B325" s="1" t="n">
        <v>45786.55645833333</v>
      </c>
      <c r="C325" s="1" t="n">
        <v>46103</v>
      </c>
      <c r="D325" t="inlineStr">
        <is>
          <t>STOCKHOLMS LÄN</t>
        </is>
      </c>
      <c r="E325" t="inlineStr">
        <is>
          <t>NORRTÄLJE</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58785-2024</t>
        </is>
      </c>
      <c r="B326" s="1" t="n">
        <v>45635.88849537037</v>
      </c>
      <c r="C326" s="1" t="n">
        <v>46103</v>
      </c>
      <c r="D326" t="inlineStr">
        <is>
          <t>STOCKHOLMS LÄN</t>
        </is>
      </c>
      <c r="E326" t="inlineStr">
        <is>
          <t>NORRTÄLJE</t>
        </is>
      </c>
      <c r="G326" t="n">
        <v>3.3</v>
      </c>
      <c r="H326" t="n">
        <v>0</v>
      </c>
      <c r="I326" t="n">
        <v>0</v>
      </c>
      <c r="J326" t="n">
        <v>0</v>
      </c>
      <c r="K326" t="n">
        <v>0</v>
      </c>
      <c r="L326" t="n">
        <v>0</v>
      </c>
      <c r="M326" t="n">
        <v>0</v>
      </c>
      <c r="N326" t="n">
        <v>0</v>
      </c>
      <c r="O326" t="n">
        <v>0</v>
      </c>
      <c r="P326" t="n">
        <v>0</v>
      </c>
      <c r="Q326" t="n">
        <v>0</v>
      </c>
      <c r="R326" s="2" t="inlineStr"/>
    </row>
    <row r="327" ht="15" customHeight="1">
      <c r="A327" t="inlineStr">
        <is>
          <t>A 50355-2024</t>
        </is>
      </c>
      <c r="B327" s="1" t="n">
        <v>45600.86128472222</v>
      </c>
      <c r="C327" s="1" t="n">
        <v>46103</v>
      </c>
      <c r="D327" t="inlineStr">
        <is>
          <t>STOCKHOLMS LÄN</t>
        </is>
      </c>
      <c r="E327" t="inlineStr">
        <is>
          <t>NORRTÄLJE</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2182-2022</t>
        </is>
      </c>
      <c r="B328" s="1" t="n">
        <v>44578</v>
      </c>
      <c r="C328" s="1" t="n">
        <v>46103</v>
      </c>
      <c r="D328" t="inlineStr">
        <is>
          <t>STOCKHOLMS LÄN</t>
        </is>
      </c>
      <c r="E328" t="inlineStr">
        <is>
          <t>NORRTÄLJE</t>
        </is>
      </c>
      <c r="G328" t="n">
        <v>7.2</v>
      </c>
      <c r="H328" t="n">
        <v>0</v>
      </c>
      <c r="I328" t="n">
        <v>0</v>
      </c>
      <c r="J328" t="n">
        <v>0</v>
      </c>
      <c r="K328" t="n">
        <v>0</v>
      </c>
      <c r="L328" t="n">
        <v>0</v>
      </c>
      <c r="M328" t="n">
        <v>0</v>
      </c>
      <c r="N328" t="n">
        <v>0</v>
      </c>
      <c r="O328" t="n">
        <v>0</v>
      </c>
      <c r="P328" t="n">
        <v>0</v>
      </c>
      <c r="Q328" t="n">
        <v>0</v>
      </c>
      <c r="R328" s="2" t="inlineStr"/>
    </row>
    <row r="329" ht="15" customHeight="1">
      <c r="A329" t="inlineStr">
        <is>
          <t>A 55599-2025</t>
        </is>
      </c>
      <c r="B329" s="1" t="n">
        <v>45971.76810185185</v>
      </c>
      <c r="C329" s="1" t="n">
        <v>46103</v>
      </c>
      <c r="D329" t="inlineStr">
        <is>
          <t>STOCKHOLMS LÄN</t>
        </is>
      </c>
      <c r="E329" t="inlineStr">
        <is>
          <t>NORRTÄLJE</t>
        </is>
      </c>
      <c r="F329" t="inlineStr">
        <is>
          <t>Holmen skog AB</t>
        </is>
      </c>
      <c r="G329" t="n">
        <v>6.4</v>
      </c>
      <c r="H329" t="n">
        <v>0</v>
      </c>
      <c r="I329" t="n">
        <v>0</v>
      </c>
      <c r="J329" t="n">
        <v>0</v>
      </c>
      <c r="K329" t="n">
        <v>0</v>
      </c>
      <c r="L329" t="n">
        <v>0</v>
      </c>
      <c r="M329" t="n">
        <v>0</v>
      </c>
      <c r="N329" t="n">
        <v>0</v>
      </c>
      <c r="O329" t="n">
        <v>0</v>
      </c>
      <c r="P329" t="n">
        <v>0</v>
      </c>
      <c r="Q329" t="n">
        <v>0</v>
      </c>
      <c r="R329" s="2" t="inlineStr"/>
    </row>
    <row r="330" ht="15" customHeight="1">
      <c r="A330" t="inlineStr">
        <is>
          <t>A 44917-2022</t>
        </is>
      </c>
      <c r="B330" s="1" t="n">
        <v>44841.52804398148</v>
      </c>
      <c r="C330" s="1" t="n">
        <v>46103</v>
      </c>
      <c r="D330" t="inlineStr">
        <is>
          <t>STOCKHOLMS LÄN</t>
        </is>
      </c>
      <c r="E330" t="inlineStr">
        <is>
          <t>NORRTÄLJE</t>
        </is>
      </c>
      <c r="F330" t="inlineStr">
        <is>
          <t>Holmen skog AB</t>
        </is>
      </c>
      <c r="G330" t="n">
        <v>3.3</v>
      </c>
      <c r="H330" t="n">
        <v>0</v>
      </c>
      <c r="I330" t="n">
        <v>0</v>
      </c>
      <c r="J330" t="n">
        <v>0</v>
      </c>
      <c r="K330" t="n">
        <v>0</v>
      </c>
      <c r="L330" t="n">
        <v>0</v>
      </c>
      <c r="M330" t="n">
        <v>0</v>
      </c>
      <c r="N330" t="n">
        <v>0</v>
      </c>
      <c r="O330" t="n">
        <v>0</v>
      </c>
      <c r="P330" t="n">
        <v>0</v>
      </c>
      <c r="Q330" t="n">
        <v>0</v>
      </c>
      <c r="R330" s="2" t="inlineStr"/>
    </row>
    <row r="331" ht="15" customHeight="1">
      <c r="A331" t="inlineStr">
        <is>
          <t>A 13268-2025</t>
        </is>
      </c>
      <c r="B331" s="1" t="n">
        <v>45735</v>
      </c>
      <c r="C331" s="1" t="n">
        <v>46103</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56114-2025</t>
        </is>
      </c>
      <c r="B332" s="1" t="n">
        <v>45973.74474537037</v>
      </c>
      <c r="C332" s="1" t="n">
        <v>46103</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8414-2025</t>
        </is>
      </c>
      <c r="B333" s="1" t="n">
        <v>45709.39361111111</v>
      </c>
      <c r="C333" s="1" t="n">
        <v>46103</v>
      </c>
      <c r="D333" t="inlineStr">
        <is>
          <t>STOCKHOLMS LÄN</t>
        </is>
      </c>
      <c r="E333" t="inlineStr">
        <is>
          <t>NORRTÄLJE</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38720-2025</t>
        </is>
      </c>
      <c r="B334" s="1" t="n">
        <v>45886</v>
      </c>
      <c r="C334" s="1" t="n">
        <v>46103</v>
      </c>
      <c r="D334" t="inlineStr">
        <is>
          <t>STOCKHOLMS LÄN</t>
        </is>
      </c>
      <c r="E334" t="inlineStr">
        <is>
          <t>NORRTÄLJE</t>
        </is>
      </c>
      <c r="G334" t="n">
        <v>1.6</v>
      </c>
      <c r="H334" t="n">
        <v>0</v>
      </c>
      <c r="I334" t="n">
        <v>0</v>
      </c>
      <c r="J334" t="n">
        <v>0</v>
      </c>
      <c r="K334" t="n">
        <v>0</v>
      </c>
      <c r="L334" t="n">
        <v>0</v>
      </c>
      <c r="M334" t="n">
        <v>0</v>
      </c>
      <c r="N334" t="n">
        <v>0</v>
      </c>
      <c r="O334" t="n">
        <v>0</v>
      </c>
      <c r="P334" t="n">
        <v>0</v>
      </c>
      <c r="Q334" t="n">
        <v>0</v>
      </c>
      <c r="R334" s="2" t="inlineStr"/>
    </row>
    <row r="335" ht="15" customHeight="1">
      <c r="A335" t="inlineStr">
        <is>
          <t>A 55058-2021</t>
        </is>
      </c>
      <c r="B335" s="1" t="n">
        <v>44474.62141203704</v>
      </c>
      <c r="C335" s="1" t="n">
        <v>46103</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36625-2024</t>
        </is>
      </c>
      <c r="B336" s="1" t="n">
        <v>45537</v>
      </c>
      <c r="C336" s="1" t="n">
        <v>46103</v>
      </c>
      <c r="D336" t="inlineStr">
        <is>
          <t>STOCKHOLMS LÄN</t>
        </is>
      </c>
      <c r="E336" t="inlineStr">
        <is>
          <t>NORRTÄLJE</t>
        </is>
      </c>
      <c r="G336" t="n">
        <v>3.8</v>
      </c>
      <c r="H336" t="n">
        <v>0</v>
      </c>
      <c r="I336" t="n">
        <v>0</v>
      </c>
      <c r="J336" t="n">
        <v>0</v>
      </c>
      <c r="K336" t="n">
        <v>0</v>
      </c>
      <c r="L336" t="n">
        <v>0</v>
      </c>
      <c r="M336" t="n">
        <v>0</v>
      </c>
      <c r="N336" t="n">
        <v>0</v>
      </c>
      <c r="O336" t="n">
        <v>0</v>
      </c>
      <c r="P336" t="n">
        <v>0</v>
      </c>
      <c r="Q336" t="n">
        <v>0</v>
      </c>
      <c r="R336" s="2" t="inlineStr"/>
    </row>
    <row r="337" ht="15" customHeight="1">
      <c r="A337" t="inlineStr">
        <is>
          <t>A 44891-2023</t>
        </is>
      </c>
      <c r="B337" s="1" t="n">
        <v>45187</v>
      </c>
      <c r="C337" s="1" t="n">
        <v>46103</v>
      </c>
      <c r="D337" t="inlineStr">
        <is>
          <t>STOCKHOLMS LÄN</t>
        </is>
      </c>
      <c r="E337" t="inlineStr">
        <is>
          <t>NORRTÄLJE</t>
        </is>
      </c>
      <c r="G337" t="n">
        <v>15</v>
      </c>
      <c r="H337" t="n">
        <v>0</v>
      </c>
      <c r="I337" t="n">
        <v>0</v>
      </c>
      <c r="J337" t="n">
        <v>0</v>
      </c>
      <c r="K337" t="n">
        <v>0</v>
      </c>
      <c r="L337" t="n">
        <v>0</v>
      </c>
      <c r="M337" t="n">
        <v>0</v>
      </c>
      <c r="N337" t="n">
        <v>0</v>
      </c>
      <c r="O337" t="n">
        <v>0</v>
      </c>
      <c r="P337" t="n">
        <v>0</v>
      </c>
      <c r="Q337" t="n">
        <v>0</v>
      </c>
      <c r="R337" s="2" t="inlineStr"/>
    </row>
    <row r="338" ht="15" customHeight="1">
      <c r="A338" t="inlineStr">
        <is>
          <t>A 12902-2024</t>
        </is>
      </c>
      <c r="B338" s="1" t="n">
        <v>45385.38146990741</v>
      </c>
      <c r="C338" s="1" t="n">
        <v>46103</v>
      </c>
      <c r="D338" t="inlineStr">
        <is>
          <t>STOCKHOLMS LÄN</t>
        </is>
      </c>
      <c r="E338" t="inlineStr">
        <is>
          <t>NORRTÄLJE</t>
        </is>
      </c>
      <c r="G338" t="n">
        <v>3.7</v>
      </c>
      <c r="H338" t="n">
        <v>0</v>
      </c>
      <c r="I338" t="n">
        <v>0</v>
      </c>
      <c r="J338" t="n">
        <v>0</v>
      </c>
      <c r="K338" t="n">
        <v>0</v>
      </c>
      <c r="L338" t="n">
        <v>0</v>
      </c>
      <c r="M338" t="n">
        <v>0</v>
      </c>
      <c r="N338" t="n">
        <v>0</v>
      </c>
      <c r="O338" t="n">
        <v>0</v>
      </c>
      <c r="P338" t="n">
        <v>0</v>
      </c>
      <c r="Q338" t="n">
        <v>0</v>
      </c>
      <c r="R338" s="2" t="inlineStr"/>
    </row>
    <row r="339" ht="15" customHeight="1">
      <c r="A339" t="inlineStr">
        <is>
          <t>A 44032-2024</t>
        </is>
      </c>
      <c r="B339" s="1" t="n">
        <v>45572.57828703704</v>
      </c>
      <c r="C339" s="1" t="n">
        <v>46103</v>
      </c>
      <c r="D339" t="inlineStr">
        <is>
          <t>STOCKHOLMS LÄN</t>
        </is>
      </c>
      <c r="E339" t="inlineStr">
        <is>
          <t>NORRTÄLJE</t>
        </is>
      </c>
      <c r="G339" t="n">
        <v>8.6</v>
      </c>
      <c r="H339" t="n">
        <v>0</v>
      </c>
      <c r="I339" t="n">
        <v>0</v>
      </c>
      <c r="J339" t="n">
        <v>0</v>
      </c>
      <c r="K339" t="n">
        <v>0</v>
      </c>
      <c r="L339" t="n">
        <v>0</v>
      </c>
      <c r="M339" t="n">
        <v>0</v>
      </c>
      <c r="N339" t="n">
        <v>0</v>
      </c>
      <c r="O339" t="n">
        <v>0</v>
      </c>
      <c r="P339" t="n">
        <v>0</v>
      </c>
      <c r="Q339" t="n">
        <v>0</v>
      </c>
      <c r="R339" s="2" t="inlineStr"/>
    </row>
    <row r="340" ht="15" customHeight="1">
      <c r="A340" t="inlineStr">
        <is>
          <t>A 55012-2024</t>
        </is>
      </c>
      <c r="B340" s="1" t="n">
        <v>45621.34813657407</v>
      </c>
      <c r="C340" s="1" t="n">
        <v>46103</v>
      </c>
      <c r="D340" t="inlineStr">
        <is>
          <t>STOCKHOLMS LÄN</t>
        </is>
      </c>
      <c r="E340" t="inlineStr">
        <is>
          <t>NORRTÄLJE</t>
        </is>
      </c>
      <c r="F340" t="inlineStr">
        <is>
          <t>Sveaskog</t>
        </is>
      </c>
      <c r="G340" t="n">
        <v>5.2</v>
      </c>
      <c r="H340" t="n">
        <v>0</v>
      </c>
      <c r="I340" t="n">
        <v>0</v>
      </c>
      <c r="J340" t="n">
        <v>0</v>
      </c>
      <c r="K340" t="n">
        <v>0</v>
      </c>
      <c r="L340" t="n">
        <v>0</v>
      </c>
      <c r="M340" t="n">
        <v>0</v>
      </c>
      <c r="N340" t="n">
        <v>0</v>
      </c>
      <c r="O340" t="n">
        <v>0</v>
      </c>
      <c r="P340" t="n">
        <v>0</v>
      </c>
      <c r="Q340" t="n">
        <v>0</v>
      </c>
      <c r="R340" s="2" t="inlineStr"/>
    </row>
    <row r="341" ht="15" customHeight="1">
      <c r="A341" t="inlineStr">
        <is>
          <t>A 24563-2024</t>
        </is>
      </c>
      <c r="B341" s="1" t="n">
        <v>45460.44347222222</v>
      </c>
      <c r="C341" s="1" t="n">
        <v>46103</v>
      </c>
      <c r="D341" t="inlineStr">
        <is>
          <t>STOCKHOLMS LÄN</t>
        </is>
      </c>
      <c r="E341" t="inlineStr">
        <is>
          <t>NORRTÄLJE</t>
        </is>
      </c>
      <c r="G341" t="n">
        <v>1.9</v>
      </c>
      <c r="H341" t="n">
        <v>0</v>
      </c>
      <c r="I341" t="n">
        <v>0</v>
      </c>
      <c r="J341" t="n">
        <v>0</v>
      </c>
      <c r="K341" t="n">
        <v>0</v>
      </c>
      <c r="L341" t="n">
        <v>0</v>
      </c>
      <c r="M341" t="n">
        <v>0</v>
      </c>
      <c r="N341" t="n">
        <v>0</v>
      </c>
      <c r="O341" t="n">
        <v>0</v>
      </c>
      <c r="P341" t="n">
        <v>0</v>
      </c>
      <c r="Q341" t="n">
        <v>0</v>
      </c>
      <c r="R341" s="2" t="inlineStr"/>
    </row>
    <row r="342" ht="15" customHeight="1">
      <c r="A342" t="inlineStr">
        <is>
          <t>A 39237-2024</t>
        </is>
      </c>
      <c r="B342" s="1" t="n">
        <v>45549</v>
      </c>
      <c r="C342" s="1" t="n">
        <v>46103</v>
      </c>
      <c r="D342" t="inlineStr">
        <is>
          <t>STOCKHOLMS LÄN</t>
        </is>
      </c>
      <c r="E342" t="inlineStr">
        <is>
          <t>NORRTÄLJE</t>
        </is>
      </c>
      <c r="G342" t="n">
        <v>13.3</v>
      </c>
      <c r="H342" t="n">
        <v>0</v>
      </c>
      <c r="I342" t="n">
        <v>0</v>
      </c>
      <c r="J342" t="n">
        <v>0</v>
      </c>
      <c r="K342" t="n">
        <v>0</v>
      </c>
      <c r="L342" t="n">
        <v>0</v>
      </c>
      <c r="M342" t="n">
        <v>0</v>
      </c>
      <c r="N342" t="n">
        <v>0</v>
      </c>
      <c r="O342" t="n">
        <v>0</v>
      </c>
      <c r="P342" t="n">
        <v>0</v>
      </c>
      <c r="Q342" t="n">
        <v>0</v>
      </c>
      <c r="R342" s="2" t="inlineStr"/>
    </row>
    <row r="343" ht="15" customHeight="1">
      <c r="A343" t="inlineStr">
        <is>
          <t>A 45746-2024</t>
        </is>
      </c>
      <c r="B343" s="1" t="n">
        <v>45579</v>
      </c>
      <c r="C343" s="1" t="n">
        <v>46103</v>
      </c>
      <c r="D343" t="inlineStr">
        <is>
          <t>STOCKHOLMS LÄN</t>
        </is>
      </c>
      <c r="E343" t="inlineStr">
        <is>
          <t>NORRTÄLJE</t>
        </is>
      </c>
      <c r="G343" t="n">
        <v>3.3</v>
      </c>
      <c r="H343" t="n">
        <v>0</v>
      </c>
      <c r="I343" t="n">
        <v>0</v>
      </c>
      <c r="J343" t="n">
        <v>0</v>
      </c>
      <c r="K343" t="n">
        <v>0</v>
      </c>
      <c r="L343" t="n">
        <v>0</v>
      </c>
      <c r="M343" t="n">
        <v>0</v>
      </c>
      <c r="N343" t="n">
        <v>0</v>
      </c>
      <c r="O343" t="n">
        <v>0</v>
      </c>
      <c r="P343" t="n">
        <v>0</v>
      </c>
      <c r="Q343" t="n">
        <v>0</v>
      </c>
      <c r="R343" s="2" t="inlineStr"/>
    </row>
    <row r="344" ht="15" customHeight="1">
      <c r="A344" t="inlineStr">
        <is>
          <t>A 8400-2024</t>
        </is>
      </c>
      <c r="B344" s="1" t="n">
        <v>45352.74090277778</v>
      </c>
      <c r="C344" s="1" t="n">
        <v>46103</v>
      </c>
      <c r="D344" t="inlineStr">
        <is>
          <t>STOCKHOLMS LÄN</t>
        </is>
      </c>
      <c r="E344" t="inlineStr">
        <is>
          <t>NORRTÄLJE</t>
        </is>
      </c>
      <c r="G344" t="n">
        <v>4.7</v>
      </c>
      <c r="H344" t="n">
        <v>0</v>
      </c>
      <c r="I344" t="n">
        <v>0</v>
      </c>
      <c r="J344" t="n">
        <v>0</v>
      </c>
      <c r="K344" t="n">
        <v>0</v>
      </c>
      <c r="L344" t="n">
        <v>0</v>
      </c>
      <c r="M344" t="n">
        <v>0</v>
      </c>
      <c r="N344" t="n">
        <v>0</v>
      </c>
      <c r="O344" t="n">
        <v>0</v>
      </c>
      <c r="P344" t="n">
        <v>0</v>
      </c>
      <c r="Q344" t="n">
        <v>0</v>
      </c>
      <c r="R344" s="2" t="inlineStr"/>
    </row>
    <row r="345" ht="15" customHeight="1">
      <c r="A345" t="inlineStr">
        <is>
          <t>A 7413-2024</t>
        </is>
      </c>
      <c r="B345" s="1" t="n">
        <v>45345.6059837963</v>
      </c>
      <c r="C345" s="1" t="n">
        <v>46103</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12251-2025</t>
        </is>
      </c>
      <c r="B346" s="1" t="n">
        <v>45729.60859953704</v>
      </c>
      <c r="C346" s="1" t="n">
        <v>46103</v>
      </c>
      <c r="D346" t="inlineStr">
        <is>
          <t>STOCKHOLMS LÄN</t>
        </is>
      </c>
      <c r="E346" t="inlineStr">
        <is>
          <t>NORRTÄLJE</t>
        </is>
      </c>
      <c r="F346" t="inlineStr">
        <is>
          <t>Holmen skog AB</t>
        </is>
      </c>
      <c r="G346" t="n">
        <v>5.9</v>
      </c>
      <c r="H346" t="n">
        <v>0</v>
      </c>
      <c r="I346" t="n">
        <v>0</v>
      </c>
      <c r="J346" t="n">
        <v>0</v>
      </c>
      <c r="K346" t="n">
        <v>0</v>
      </c>
      <c r="L346" t="n">
        <v>0</v>
      </c>
      <c r="M346" t="n">
        <v>0</v>
      </c>
      <c r="N346" t="n">
        <v>0</v>
      </c>
      <c r="O346" t="n">
        <v>0</v>
      </c>
      <c r="P346" t="n">
        <v>0</v>
      </c>
      <c r="Q346" t="n">
        <v>0</v>
      </c>
      <c r="R346" s="2" t="inlineStr"/>
    </row>
    <row r="347" ht="15" customHeight="1">
      <c r="A347" t="inlineStr">
        <is>
          <t>A 56207-2025</t>
        </is>
      </c>
      <c r="B347" s="1" t="n">
        <v>45974.47329861111</v>
      </c>
      <c r="C347" s="1" t="n">
        <v>46103</v>
      </c>
      <c r="D347" t="inlineStr">
        <is>
          <t>STOCKHOLMS LÄN</t>
        </is>
      </c>
      <c r="E347" t="inlineStr">
        <is>
          <t>NORRTÄLJE</t>
        </is>
      </c>
      <c r="G347" t="n">
        <v>3.2</v>
      </c>
      <c r="H347" t="n">
        <v>0</v>
      </c>
      <c r="I347" t="n">
        <v>0</v>
      </c>
      <c r="J347" t="n">
        <v>0</v>
      </c>
      <c r="K347" t="n">
        <v>0</v>
      </c>
      <c r="L347" t="n">
        <v>0</v>
      </c>
      <c r="M347" t="n">
        <v>0</v>
      </c>
      <c r="N347" t="n">
        <v>0</v>
      </c>
      <c r="O347" t="n">
        <v>0</v>
      </c>
      <c r="P347" t="n">
        <v>0</v>
      </c>
      <c r="Q347" t="n">
        <v>0</v>
      </c>
      <c r="R347" s="2" t="inlineStr"/>
    </row>
    <row r="348" ht="15" customHeight="1">
      <c r="A348" t="inlineStr">
        <is>
          <t>A 58863-2024</t>
        </is>
      </c>
      <c r="B348" s="1" t="n">
        <v>45636.41572916666</v>
      </c>
      <c r="C348" s="1" t="n">
        <v>46103</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50154-2024</t>
        </is>
      </c>
      <c r="B349" s="1" t="n">
        <v>45600.4558912037</v>
      </c>
      <c r="C349" s="1" t="n">
        <v>46103</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38593-2025</t>
        </is>
      </c>
      <c r="B350" s="1" t="n">
        <v>45884.48696759259</v>
      </c>
      <c r="C350" s="1" t="n">
        <v>46103</v>
      </c>
      <c r="D350" t="inlineStr">
        <is>
          <t>STOCKHOLMS LÄN</t>
        </is>
      </c>
      <c r="E350" t="inlineStr">
        <is>
          <t>NORRTÄLJE</t>
        </is>
      </c>
      <c r="G350" t="n">
        <v>3</v>
      </c>
      <c r="H350" t="n">
        <v>0</v>
      </c>
      <c r="I350" t="n">
        <v>0</v>
      </c>
      <c r="J350" t="n">
        <v>0</v>
      </c>
      <c r="K350" t="n">
        <v>0</v>
      </c>
      <c r="L350" t="n">
        <v>0</v>
      </c>
      <c r="M350" t="n">
        <v>0</v>
      </c>
      <c r="N350" t="n">
        <v>0</v>
      </c>
      <c r="O350" t="n">
        <v>0</v>
      </c>
      <c r="P350" t="n">
        <v>0</v>
      </c>
      <c r="Q350" t="n">
        <v>0</v>
      </c>
      <c r="R350" s="2" t="inlineStr"/>
    </row>
    <row r="351" ht="15" customHeight="1">
      <c r="A351" t="inlineStr">
        <is>
          <t>A 11900-2024</t>
        </is>
      </c>
      <c r="B351" s="1" t="n">
        <v>45376.55484953704</v>
      </c>
      <c r="C351" s="1" t="n">
        <v>46103</v>
      </c>
      <c r="D351" t="inlineStr">
        <is>
          <t>STOCKHOLMS LÄN</t>
        </is>
      </c>
      <c r="E351" t="inlineStr">
        <is>
          <t>NORRTÄLJE</t>
        </is>
      </c>
      <c r="G351" t="n">
        <v>4.2</v>
      </c>
      <c r="H351" t="n">
        <v>0</v>
      </c>
      <c r="I351" t="n">
        <v>0</v>
      </c>
      <c r="J351" t="n">
        <v>0</v>
      </c>
      <c r="K351" t="n">
        <v>0</v>
      </c>
      <c r="L351" t="n">
        <v>0</v>
      </c>
      <c r="M351" t="n">
        <v>0</v>
      </c>
      <c r="N351" t="n">
        <v>0</v>
      </c>
      <c r="O351" t="n">
        <v>0</v>
      </c>
      <c r="P351" t="n">
        <v>0</v>
      </c>
      <c r="Q351" t="n">
        <v>0</v>
      </c>
      <c r="R351" s="2" t="inlineStr"/>
    </row>
    <row r="352" ht="15" customHeight="1">
      <c r="A352" t="inlineStr">
        <is>
          <t>A 42867-2022</t>
        </is>
      </c>
      <c r="B352" s="1" t="n">
        <v>44832</v>
      </c>
      <c r="C352" s="1" t="n">
        <v>46103</v>
      </c>
      <c r="D352" t="inlineStr">
        <is>
          <t>STOCKHOLMS LÄN</t>
        </is>
      </c>
      <c r="E352" t="inlineStr">
        <is>
          <t>NORRTÄLJE</t>
        </is>
      </c>
      <c r="G352" t="n">
        <v>6.4</v>
      </c>
      <c r="H352" t="n">
        <v>0</v>
      </c>
      <c r="I352" t="n">
        <v>0</v>
      </c>
      <c r="J352" t="n">
        <v>0</v>
      </c>
      <c r="K352" t="n">
        <v>0</v>
      </c>
      <c r="L352" t="n">
        <v>0</v>
      </c>
      <c r="M352" t="n">
        <v>0</v>
      </c>
      <c r="N352" t="n">
        <v>0</v>
      </c>
      <c r="O352" t="n">
        <v>0</v>
      </c>
      <c r="P352" t="n">
        <v>0</v>
      </c>
      <c r="Q352" t="n">
        <v>0</v>
      </c>
      <c r="R352" s="2" t="inlineStr"/>
    </row>
    <row r="353" ht="15" customHeight="1">
      <c r="A353" t="inlineStr">
        <is>
          <t>A 23749-2024</t>
        </is>
      </c>
      <c r="B353" s="1" t="n">
        <v>45455.33037037037</v>
      </c>
      <c r="C353" s="1" t="n">
        <v>46103</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58277-2023</t>
        </is>
      </c>
      <c r="B354" s="1" t="n">
        <v>45245</v>
      </c>
      <c r="C354" s="1" t="n">
        <v>46103</v>
      </c>
      <c r="D354" t="inlineStr">
        <is>
          <t>STOCKHOLMS LÄN</t>
        </is>
      </c>
      <c r="E354" t="inlineStr">
        <is>
          <t>NORRTÄLJE</t>
        </is>
      </c>
      <c r="G354" t="n">
        <v>1.3</v>
      </c>
      <c r="H354" t="n">
        <v>0</v>
      </c>
      <c r="I354" t="n">
        <v>0</v>
      </c>
      <c r="J354" t="n">
        <v>0</v>
      </c>
      <c r="K354" t="n">
        <v>0</v>
      </c>
      <c r="L354" t="n">
        <v>0</v>
      </c>
      <c r="M354" t="n">
        <v>0</v>
      </c>
      <c r="N354" t="n">
        <v>0</v>
      </c>
      <c r="O354" t="n">
        <v>0</v>
      </c>
      <c r="P354" t="n">
        <v>0</v>
      </c>
      <c r="Q354" t="n">
        <v>0</v>
      </c>
      <c r="R354" s="2" t="inlineStr"/>
    </row>
    <row r="355" ht="15" customHeight="1">
      <c r="A355" t="inlineStr">
        <is>
          <t>A 27677-2025</t>
        </is>
      </c>
      <c r="B355" s="1" t="n">
        <v>45813.63650462963</v>
      </c>
      <c r="C355" s="1" t="n">
        <v>46103</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39152-2025</t>
        </is>
      </c>
      <c r="B356" s="1" t="n">
        <v>45888</v>
      </c>
      <c r="C356" s="1" t="n">
        <v>46103</v>
      </c>
      <c r="D356" t="inlineStr">
        <is>
          <t>STOCKHOLMS LÄN</t>
        </is>
      </c>
      <c r="E356" t="inlineStr">
        <is>
          <t>NORRTÄLJE</t>
        </is>
      </c>
      <c r="G356" t="n">
        <v>4.6</v>
      </c>
      <c r="H356" t="n">
        <v>0</v>
      </c>
      <c r="I356" t="n">
        <v>0</v>
      </c>
      <c r="J356" t="n">
        <v>0</v>
      </c>
      <c r="K356" t="n">
        <v>0</v>
      </c>
      <c r="L356" t="n">
        <v>0</v>
      </c>
      <c r="M356" t="n">
        <v>0</v>
      </c>
      <c r="N356" t="n">
        <v>0</v>
      </c>
      <c r="O356" t="n">
        <v>0</v>
      </c>
      <c r="P356" t="n">
        <v>0</v>
      </c>
      <c r="Q356" t="n">
        <v>0</v>
      </c>
      <c r="R356" s="2" t="inlineStr"/>
    </row>
    <row r="357" ht="15" customHeight="1">
      <c r="A357" t="inlineStr">
        <is>
          <t>A 32705-2022</t>
        </is>
      </c>
      <c r="B357" s="1" t="n">
        <v>44783</v>
      </c>
      <c r="C357" s="1" t="n">
        <v>46103</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47481-2024</t>
        </is>
      </c>
      <c r="B358" s="1" t="n">
        <v>45587</v>
      </c>
      <c r="C358" s="1" t="n">
        <v>46103</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57037-2022</t>
        </is>
      </c>
      <c r="B359" s="1" t="n">
        <v>44895</v>
      </c>
      <c r="C359" s="1" t="n">
        <v>46103</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11940-2023</t>
        </is>
      </c>
      <c r="B360" s="1" t="n">
        <v>44995</v>
      </c>
      <c r="C360" s="1" t="n">
        <v>46103</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58403-2025</t>
        </is>
      </c>
      <c r="B361" s="1" t="n">
        <v>45985.56777777777</v>
      </c>
      <c r="C361" s="1" t="n">
        <v>46103</v>
      </c>
      <c r="D361" t="inlineStr">
        <is>
          <t>STOCKHOLMS LÄN</t>
        </is>
      </c>
      <c r="E361" t="inlineStr">
        <is>
          <t>NORRTÄLJE</t>
        </is>
      </c>
      <c r="F361" t="inlineStr">
        <is>
          <t>Naturvårdsverket</t>
        </is>
      </c>
      <c r="G361" t="n">
        <v>13.5</v>
      </c>
      <c r="H361" t="n">
        <v>0</v>
      </c>
      <c r="I361" t="n">
        <v>0</v>
      </c>
      <c r="J361" t="n">
        <v>0</v>
      </c>
      <c r="K361" t="n">
        <v>0</v>
      </c>
      <c r="L361" t="n">
        <v>0</v>
      </c>
      <c r="M361" t="n">
        <v>0</v>
      </c>
      <c r="N361" t="n">
        <v>0</v>
      </c>
      <c r="O361" t="n">
        <v>0</v>
      </c>
      <c r="P361" t="n">
        <v>0</v>
      </c>
      <c r="Q361" t="n">
        <v>0</v>
      </c>
      <c r="R361" s="2" t="inlineStr"/>
    </row>
    <row r="362" ht="15" customHeight="1">
      <c r="A362" t="inlineStr">
        <is>
          <t>A 39149-2025</t>
        </is>
      </c>
      <c r="B362" s="1" t="n">
        <v>45888.60714120371</v>
      </c>
      <c r="C362" s="1" t="n">
        <v>46103</v>
      </c>
      <c r="D362" t="inlineStr">
        <is>
          <t>STOCKHOLMS LÄN</t>
        </is>
      </c>
      <c r="E362" t="inlineStr">
        <is>
          <t>NORRTÄLJE</t>
        </is>
      </c>
      <c r="G362" t="n">
        <v>3.5</v>
      </c>
      <c r="H362" t="n">
        <v>0</v>
      </c>
      <c r="I362" t="n">
        <v>0</v>
      </c>
      <c r="J362" t="n">
        <v>0</v>
      </c>
      <c r="K362" t="n">
        <v>0</v>
      </c>
      <c r="L362" t="n">
        <v>0</v>
      </c>
      <c r="M362" t="n">
        <v>0</v>
      </c>
      <c r="N362" t="n">
        <v>0</v>
      </c>
      <c r="O362" t="n">
        <v>0</v>
      </c>
      <c r="P362" t="n">
        <v>0</v>
      </c>
      <c r="Q362" t="n">
        <v>0</v>
      </c>
      <c r="R362" s="2" t="inlineStr"/>
    </row>
    <row r="363" ht="15" customHeight="1">
      <c r="A363" t="inlineStr">
        <is>
          <t>A 2281-2024</t>
        </is>
      </c>
      <c r="B363" s="1" t="n">
        <v>45310.40628472222</v>
      </c>
      <c r="C363" s="1" t="n">
        <v>46103</v>
      </c>
      <c r="D363" t="inlineStr">
        <is>
          <t>STOCKHOLMS LÄN</t>
        </is>
      </c>
      <c r="E363" t="inlineStr">
        <is>
          <t>NORRTÄLJE</t>
        </is>
      </c>
      <c r="G363" t="n">
        <v>2.7</v>
      </c>
      <c r="H363" t="n">
        <v>0</v>
      </c>
      <c r="I363" t="n">
        <v>0</v>
      </c>
      <c r="J363" t="n">
        <v>0</v>
      </c>
      <c r="K363" t="n">
        <v>0</v>
      </c>
      <c r="L363" t="n">
        <v>0</v>
      </c>
      <c r="M363" t="n">
        <v>0</v>
      </c>
      <c r="N363" t="n">
        <v>0</v>
      </c>
      <c r="O363" t="n">
        <v>0</v>
      </c>
      <c r="P363" t="n">
        <v>0</v>
      </c>
      <c r="Q363" t="n">
        <v>0</v>
      </c>
      <c r="R363" s="2" t="inlineStr"/>
    </row>
    <row r="364" ht="15" customHeight="1">
      <c r="A364" t="inlineStr">
        <is>
          <t>A 58142-2025</t>
        </is>
      </c>
      <c r="B364" s="1" t="n">
        <v>45982.63791666667</v>
      </c>
      <c r="C364" s="1" t="n">
        <v>46103</v>
      </c>
      <c r="D364" t="inlineStr">
        <is>
          <t>STOCKHOLMS LÄN</t>
        </is>
      </c>
      <c r="E364" t="inlineStr">
        <is>
          <t>NORRTÄLJE</t>
        </is>
      </c>
      <c r="G364" t="n">
        <v>3.3</v>
      </c>
      <c r="H364" t="n">
        <v>0</v>
      </c>
      <c r="I364" t="n">
        <v>0</v>
      </c>
      <c r="J364" t="n">
        <v>0</v>
      </c>
      <c r="K364" t="n">
        <v>0</v>
      </c>
      <c r="L364" t="n">
        <v>0</v>
      </c>
      <c r="M364" t="n">
        <v>0</v>
      </c>
      <c r="N364" t="n">
        <v>0</v>
      </c>
      <c r="O364" t="n">
        <v>0</v>
      </c>
      <c r="P364" t="n">
        <v>0</v>
      </c>
      <c r="Q364" t="n">
        <v>0</v>
      </c>
      <c r="R364" s="2" t="inlineStr"/>
    </row>
    <row r="365" ht="15" customHeight="1">
      <c r="A365" t="inlineStr">
        <is>
          <t>A 60525-2022</t>
        </is>
      </c>
      <c r="B365" s="1" t="n">
        <v>44904</v>
      </c>
      <c r="C365" s="1" t="n">
        <v>46103</v>
      </c>
      <c r="D365" t="inlineStr">
        <is>
          <t>STOCKHOLMS LÄN</t>
        </is>
      </c>
      <c r="E365" t="inlineStr">
        <is>
          <t>NORRTÄLJE</t>
        </is>
      </c>
      <c r="G365" t="n">
        <v>13.4</v>
      </c>
      <c r="H365" t="n">
        <v>0</v>
      </c>
      <c r="I365" t="n">
        <v>0</v>
      </c>
      <c r="J365" t="n">
        <v>0</v>
      </c>
      <c r="K365" t="n">
        <v>0</v>
      </c>
      <c r="L365" t="n">
        <v>0</v>
      </c>
      <c r="M365" t="n">
        <v>0</v>
      </c>
      <c r="N365" t="n">
        <v>0</v>
      </c>
      <c r="O365" t="n">
        <v>0</v>
      </c>
      <c r="P365" t="n">
        <v>0</v>
      </c>
      <c r="Q365" t="n">
        <v>0</v>
      </c>
      <c r="R365" s="2" t="inlineStr"/>
    </row>
    <row r="366" ht="15" customHeight="1">
      <c r="A366" t="inlineStr">
        <is>
          <t>A 57953-2025</t>
        </is>
      </c>
      <c r="B366" s="1" t="n">
        <v>45982.35016203704</v>
      </c>
      <c r="C366" s="1" t="n">
        <v>46103</v>
      </c>
      <c r="D366" t="inlineStr">
        <is>
          <t>STOCKHOLMS LÄN</t>
        </is>
      </c>
      <c r="E366" t="inlineStr">
        <is>
          <t>NORRTÄLJE</t>
        </is>
      </c>
      <c r="F366" t="inlineStr">
        <is>
          <t>Sveaskog</t>
        </is>
      </c>
      <c r="G366" t="n">
        <v>3</v>
      </c>
      <c r="H366" t="n">
        <v>0</v>
      </c>
      <c r="I366" t="n">
        <v>0</v>
      </c>
      <c r="J366" t="n">
        <v>0</v>
      </c>
      <c r="K366" t="n">
        <v>0</v>
      </c>
      <c r="L366" t="n">
        <v>0</v>
      </c>
      <c r="M366" t="n">
        <v>0</v>
      </c>
      <c r="N366" t="n">
        <v>0</v>
      </c>
      <c r="O366" t="n">
        <v>0</v>
      </c>
      <c r="P366" t="n">
        <v>0</v>
      </c>
      <c r="Q366" t="n">
        <v>0</v>
      </c>
      <c r="R366" s="2" t="inlineStr"/>
    </row>
    <row r="367" ht="15" customHeight="1">
      <c r="A367" t="inlineStr">
        <is>
          <t>A 39692-2025</t>
        </is>
      </c>
      <c r="B367" s="1" t="n">
        <v>45890.68083333333</v>
      </c>
      <c r="C367" s="1" t="n">
        <v>46103</v>
      </c>
      <c r="D367" t="inlineStr">
        <is>
          <t>STOCKHOLMS LÄN</t>
        </is>
      </c>
      <c r="E367" t="inlineStr">
        <is>
          <t>NORRTÄLJE</t>
        </is>
      </c>
      <c r="G367" t="n">
        <v>10.5</v>
      </c>
      <c r="H367" t="n">
        <v>0</v>
      </c>
      <c r="I367" t="n">
        <v>0</v>
      </c>
      <c r="J367" t="n">
        <v>0</v>
      </c>
      <c r="K367" t="n">
        <v>0</v>
      </c>
      <c r="L367" t="n">
        <v>0</v>
      </c>
      <c r="M367" t="n">
        <v>0</v>
      </c>
      <c r="N367" t="n">
        <v>0</v>
      </c>
      <c r="O367" t="n">
        <v>0</v>
      </c>
      <c r="P367" t="n">
        <v>0</v>
      </c>
      <c r="Q367" t="n">
        <v>0</v>
      </c>
      <c r="R367" s="2" t="inlineStr"/>
    </row>
    <row r="368" ht="15" customHeight="1">
      <c r="A368" t="inlineStr">
        <is>
          <t>A 58939-2025</t>
        </is>
      </c>
      <c r="B368" s="1" t="n">
        <v>45987.5681712963</v>
      </c>
      <c r="C368" s="1" t="n">
        <v>46103</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39213-2022</t>
        </is>
      </c>
      <c r="B369" s="1" t="n">
        <v>44817.56120370371</v>
      </c>
      <c r="C369" s="1" t="n">
        <v>46103</v>
      </c>
      <c r="D369" t="inlineStr">
        <is>
          <t>STOCKHOLMS LÄN</t>
        </is>
      </c>
      <c r="E369" t="inlineStr">
        <is>
          <t>NORRTÄLJE</t>
        </is>
      </c>
      <c r="G369" t="n">
        <v>3.4</v>
      </c>
      <c r="H369" t="n">
        <v>0</v>
      </c>
      <c r="I369" t="n">
        <v>0</v>
      </c>
      <c r="J369" t="n">
        <v>0</v>
      </c>
      <c r="K369" t="n">
        <v>0</v>
      </c>
      <c r="L369" t="n">
        <v>0</v>
      </c>
      <c r="M369" t="n">
        <v>0</v>
      </c>
      <c r="N369" t="n">
        <v>0</v>
      </c>
      <c r="O369" t="n">
        <v>0</v>
      </c>
      <c r="P369" t="n">
        <v>0</v>
      </c>
      <c r="Q369" t="n">
        <v>0</v>
      </c>
      <c r="R369" s="2" t="inlineStr"/>
    </row>
    <row r="370" ht="15" customHeight="1">
      <c r="A370" t="inlineStr">
        <is>
          <t>A 35639-2025</t>
        </is>
      </c>
      <c r="B370" s="1" t="n">
        <v>45859</v>
      </c>
      <c r="C370" s="1" t="n">
        <v>46103</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41976-2024</t>
        </is>
      </c>
      <c r="B371" s="1" t="n">
        <v>45561.62141203704</v>
      </c>
      <c r="C371" s="1" t="n">
        <v>46103</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51325-2023</t>
        </is>
      </c>
      <c r="B372" s="1" t="n">
        <v>45219</v>
      </c>
      <c r="C372" s="1" t="n">
        <v>46103</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35636-2025</t>
        </is>
      </c>
      <c r="B373" s="1" t="n">
        <v>45859</v>
      </c>
      <c r="C373" s="1" t="n">
        <v>46103</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59534-2024</t>
        </is>
      </c>
      <c r="B374" s="1" t="n">
        <v>45638.5987037037</v>
      </c>
      <c r="C374" s="1" t="n">
        <v>46103</v>
      </c>
      <c r="D374" t="inlineStr">
        <is>
          <t>STOCKHOLMS LÄN</t>
        </is>
      </c>
      <c r="E374" t="inlineStr">
        <is>
          <t>NORRTÄLJE</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31107-2022</t>
        </is>
      </c>
      <c r="B375" s="1" t="n">
        <v>44769.66864583334</v>
      </c>
      <c r="C375" s="1" t="n">
        <v>46103</v>
      </c>
      <c r="D375" t="inlineStr">
        <is>
          <t>STOCKHOLMS LÄN</t>
        </is>
      </c>
      <c r="E375" t="inlineStr">
        <is>
          <t>NORRTÄLJE</t>
        </is>
      </c>
      <c r="G375" t="n">
        <v>3.8</v>
      </c>
      <c r="H375" t="n">
        <v>0</v>
      </c>
      <c r="I375" t="n">
        <v>0</v>
      </c>
      <c r="J375" t="n">
        <v>0</v>
      </c>
      <c r="K375" t="n">
        <v>0</v>
      </c>
      <c r="L375" t="n">
        <v>0</v>
      </c>
      <c r="M375" t="n">
        <v>0</v>
      </c>
      <c r="N375" t="n">
        <v>0</v>
      </c>
      <c r="O375" t="n">
        <v>0</v>
      </c>
      <c r="P375" t="n">
        <v>0</v>
      </c>
      <c r="Q375" t="n">
        <v>0</v>
      </c>
      <c r="R375" s="2" t="inlineStr"/>
    </row>
    <row r="376" ht="15" customHeight="1">
      <c r="A376" t="inlineStr">
        <is>
          <t>A 13860-2023</t>
        </is>
      </c>
      <c r="B376" s="1" t="n">
        <v>45007</v>
      </c>
      <c r="C376" s="1" t="n">
        <v>46103</v>
      </c>
      <c r="D376" t="inlineStr">
        <is>
          <t>STOCKHOLMS LÄN</t>
        </is>
      </c>
      <c r="E376" t="inlineStr">
        <is>
          <t>NORRTÄLJE</t>
        </is>
      </c>
      <c r="G376" t="n">
        <v>1.6</v>
      </c>
      <c r="H376" t="n">
        <v>0</v>
      </c>
      <c r="I376" t="n">
        <v>0</v>
      </c>
      <c r="J376" t="n">
        <v>0</v>
      </c>
      <c r="K376" t="n">
        <v>0</v>
      </c>
      <c r="L376" t="n">
        <v>0</v>
      </c>
      <c r="M376" t="n">
        <v>0</v>
      </c>
      <c r="N376" t="n">
        <v>0</v>
      </c>
      <c r="O376" t="n">
        <v>0</v>
      </c>
      <c r="P376" t="n">
        <v>0</v>
      </c>
      <c r="Q376" t="n">
        <v>0</v>
      </c>
      <c r="R376" s="2" t="inlineStr"/>
    </row>
    <row r="377" ht="15" customHeight="1">
      <c r="A377" t="inlineStr">
        <is>
          <t>A 6855-2025</t>
        </is>
      </c>
      <c r="B377" s="1" t="n">
        <v>45700</v>
      </c>
      <c r="C377" s="1" t="n">
        <v>46103</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40172-2025</t>
        </is>
      </c>
      <c r="B378" s="1" t="n">
        <v>45894.6353125</v>
      </c>
      <c r="C378" s="1" t="n">
        <v>46103</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40033-2025</t>
        </is>
      </c>
      <c r="B379" s="1" t="n">
        <v>45893</v>
      </c>
      <c r="C379" s="1" t="n">
        <v>46103</v>
      </c>
      <c r="D379" t="inlineStr">
        <is>
          <t>STOCKHOLMS LÄN</t>
        </is>
      </c>
      <c r="E379" t="inlineStr">
        <is>
          <t>NORRTÄLJE</t>
        </is>
      </c>
      <c r="G379" t="n">
        <v>1.7</v>
      </c>
      <c r="H379" t="n">
        <v>0</v>
      </c>
      <c r="I379" t="n">
        <v>0</v>
      </c>
      <c r="J379" t="n">
        <v>0</v>
      </c>
      <c r="K379" t="n">
        <v>0</v>
      </c>
      <c r="L379" t="n">
        <v>0</v>
      </c>
      <c r="M379" t="n">
        <v>0</v>
      </c>
      <c r="N379" t="n">
        <v>0</v>
      </c>
      <c r="O379" t="n">
        <v>0</v>
      </c>
      <c r="P379" t="n">
        <v>0</v>
      </c>
      <c r="Q379" t="n">
        <v>0</v>
      </c>
      <c r="R379" s="2" t="inlineStr"/>
    </row>
    <row r="380" ht="15" customHeight="1">
      <c r="A380" t="inlineStr">
        <is>
          <t>A 40032-2025</t>
        </is>
      </c>
      <c r="B380" s="1" t="n">
        <v>45893</v>
      </c>
      <c r="C380" s="1" t="n">
        <v>46103</v>
      </c>
      <c r="D380" t="inlineStr">
        <is>
          <t>STOCKHOLMS LÄN</t>
        </is>
      </c>
      <c r="E380" t="inlineStr">
        <is>
          <t>NORRTÄLJE</t>
        </is>
      </c>
      <c r="G380" t="n">
        <v>2.6</v>
      </c>
      <c r="H380" t="n">
        <v>0</v>
      </c>
      <c r="I380" t="n">
        <v>0</v>
      </c>
      <c r="J380" t="n">
        <v>0</v>
      </c>
      <c r="K380" t="n">
        <v>0</v>
      </c>
      <c r="L380" t="n">
        <v>0</v>
      </c>
      <c r="M380" t="n">
        <v>0</v>
      </c>
      <c r="N380" t="n">
        <v>0</v>
      </c>
      <c r="O380" t="n">
        <v>0</v>
      </c>
      <c r="P380" t="n">
        <v>0</v>
      </c>
      <c r="Q380" t="n">
        <v>0</v>
      </c>
      <c r="R380" s="2" t="inlineStr"/>
    </row>
    <row r="381" ht="15" customHeight="1">
      <c r="A381" t="inlineStr">
        <is>
          <t>A 40292-2025</t>
        </is>
      </c>
      <c r="B381" s="1" t="n">
        <v>45895.3867824074</v>
      </c>
      <c r="C381" s="1" t="n">
        <v>46103</v>
      </c>
      <c r="D381" t="inlineStr">
        <is>
          <t>STOCKHOLMS LÄN</t>
        </is>
      </c>
      <c r="E381" t="inlineStr">
        <is>
          <t>NORRTÄLJE</t>
        </is>
      </c>
      <c r="G381" t="n">
        <v>3.5</v>
      </c>
      <c r="H381" t="n">
        <v>0</v>
      </c>
      <c r="I381" t="n">
        <v>0</v>
      </c>
      <c r="J381" t="n">
        <v>0</v>
      </c>
      <c r="K381" t="n">
        <v>0</v>
      </c>
      <c r="L381" t="n">
        <v>0</v>
      </c>
      <c r="M381" t="n">
        <v>0</v>
      </c>
      <c r="N381" t="n">
        <v>0</v>
      </c>
      <c r="O381" t="n">
        <v>0</v>
      </c>
      <c r="P381" t="n">
        <v>0</v>
      </c>
      <c r="Q381" t="n">
        <v>0</v>
      </c>
      <c r="R381" s="2" t="inlineStr"/>
    </row>
    <row r="382" ht="15" customHeight="1">
      <c r="A382" t="inlineStr">
        <is>
          <t>A 40294-2025</t>
        </is>
      </c>
      <c r="B382" s="1" t="n">
        <v>45895.38778935185</v>
      </c>
      <c r="C382" s="1" t="n">
        <v>46103</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13314-2025</t>
        </is>
      </c>
      <c r="B383" s="1" t="n">
        <v>45735.59287037037</v>
      </c>
      <c r="C383" s="1" t="n">
        <v>46103</v>
      </c>
      <c r="D383" t="inlineStr">
        <is>
          <t>STOCKHOLMS LÄN</t>
        </is>
      </c>
      <c r="E383" t="inlineStr">
        <is>
          <t>NORRTÄLJE</t>
        </is>
      </c>
      <c r="G383" t="n">
        <v>2.4</v>
      </c>
      <c r="H383" t="n">
        <v>0</v>
      </c>
      <c r="I383" t="n">
        <v>0</v>
      </c>
      <c r="J383" t="n">
        <v>0</v>
      </c>
      <c r="K383" t="n">
        <v>0</v>
      </c>
      <c r="L383" t="n">
        <v>0</v>
      </c>
      <c r="M383" t="n">
        <v>0</v>
      </c>
      <c r="N383" t="n">
        <v>0</v>
      </c>
      <c r="O383" t="n">
        <v>0</v>
      </c>
      <c r="P383" t="n">
        <v>0</v>
      </c>
      <c r="Q383" t="n">
        <v>0</v>
      </c>
      <c r="R383" s="2" t="inlineStr"/>
    </row>
    <row r="384" ht="15" customHeight="1">
      <c r="A384" t="inlineStr">
        <is>
          <t>A 40228-2025</t>
        </is>
      </c>
      <c r="B384" s="1" t="n">
        <v>45894.70854166667</v>
      </c>
      <c r="C384" s="1" t="n">
        <v>46103</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34432-2021</t>
        </is>
      </c>
      <c r="B385" s="1" t="n">
        <v>44380.77346064815</v>
      </c>
      <c r="C385" s="1" t="n">
        <v>46103</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40230-2025</t>
        </is>
      </c>
      <c r="B386" s="1" t="n">
        <v>45894.71101851852</v>
      </c>
      <c r="C386" s="1" t="n">
        <v>46103</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40217-2025</t>
        </is>
      </c>
      <c r="B387" s="1" t="n">
        <v>45894.68864583333</v>
      </c>
      <c r="C387" s="1" t="n">
        <v>46103</v>
      </c>
      <c r="D387" t="inlineStr">
        <is>
          <t>STOCKHOLMS LÄN</t>
        </is>
      </c>
      <c r="E387" t="inlineStr">
        <is>
          <t>NORRTÄLJE</t>
        </is>
      </c>
      <c r="G387" t="n">
        <v>0.8</v>
      </c>
      <c r="H387" t="n">
        <v>0</v>
      </c>
      <c r="I387" t="n">
        <v>0</v>
      </c>
      <c r="J387" t="n">
        <v>0</v>
      </c>
      <c r="K387" t="n">
        <v>0</v>
      </c>
      <c r="L387" t="n">
        <v>0</v>
      </c>
      <c r="M387" t="n">
        <v>0</v>
      </c>
      <c r="N387" t="n">
        <v>0</v>
      </c>
      <c r="O387" t="n">
        <v>0</v>
      </c>
      <c r="P387" t="n">
        <v>0</v>
      </c>
      <c r="Q387" t="n">
        <v>0</v>
      </c>
      <c r="R387" s="2" t="inlineStr"/>
    </row>
    <row r="388" ht="15" customHeight="1">
      <c r="A388" t="inlineStr">
        <is>
          <t>A 40097-2025</t>
        </is>
      </c>
      <c r="B388" s="1" t="n">
        <v>45894.48322916667</v>
      </c>
      <c r="C388" s="1" t="n">
        <v>46103</v>
      </c>
      <c r="D388" t="inlineStr">
        <is>
          <t>STOCKHOLMS LÄN</t>
        </is>
      </c>
      <c r="E388" t="inlineStr">
        <is>
          <t>NORRTÄLJE</t>
        </is>
      </c>
      <c r="G388" t="n">
        <v>3</v>
      </c>
      <c r="H388" t="n">
        <v>0</v>
      </c>
      <c r="I388" t="n">
        <v>0</v>
      </c>
      <c r="J388" t="n">
        <v>0</v>
      </c>
      <c r="K388" t="n">
        <v>0</v>
      </c>
      <c r="L388" t="n">
        <v>0</v>
      </c>
      <c r="M388" t="n">
        <v>0</v>
      </c>
      <c r="N388" t="n">
        <v>0</v>
      </c>
      <c r="O388" t="n">
        <v>0</v>
      </c>
      <c r="P388" t="n">
        <v>0</v>
      </c>
      <c r="Q388" t="n">
        <v>0</v>
      </c>
      <c r="R388" s="2" t="inlineStr"/>
    </row>
    <row r="389" ht="15" customHeight="1">
      <c r="A389" t="inlineStr">
        <is>
          <t>A 40829-2025</t>
        </is>
      </c>
      <c r="B389" s="1" t="n">
        <v>45897.50802083333</v>
      </c>
      <c r="C389" s="1" t="n">
        <v>46103</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40837-2025</t>
        </is>
      </c>
      <c r="B390" s="1" t="n">
        <v>45897.51328703704</v>
      </c>
      <c r="C390" s="1" t="n">
        <v>46103</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40529-2025</t>
        </is>
      </c>
      <c r="B391" s="1" t="n">
        <v>45896.38466435186</v>
      </c>
      <c r="C391" s="1" t="n">
        <v>46103</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40831-2025</t>
        </is>
      </c>
      <c r="B392" s="1" t="n">
        <v>45897.51077546296</v>
      </c>
      <c r="C392" s="1" t="n">
        <v>46103</v>
      </c>
      <c r="D392" t="inlineStr">
        <is>
          <t>STOCKHOLMS LÄN</t>
        </is>
      </c>
      <c r="E392" t="inlineStr">
        <is>
          <t>NORRTÄLJE</t>
        </is>
      </c>
      <c r="G392" t="n">
        <v>1.8</v>
      </c>
      <c r="H392" t="n">
        <v>0</v>
      </c>
      <c r="I392" t="n">
        <v>0</v>
      </c>
      <c r="J392" t="n">
        <v>0</v>
      </c>
      <c r="K392" t="n">
        <v>0</v>
      </c>
      <c r="L392" t="n">
        <v>0</v>
      </c>
      <c r="M392" t="n">
        <v>0</v>
      </c>
      <c r="N392" t="n">
        <v>0</v>
      </c>
      <c r="O392" t="n">
        <v>0</v>
      </c>
      <c r="P392" t="n">
        <v>0</v>
      </c>
      <c r="Q392" t="n">
        <v>0</v>
      </c>
      <c r="R392" s="2" t="inlineStr"/>
    </row>
    <row r="393" ht="15" customHeight="1">
      <c r="A393" t="inlineStr">
        <is>
          <t>A 59041-2025</t>
        </is>
      </c>
      <c r="B393" s="1" t="n">
        <v>45988</v>
      </c>
      <c r="C393" s="1" t="n">
        <v>46103</v>
      </c>
      <c r="D393" t="inlineStr">
        <is>
          <t>STOCKHOLMS LÄN</t>
        </is>
      </c>
      <c r="E393" t="inlineStr">
        <is>
          <t>NORRTÄLJE</t>
        </is>
      </c>
      <c r="G393" t="n">
        <v>6.6</v>
      </c>
      <c r="H393" t="n">
        <v>0</v>
      </c>
      <c r="I393" t="n">
        <v>0</v>
      </c>
      <c r="J393" t="n">
        <v>0</v>
      </c>
      <c r="K393" t="n">
        <v>0</v>
      </c>
      <c r="L393" t="n">
        <v>0</v>
      </c>
      <c r="M393" t="n">
        <v>0</v>
      </c>
      <c r="N393" t="n">
        <v>0</v>
      </c>
      <c r="O393" t="n">
        <v>0</v>
      </c>
      <c r="P393" t="n">
        <v>0</v>
      </c>
      <c r="Q393" t="n">
        <v>0</v>
      </c>
      <c r="R393" s="2" t="inlineStr"/>
    </row>
    <row r="394" ht="15" customHeight="1">
      <c r="A394" t="inlineStr">
        <is>
          <t>A 59914-2025</t>
        </is>
      </c>
      <c r="B394" s="1" t="n">
        <v>45993.37056712963</v>
      </c>
      <c r="C394" s="1" t="n">
        <v>46103</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59672-2025</t>
        </is>
      </c>
      <c r="B395" s="1" t="n">
        <v>45992.45884259259</v>
      </c>
      <c r="C395" s="1" t="n">
        <v>46103</v>
      </c>
      <c r="D395" t="inlineStr">
        <is>
          <t>STOCKHOLMS LÄN</t>
        </is>
      </c>
      <c r="E395" t="inlineStr">
        <is>
          <t>NORRTÄLJE</t>
        </is>
      </c>
      <c r="G395" t="n">
        <v>4</v>
      </c>
      <c r="H395" t="n">
        <v>0</v>
      </c>
      <c r="I395" t="n">
        <v>0</v>
      </c>
      <c r="J395" t="n">
        <v>0</v>
      </c>
      <c r="K395" t="n">
        <v>0</v>
      </c>
      <c r="L395" t="n">
        <v>0</v>
      </c>
      <c r="M395" t="n">
        <v>0</v>
      </c>
      <c r="N395" t="n">
        <v>0</v>
      </c>
      <c r="O395" t="n">
        <v>0</v>
      </c>
      <c r="P395" t="n">
        <v>0</v>
      </c>
      <c r="Q395" t="n">
        <v>0</v>
      </c>
      <c r="R395" s="2" t="inlineStr"/>
    </row>
    <row r="396" ht="15" customHeight="1">
      <c r="A396" t="inlineStr">
        <is>
          <t>A 23149-2024</t>
        </is>
      </c>
      <c r="B396" s="1" t="n">
        <v>45450.64208333333</v>
      </c>
      <c r="C396" s="1" t="n">
        <v>46103</v>
      </c>
      <c r="D396" t="inlineStr">
        <is>
          <t>STOCKHOLMS LÄN</t>
        </is>
      </c>
      <c r="E396" t="inlineStr">
        <is>
          <t>NORRTÄLJE</t>
        </is>
      </c>
      <c r="F396" t="inlineStr">
        <is>
          <t>Kommuner</t>
        </is>
      </c>
      <c r="G396" t="n">
        <v>1.3</v>
      </c>
      <c r="H396" t="n">
        <v>0</v>
      </c>
      <c r="I396" t="n">
        <v>0</v>
      </c>
      <c r="J396" t="n">
        <v>0</v>
      </c>
      <c r="K396" t="n">
        <v>0</v>
      </c>
      <c r="L396" t="n">
        <v>0</v>
      </c>
      <c r="M396" t="n">
        <v>0</v>
      </c>
      <c r="N396" t="n">
        <v>0</v>
      </c>
      <c r="O396" t="n">
        <v>0</v>
      </c>
      <c r="P396" t="n">
        <v>0</v>
      </c>
      <c r="Q396" t="n">
        <v>0</v>
      </c>
      <c r="R396" s="2" t="inlineStr"/>
    </row>
    <row r="397" ht="15" customHeight="1">
      <c r="A397" t="inlineStr">
        <is>
          <t>A 23151-2024</t>
        </is>
      </c>
      <c r="B397" s="1" t="n">
        <v>45450</v>
      </c>
      <c r="C397" s="1" t="n">
        <v>46103</v>
      </c>
      <c r="D397" t="inlineStr">
        <is>
          <t>STOCKHOLMS LÄN</t>
        </is>
      </c>
      <c r="E397" t="inlineStr">
        <is>
          <t>NORRTÄLJE</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57788-2025</t>
        </is>
      </c>
      <c r="B398" s="1" t="n">
        <v>45981.5778125</v>
      </c>
      <c r="C398" s="1" t="n">
        <v>46103</v>
      </c>
      <c r="D398" t="inlineStr">
        <is>
          <t>STOCKHOLMS LÄN</t>
        </is>
      </c>
      <c r="E398" t="inlineStr">
        <is>
          <t>NORRTÄLJE</t>
        </is>
      </c>
      <c r="G398" t="n">
        <v>1.6</v>
      </c>
      <c r="H398" t="n">
        <v>0</v>
      </c>
      <c r="I398" t="n">
        <v>0</v>
      </c>
      <c r="J398" t="n">
        <v>0</v>
      </c>
      <c r="K398" t="n">
        <v>0</v>
      </c>
      <c r="L398" t="n">
        <v>0</v>
      </c>
      <c r="M398" t="n">
        <v>0</v>
      </c>
      <c r="N398" t="n">
        <v>0</v>
      </c>
      <c r="O398" t="n">
        <v>0</v>
      </c>
      <c r="P398" t="n">
        <v>0</v>
      </c>
      <c r="Q398" t="n">
        <v>0</v>
      </c>
      <c r="R398" s="2" t="inlineStr"/>
    </row>
    <row r="399" ht="15" customHeight="1">
      <c r="A399" t="inlineStr">
        <is>
          <t>A 59907-2025</t>
        </is>
      </c>
      <c r="B399" s="1" t="n">
        <v>45993.35350694445</v>
      </c>
      <c r="C399" s="1" t="n">
        <v>46103</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41158-2025</t>
        </is>
      </c>
      <c r="B400" s="1" t="n">
        <v>45898.5315625</v>
      </c>
      <c r="C400" s="1" t="n">
        <v>46103</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15733-2025</t>
        </is>
      </c>
      <c r="B401" s="1" t="n">
        <v>45748</v>
      </c>
      <c r="C401" s="1" t="n">
        <v>46103</v>
      </c>
      <c r="D401" t="inlineStr">
        <is>
          <t>STOCKHOLMS LÄN</t>
        </is>
      </c>
      <c r="E401" t="inlineStr">
        <is>
          <t>NORRTÄLJE</t>
        </is>
      </c>
      <c r="G401" t="n">
        <v>13.3</v>
      </c>
      <c r="H401" t="n">
        <v>0</v>
      </c>
      <c r="I401" t="n">
        <v>0</v>
      </c>
      <c r="J401" t="n">
        <v>0</v>
      </c>
      <c r="K401" t="n">
        <v>0</v>
      </c>
      <c r="L401" t="n">
        <v>0</v>
      </c>
      <c r="M401" t="n">
        <v>0</v>
      </c>
      <c r="N401" t="n">
        <v>0</v>
      </c>
      <c r="O401" t="n">
        <v>0</v>
      </c>
      <c r="P401" t="n">
        <v>0</v>
      </c>
      <c r="Q401" t="n">
        <v>0</v>
      </c>
      <c r="R401" s="2" t="inlineStr"/>
    </row>
    <row r="402" ht="15" customHeight="1">
      <c r="A402" t="inlineStr">
        <is>
          <t>A 52001-2023</t>
        </is>
      </c>
      <c r="B402" s="1" t="n">
        <v>45223</v>
      </c>
      <c r="C402" s="1" t="n">
        <v>46103</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19058-2024</t>
        </is>
      </c>
      <c r="B403" s="1" t="n">
        <v>45427.89121527778</v>
      </c>
      <c r="C403" s="1" t="n">
        <v>46103</v>
      </c>
      <c r="D403" t="inlineStr">
        <is>
          <t>STOCKHOLMS LÄN</t>
        </is>
      </c>
      <c r="E403" t="inlineStr">
        <is>
          <t>NORRTÄLJE</t>
        </is>
      </c>
      <c r="G403" t="n">
        <v>1.2</v>
      </c>
      <c r="H403" t="n">
        <v>0</v>
      </c>
      <c r="I403" t="n">
        <v>0</v>
      </c>
      <c r="J403" t="n">
        <v>0</v>
      </c>
      <c r="K403" t="n">
        <v>0</v>
      </c>
      <c r="L403" t="n">
        <v>0</v>
      </c>
      <c r="M403" t="n">
        <v>0</v>
      </c>
      <c r="N403" t="n">
        <v>0</v>
      </c>
      <c r="O403" t="n">
        <v>0</v>
      </c>
      <c r="P403" t="n">
        <v>0</v>
      </c>
      <c r="Q403" t="n">
        <v>0</v>
      </c>
      <c r="R403" s="2" t="inlineStr"/>
    </row>
    <row r="404" ht="15" customHeight="1">
      <c r="A404" t="inlineStr">
        <is>
          <t>A 60185-2024</t>
        </is>
      </c>
      <c r="B404" s="1" t="n">
        <v>45642.64634259259</v>
      </c>
      <c r="C404" s="1" t="n">
        <v>46103</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41053-2025</t>
        </is>
      </c>
      <c r="B405" s="1" t="n">
        <v>45898.40480324074</v>
      </c>
      <c r="C405" s="1" t="n">
        <v>46103</v>
      </c>
      <c r="D405" t="inlineStr">
        <is>
          <t>STOCKHOLMS LÄN</t>
        </is>
      </c>
      <c r="E405" t="inlineStr">
        <is>
          <t>NORRTÄLJE</t>
        </is>
      </c>
      <c r="F405" t="inlineStr">
        <is>
          <t>Holmen skog AB</t>
        </is>
      </c>
      <c r="G405" t="n">
        <v>2.5</v>
      </c>
      <c r="H405" t="n">
        <v>0</v>
      </c>
      <c r="I405" t="n">
        <v>0</v>
      </c>
      <c r="J405" t="n">
        <v>0</v>
      </c>
      <c r="K405" t="n">
        <v>0</v>
      </c>
      <c r="L405" t="n">
        <v>0</v>
      </c>
      <c r="M405" t="n">
        <v>0</v>
      </c>
      <c r="N405" t="n">
        <v>0</v>
      </c>
      <c r="O405" t="n">
        <v>0</v>
      </c>
      <c r="P405" t="n">
        <v>0</v>
      </c>
      <c r="Q405" t="n">
        <v>0</v>
      </c>
      <c r="R405" s="2" t="inlineStr"/>
    </row>
    <row r="406" ht="15" customHeight="1">
      <c r="A406" t="inlineStr">
        <is>
          <t>A 41275-2025</t>
        </is>
      </c>
      <c r="B406" s="1" t="n">
        <v>45898.62625</v>
      </c>
      <c r="C406" s="1" t="n">
        <v>46103</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48686-2023</t>
        </is>
      </c>
      <c r="B407" s="1" t="n">
        <v>45208</v>
      </c>
      <c r="C407" s="1" t="n">
        <v>46103</v>
      </c>
      <c r="D407" t="inlineStr">
        <is>
          <t>STOCKHOLMS LÄN</t>
        </is>
      </c>
      <c r="E407" t="inlineStr">
        <is>
          <t>NORRTÄLJE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48691-2023</t>
        </is>
      </c>
      <c r="B408" s="1" t="n">
        <v>45208</v>
      </c>
      <c r="C408" s="1" t="n">
        <v>46103</v>
      </c>
      <c r="D408" t="inlineStr">
        <is>
          <t>STOCKHOLMS LÄN</t>
        </is>
      </c>
      <c r="E408" t="inlineStr">
        <is>
          <t>NORRTÄLJE</t>
        </is>
      </c>
      <c r="G408" t="n">
        <v>5.8</v>
      </c>
      <c r="H408" t="n">
        <v>0</v>
      </c>
      <c r="I408" t="n">
        <v>0</v>
      </c>
      <c r="J408" t="n">
        <v>0</v>
      </c>
      <c r="K408" t="n">
        <v>0</v>
      </c>
      <c r="L408" t="n">
        <v>0</v>
      </c>
      <c r="M408" t="n">
        <v>0</v>
      </c>
      <c r="N408" t="n">
        <v>0</v>
      </c>
      <c r="O408" t="n">
        <v>0</v>
      </c>
      <c r="P408" t="n">
        <v>0</v>
      </c>
      <c r="Q408" t="n">
        <v>0</v>
      </c>
      <c r="R408" s="2" t="inlineStr"/>
    </row>
    <row r="409" ht="15" customHeight="1">
      <c r="A409" t="inlineStr">
        <is>
          <t>A 41272-2025</t>
        </is>
      </c>
      <c r="B409" s="1" t="n">
        <v>45898.62373842593</v>
      </c>
      <c r="C409" s="1" t="n">
        <v>46103</v>
      </c>
      <c r="D409" t="inlineStr">
        <is>
          <t>STOCKHOLMS LÄN</t>
        </is>
      </c>
      <c r="E409" t="inlineStr">
        <is>
          <t>NORRTÄLJE</t>
        </is>
      </c>
      <c r="G409" t="n">
        <v>1.1</v>
      </c>
      <c r="H409" t="n">
        <v>0</v>
      </c>
      <c r="I409" t="n">
        <v>0</v>
      </c>
      <c r="J409" t="n">
        <v>0</v>
      </c>
      <c r="K409" t="n">
        <v>0</v>
      </c>
      <c r="L409" t="n">
        <v>0</v>
      </c>
      <c r="M409" t="n">
        <v>0</v>
      </c>
      <c r="N409" t="n">
        <v>0</v>
      </c>
      <c r="O409" t="n">
        <v>0</v>
      </c>
      <c r="P409" t="n">
        <v>0</v>
      </c>
      <c r="Q409" t="n">
        <v>0</v>
      </c>
      <c r="R409" s="2" t="inlineStr"/>
    </row>
    <row r="410" ht="15" customHeight="1">
      <c r="A410" t="inlineStr">
        <is>
          <t>A 59924-2025</t>
        </is>
      </c>
      <c r="B410" s="1" t="n">
        <v>45993.38928240741</v>
      </c>
      <c r="C410" s="1" t="n">
        <v>46103</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41301-2025</t>
        </is>
      </c>
      <c r="B411" s="1" t="n">
        <v>45898.68826388889</v>
      </c>
      <c r="C411" s="1" t="n">
        <v>46103</v>
      </c>
      <c r="D411" t="inlineStr">
        <is>
          <t>STOCKHOLMS LÄN</t>
        </is>
      </c>
      <c r="E411" t="inlineStr">
        <is>
          <t>NORRTÄLJE</t>
        </is>
      </c>
      <c r="G411" t="n">
        <v>1</v>
      </c>
      <c r="H411" t="n">
        <v>0</v>
      </c>
      <c r="I411" t="n">
        <v>0</v>
      </c>
      <c r="J411" t="n">
        <v>0</v>
      </c>
      <c r="K411" t="n">
        <v>0</v>
      </c>
      <c r="L411" t="n">
        <v>0</v>
      </c>
      <c r="M411" t="n">
        <v>0</v>
      </c>
      <c r="N411" t="n">
        <v>0</v>
      </c>
      <c r="O411" t="n">
        <v>0</v>
      </c>
      <c r="P411" t="n">
        <v>0</v>
      </c>
      <c r="Q411" t="n">
        <v>0</v>
      </c>
      <c r="R411" s="2" t="inlineStr"/>
    </row>
    <row r="412" ht="15" customHeight="1">
      <c r="A412" t="inlineStr">
        <is>
          <t>A 60253-2025</t>
        </is>
      </c>
      <c r="B412" s="1" t="n">
        <v>45994.59827546297</v>
      </c>
      <c r="C412" s="1" t="n">
        <v>46103</v>
      </c>
      <c r="D412" t="inlineStr">
        <is>
          <t>STOCKHOLMS LÄN</t>
        </is>
      </c>
      <c r="E412" t="inlineStr">
        <is>
          <t>NORRTÄLJE</t>
        </is>
      </c>
      <c r="F412" t="inlineStr">
        <is>
          <t>Holmen skog AB</t>
        </is>
      </c>
      <c r="G412" t="n">
        <v>3.6</v>
      </c>
      <c r="H412" t="n">
        <v>0</v>
      </c>
      <c r="I412" t="n">
        <v>0</v>
      </c>
      <c r="J412" t="n">
        <v>0</v>
      </c>
      <c r="K412" t="n">
        <v>0</v>
      </c>
      <c r="L412" t="n">
        <v>0</v>
      </c>
      <c r="M412" t="n">
        <v>0</v>
      </c>
      <c r="N412" t="n">
        <v>0</v>
      </c>
      <c r="O412" t="n">
        <v>0</v>
      </c>
      <c r="P412" t="n">
        <v>0</v>
      </c>
      <c r="Q412" t="n">
        <v>0</v>
      </c>
      <c r="R412" s="2" t="inlineStr"/>
    </row>
    <row r="413" ht="15" customHeight="1">
      <c r="A413" t="inlineStr">
        <is>
          <t>A 41174-2025</t>
        </is>
      </c>
      <c r="B413" s="1" t="n">
        <v>45898.54921296296</v>
      </c>
      <c r="C413" s="1" t="n">
        <v>46103</v>
      </c>
      <c r="D413" t="inlineStr">
        <is>
          <t>STOCKHOLMS LÄN</t>
        </is>
      </c>
      <c r="E413" t="inlineStr">
        <is>
          <t>NORRTÄLJE</t>
        </is>
      </c>
      <c r="G413" t="n">
        <v>0.6</v>
      </c>
      <c r="H413" t="n">
        <v>0</v>
      </c>
      <c r="I413" t="n">
        <v>0</v>
      </c>
      <c r="J413" t="n">
        <v>0</v>
      </c>
      <c r="K413" t="n">
        <v>0</v>
      </c>
      <c r="L413" t="n">
        <v>0</v>
      </c>
      <c r="M413" t="n">
        <v>0</v>
      </c>
      <c r="N413" t="n">
        <v>0</v>
      </c>
      <c r="O413" t="n">
        <v>0</v>
      </c>
      <c r="P413" t="n">
        <v>0</v>
      </c>
      <c r="Q413" t="n">
        <v>0</v>
      </c>
      <c r="R413" s="2" t="inlineStr"/>
    </row>
    <row r="414" ht="15" customHeight="1">
      <c r="A414" t="inlineStr">
        <is>
          <t>A 41030-2025</t>
        </is>
      </c>
      <c r="B414" s="1" t="n">
        <v>45898.37636574074</v>
      </c>
      <c r="C414" s="1" t="n">
        <v>46103</v>
      </c>
      <c r="D414" t="inlineStr">
        <is>
          <t>STOCKHOLMS LÄN</t>
        </is>
      </c>
      <c r="E414" t="inlineStr">
        <is>
          <t>NORRTÄLJE</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21726-2022</t>
        </is>
      </c>
      <c r="B415" s="1" t="n">
        <v>44708</v>
      </c>
      <c r="C415" s="1" t="n">
        <v>46103</v>
      </c>
      <c r="D415" t="inlineStr">
        <is>
          <t>STOCKHOLMS LÄN</t>
        </is>
      </c>
      <c r="E415" t="inlineStr">
        <is>
          <t>NORRTÄLJE</t>
        </is>
      </c>
      <c r="G415" t="n">
        <v>0.2</v>
      </c>
      <c r="H415" t="n">
        <v>0</v>
      </c>
      <c r="I415" t="n">
        <v>0</v>
      </c>
      <c r="J415" t="n">
        <v>0</v>
      </c>
      <c r="K415" t="n">
        <v>0</v>
      </c>
      <c r="L415" t="n">
        <v>0</v>
      </c>
      <c r="M415" t="n">
        <v>0</v>
      </c>
      <c r="N415" t="n">
        <v>0</v>
      </c>
      <c r="O415" t="n">
        <v>0</v>
      </c>
      <c r="P415" t="n">
        <v>0</v>
      </c>
      <c r="Q415" t="n">
        <v>0</v>
      </c>
      <c r="R415" s="2" t="inlineStr"/>
    </row>
    <row r="416" ht="15" customHeight="1">
      <c r="A416" t="inlineStr">
        <is>
          <t>A 21739-2022</t>
        </is>
      </c>
      <c r="B416" s="1" t="n">
        <v>44708.36708333333</v>
      </c>
      <c r="C416" s="1" t="n">
        <v>46103</v>
      </c>
      <c r="D416" t="inlineStr">
        <is>
          <t>STOCKHOLMS LÄN</t>
        </is>
      </c>
      <c r="E416" t="inlineStr">
        <is>
          <t>NORRTÄLJE</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41036-2025</t>
        </is>
      </c>
      <c r="B417" s="1" t="n">
        <v>45898.38552083333</v>
      </c>
      <c r="C417" s="1" t="n">
        <v>46103</v>
      </c>
      <c r="D417" t="inlineStr">
        <is>
          <t>STOCKHOLMS LÄN</t>
        </is>
      </c>
      <c r="E417" t="inlineStr">
        <is>
          <t>NORRTÄLJE</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41106-2025</t>
        </is>
      </c>
      <c r="B418" s="1" t="n">
        <v>45898.45636574074</v>
      </c>
      <c r="C418" s="1" t="n">
        <v>46103</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60214-2025</t>
        </is>
      </c>
      <c r="B419" s="1" t="n">
        <v>45994.53761574074</v>
      </c>
      <c r="C419" s="1" t="n">
        <v>46103</v>
      </c>
      <c r="D419" t="inlineStr">
        <is>
          <t>STOCKHOLMS LÄN</t>
        </is>
      </c>
      <c r="E419" t="inlineStr">
        <is>
          <t>NORRTÄLJE</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41110-2025</t>
        </is>
      </c>
      <c r="B420" s="1" t="n">
        <v>45898.45976851852</v>
      </c>
      <c r="C420" s="1" t="n">
        <v>46103</v>
      </c>
      <c r="D420" t="inlineStr">
        <is>
          <t>STOCKHOLMS LÄN</t>
        </is>
      </c>
      <c r="E420" t="inlineStr">
        <is>
          <t>NORRTÄLJE</t>
        </is>
      </c>
      <c r="F420" t="inlineStr">
        <is>
          <t>Holmen skog AB</t>
        </is>
      </c>
      <c r="G420" t="n">
        <v>6.7</v>
      </c>
      <c r="H420" t="n">
        <v>0</v>
      </c>
      <c r="I420" t="n">
        <v>0</v>
      </c>
      <c r="J420" t="n">
        <v>0</v>
      </c>
      <c r="K420" t="n">
        <v>0</v>
      </c>
      <c r="L420" t="n">
        <v>0</v>
      </c>
      <c r="M420" t="n">
        <v>0</v>
      </c>
      <c r="N420" t="n">
        <v>0</v>
      </c>
      <c r="O420" t="n">
        <v>0</v>
      </c>
      <c r="P420" t="n">
        <v>0</v>
      </c>
      <c r="Q420" t="n">
        <v>0</v>
      </c>
      <c r="R420" s="2" t="inlineStr"/>
    </row>
    <row r="421" ht="15" customHeight="1">
      <c r="A421" t="inlineStr">
        <is>
          <t>A 35210-2023</t>
        </is>
      </c>
      <c r="B421" s="1" t="n">
        <v>45145.63584490741</v>
      </c>
      <c r="C421" s="1" t="n">
        <v>46103</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41259-2025</t>
        </is>
      </c>
      <c r="B422" s="1" t="n">
        <v>45898.61054398148</v>
      </c>
      <c r="C422" s="1" t="n">
        <v>46103</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10511-2025</t>
        </is>
      </c>
      <c r="B423" s="1" t="n">
        <v>45721.40780092592</v>
      </c>
      <c r="C423" s="1" t="n">
        <v>46103</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59767-2022</t>
        </is>
      </c>
      <c r="B424" s="1" t="n">
        <v>44900</v>
      </c>
      <c r="C424" s="1" t="n">
        <v>46103</v>
      </c>
      <c r="D424" t="inlineStr">
        <is>
          <t>STOCKHOLMS LÄN</t>
        </is>
      </c>
      <c r="E424" t="inlineStr">
        <is>
          <t>NORRTÄLJE</t>
        </is>
      </c>
      <c r="G424" t="n">
        <v>2.2</v>
      </c>
      <c r="H424" t="n">
        <v>0</v>
      </c>
      <c r="I424" t="n">
        <v>0</v>
      </c>
      <c r="J424" t="n">
        <v>0</v>
      </c>
      <c r="K424" t="n">
        <v>0</v>
      </c>
      <c r="L424" t="n">
        <v>0</v>
      </c>
      <c r="M424" t="n">
        <v>0</v>
      </c>
      <c r="N424" t="n">
        <v>0</v>
      </c>
      <c r="O424" t="n">
        <v>0</v>
      </c>
      <c r="P424" t="n">
        <v>0</v>
      </c>
      <c r="Q424" t="n">
        <v>0</v>
      </c>
      <c r="R424" s="2" t="inlineStr"/>
    </row>
    <row r="425" ht="15" customHeight="1">
      <c r="A425" t="inlineStr">
        <is>
          <t>A 60223-2025</t>
        </is>
      </c>
      <c r="B425" s="1" t="n">
        <v>45994.54497685185</v>
      </c>
      <c r="C425" s="1" t="n">
        <v>46103</v>
      </c>
      <c r="D425" t="inlineStr">
        <is>
          <t>STOCKHOLMS LÄN</t>
        </is>
      </c>
      <c r="E425" t="inlineStr">
        <is>
          <t>NORRTÄLJE</t>
        </is>
      </c>
      <c r="G425" t="n">
        <v>2.4</v>
      </c>
      <c r="H425" t="n">
        <v>0</v>
      </c>
      <c r="I425" t="n">
        <v>0</v>
      </c>
      <c r="J425" t="n">
        <v>0</v>
      </c>
      <c r="K425" t="n">
        <v>0</v>
      </c>
      <c r="L425" t="n">
        <v>0</v>
      </c>
      <c r="M425" t="n">
        <v>0</v>
      </c>
      <c r="N425" t="n">
        <v>0</v>
      </c>
      <c r="O425" t="n">
        <v>0</v>
      </c>
      <c r="P425" t="n">
        <v>0</v>
      </c>
      <c r="Q425" t="n">
        <v>0</v>
      </c>
      <c r="R425" s="2" t="inlineStr"/>
    </row>
    <row r="426" ht="15" customHeight="1">
      <c r="A426" t="inlineStr">
        <is>
          <t>A 19057-2024</t>
        </is>
      </c>
      <c r="B426" s="1" t="n">
        <v>45427.88731481481</v>
      </c>
      <c r="C426" s="1" t="n">
        <v>46103</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5823-2023</t>
        </is>
      </c>
      <c r="B427" s="1" t="n">
        <v>44963</v>
      </c>
      <c r="C427" s="1" t="n">
        <v>46103</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19915-2024</t>
        </is>
      </c>
      <c r="B428" s="1" t="n">
        <v>45433.58431712963</v>
      </c>
      <c r="C428" s="1" t="n">
        <v>46103</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15217-2023</t>
        </is>
      </c>
      <c r="B429" s="1" t="n">
        <v>45019.28847222222</v>
      </c>
      <c r="C429" s="1" t="n">
        <v>46103</v>
      </c>
      <c r="D429" t="inlineStr">
        <is>
          <t>STOCKHOLMS LÄN</t>
        </is>
      </c>
      <c r="E429" t="inlineStr">
        <is>
          <t>NORRTÄLJE</t>
        </is>
      </c>
      <c r="G429" t="n">
        <v>3.6</v>
      </c>
      <c r="H429" t="n">
        <v>0</v>
      </c>
      <c r="I429" t="n">
        <v>0</v>
      </c>
      <c r="J429" t="n">
        <v>0</v>
      </c>
      <c r="K429" t="n">
        <v>0</v>
      </c>
      <c r="L429" t="n">
        <v>0</v>
      </c>
      <c r="M429" t="n">
        <v>0</v>
      </c>
      <c r="N429" t="n">
        <v>0</v>
      </c>
      <c r="O429" t="n">
        <v>0</v>
      </c>
      <c r="P429" t="n">
        <v>0</v>
      </c>
      <c r="Q429" t="n">
        <v>0</v>
      </c>
      <c r="R429" s="2" t="inlineStr"/>
    </row>
    <row r="430" ht="15" customHeight="1">
      <c r="A430" t="inlineStr">
        <is>
          <t>A 60745-2025</t>
        </is>
      </c>
      <c r="B430" s="1" t="n">
        <v>45999.37753472223</v>
      </c>
      <c r="C430" s="1" t="n">
        <v>46103</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60649-2025</t>
        </is>
      </c>
      <c r="B431" s="1" t="n">
        <v>45996.4560300926</v>
      </c>
      <c r="C431" s="1" t="n">
        <v>46103</v>
      </c>
      <c r="D431" t="inlineStr">
        <is>
          <t>STOCKHOLMS LÄN</t>
        </is>
      </c>
      <c r="E431" t="inlineStr">
        <is>
          <t>NORRTÄLJE</t>
        </is>
      </c>
      <c r="G431" t="n">
        <v>1.8</v>
      </c>
      <c r="H431" t="n">
        <v>0</v>
      </c>
      <c r="I431" t="n">
        <v>0</v>
      </c>
      <c r="J431" t="n">
        <v>0</v>
      </c>
      <c r="K431" t="n">
        <v>0</v>
      </c>
      <c r="L431" t="n">
        <v>0</v>
      </c>
      <c r="M431" t="n">
        <v>0</v>
      </c>
      <c r="N431" t="n">
        <v>0</v>
      </c>
      <c r="O431" t="n">
        <v>0</v>
      </c>
      <c r="P431" t="n">
        <v>0</v>
      </c>
      <c r="Q431" t="n">
        <v>0</v>
      </c>
      <c r="R431" s="2" t="inlineStr"/>
    </row>
    <row r="432" ht="15" customHeight="1">
      <c r="A432" t="inlineStr">
        <is>
          <t>A 41966-2025</t>
        </is>
      </c>
      <c r="B432" s="1" t="n">
        <v>45903.47456018518</v>
      </c>
      <c r="C432" s="1" t="n">
        <v>46103</v>
      </c>
      <c r="D432" t="inlineStr">
        <is>
          <t>STOCKHOLMS LÄN</t>
        </is>
      </c>
      <c r="E432" t="inlineStr">
        <is>
          <t>NORRTÄLJE</t>
        </is>
      </c>
      <c r="F432" t="inlineStr">
        <is>
          <t>Sveaskog</t>
        </is>
      </c>
      <c r="G432" t="n">
        <v>3.7</v>
      </c>
      <c r="H432" t="n">
        <v>0</v>
      </c>
      <c r="I432" t="n">
        <v>0</v>
      </c>
      <c r="J432" t="n">
        <v>0</v>
      </c>
      <c r="K432" t="n">
        <v>0</v>
      </c>
      <c r="L432" t="n">
        <v>0</v>
      </c>
      <c r="M432" t="n">
        <v>0</v>
      </c>
      <c r="N432" t="n">
        <v>0</v>
      </c>
      <c r="O432" t="n">
        <v>0</v>
      </c>
      <c r="P432" t="n">
        <v>0</v>
      </c>
      <c r="Q432" t="n">
        <v>0</v>
      </c>
      <c r="R432" s="2" t="inlineStr"/>
    </row>
    <row r="433" ht="15" customHeight="1">
      <c r="A433" t="inlineStr">
        <is>
          <t>A 50143-2023</t>
        </is>
      </c>
      <c r="B433" s="1" t="n">
        <v>45215</v>
      </c>
      <c r="C433" s="1" t="n">
        <v>46103</v>
      </c>
      <c r="D433" t="inlineStr">
        <is>
          <t>STOCKHOLMS LÄN</t>
        </is>
      </c>
      <c r="E433" t="inlineStr">
        <is>
          <t>NORRTÄLJE</t>
        </is>
      </c>
      <c r="G433" t="n">
        <v>10.3</v>
      </c>
      <c r="H433" t="n">
        <v>0</v>
      </c>
      <c r="I433" t="n">
        <v>0</v>
      </c>
      <c r="J433" t="n">
        <v>0</v>
      </c>
      <c r="K433" t="n">
        <v>0</v>
      </c>
      <c r="L433" t="n">
        <v>0</v>
      </c>
      <c r="M433" t="n">
        <v>0</v>
      </c>
      <c r="N433" t="n">
        <v>0</v>
      </c>
      <c r="O433" t="n">
        <v>0</v>
      </c>
      <c r="P433" t="n">
        <v>0</v>
      </c>
      <c r="Q433" t="n">
        <v>0</v>
      </c>
      <c r="R433" s="2" t="inlineStr"/>
    </row>
    <row r="434" ht="15" customHeight="1">
      <c r="A434" t="inlineStr">
        <is>
          <t>A 60948-2025</t>
        </is>
      </c>
      <c r="B434" s="1" t="n">
        <v>45999.650625</v>
      </c>
      <c r="C434" s="1" t="n">
        <v>46103</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42038-2025</t>
        </is>
      </c>
      <c r="B435" s="1" t="n">
        <v>45903.61431712963</v>
      </c>
      <c r="C435" s="1" t="n">
        <v>46103</v>
      </c>
      <c r="D435" t="inlineStr">
        <is>
          <t>STOCKHOLMS LÄN</t>
        </is>
      </c>
      <c r="E435" t="inlineStr">
        <is>
          <t>NORRTÄLJE</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29176-2024</t>
        </is>
      </c>
      <c r="B436" s="1" t="n">
        <v>45482.53388888889</v>
      </c>
      <c r="C436" s="1" t="n">
        <v>46103</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36430-2024</t>
        </is>
      </c>
      <c r="B437" s="1" t="n">
        <v>45536</v>
      </c>
      <c r="C437" s="1" t="n">
        <v>46103</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60928-2025</t>
        </is>
      </c>
      <c r="B438" s="1" t="n">
        <v>45999.633125</v>
      </c>
      <c r="C438" s="1" t="n">
        <v>46103</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51312-2023</t>
        </is>
      </c>
      <c r="B439" s="1" t="n">
        <v>45219.56697916667</v>
      </c>
      <c r="C439" s="1" t="n">
        <v>46103</v>
      </c>
      <c r="D439" t="inlineStr">
        <is>
          <t>STOCKHOLMS LÄN</t>
        </is>
      </c>
      <c r="E439" t="inlineStr">
        <is>
          <t>NORRTÄLJE</t>
        </is>
      </c>
      <c r="G439" t="n">
        <v>1.9</v>
      </c>
      <c r="H439" t="n">
        <v>0</v>
      </c>
      <c r="I439" t="n">
        <v>0</v>
      </c>
      <c r="J439" t="n">
        <v>0</v>
      </c>
      <c r="K439" t="n">
        <v>0</v>
      </c>
      <c r="L439" t="n">
        <v>0</v>
      </c>
      <c r="M439" t="n">
        <v>0</v>
      </c>
      <c r="N439" t="n">
        <v>0</v>
      </c>
      <c r="O439" t="n">
        <v>0</v>
      </c>
      <c r="P439" t="n">
        <v>0</v>
      </c>
      <c r="Q439" t="n">
        <v>0</v>
      </c>
      <c r="R439" s="2" t="inlineStr"/>
    </row>
    <row r="440" ht="15" customHeight="1">
      <c r="A440" t="inlineStr">
        <is>
          <t>A 35640-2024</t>
        </is>
      </c>
      <c r="B440" s="1" t="n">
        <v>45531</v>
      </c>
      <c r="C440" s="1" t="n">
        <v>46103</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41964-2025</t>
        </is>
      </c>
      <c r="B441" s="1" t="n">
        <v>45903.47270833333</v>
      </c>
      <c r="C441" s="1" t="n">
        <v>46103</v>
      </c>
      <c r="D441" t="inlineStr">
        <is>
          <t>STOCKHOLMS LÄN</t>
        </is>
      </c>
      <c r="E441" t="inlineStr">
        <is>
          <t>NORRTÄLJE</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61160-2025</t>
        </is>
      </c>
      <c r="B442" s="1" t="n">
        <v>46000.55262731481</v>
      </c>
      <c r="C442" s="1" t="n">
        <v>46103</v>
      </c>
      <c r="D442" t="inlineStr">
        <is>
          <t>STOCKHOLMS LÄN</t>
        </is>
      </c>
      <c r="E442" t="inlineStr">
        <is>
          <t>NORRTÄLJE</t>
        </is>
      </c>
      <c r="G442" t="n">
        <v>5.3</v>
      </c>
      <c r="H442" t="n">
        <v>0</v>
      </c>
      <c r="I442" t="n">
        <v>0</v>
      </c>
      <c r="J442" t="n">
        <v>0</v>
      </c>
      <c r="K442" t="n">
        <v>0</v>
      </c>
      <c r="L442" t="n">
        <v>0</v>
      </c>
      <c r="M442" t="n">
        <v>0</v>
      </c>
      <c r="N442" t="n">
        <v>0</v>
      </c>
      <c r="O442" t="n">
        <v>0</v>
      </c>
      <c r="P442" t="n">
        <v>0</v>
      </c>
      <c r="Q442" t="n">
        <v>0</v>
      </c>
      <c r="R442" s="2" t="inlineStr"/>
    </row>
    <row r="443" ht="15" customHeight="1">
      <c r="A443" t="inlineStr">
        <is>
          <t>A 43212-2022</t>
        </is>
      </c>
      <c r="B443" s="1" t="n">
        <v>44834.38636574074</v>
      </c>
      <c r="C443" s="1" t="n">
        <v>46103</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51653-2022</t>
        </is>
      </c>
      <c r="B444" s="1" t="n">
        <v>44867</v>
      </c>
      <c r="C444" s="1" t="n">
        <v>46103</v>
      </c>
      <c r="D444" t="inlineStr">
        <is>
          <t>STOCKHOLMS LÄN</t>
        </is>
      </c>
      <c r="E444" t="inlineStr">
        <is>
          <t>NORRTÄLJE</t>
        </is>
      </c>
      <c r="G444" t="n">
        <v>6.6</v>
      </c>
      <c r="H444" t="n">
        <v>0</v>
      </c>
      <c r="I444" t="n">
        <v>0</v>
      </c>
      <c r="J444" t="n">
        <v>0</v>
      </c>
      <c r="K444" t="n">
        <v>0</v>
      </c>
      <c r="L444" t="n">
        <v>0</v>
      </c>
      <c r="M444" t="n">
        <v>0</v>
      </c>
      <c r="N444" t="n">
        <v>0</v>
      </c>
      <c r="O444" t="n">
        <v>0</v>
      </c>
      <c r="P444" t="n">
        <v>0</v>
      </c>
      <c r="Q444" t="n">
        <v>0</v>
      </c>
      <c r="R444" s="2" t="inlineStr"/>
    </row>
    <row r="445" ht="15" customHeight="1">
      <c r="A445" t="inlineStr">
        <is>
          <t>A 61419-2025</t>
        </is>
      </c>
      <c r="B445" s="1" t="n">
        <v>46001.54137731482</v>
      </c>
      <c r="C445" s="1" t="n">
        <v>46103</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61430-2025</t>
        </is>
      </c>
      <c r="B446" s="1" t="n">
        <v>46001.55583333333</v>
      </c>
      <c r="C446" s="1" t="n">
        <v>46103</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62998-2023</t>
        </is>
      </c>
      <c r="B447" s="1" t="n">
        <v>45272.64479166667</v>
      </c>
      <c r="C447" s="1" t="n">
        <v>46103</v>
      </c>
      <c r="D447" t="inlineStr">
        <is>
          <t>STOCKHOLMS LÄN</t>
        </is>
      </c>
      <c r="E447" t="inlineStr">
        <is>
          <t>NORRTÄLJE</t>
        </is>
      </c>
      <c r="G447" t="n">
        <v>16.3</v>
      </c>
      <c r="H447" t="n">
        <v>0</v>
      </c>
      <c r="I447" t="n">
        <v>0</v>
      </c>
      <c r="J447" t="n">
        <v>0</v>
      </c>
      <c r="K447" t="n">
        <v>0</v>
      </c>
      <c r="L447" t="n">
        <v>0</v>
      </c>
      <c r="M447" t="n">
        <v>0</v>
      </c>
      <c r="N447" t="n">
        <v>0</v>
      </c>
      <c r="O447" t="n">
        <v>0</v>
      </c>
      <c r="P447" t="n">
        <v>0</v>
      </c>
      <c r="Q447" t="n">
        <v>0</v>
      </c>
      <c r="R447" s="2" t="inlineStr"/>
    </row>
    <row r="448" ht="15" customHeight="1">
      <c r="A448" t="inlineStr">
        <is>
          <t>A 63015-2023</t>
        </is>
      </c>
      <c r="B448" s="1" t="n">
        <v>45272</v>
      </c>
      <c r="C448" s="1" t="n">
        <v>46103</v>
      </c>
      <c r="D448" t="inlineStr">
        <is>
          <t>STOCKHOLMS LÄN</t>
        </is>
      </c>
      <c r="E448" t="inlineStr">
        <is>
          <t>NORRTÄLJE</t>
        </is>
      </c>
      <c r="G448" t="n">
        <v>13.1</v>
      </c>
      <c r="H448" t="n">
        <v>0</v>
      </c>
      <c r="I448" t="n">
        <v>0</v>
      </c>
      <c r="J448" t="n">
        <v>0</v>
      </c>
      <c r="K448" t="n">
        <v>0</v>
      </c>
      <c r="L448" t="n">
        <v>0</v>
      </c>
      <c r="M448" t="n">
        <v>0</v>
      </c>
      <c r="N448" t="n">
        <v>0</v>
      </c>
      <c r="O448" t="n">
        <v>0</v>
      </c>
      <c r="P448" t="n">
        <v>0</v>
      </c>
      <c r="Q448" t="n">
        <v>0</v>
      </c>
      <c r="R448" s="2" t="inlineStr"/>
    </row>
    <row r="449" ht="15" customHeight="1">
      <c r="A449" t="inlineStr">
        <is>
          <t>A 30699-2025</t>
        </is>
      </c>
      <c r="B449" s="1" t="n">
        <v>45831.54618055555</v>
      </c>
      <c r="C449" s="1" t="n">
        <v>46103</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4322-2023</t>
        </is>
      </c>
      <c r="B450" s="1" t="n">
        <v>44953.69298611111</v>
      </c>
      <c r="C450" s="1" t="n">
        <v>46103</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27831-2024</t>
        </is>
      </c>
      <c r="B451" s="1" t="n">
        <v>45475.61896990741</v>
      </c>
      <c r="C451" s="1" t="n">
        <v>46103</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20011-2025</t>
        </is>
      </c>
      <c r="B452" s="1" t="n">
        <v>45772.29622685185</v>
      </c>
      <c r="C452" s="1" t="n">
        <v>46103</v>
      </c>
      <c r="D452" t="inlineStr">
        <is>
          <t>STOCKHOLMS LÄN</t>
        </is>
      </c>
      <c r="E452" t="inlineStr">
        <is>
          <t>NORRTÄLJE</t>
        </is>
      </c>
      <c r="G452" t="n">
        <v>3.5</v>
      </c>
      <c r="H452" t="n">
        <v>0</v>
      </c>
      <c r="I452" t="n">
        <v>0</v>
      </c>
      <c r="J452" t="n">
        <v>0</v>
      </c>
      <c r="K452" t="n">
        <v>0</v>
      </c>
      <c r="L452" t="n">
        <v>0</v>
      </c>
      <c r="M452" t="n">
        <v>0</v>
      </c>
      <c r="N452" t="n">
        <v>0</v>
      </c>
      <c r="O452" t="n">
        <v>0</v>
      </c>
      <c r="P452" t="n">
        <v>0</v>
      </c>
      <c r="Q452" t="n">
        <v>0</v>
      </c>
      <c r="R452" s="2" t="inlineStr"/>
    </row>
    <row r="453" ht="15" customHeight="1">
      <c r="A453" t="inlineStr">
        <is>
          <t>A 33175-2024</t>
        </is>
      </c>
      <c r="B453" s="1" t="n">
        <v>45518</v>
      </c>
      <c r="C453" s="1" t="n">
        <v>46103</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42856-2025</t>
        </is>
      </c>
      <c r="B454" s="1" t="n">
        <v>45908</v>
      </c>
      <c r="C454" s="1" t="n">
        <v>46103</v>
      </c>
      <c r="D454" t="inlineStr">
        <is>
          <t>STOCKHOLMS LÄN</t>
        </is>
      </c>
      <c r="E454" t="inlineStr">
        <is>
          <t>NORRTÄLJE</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38990-2022</t>
        </is>
      </c>
      <c r="B455" s="1" t="n">
        <v>44816</v>
      </c>
      <c r="C455" s="1" t="n">
        <v>46103</v>
      </c>
      <c r="D455" t="inlineStr">
        <is>
          <t>STOCKHOLMS LÄN</t>
        </is>
      </c>
      <c r="E455" t="inlineStr">
        <is>
          <t>NORRTÄLJE</t>
        </is>
      </c>
      <c r="G455" t="n">
        <v>5.7</v>
      </c>
      <c r="H455" t="n">
        <v>0</v>
      </c>
      <c r="I455" t="n">
        <v>0</v>
      </c>
      <c r="J455" t="n">
        <v>0</v>
      </c>
      <c r="K455" t="n">
        <v>0</v>
      </c>
      <c r="L455" t="n">
        <v>0</v>
      </c>
      <c r="M455" t="n">
        <v>0</v>
      </c>
      <c r="N455" t="n">
        <v>0</v>
      </c>
      <c r="O455" t="n">
        <v>0</v>
      </c>
      <c r="P455" t="n">
        <v>0</v>
      </c>
      <c r="Q455" t="n">
        <v>0</v>
      </c>
      <c r="R455" s="2" t="inlineStr"/>
    </row>
    <row r="456" ht="15" customHeight="1">
      <c r="A456" t="inlineStr">
        <is>
          <t>A 21803-2022</t>
        </is>
      </c>
      <c r="B456" s="1" t="n">
        <v>44708.67822916667</v>
      </c>
      <c r="C456" s="1" t="n">
        <v>46103</v>
      </c>
      <c r="D456" t="inlineStr">
        <is>
          <t>STOCKHOLMS LÄN</t>
        </is>
      </c>
      <c r="E456" t="inlineStr">
        <is>
          <t>NORRTÄLJE</t>
        </is>
      </c>
      <c r="G456" t="n">
        <v>1.8</v>
      </c>
      <c r="H456" t="n">
        <v>0</v>
      </c>
      <c r="I456" t="n">
        <v>0</v>
      </c>
      <c r="J456" t="n">
        <v>0</v>
      </c>
      <c r="K456" t="n">
        <v>0</v>
      </c>
      <c r="L456" t="n">
        <v>0</v>
      </c>
      <c r="M456" t="n">
        <v>0</v>
      </c>
      <c r="N456" t="n">
        <v>0</v>
      </c>
      <c r="O456" t="n">
        <v>0</v>
      </c>
      <c r="P456" t="n">
        <v>0</v>
      </c>
      <c r="Q456" t="n">
        <v>0</v>
      </c>
      <c r="R456" s="2" t="inlineStr"/>
    </row>
    <row r="457" ht="15" customHeight="1">
      <c r="A457" t="inlineStr">
        <is>
          <t>A 17956-2025</t>
        </is>
      </c>
      <c r="B457" s="1" t="n">
        <v>45760.91174768518</v>
      </c>
      <c r="C457" s="1" t="n">
        <v>46103</v>
      </c>
      <c r="D457" t="inlineStr">
        <is>
          <t>STOCKHOLMS LÄN</t>
        </is>
      </c>
      <c r="E457" t="inlineStr">
        <is>
          <t>NORRTÄLJE</t>
        </is>
      </c>
      <c r="G457" t="n">
        <v>4.3</v>
      </c>
      <c r="H457" t="n">
        <v>0</v>
      </c>
      <c r="I457" t="n">
        <v>0</v>
      </c>
      <c r="J457" t="n">
        <v>0</v>
      </c>
      <c r="K457" t="n">
        <v>0</v>
      </c>
      <c r="L457" t="n">
        <v>0</v>
      </c>
      <c r="M457" t="n">
        <v>0</v>
      </c>
      <c r="N457" t="n">
        <v>0</v>
      </c>
      <c r="O457" t="n">
        <v>0</v>
      </c>
      <c r="P457" t="n">
        <v>0</v>
      </c>
      <c r="Q457" t="n">
        <v>0</v>
      </c>
      <c r="R457" s="2" t="inlineStr"/>
    </row>
    <row r="458" ht="15" customHeight="1">
      <c r="A458" t="inlineStr">
        <is>
          <t>A 20730-2024</t>
        </is>
      </c>
      <c r="B458" s="1" t="n">
        <v>45436</v>
      </c>
      <c r="C458" s="1" t="n">
        <v>46103</v>
      </c>
      <c r="D458" t="inlineStr">
        <is>
          <t>STOCKHOLMS LÄN</t>
        </is>
      </c>
      <c r="E458" t="inlineStr">
        <is>
          <t>NORRTÄLJE</t>
        </is>
      </c>
      <c r="G458" t="n">
        <v>7.3</v>
      </c>
      <c r="H458" t="n">
        <v>0</v>
      </c>
      <c r="I458" t="n">
        <v>0</v>
      </c>
      <c r="J458" t="n">
        <v>0</v>
      </c>
      <c r="K458" t="n">
        <v>0</v>
      </c>
      <c r="L458" t="n">
        <v>0</v>
      </c>
      <c r="M458" t="n">
        <v>0</v>
      </c>
      <c r="N458" t="n">
        <v>0</v>
      </c>
      <c r="O458" t="n">
        <v>0</v>
      </c>
      <c r="P458" t="n">
        <v>0</v>
      </c>
      <c r="Q458" t="n">
        <v>0</v>
      </c>
      <c r="R458" s="2" t="inlineStr"/>
    </row>
    <row r="459" ht="15" customHeight="1">
      <c r="A459" t="inlineStr">
        <is>
          <t>A 875-2023</t>
        </is>
      </c>
      <c r="B459" s="1" t="n">
        <v>44931.65626157408</v>
      </c>
      <c r="C459" s="1" t="n">
        <v>46103</v>
      </c>
      <c r="D459" t="inlineStr">
        <is>
          <t>STOCKHOLMS LÄN</t>
        </is>
      </c>
      <c r="E459" t="inlineStr">
        <is>
          <t>NORRTÄLJE</t>
        </is>
      </c>
      <c r="G459" t="n">
        <v>2.2</v>
      </c>
      <c r="H459" t="n">
        <v>0</v>
      </c>
      <c r="I459" t="n">
        <v>0</v>
      </c>
      <c r="J459" t="n">
        <v>0</v>
      </c>
      <c r="K459" t="n">
        <v>0</v>
      </c>
      <c r="L459" t="n">
        <v>0</v>
      </c>
      <c r="M459" t="n">
        <v>0</v>
      </c>
      <c r="N459" t="n">
        <v>0</v>
      </c>
      <c r="O459" t="n">
        <v>0</v>
      </c>
      <c r="P459" t="n">
        <v>0</v>
      </c>
      <c r="Q459" t="n">
        <v>0</v>
      </c>
      <c r="R459" s="2" t="inlineStr"/>
    </row>
    <row r="460" ht="15" customHeight="1">
      <c r="A460" t="inlineStr">
        <is>
          <t>A 31236-2022</t>
        </is>
      </c>
      <c r="B460" s="1" t="n">
        <v>44771</v>
      </c>
      <c r="C460" s="1" t="n">
        <v>46103</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8315-2025</t>
        </is>
      </c>
      <c r="B461" s="1" t="n">
        <v>45708.61761574074</v>
      </c>
      <c r="C461" s="1" t="n">
        <v>46103</v>
      </c>
      <c r="D461" t="inlineStr">
        <is>
          <t>STOCKHOLMS LÄN</t>
        </is>
      </c>
      <c r="E461" t="inlineStr">
        <is>
          <t>NORRTÄLJE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31281-2022</t>
        </is>
      </c>
      <c r="B462" s="1" t="n">
        <v>44771</v>
      </c>
      <c r="C462" s="1" t="n">
        <v>46103</v>
      </c>
      <c r="D462" t="inlineStr">
        <is>
          <t>STOCKHOLMS LÄN</t>
        </is>
      </c>
      <c r="E462" t="inlineStr">
        <is>
          <t>NORRTÄLJE</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61452-2025</t>
        </is>
      </c>
      <c r="B463" s="1" t="n">
        <v>46001.58043981482</v>
      </c>
      <c r="C463" s="1" t="n">
        <v>46103</v>
      </c>
      <c r="D463" t="inlineStr">
        <is>
          <t>STOCKHOLMS LÄN</t>
        </is>
      </c>
      <c r="E463" t="inlineStr">
        <is>
          <t>NORRTÄLJE</t>
        </is>
      </c>
      <c r="F463" t="inlineStr">
        <is>
          <t>Holmen skog AB</t>
        </is>
      </c>
      <c r="G463" t="n">
        <v>3.7</v>
      </c>
      <c r="H463" t="n">
        <v>0</v>
      </c>
      <c r="I463" t="n">
        <v>0</v>
      </c>
      <c r="J463" t="n">
        <v>0</v>
      </c>
      <c r="K463" t="n">
        <v>0</v>
      </c>
      <c r="L463" t="n">
        <v>0</v>
      </c>
      <c r="M463" t="n">
        <v>0</v>
      </c>
      <c r="N463" t="n">
        <v>0</v>
      </c>
      <c r="O463" t="n">
        <v>0</v>
      </c>
      <c r="P463" t="n">
        <v>0</v>
      </c>
      <c r="Q463" t="n">
        <v>0</v>
      </c>
      <c r="R463" s="2" t="inlineStr"/>
    </row>
    <row r="464" ht="15" customHeight="1">
      <c r="A464" t="inlineStr">
        <is>
          <t>A 18665-2022</t>
        </is>
      </c>
      <c r="B464" s="1" t="n">
        <v>44687</v>
      </c>
      <c r="C464" s="1" t="n">
        <v>46103</v>
      </c>
      <c r="D464" t="inlineStr">
        <is>
          <t>STOCKHOLMS LÄN</t>
        </is>
      </c>
      <c r="E464" t="inlineStr">
        <is>
          <t>NORRTÄLJE</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61289-2025</t>
        </is>
      </c>
      <c r="B465" s="1" t="n">
        <v>46000.73659722223</v>
      </c>
      <c r="C465" s="1" t="n">
        <v>46103</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61769-2025</t>
        </is>
      </c>
      <c r="B466" s="1" t="n">
        <v>46002.64556712963</v>
      </c>
      <c r="C466" s="1" t="n">
        <v>46103</v>
      </c>
      <c r="D466" t="inlineStr">
        <is>
          <t>STOCKHOLMS LÄN</t>
        </is>
      </c>
      <c r="E466" t="inlineStr">
        <is>
          <t>NORRTÄLJE</t>
        </is>
      </c>
      <c r="G466" t="n">
        <v>2.9</v>
      </c>
      <c r="H466" t="n">
        <v>0</v>
      </c>
      <c r="I466" t="n">
        <v>0</v>
      </c>
      <c r="J466" t="n">
        <v>0</v>
      </c>
      <c r="K466" t="n">
        <v>0</v>
      </c>
      <c r="L466" t="n">
        <v>0</v>
      </c>
      <c r="M466" t="n">
        <v>0</v>
      </c>
      <c r="N466" t="n">
        <v>0</v>
      </c>
      <c r="O466" t="n">
        <v>0</v>
      </c>
      <c r="P466" t="n">
        <v>0</v>
      </c>
      <c r="Q466" t="n">
        <v>0</v>
      </c>
      <c r="R466" s="2" t="inlineStr"/>
    </row>
    <row r="467" ht="15" customHeight="1">
      <c r="A467" t="inlineStr">
        <is>
          <t>A 24835-2025</t>
        </is>
      </c>
      <c r="B467" s="1" t="n">
        <v>45799</v>
      </c>
      <c r="C467" s="1" t="n">
        <v>46103</v>
      </c>
      <c r="D467" t="inlineStr">
        <is>
          <t>STOCKHOLMS LÄN</t>
        </is>
      </c>
      <c r="E467" t="inlineStr">
        <is>
          <t>NORRTÄLJE</t>
        </is>
      </c>
      <c r="G467" t="n">
        <v>2.5</v>
      </c>
      <c r="H467" t="n">
        <v>0</v>
      </c>
      <c r="I467" t="n">
        <v>0</v>
      </c>
      <c r="J467" t="n">
        <v>0</v>
      </c>
      <c r="K467" t="n">
        <v>0</v>
      </c>
      <c r="L467" t="n">
        <v>0</v>
      </c>
      <c r="M467" t="n">
        <v>0</v>
      </c>
      <c r="N467" t="n">
        <v>0</v>
      </c>
      <c r="O467" t="n">
        <v>0</v>
      </c>
      <c r="P467" t="n">
        <v>0</v>
      </c>
      <c r="Q467" t="n">
        <v>0</v>
      </c>
      <c r="R467" s="2" t="inlineStr"/>
    </row>
    <row r="468" ht="15" customHeight="1">
      <c r="A468" t="inlineStr">
        <is>
          <t>A 43169-2025</t>
        </is>
      </c>
      <c r="B468" s="1" t="n">
        <v>45910</v>
      </c>
      <c r="C468" s="1" t="n">
        <v>46103</v>
      </c>
      <c r="D468" t="inlineStr">
        <is>
          <t>STOCKHOLMS LÄN</t>
        </is>
      </c>
      <c r="E468" t="inlineStr">
        <is>
          <t>NORRTÄLJE</t>
        </is>
      </c>
      <c r="G468" t="n">
        <v>6.9</v>
      </c>
      <c r="H468" t="n">
        <v>0</v>
      </c>
      <c r="I468" t="n">
        <v>0</v>
      </c>
      <c r="J468" t="n">
        <v>0</v>
      </c>
      <c r="K468" t="n">
        <v>0</v>
      </c>
      <c r="L468" t="n">
        <v>0</v>
      </c>
      <c r="M468" t="n">
        <v>0</v>
      </c>
      <c r="N468" t="n">
        <v>0</v>
      </c>
      <c r="O468" t="n">
        <v>0</v>
      </c>
      <c r="P468" t="n">
        <v>0</v>
      </c>
      <c r="Q468" t="n">
        <v>0</v>
      </c>
      <c r="R468" s="2" t="inlineStr"/>
    </row>
    <row r="469" ht="15" customHeight="1">
      <c r="A469" t="inlineStr">
        <is>
          <t>A 58302-2022</t>
        </is>
      </c>
      <c r="B469" s="1" t="n">
        <v>44901</v>
      </c>
      <c r="C469" s="1" t="n">
        <v>46103</v>
      </c>
      <c r="D469" t="inlineStr">
        <is>
          <t>STOCKHOLMS LÄN</t>
        </is>
      </c>
      <c r="E469" t="inlineStr">
        <is>
          <t>NORRTÄLJE</t>
        </is>
      </c>
      <c r="G469" t="n">
        <v>3.9</v>
      </c>
      <c r="H469" t="n">
        <v>0</v>
      </c>
      <c r="I469" t="n">
        <v>0</v>
      </c>
      <c r="J469" t="n">
        <v>0</v>
      </c>
      <c r="K469" t="n">
        <v>0</v>
      </c>
      <c r="L469" t="n">
        <v>0</v>
      </c>
      <c r="M469" t="n">
        <v>0</v>
      </c>
      <c r="N469" t="n">
        <v>0</v>
      </c>
      <c r="O469" t="n">
        <v>0</v>
      </c>
      <c r="P469" t="n">
        <v>0</v>
      </c>
      <c r="Q469" t="n">
        <v>0</v>
      </c>
      <c r="R469" s="2" t="inlineStr"/>
    </row>
    <row r="470" ht="15" customHeight="1">
      <c r="A470" t="inlineStr">
        <is>
          <t>A 61764-2025</t>
        </is>
      </c>
      <c r="B470" s="1" t="n">
        <v>46002.62763888889</v>
      </c>
      <c r="C470" s="1" t="n">
        <v>46103</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30719-2025</t>
        </is>
      </c>
      <c r="B471" s="1" t="n">
        <v>45831</v>
      </c>
      <c r="C471" s="1" t="n">
        <v>46103</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43269-2025</t>
        </is>
      </c>
      <c r="B472" s="1" t="n">
        <v>45910.5819212963</v>
      </c>
      <c r="C472" s="1" t="n">
        <v>46103</v>
      </c>
      <c r="D472" t="inlineStr">
        <is>
          <t>STOCKHOLMS LÄN</t>
        </is>
      </c>
      <c r="E472" t="inlineStr">
        <is>
          <t>NORRTÄLJE</t>
        </is>
      </c>
      <c r="G472" t="n">
        <v>3.7</v>
      </c>
      <c r="H472" t="n">
        <v>0</v>
      </c>
      <c r="I472" t="n">
        <v>0</v>
      </c>
      <c r="J472" t="n">
        <v>0</v>
      </c>
      <c r="K472" t="n">
        <v>0</v>
      </c>
      <c r="L472" t="n">
        <v>0</v>
      </c>
      <c r="M472" t="n">
        <v>0</v>
      </c>
      <c r="N472" t="n">
        <v>0</v>
      </c>
      <c r="O472" t="n">
        <v>0</v>
      </c>
      <c r="P472" t="n">
        <v>0</v>
      </c>
      <c r="Q472" t="n">
        <v>0</v>
      </c>
      <c r="R472" s="2" t="inlineStr"/>
    </row>
    <row r="473" ht="15" customHeight="1">
      <c r="A473" t="inlineStr">
        <is>
          <t>A 38591-2023</t>
        </is>
      </c>
      <c r="B473" s="1" t="n">
        <v>45162</v>
      </c>
      <c r="C473" s="1" t="n">
        <v>46103</v>
      </c>
      <c r="D473" t="inlineStr">
        <is>
          <t>STOCKHOLMS LÄN</t>
        </is>
      </c>
      <c r="E473" t="inlineStr">
        <is>
          <t>NORRTÄLJE</t>
        </is>
      </c>
      <c r="F473" t="inlineStr">
        <is>
          <t>Övriga Aktiebolag</t>
        </is>
      </c>
      <c r="G473" t="n">
        <v>3.1</v>
      </c>
      <c r="H473" t="n">
        <v>0</v>
      </c>
      <c r="I473" t="n">
        <v>0</v>
      </c>
      <c r="J473" t="n">
        <v>0</v>
      </c>
      <c r="K473" t="n">
        <v>0</v>
      </c>
      <c r="L473" t="n">
        <v>0</v>
      </c>
      <c r="M473" t="n">
        <v>0</v>
      </c>
      <c r="N473" t="n">
        <v>0</v>
      </c>
      <c r="O473" t="n">
        <v>0</v>
      </c>
      <c r="P473" t="n">
        <v>0</v>
      </c>
      <c r="Q473" t="n">
        <v>0</v>
      </c>
      <c r="R473" s="2" t="inlineStr"/>
    </row>
    <row r="474" ht="15" customHeight="1">
      <c r="A474" t="inlineStr">
        <is>
          <t>A 30338-2022</t>
        </is>
      </c>
      <c r="B474" s="1" t="n">
        <v>44760</v>
      </c>
      <c r="C474" s="1" t="n">
        <v>46103</v>
      </c>
      <c r="D474" t="inlineStr">
        <is>
          <t>STOCKHOLMS LÄN</t>
        </is>
      </c>
      <c r="E474" t="inlineStr">
        <is>
          <t>NORRTÄLJE</t>
        </is>
      </c>
      <c r="G474" t="n">
        <v>0.3</v>
      </c>
      <c r="H474" t="n">
        <v>0</v>
      </c>
      <c r="I474" t="n">
        <v>0</v>
      </c>
      <c r="J474" t="n">
        <v>0</v>
      </c>
      <c r="K474" t="n">
        <v>0</v>
      </c>
      <c r="L474" t="n">
        <v>0</v>
      </c>
      <c r="M474" t="n">
        <v>0</v>
      </c>
      <c r="N474" t="n">
        <v>0</v>
      </c>
      <c r="O474" t="n">
        <v>0</v>
      </c>
      <c r="P474" t="n">
        <v>0</v>
      </c>
      <c r="Q474" t="n">
        <v>0</v>
      </c>
      <c r="R474" s="2" t="inlineStr"/>
    </row>
    <row r="475" ht="15" customHeight="1">
      <c r="A475" t="inlineStr">
        <is>
          <t>A 2888-2022</t>
        </is>
      </c>
      <c r="B475" s="1" t="n">
        <v>44581</v>
      </c>
      <c r="C475" s="1" t="n">
        <v>46103</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52686-2024</t>
        </is>
      </c>
      <c r="B476" s="1" t="n">
        <v>45610.39271990741</v>
      </c>
      <c r="C476" s="1" t="n">
        <v>46103</v>
      </c>
      <c r="D476" t="inlineStr">
        <is>
          <t>STOCKHOLMS LÄN</t>
        </is>
      </c>
      <c r="E476" t="inlineStr">
        <is>
          <t>NORRTÄLJE</t>
        </is>
      </c>
      <c r="G476" t="n">
        <v>5.7</v>
      </c>
      <c r="H476" t="n">
        <v>0</v>
      </c>
      <c r="I476" t="n">
        <v>0</v>
      </c>
      <c r="J476" t="n">
        <v>0</v>
      </c>
      <c r="K476" t="n">
        <v>0</v>
      </c>
      <c r="L476" t="n">
        <v>0</v>
      </c>
      <c r="M476" t="n">
        <v>0</v>
      </c>
      <c r="N476" t="n">
        <v>0</v>
      </c>
      <c r="O476" t="n">
        <v>0</v>
      </c>
      <c r="P476" t="n">
        <v>0</v>
      </c>
      <c r="Q476" t="n">
        <v>0</v>
      </c>
      <c r="R476" s="2" t="inlineStr"/>
    </row>
    <row r="477" ht="15" customHeight="1">
      <c r="A477" t="inlineStr">
        <is>
          <t>A 20343-2024</t>
        </is>
      </c>
      <c r="B477" s="1" t="n">
        <v>45435.43466435185</v>
      </c>
      <c r="C477" s="1" t="n">
        <v>46103</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20345-2024</t>
        </is>
      </c>
      <c r="B478" s="1" t="n">
        <v>45435.43820601852</v>
      </c>
      <c r="C478" s="1" t="n">
        <v>46103</v>
      </c>
      <c r="D478" t="inlineStr">
        <is>
          <t>STOCKHOLMS LÄN</t>
        </is>
      </c>
      <c r="E478" t="inlineStr">
        <is>
          <t>NORRTÄLJE</t>
        </is>
      </c>
      <c r="G478" t="n">
        <v>3.8</v>
      </c>
      <c r="H478" t="n">
        <v>0</v>
      </c>
      <c r="I478" t="n">
        <v>0</v>
      </c>
      <c r="J478" t="n">
        <v>0</v>
      </c>
      <c r="K478" t="n">
        <v>0</v>
      </c>
      <c r="L478" t="n">
        <v>0</v>
      </c>
      <c r="M478" t="n">
        <v>0</v>
      </c>
      <c r="N478" t="n">
        <v>0</v>
      </c>
      <c r="O478" t="n">
        <v>0</v>
      </c>
      <c r="P478" t="n">
        <v>0</v>
      </c>
      <c r="Q478" t="n">
        <v>0</v>
      </c>
      <c r="R478" s="2" t="inlineStr"/>
    </row>
    <row r="479" ht="15" customHeight="1">
      <c r="A479" t="inlineStr">
        <is>
          <t>A 9765-2024</t>
        </is>
      </c>
      <c r="B479" s="1" t="n">
        <v>45362.62811342593</v>
      </c>
      <c r="C479" s="1" t="n">
        <v>46103</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59875-2024</t>
        </is>
      </c>
      <c r="B480" s="1" t="n">
        <v>45640.58716435185</v>
      </c>
      <c r="C480" s="1" t="n">
        <v>46103</v>
      </c>
      <c r="D480" t="inlineStr">
        <is>
          <t>STOCKHOLMS LÄN</t>
        </is>
      </c>
      <c r="E480" t="inlineStr">
        <is>
          <t>NORRTÄLJE</t>
        </is>
      </c>
      <c r="G480" t="n">
        <v>0.3</v>
      </c>
      <c r="H480" t="n">
        <v>0</v>
      </c>
      <c r="I480" t="n">
        <v>0</v>
      </c>
      <c r="J480" t="n">
        <v>0</v>
      </c>
      <c r="K480" t="n">
        <v>0</v>
      </c>
      <c r="L480" t="n">
        <v>0</v>
      </c>
      <c r="M480" t="n">
        <v>0</v>
      </c>
      <c r="N480" t="n">
        <v>0</v>
      </c>
      <c r="O480" t="n">
        <v>0</v>
      </c>
      <c r="P480" t="n">
        <v>0</v>
      </c>
      <c r="Q480" t="n">
        <v>0</v>
      </c>
      <c r="R480" s="2" t="inlineStr"/>
    </row>
    <row r="481" ht="15" customHeight="1">
      <c r="A481" t="inlineStr">
        <is>
          <t>A 33279-2025</t>
        </is>
      </c>
      <c r="B481" s="1" t="n">
        <v>45840</v>
      </c>
      <c r="C481" s="1" t="n">
        <v>46103</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53499-2025</t>
        </is>
      </c>
      <c r="B482" s="1" t="n">
        <v>45960</v>
      </c>
      <c r="C482" s="1" t="n">
        <v>46103</v>
      </c>
      <c r="D482" t="inlineStr">
        <is>
          <t>STOCKHOLMS LÄN</t>
        </is>
      </c>
      <c r="E482" t="inlineStr">
        <is>
          <t>NORRTÄLJE</t>
        </is>
      </c>
      <c r="G482" t="n">
        <v>23.8</v>
      </c>
      <c r="H482" t="n">
        <v>0</v>
      </c>
      <c r="I482" t="n">
        <v>0</v>
      </c>
      <c r="J482" t="n">
        <v>0</v>
      </c>
      <c r="K482" t="n">
        <v>0</v>
      </c>
      <c r="L482" t="n">
        <v>0</v>
      </c>
      <c r="M482" t="n">
        <v>0</v>
      </c>
      <c r="N482" t="n">
        <v>0</v>
      </c>
      <c r="O482" t="n">
        <v>0</v>
      </c>
      <c r="P482" t="n">
        <v>0</v>
      </c>
      <c r="Q482" t="n">
        <v>0</v>
      </c>
      <c r="R482" s="2" t="inlineStr"/>
    </row>
    <row r="483" ht="15" customHeight="1">
      <c r="A483" t="inlineStr">
        <is>
          <t>A 12901-2024</t>
        </is>
      </c>
      <c r="B483" s="1" t="n">
        <v>45385.37922453704</v>
      </c>
      <c r="C483" s="1" t="n">
        <v>46103</v>
      </c>
      <c r="D483" t="inlineStr">
        <is>
          <t>STOCKHOLMS LÄN</t>
        </is>
      </c>
      <c r="E483" t="inlineStr">
        <is>
          <t>NORRTÄLJE</t>
        </is>
      </c>
      <c r="G483" t="n">
        <v>2.7</v>
      </c>
      <c r="H483" t="n">
        <v>0</v>
      </c>
      <c r="I483" t="n">
        <v>0</v>
      </c>
      <c r="J483" t="n">
        <v>0</v>
      </c>
      <c r="K483" t="n">
        <v>0</v>
      </c>
      <c r="L483" t="n">
        <v>0</v>
      </c>
      <c r="M483" t="n">
        <v>0</v>
      </c>
      <c r="N483" t="n">
        <v>0</v>
      </c>
      <c r="O483" t="n">
        <v>0</v>
      </c>
      <c r="P483" t="n">
        <v>0</v>
      </c>
      <c r="Q483" t="n">
        <v>0</v>
      </c>
      <c r="R483" s="2" t="inlineStr"/>
    </row>
    <row r="484" ht="15" customHeight="1">
      <c r="A484" t="inlineStr">
        <is>
          <t>A 11-2024</t>
        </is>
      </c>
      <c r="B484" s="1" t="n">
        <v>45293</v>
      </c>
      <c r="C484" s="1" t="n">
        <v>46103</v>
      </c>
      <c r="D484" t="inlineStr">
        <is>
          <t>STOCKHOLMS LÄN</t>
        </is>
      </c>
      <c r="E484" t="inlineStr">
        <is>
          <t>NORRTÄLJE</t>
        </is>
      </c>
      <c r="F484" t="inlineStr">
        <is>
          <t>Sveaskog</t>
        </is>
      </c>
      <c r="G484" t="n">
        <v>3.2</v>
      </c>
      <c r="H484" t="n">
        <v>0</v>
      </c>
      <c r="I484" t="n">
        <v>0</v>
      </c>
      <c r="J484" t="n">
        <v>0</v>
      </c>
      <c r="K484" t="n">
        <v>0</v>
      </c>
      <c r="L484" t="n">
        <v>0</v>
      </c>
      <c r="M484" t="n">
        <v>0</v>
      </c>
      <c r="N484" t="n">
        <v>0</v>
      </c>
      <c r="O484" t="n">
        <v>0</v>
      </c>
      <c r="P484" t="n">
        <v>0</v>
      </c>
      <c r="Q484" t="n">
        <v>0</v>
      </c>
      <c r="R484" s="2" t="inlineStr"/>
    </row>
    <row r="485" ht="15" customHeight="1">
      <c r="A485" t="inlineStr">
        <is>
          <t>A 8950-2025</t>
        </is>
      </c>
      <c r="B485" s="1" t="n">
        <v>45713</v>
      </c>
      <c r="C485" s="1" t="n">
        <v>46103</v>
      </c>
      <c r="D485" t="inlineStr">
        <is>
          <t>STOCKHOLMS LÄN</t>
        </is>
      </c>
      <c r="E485" t="inlineStr">
        <is>
          <t>NORRTÄLJE</t>
        </is>
      </c>
      <c r="F485" t="inlineStr">
        <is>
          <t>Övriga Aktiebolag</t>
        </is>
      </c>
      <c r="G485" t="n">
        <v>3.6</v>
      </c>
      <c r="H485" t="n">
        <v>0</v>
      </c>
      <c r="I485" t="n">
        <v>0</v>
      </c>
      <c r="J485" t="n">
        <v>0</v>
      </c>
      <c r="K485" t="n">
        <v>0</v>
      </c>
      <c r="L485" t="n">
        <v>0</v>
      </c>
      <c r="M485" t="n">
        <v>0</v>
      </c>
      <c r="N485" t="n">
        <v>0</v>
      </c>
      <c r="O485" t="n">
        <v>0</v>
      </c>
      <c r="P485" t="n">
        <v>0</v>
      </c>
      <c r="Q485" t="n">
        <v>0</v>
      </c>
      <c r="R485" s="2" t="inlineStr"/>
    </row>
    <row r="486" ht="15" customHeight="1">
      <c r="A486" t="inlineStr">
        <is>
          <t>A 43916-2025</t>
        </is>
      </c>
      <c r="B486" s="1" t="n">
        <v>45914.78884259259</v>
      </c>
      <c r="C486" s="1" t="n">
        <v>46103</v>
      </c>
      <c r="D486" t="inlineStr">
        <is>
          <t>STOCKHOLMS LÄN</t>
        </is>
      </c>
      <c r="E486" t="inlineStr">
        <is>
          <t>NORRTÄLJE</t>
        </is>
      </c>
      <c r="G486" t="n">
        <v>1.5</v>
      </c>
      <c r="H486" t="n">
        <v>0</v>
      </c>
      <c r="I486" t="n">
        <v>0</v>
      </c>
      <c r="J486" t="n">
        <v>0</v>
      </c>
      <c r="K486" t="n">
        <v>0</v>
      </c>
      <c r="L486" t="n">
        <v>0</v>
      </c>
      <c r="M486" t="n">
        <v>0</v>
      </c>
      <c r="N486" t="n">
        <v>0</v>
      </c>
      <c r="O486" t="n">
        <v>0</v>
      </c>
      <c r="P486" t="n">
        <v>0</v>
      </c>
      <c r="Q486" t="n">
        <v>0</v>
      </c>
      <c r="R486" s="2" t="inlineStr"/>
    </row>
    <row r="487" ht="15" customHeight="1">
      <c r="A487" t="inlineStr">
        <is>
          <t>A 14559-2024</t>
        </is>
      </c>
      <c r="B487" s="1" t="n">
        <v>45394.72869212963</v>
      </c>
      <c r="C487" s="1" t="n">
        <v>46103</v>
      </c>
      <c r="D487" t="inlineStr">
        <is>
          <t>STOCKHOLMS LÄN</t>
        </is>
      </c>
      <c r="E487" t="inlineStr">
        <is>
          <t>NORRTÄLJE</t>
        </is>
      </c>
      <c r="G487" t="n">
        <v>4.2</v>
      </c>
      <c r="H487" t="n">
        <v>0</v>
      </c>
      <c r="I487" t="n">
        <v>0</v>
      </c>
      <c r="J487" t="n">
        <v>0</v>
      </c>
      <c r="K487" t="n">
        <v>0</v>
      </c>
      <c r="L487" t="n">
        <v>0</v>
      </c>
      <c r="M487" t="n">
        <v>0</v>
      </c>
      <c r="N487" t="n">
        <v>0</v>
      </c>
      <c r="O487" t="n">
        <v>0</v>
      </c>
      <c r="P487" t="n">
        <v>0</v>
      </c>
      <c r="Q487" t="n">
        <v>0</v>
      </c>
      <c r="R487" s="2" t="inlineStr"/>
    </row>
    <row r="488" ht="15" customHeight="1">
      <c r="A488" t="inlineStr">
        <is>
          <t>A 8433-2022</t>
        </is>
      </c>
      <c r="B488" s="1" t="n">
        <v>44611</v>
      </c>
      <c r="C488" s="1" t="n">
        <v>46103</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12301-2025</t>
        </is>
      </c>
      <c r="B489" s="1" t="n">
        <v>45729.7271875</v>
      </c>
      <c r="C489" s="1" t="n">
        <v>46103</v>
      </c>
      <c r="D489" t="inlineStr">
        <is>
          <t>STOCKHOLMS LÄN</t>
        </is>
      </c>
      <c r="E489" t="inlineStr">
        <is>
          <t>NORRTÄLJE</t>
        </is>
      </c>
      <c r="G489" t="n">
        <v>3.2</v>
      </c>
      <c r="H489" t="n">
        <v>0</v>
      </c>
      <c r="I489" t="n">
        <v>0</v>
      </c>
      <c r="J489" t="n">
        <v>0</v>
      </c>
      <c r="K489" t="n">
        <v>0</v>
      </c>
      <c r="L489" t="n">
        <v>0</v>
      </c>
      <c r="M489" t="n">
        <v>0</v>
      </c>
      <c r="N489" t="n">
        <v>0</v>
      </c>
      <c r="O489" t="n">
        <v>0</v>
      </c>
      <c r="P489" t="n">
        <v>0</v>
      </c>
      <c r="Q489" t="n">
        <v>0</v>
      </c>
      <c r="R489" s="2" t="inlineStr"/>
    </row>
    <row r="490" ht="15" customHeight="1">
      <c r="A490" t="inlineStr">
        <is>
          <t>A 25525-2022</t>
        </is>
      </c>
      <c r="B490" s="1" t="n">
        <v>44732</v>
      </c>
      <c r="C490" s="1" t="n">
        <v>46103</v>
      </c>
      <c r="D490" t="inlineStr">
        <is>
          <t>STOCKHOLMS LÄN</t>
        </is>
      </c>
      <c r="E490" t="inlineStr">
        <is>
          <t>NORRTÄLJE</t>
        </is>
      </c>
      <c r="G490" t="n">
        <v>2.2</v>
      </c>
      <c r="H490" t="n">
        <v>0</v>
      </c>
      <c r="I490" t="n">
        <v>0</v>
      </c>
      <c r="J490" t="n">
        <v>0</v>
      </c>
      <c r="K490" t="n">
        <v>0</v>
      </c>
      <c r="L490" t="n">
        <v>0</v>
      </c>
      <c r="M490" t="n">
        <v>0</v>
      </c>
      <c r="N490" t="n">
        <v>0</v>
      </c>
      <c r="O490" t="n">
        <v>0</v>
      </c>
      <c r="P490" t="n">
        <v>0</v>
      </c>
      <c r="Q490" t="n">
        <v>0</v>
      </c>
      <c r="R490" s="2" t="inlineStr"/>
    </row>
    <row r="491" ht="15" customHeight="1">
      <c r="A491" t="inlineStr">
        <is>
          <t>A 12302-2025</t>
        </is>
      </c>
      <c r="B491" s="1" t="n">
        <v>45729.72851851852</v>
      </c>
      <c r="C491" s="1" t="n">
        <v>46103</v>
      </c>
      <c r="D491" t="inlineStr">
        <is>
          <t>STOCKHOLMS LÄN</t>
        </is>
      </c>
      <c r="E491" t="inlineStr">
        <is>
          <t>NORRTÄLJE</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44354-2025</t>
        </is>
      </c>
      <c r="B492" s="1" t="n">
        <v>45916.44655092592</v>
      </c>
      <c r="C492" s="1" t="n">
        <v>46103</v>
      </c>
      <c r="D492" t="inlineStr">
        <is>
          <t>STOCKHOLMS LÄN</t>
        </is>
      </c>
      <c r="E492" t="inlineStr">
        <is>
          <t>NORRTÄLJE</t>
        </is>
      </c>
      <c r="G492" t="n">
        <v>2.3</v>
      </c>
      <c r="H492" t="n">
        <v>0</v>
      </c>
      <c r="I492" t="n">
        <v>0</v>
      </c>
      <c r="J492" t="n">
        <v>0</v>
      </c>
      <c r="K492" t="n">
        <v>0</v>
      </c>
      <c r="L492" t="n">
        <v>0</v>
      </c>
      <c r="M492" t="n">
        <v>0</v>
      </c>
      <c r="N492" t="n">
        <v>0</v>
      </c>
      <c r="O492" t="n">
        <v>0</v>
      </c>
      <c r="P492" t="n">
        <v>0</v>
      </c>
      <c r="Q492" t="n">
        <v>0</v>
      </c>
      <c r="R492" s="2" t="inlineStr"/>
    </row>
    <row r="493" ht="15" customHeight="1">
      <c r="A493" t="inlineStr">
        <is>
          <t>A 24351-2025</t>
        </is>
      </c>
      <c r="B493" s="1" t="n">
        <v>45797.58399305555</v>
      </c>
      <c r="C493" s="1" t="n">
        <v>46103</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13283-2025</t>
        </is>
      </c>
      <c r="B494" s="1" t="n">
        <v>45735</v>
      </c>
      <c r="C494" s="1" t="n">
        <v>46103</v>
      </c>
      <c r="D494" t="inlineStr">
        <is>
          <t>STOCKHOLMS LÄN</t>
        </is>
      </c>
      <c r="E494" t="inlineStr">
        <is>
          <t>NORRTÄLJE</t>
        </is>
      </c>
      <c r="G494" t="n">
        <v>4.9</v>
      </c>
      <c r="H494" t="n">
        <v>0</v>
      </c>
      <c r="I494" t="n">
        <v>0</v>
      </c>
      <c r="J494" t="n">
        <v>0</v>
      </c>
      <c r="K494" t="n">
        <v>0</v>
      </c>
      <c r="L494" t="n">
        <v>0</v>
      </c>
      <c r="M494" t="n">
        <v>0</v>
      </c>
      <c r="N494" t="n">
        <v>0</v>
      </c>
      <c r="O494" t="n">
        <v>0</v>
      </c>
      <c r="P494" t="n">
        <v>0</v>
      </c>
      <c r="Q494" t="n">
        <v>0</v>
      </c>
      <c r="R494" s="2" t="inlineStr"/>
    </row>
    <row r="495" ht="15" customHeight="1">
      <c r="A495" t="inlineStr">
        <is>
          <t>A 38889-2024</t>
        </is>
      </c>
      <c r="B495" s="1" t="n">
        <v>45547</v>
      </c>
      <c r="C495" s="1" t="n">
        <v>46103</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45451-2024</t>
        </is>
      </c>
      <c r="B496" s="1" t="n">
        <v>45576</v>
      </c>
      <c r="C496" s="1" t="n">
        <v>46103</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62708-2025</t>
        </is>
      </c>
      <c r="B497" s="1" t="n">
        <v>46008.50986111111</v>
      </c>
      <c r="C497" s="1" t="n">
        <v>46103</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34478-2025</t>
        </is>
      </c>
      <c r="B498" s="1" t="n">
        <v>45847</v>
      </c>
      <c r="C498" s="1" t="n">
        <v>46103</v>
      </c>
      <c r="D498" t="inlineStr">
        <is>
          <t>STOCKHOLMS LÄN</t>
        </is>
      </c>
      <c r="E498" t="inlineStr">
        <is>
          <t>NORRTÄLJE</t>
        </is>
      </c>
      <c r="F498" t="inlineStr">
        <is>
          <t>Övriga Aktiebolag</t>
        </is>
      </c>
      <c r="G498" t="n">
        <v>10.8</v>
      </c>
      <c r="H498" t="n">
        <v>0</v>
      </c>
      <c r="I498" t="n">
        <v>0</v>
      </c>
      <c r="J498" t="n">
        <v>0</v>
      </c>
      <c r="K498" t="n">
        <v>0</v>
      </c>
      <c r="L498" t="n">
        <v>0</v>
      </c>
      <c r="M498" t="n">
        <v>0</v>
      </c>
      <c r="N498" t="n">
        <v>0</v>
      </c>
      <c r="O498" t="n">
        <v>0</v>
      </c>
      <c r="P498" t="n">
        <v>0</v>
      </c>
      <c r="Q498" t="n">
        <v>0</v>
      </c>
      <c r="R498" s="2" t="inlineStr"/>
    </row>
    <row r="499" ht="15" customHeight="1">
      <c r="A499" t="inlineStr">
        <is>
          <t>A 44306-2025</t>
        </is>
      </c>
      <c r="B499" s="1" t="n">
        <v>45916.37736111111</v>
      </c>
      <c r="C499" s="1" t="n">
        <v>46103</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44343-2025</t>
        </is>
      </c>
      <c r="B500" s="1" t="n">
        <v>45916.43378472222</v>
      </c>
      <c r="C500" s="1" t="n">
        <v>46103</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44349-2025</t>
        </is>
      </c>
      <c r="B501" s="1" t="n">
        <v>45916.43929398148</v>
      </c>
      <c r="C501" s="1" t="n">
        <v>46103</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62681-2025</t>
        </is>
      </c>
      <c r="B502" s="1" t="n">
        <v>46008.45534722223</v>
      </c>
      <c r="C502" s="1" t="n">
        <v>46103</v>
      </c>
      <c r="D502" t="inlineStr">
        <is>
          <t>STOCKHOLMS LÄN</t>
        </is>
      </c>
      <c r="E502" t="inlineStr">
        <is>
          <t>NORRTÄLJE</t>
        </is>
      </c>
      <c r="G502" t="n">
        <v>2.4</v>
      </c>
      <c r="H502" t="n">
        <v>0</v>
      </c>
      <c r="I502" t="n">
        <v>0</v>
      </c>
      <c r="J502" t="n">
        <v>0</v>
      </c>
      <c r="K502" t="n">
        <v>0</v>
      </c>
      <c r="L502" t="n">
        <v>0</v>
      </c>
      <c r="M502" t="n">
        <v>0</v>
      </c>
      <c r="N502" t="n">
        <v>0</v>
      </c>
      <c r="O502" t="n">
        <v>0</v>
      </c>
      <c r="P502" t="n">
        <v>0</v>
      </c>
      <c r="Q502" t="n">
        <v>0</v>
      </c>
      <c r="R502" s="2" t="inlineStr"/>
    </row>
    <row r="503" ht="15" customHeight="1">
      <c r="A503" t="inlineStr">
        <is>
          <t>A 62922-2025</t>
        </is>
      </c>
      <c r="B503" s="1" t="n">
        <v>46009.38064814815</v>
      </c>
      <c r="C503" s="1" t="n">
        <v>46103</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44311-2025</t>
        </is>
      </c>
      <c r="B504" s="1" t="n">
        <v>45916.38394675926</v>
      </c>
      <c r="C504" s="1" t="n">
        <v>46103</v>
      </c>
      <c r="D504" t="inlineStr">
        <is>
          <t>STOCKHOLMS LÄN</t>
        </is>
      </c>
      <c r="E504" t="inlineStr">
        <is>
          <t>NORRTÄLJE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44333-2025</t>
        </is>
      </c>
      <c r="B505" s="1" t="n">
        <v>45916.42293981482</v>
      </c>
      <c r="C505" s="1" t="n">
        <v>46103</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62689-2025</t>
        </is>
      </c>
      <c r="B506" s="1" t="n">
        <v>46008.47171296296</v>
      </c>
      <c r="C506" s="1" t="n">
        <v>46103</v>
      </c>
      <c r="D506" t="inlineStr">
        <is>
          <t>STOCKHOLMS LÄN</t>
        </is>
      </c>
      <c r="E506" t="inlineStr">
        <is>
          <t>NORRTÄLJE</t>
        </is>
      </c>
      <c r="F506" t="inlineStr">
        <is>
          <t>Kyrkan</t>
        </is>
      </c>
      <c r="G506" t="n">
        <v>0.7</v>
      </c>
      <c r="H506" t="n">
        <v>0</v>
      </c>
      <c r="I506" t="n">
        <v>0</v>
      </c>
      <c r="J506" t="n">
        <v>0</v>
      </c>
      <c r="K506" t="n">
        <v>0</v>
      </c>
      <c r="L506" t="n">
        <v>0</v>
      </c>
      <c r="M506" t="n">
        <v>0</v>
      </c>
      <c r="N506" t="n">
        <v>0</v>
      </c>
      <c r="O506" t="n">
        <v>0</v>
      </c>
      <c r="P506" t="n">
        <v>0</v>
      </c>
      <c r="Q506" t="n">
        <v>0</v>
      </c>
      <c r="R506" s="2" t="inlineStr"/>
    </row>
    <row r="507" ht="15" customHeight="1">
      <c r="A507" t="inlineStr">
        <is>
          <t>A 24687-2025</t>
        </is>
      </c>
      <c r="B507" s="1" t="n">
        <v>45798.66767361111</v>
      </c>
      <c r="C507" s="1" t="n">
        <v>46103</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44937-2025</t>
        </is>
      </c>
      <c r="B508" s="1" t="n">
        <v>45918</v>
      </c>
      <c r="C508" s="1" t="n">
        <v>46103</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26644-2024</t>
        </is>
      </c>
      <c r="B509" s="1" t="n">
        <v>45469</v>
      </c>
      <c r="C509" s="1" t="n">
        <v>46103</v>
      </c>
      <c r="D509" t="inlineStr">
        <is>
          <t>STOCKHOLMS LÄN</t>
        </is>
      </c>
      <c r="E509" t="inlineStr">
        <is>
          <t>NORRTÄLJE</t>
        </is>
      </c>
      <c r="G509" t="n">
        <v>4.3</v>
      </c>
      <c r="H509" t="n">
        <v>0</v>
      </c>
      <c r="I509" t="n">
        <v>0</v>
      </c>
      <c r="J509" t="n">
        <v>0</v>
      </c>
      <c r="K509" t="n">
        <v>0</v>
      </c>
      <c r="L509" t="n">
        <v>0</v>
      </c>
      <c r="M509" t="n">
        <v>0</v>
      </c>
      <c r="N509" t="n">
        <v>0</v>
      </c>
      <c r="O509" t="n">
        <v>0</v>
      </c>
      <c r="P509" t="n">
        <v>0</v>
      </c>
      <c r="Q509" t="n">
        <v>0</v>
      </c>
      <c r="R509" s="2" t="inlineStr"/>
    </row>
    <row r="510" ht="15" customHeight="1">
      <c r="A510" t="inlineStr">
        <is>
          <t>A 2982-2023</t>
        </is>
      </c>
      <c r="B510" s="1" t="n">
        <v>44945.67409722223</v>
      </c>
      <c r="C510" s="1" t="n">
        <v>46103</v>
      </c>
      <c r="D510" t="inlineStr">
        <is>
          <t>STOCKHOLMS LÄN</t>
        </is>
      </c>
      <c r="E510" t="inlineStr">
        <is>
          <t>NORRTÄLJE</t>
        </is>
      </c>
      <c r="G510" t="n">
        <v>3.3</v>
      </c>
      <c r="H510" t="n">
        <v>0</v>
      </c>
      <c r="I510" t="n">
        <v>0</v>
      </c>
      <c r="J510" t="n">
        <v>0</v>
      </c>
      <c r="K510" t="n">
        <v>0</v>
      </c>
      <c r="L510" t="n">
        <v>0</v>
      </c>
      <c r="M510" t="n">
        <v>0</v>
      </c>
      <c r="N510" t="n">
        <v>0</v>
      </c>
      <c r="O510" t="n">
        <v>0</v>
      </c>
      <c r="P510" t="n">
        <v>0</v>
      </c>
      <c r="Q510" t="n">
        <v>0</v>
      </c>
      <c r="R510" s="2" t="inlineStr"/>
    </row>
    <row r="511" ht="15" customHeight="1">
      <c r="A511" t="inlineStr">
        <is>
          <t>A 12535-2025</t>
        </is>
      </c>
      <c r="B511" s="1" t="n">
        <v>45730.69502314815</v>
      </c>
      <c r="C511" s="1" t="n">
        <v>46103</v>
      </c>
      <c r="D511" t="inlineStr">
        <is>
          <t>STOCKHOLMS LÄN</t>
        </is>
      </c>
      <c r="E511" t="inlineStr">
        <is>
          <t>NORRTÄLJE</t>
        </is>
      </c>
      <c r="G511" t="n">
        <v>7.1</v>
      </c>
      <c r="H511" t="n">
        <v>0</v>
      </c>
      <c r="I511" t="n">
        <v>0</v>
      </c>
      <c r="J511" t="n">
        <v>0</v>
      </c>
      <c r="K511" t="n">
        <v>0</v>
      </c>
      <c r="L511" t="n">
        <v>0</v>
      </c>
      <c r="M511" t="n">
        <v>0</v>
      </c>
      <c r="N511" t="n">
        <v>0</v>
      </c>
      <c r="O511" t="n">
        <v>0</v>
      </c>
      <c r="P511" t="n">
        <v>0</v>
      </c>
      <c r="Q511" t="n">
        <v>0</v>
      </c>
      <c r="R511" s="2" t="inlineStr"/>
    </row>
    <row r="512" ht="15" customHeight="1">
      <c r="A512" t="inlineStr">
        <is>
          <t>A 37136-2023</t>
        </is>
      </c>
      <c r="B512" s="1" t="n">
        <v>45155</v>
      </c>
      <c r="C512" s="1" t="n">
        <v>46103</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22359-2025</t>
        </is>
      </c>
      <c r="B513" s="1" t="n">
        <v>45786</v>
      </c>
      <c r="C513" s="1" t="n">
        <v>46103</v>
      </c>
      <c r="D513" t="inlineStr">
        <is>
          <t>STOCKHOLMS LÄN</t>
        </is>
      </c>
      <c r="E513" t="inlineStr">
        <is>
          <t>NORRTÄLJE</t>
        </is>
      </c>
      <c r="G513" t="n">
        <v>5</v>
      </c>
      <c r="H513" t="n">
        <v>0</v>
      </c>
      <c r="I513" t="n">
        <v>0</v>
      </c>
      <c r="J513" t="n">
        <v>0</v>
      </c>
      <c r="K513" t="n">
        <v>0</v>
      </c>
      <c r="L513" t="n">
        <v>0</v>
      </c>
      <c r="M513" t="n">
        <v>0</v>
      </c>
      <c r="N513" t="n">
        <v>0</v>
      </c>
      <c r="O513" t="n">
        <v>0</v>
      </c>
      <c r="P513" t="n">
        <v>0</v>
      </c>
      <c r="Q513" t="n">
        <v>0</v>
      </c>
      <c r="R513" s="2" t="inlineStr"/>
    </row>
    <row r="514" ht="15" customHeight="1">
      <c r="A514" t="inlineStr">
        <is>
          <t>A 18787-2022</t>
        </is>
      </c>
      <c r="B514" s="1" t="n">
        <v>44687</v>
      </c>
      <c r="C514" s="1" t="n">
        <v>46103</v>
      </c>
      <c r="D514" t="inlineStr">
        <is>
          <t>STOCKHOLMS LÄN</t>
        </is>
      </c>
      <c r="E514" t="inlineStr">
        <is>
          <t>NORRTÄLJE</t>
        </is>
      </c>
      <c r="G514" t="n">
        <v>2</v>
      </c>
      <c r="H514" t="n">
        <v>0</v>
      </c>
      <c r="I514" t="n">
        <v>0</v>
      </c>
      <c r="J514" t="n">
        <v>0</v>
      </c>
      <c r="K514" t="n">
        <v>0</v>
      </c>
      <c r="L514" t="n">
        <v>0</v>
      </c>
      <c r="M514" t="n">
        <v>0</v>
      </c>
      <c r="N514" t="n">
        <v>0</v>
      </c>
      <c r="O514" t="n">
        <v>0</v>
      </c>
      <c r="P514" t="n">
        <v>0</v>
      </c>
      <c r="Q514" t="n">
        <v>0</v>
      </c>
      <c r="R514" s="2" t="inlineStr"/>
    </row>
    <row r="515" ht="15" customHeight="1">
      <c r="A515" t="inlineStr">
        <is>
          <t>A 13718-2022</t>
        </is>
      </c>
      <c r="B515" s="1" t="n">
        <v>44649</v>
      </c>
      <c r="C515" s="1" t="n">
        <v>46103</v>
      </c>
      <c r="D515" t="inlineStr">
        <is>
          <t>STOCKHOLMS LÄN</t>
        </is>
      </c>
      <c r="E515" t="inlineStr">
        <is>
          <t>NORRTÄLJE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25621-2022</t>
        </is>
      </c>
      <c r="B516" s="1" t="n">
        <v>44732</v>
      </c>
      <c r="C516" s="1" t="n">
        <v>46103</v>
      </c>
      <c r="D516" t="inlineStr">
        <is>
          <t>STOCKHOLMS LÄN</t>
        </is>
      </c>
      <c r="E516" t="inlineStr">
        <is>
          <t>NORRTÄLJE</t>
        </is>
      </c>
      <c r="G516" t="n">
        <v>3.1</v>
      </c>
      <c r="H516" t="n">
        <v>0</v>
      </c>
      <c r="I516" t="n">
        <v>0</v>
      </c>
      <c r="J516" t="n">
        <v>0</v>
      </c>
      <c r="K516" t="n">
        <v>0</v>
      </c>
      <c r="L516" t="n">
        <v>0</v>
      </c>
      <c r="M516" t="n">
        <v>0</v>
      </c>
      <c r="N516" t="n">
        <v>0</v>
      </c>
      <c r="O516" t="n">
        <v>0</v>
      </c>
      <c r="P516" t="n">
        <v>0</v>
      </c>
      <c r="Q516" t="n">
        <v>0</v>
      </c>
      <c r="R516" s="2" t="inlineStr"/>
    </row>
    <row r="517" ht="15" customHeight="1">
      <c r="A517" t="inlineStr">
        <is>
          <t>A 24638-2025</t>
        </is>
      </c>
      <c r="B517" s="1" t="n">
        <v>45798</v>
      </c>
      <c r="C517" s="1" t="n">
        <v>46103</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36269-2022</t>
        </is>
      </c>
      <c r="B518" s="1" t="n">
        <v>44803</v>
      </c>
      <c r="C518" s="1" t="n">
        <v>46103</v>
      </c>
      <c r="D518" t="inlineStr">
        <is>
          <t>STOCKHOLMS LÄN</t>
        </is>
      </c>
      <c r="E518" t="inlineStr">
        <is>
          <t>NORRTÄLJE</t>
        </is>
      </c>
      <c r="G518" t="n">
        <v>2.3</v>
      </c>
      <c r="H518" t="n">
        <v>0</v>
      </c>
      <c r="I518" t="n">
        <v>0</v>
      </c>
      <c r="J518" t="n">
        <v>0</v>
      </c>
      <c r="K518" t="n">
        <v>0</v>
      </c>
      <c r="L518" t="n">
        <v>0</v>
      </c>
      <c r="M518" t="n">
        <v>0</v>
      </c>
      <c r="N518" t="n">
        <v>0</v>
      </c>
      <c r="O518" t="n">
        <v>0</v>
      </c>
      <c r="P518" t="n">
        <v>0</v>
      </c>
      <c r="Q518" t="n">
        <v>0</v>
      </c>
      <c r="R518" s="2" t="inlineStr"/>
    </row>
    <row r="519" ht="15" customHeight="1">
      <c r="A519" t="inlineStr">
        <is>
          <t>A 36308-2022</t>
        </is>
      </c>
      <c r="B519" s="1" t="n">
        <v>44803</v>
      </c>
      <c r="C519" s="1" t="n">
        <v>46103</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45697-2025</t>
        </is>
      </c>
      <c r="B520" s="1" t="n">
        <v>45923.39877314815</v>
      </c>
      <c r="C520" s="1" t="n">
        <v>46103</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6919-2025</t>
        </is>
      </c>
      <c r="B521" s="1" t="n">
        <v>45701.44372685185</v>
      </c>
      <c r="C521" s="1" t="n">
        <v>46103</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32100-2022</t>
        </is>
      </c>
      <c r="B522" s="1" t="n">
        <v>44778</v>
      </c>
      <c r="C522" s="1" t="n">
        <v>46103</v>
      </c>
      <c r="D522" t="inlineStr">
        <is>
          <t>STOCKHOLMS LÄN</t>
        </is>
      </c>
      <c r="E522" t="inlineStr">
        <is>
          <t>NORRTÄLJE</t>
        </is>
      </c>
      <c r="G522" t="n">
        <v>3.3</v>
      </c>
      <c r="H522" t="n">
        <v>0</v>
      </c>
      <c r="I522" t="n">
        <v>0</v>
      </c>
      <c r="J522" t="n">
        <v>0</v>
      </c>
      <c r="K522" t="n">
        <v>0</v>
      </c>
      <c r="L522" t="n">
        <v>0</v>
      </c>
      <c r="M522" t="n">
        <v>0</v>
      </c>
      <c r="N522" t="n">
        <v>0</v>
      </c>
      <c r="O522" t="n">
        <v>0</v>
      </c>
      <c r="P522" t="n">
        <v>0</v>
      </c>
      <c r="Q522" t="n">
        <v>0</v>
      </c>
      <c r="R522" s="2" t="inlineStr"/>
    </row>
    <row r="523" ht="15" customHeight="1">
      <c r="A523" t="inlineStr">
        <is>
          <t>A 11332-2025</t>
        </is>
      </c>
      <c r="B523" s="1" t="n">
        <v>45726.48152777777</v>
      </c>
      <c r="C523" s="1" t="n">
        <v>46103</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37444-2021</t>
        </is>
      </c>
      <c r="B524" s="1" t="n">
        <v>44398</v>
      </c>
      <c r="C524" s="1" t="n">
        <v>46103</v>
      </c>
      <c r="D524" t="inlineStr">
        <is>
          <t>STOCKHOLMS LÄN</t>
        </is>
      </c>
      <c r="E524" t="inlineStr">
        <is>
          <t>NORRTÄLJE</t>
        </is>
      </c>
      <c r="F524" t="inlineStr">
        <is>
          <t>Holmen skog AB</t>
        </is>
      </c>
      <c r="G524" t="n">
        <v>3.2</v>
      </c>
      <c r="H524" t="n">
        <v>0</v>
      </c>
      <c r="I524" t="n">
        <v>0</v>
      </c>
      <c r="J524" t="n">
        <v>0</v>
      </c>
      <c r="K524" t="n">
        <v>0</v>
      </c>
      <c r="L524" t="n">
        <v>0</v>
      </c>
      <c r="M524" t="n">
        <v>0</v>
      </c>
      <c r="N524" t="n">
        <v>0</v>
      </c>
      <c r="O524" t="n">
        <v>0</v>
      </c>
      <c r="P524" t="n">
        <v>0</v>
      </c>
      <c r="Q524" t="n">
        <v>0</v>
      </c>
      <c r="R524" s="2" t="inlineStr"/>
    </row>
    <row r="525" ht="15" customHeight="1">
      <c r="A525" t="inlineStr">
        <is>
          <t>A 30886-2022</t>
        </is>
      </c>
      <c r="B525" s="1" t="n">
        <v>44767.60601851852</v>
      </c>
      <c r="C525" s="1" t="n">
        <v>46103</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46415-2025</t>
        </is>
      </c>
      <c r="B526" s="1" t="n">
        <v>45925.58636574074</v>
      </c>
      <c r="C526" s="1" t="n">
        <v>46103</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8091-2026</t>
        </is>
      </c>
      <c r="B527" s="1" t="n">
        <v>46063.70944444444</v>
      </c>
      <c r="C527" s="1" t="n">
        <v>46103</v>
      </c>
      <c r="D527" t="inlineStr">
        <is>
          <t>STOCKHOLMS LÄN</t>
        </is>
      </c>
      <c r="E527" t="inlineStr">
        <is>
          <t>NORRTÄLJE</t>
        </is>
      </c>
      <c r="G527" t="n">
        <v>4.7</v>
      </c>
      <c r="H527" t="n">
        <v>0</v>
      </c>
      <c r="I527" t="n">
        <v>0</v>
      </c>
      <c r="J527" t="n">
        <v>0</v>
      </c>
      <c r="K527" t="n">
        <v>0</v>
      </c>
      <c r="L527" t="n">
        <v>0</v>
      </c>
      <c r="M527" t="n">
        <v>0</v>
      </c>
      <c r="N527" t="n">
        <v>0</v>
      </c>
      <c r="O527" t="n">
        <v>0</v>
      </c>
      <c r="P527" t="n">
        <v>0</v>
      </c>
      <c r="Q527" t="n">
        <v>0</v>
      </c>
      <c r="R527" s="2" t="inlineStr"/>
    </row>
    <row r="528" ht="15" customHeight="1">
      <c r="A528" t="inlineStr">
        <is>
          <t>A 9654-2022</t>
        </is>
      </c>
      <c r="B528" s="1" t="n">
        <v>44617</v>
      </c>
      <c r="C528" s="1" t="n">
        <v>46103</v>
      </c>
      <c r="D528" t="inlineStr">
        <is>
          <t>STOCKHOLMS LÄN</t>
        </is>
      </c>
      <c r="E528" t="inlineStr">
        <is>
          <t>NORRTÄLJE</t>
        </is>
      </c>
      <c r="G528" t="n">
        <v>6.4</v>
      </c>
      <c r="H528" t="n">
        <v>0</v>
      </c>
      <c r="I528" t="n">
        <v>0</v>
      </c>
      <c r="J528" t="n">
        <v>0</v>
      </c>
      <c r="K528" t="n">
        <v>0</v>
      </c>
      <c r="L528" t="n">
        <v>0</v>
      </c>
      <c r="M528" t="n">
        <v>0</v>
      </c>
      <c r="N528" t="n">
        <v>0</v>
      </c>
      <c r="O528" t="n">
        <v>0</v>
      </c>
      <c r="P528" t="n">
        <v>0</v>
      </c>
      <c r="Q528" t="n">
        <v>0</v>
      </c>
      <c r="R528" s="2" t="inlineStr"/>
    </row>
    <row r="529" ht="15" customHeight="1">
      <c r="A529" t="inlineStr">
        <is>
          <t>A 7793-2026</t>
        </is>
      </c>
      <c r="B529" s="1" t="n">
        <v>46062.59496527778</v>
      </c>
      <c r="C529" s="1" t="n">
        <v>46103</v>
      </c>
      <c r="D529" t="inlineStr">
        <is>
          <t>STOCKHOLMS LÄN</t>
        </is>
      </c>
      <c r="E529" t="inlineStr">
        <is>
          <t>NORRTÄLJE</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1453-2025</t>
        </is>
      </c>
      <c r="B530" s="1" t="n">
        <v>45670.3079050926</v>
      </c>
      <c r="C530" s="1" t="n">
        <v>46103</v>
      </c>
      <c r="D530" t="inlineStr">
        <is>
          <t>STOCKHOLMS LÄN</t>
        </is>
      </c>
      <c r="E530" t="inlineStr">
        <is>
          <t>NORRTÄLJE</t>
        </is>
      </c>
      <c r="G530" t="n">
        <v>2.6</v>
      </c>
      <c r="H530" t="n">
        <v>0</v>
      </c>
      <c r="I530" t="n">
        <v>0</v>
      </c>
      <c r="J530" t="n">
        <v>0</v>
      </c>
      <c r="K530" t="n">
        <v>0</v>
      </c>
      <c r="L530" t="n">
        <v>0</v>
      </c>
      <c r="M530" t="n">
        <v>0</v>
      </c>
      <c r="N530" t="n">
        <v>0</v>
      </c>
      <c r="O530" t="n">
        <v>0</v>
      </c>
      <c r="P530" t="n">
        <v>0</v>
      </c>
      <c r="Q530" t="n">
        <v>0</v>
      </c>
      <c r="R530" s="2" t="inlineStr"/>
    </row>
    <row r="531" ht="15" customHeight="1">
      <c r="A531" t="inlineStr">
        <is>
          <t>A 5804-2025</t>
        </is>
      </c>
      <c r="B531" s="1" t="n">
        <v>45694.68207175926</v>
      </c>
      <c r="C531" s="1" t="n">
        <v>46103</v>
      </c>
      <c r="D531" t="inlineStr">
        <is>
          <t>STOCKHOLMS LÄN</t>
        </is>
      </c>
      <c r="E531" t="inlineStr">
        <is>
          <t>NORRTÄLJE</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7723-2026</t>
        </is>
      </c>
      <c r="B532" s="1" t="n">
        <v>46062.49905092592</v>
      </c>
      <c r="C532" s="1" t="n">
        <v>46103</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50907-2022</t>
        </is>
      </c>
      <c r="B533" s="1" t="n">
        <v>44867.62090277778</v>
      </c>
      <c r="C533" s="1" t="n">
        <v>46103</v>
      </c>
      <c r="D533" t="inlineStr">
        <is>
          <t>STOCKHOLMS LÄN</t>
        </is>
      </c>
      <c r="E533" t="inlineStr">
        <is>
          <t>NORRTÄLJE</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29003-2023</t>
        </is>
      </c>
      <c r="B534" s="1" t="n">
        <v>45104</v>
      </c>
      <c r="C534" s="1" t="n">
        <v>46103</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33295-2023</t>
        </is>
      </c>
      <c r="B535" s="1" t="n">
        <v>45127.69371527778</v>
      </c>
      <c r="C535" s="1" t="n">
        <v>46103</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14127-2025</t>
        </is>
      </c>
      <c r="B536" s="1" t="n">
        <v>45740.47055555556</v>
      </c>
      <c r="C536" s="1" t="n">
        <v>46103</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16980-2023</t>
        </is>
      </c>
      <c r="B537" s="1" t="n">
        <v>45033</v>
      </c>
      <c r="C537" s="1" t="n">
        <v>46103</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46900-2025</t>
        </is>
      </c>
      <c r="B538" s="1" t="n">
        <v>45929.38712962963</v>
      </c>
      <c r="C538" s="1" t="n">
        <v>46103</v>
      </c>
      <c r="D538" t="inlineStr">
        <is>
          <t>STOCKHOLMS LÄN</t>
        </is>
      </c>
      <c r="E538" t="inlineStr">
        <is>
          <t>NORRTÄLJE</t>
        </is>
      </c>
      <c r="F538" t="inlineStr">
        <is>
          <t>Holmen skog AB</t>
        </is>
      </c>
      <c r="G538" t="n">
        <v>6.2</v>
      </c>
      <c r="H538" t="n">
        <v>0</v>
      </c>
      <c r="I538" t="n">
        <v>0</v>
      </c>
      <c r="J538" t="n">
        <v>0</v>
      </c>
      <c r="K538" t="n">
        <v>0</v>
      </c>
      <c r="L538" t="n">
        <v>0</v>
      </c>
      <c r="M538" t="n">
        <v>0</v>
      </c>
      <c r="N538" t="n">
        <v>0</v>
      </c>
      <c r="O538" t="n">
        <v>0</v>
      </c>
      <c r="P538" t="n">
        <v>0</v>
      </c>
      <c r="Q538" t="n">
        <v>0</v>
      </c>
      <c r="R538" s="2" t="inlineStr"/>
    </row>
    <row r="539" ht="15" customHeight="1">
      <c r="A539" t="inlineStr">
        <is>
          <t>A 8096-2026</t>
        </is>
      </c>
      <c r="B539" s="1" t="n">
        <v>46063.714375</v>
      </c>
      <c r="C539" s="1" t="n">
        <v>46103</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8055-2026</t>
        </is>
      </c>
      <c r="B540" s="1" t="n">
        <v>46063.62002314815</v>
      </c>
      <c r="C540" s="1" t="n">
        <v>46103</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7729-2026</t>
        </is>
      </c>
      <c r="B541" s="1" t="n">
        <v>46062.51100694444</v>
      </c>
      <c r="C541" s="1" t="n">
        <v>46103</v>
      </c>
      <c r="D541" t="inlineStr">
        <is>
          <t>STOCKHOLMS LÄN</t>
        </is>
      </c>
      <c r="E541" t="inlineStr">
        <is>
          <t>NORRTÄLJE</t>
        </is>
      </c>
      <c r="G541" t="n">
        <v>6.6</v>
      </c>
      <c r="H541" t="n">
        <v>0</v>
      </c>
      <c r="I541" t="n">
        <v>0</v>
      </c>
      <c r="J541" t="n">
        <v>0</v>
      </c>
      <c r="K541" t="n">
        <v>0</v>
      </c>
      <c r="L541" t="n">
        <v>0</v>
      </c>
      <c r="M541" t="n">
        <v>0</v>
      </c>
      <c r="N541" t="n">
        <v>0</v>
      </c>
      <c r="O541" t="n">
        <v>0</v>
      </c>
      <c r="P541" t="n">
        <v>0</v>
      </c>
      <c r="Q541" t="n">
        <v>0</v>
      </c>
      <c r="R541" s="2" t="inlineStr"/>
    </row>
    <row r="542" ht="15" customHeight="1">
      <c r="A542" t="inlineStr">
        <is>
          <t>A 32595-2023</t>
        </is>
      </c>
      <c r="B542" s="1" t="n">
        <v>45121</v>
      </c>
      <c r="C542" s="1" t="n">
        <v>46103</v>
      </c>
      <c r="D542" t="inlineStr">
        <is>
          <t>STOCKHOLMS LÄN</t>
        </is>
      </c>
      <c r="E542" t="inlineStr">
        <is>
          <t>NORRTÄLJE</t>
        </is>
      </c>
      <c r="G542" t="n">
        <v>2.4</v>
      </c>
      <c r="H542" t="n">
        <v>0</v>
      </c>
      <c r="I542" t="n">
        <v>0</v>
      </c>
      <c r="J542" t="n">
        <v>0</v>
      </c>
      <c r="K542" t="n">
        <v>0</v>
      </c>
      <c r="L542" t="n">
        <v>0</v>
      </c>
      <c r="M542" t="n">
        <v>0</v>
      </c>
      <c r="N542" t="n">
        <v>0</v>
      </c>
      <c r="O542" t="n">
        <v>0</v>
      </c>
      <c r="P542" t="n">
        <v>0</v>
      </c>
      <c r="Q542" t="n">
        <v>0</v>
      </c>
      <c r="R542" s="2" t="inlineStr"/>
    </row>
    <row r="543" ht="15" customHeight="1">
      <c r="A543" t="inlineStr">
        <is>
          <t>A 8489-2026</t>
        </is>
      </c>
      <c r="B543" s="1" t="n">
        <v>46065.48268518518</v>
      </c>
      <c r="C543" s="1" t="n">
        <v>46103</v>
      </c>
      <c r="D543" t="inlineStr">
        <is>
          <t>STOCKHOLMS LÄN</t>
        </is>
      </c>
      <c r="E543" t="inlineStr">
        <is>
          <t>NORRTÄLJE</t>
        </is>
      </c>
      <c r="G543" t="n">
        <v>2.1</v>
      </c>
      <c r="H543" t="n">
        <v>0</v>
      </c>
      <c r="I543" t="n">
        <v>0</v>
      </c>
      <c r="J543" t="n">
        <v>0</v>
      </c>
      <c r="K543" t="n">
        <v>0</v>
      </c>
      <c r="L543" t="n">
        <v>0</v>
      </c>
      <c r="M543" t="n">
        <v>0</v>
      </c>
      <c r="N543" t="n">
        <v>0</v>
      </c>
      <c r="O543" t="n">
        <v>0</v>
      </c>
      <c r="P543" t="n">
        <v>0</v>
      </c>
      <c r="Q543" t="n">
        <v>0</v>
      </c>
      <c r="R543" s="2" t="inlineStr"/>
    </row>
    <row r="544" ht="15" customHeight="1">
      <c r="A544" t="inlineStr">
        <is>
          <t>A 35256-2025</t>
        </is>
      </c>
      <c r="B544" s="1" t="n">
        <v>45853</v>
      </c>
      <c r="C544" s="1" t="n">
        <v>46103</v>
      </c>
      <c r="D544" t="inlineStr">
        <is>
          <t>STOCKHOLMS LÄN</t>
        </is>
      </c>
      <c r="E544" t="inlineStr">
        <is>
          <t>NORRTÄLJE</t>
        </is>
      </c>
      <c r="G544" t="n">
        <v>6.4</v>
      </c>
      <c r="H544" t="n">
        <v>0</v>
      </c>
      <c r="I544" t="n">
        <v>0</v>
      </c>
      <c r="J544" t="n">
        <v>0</v>
      </c>
      <c r="K544" t="n">
        <v>0</v>
      </c>
      <c r="L544" t="n">
        <v>0</v>
      </c>
      <c r="M544" t="n">
        <v>0</v>
      </c>
      <c r="N544" t="n">
        <v>0</v>
      </c>
      <c r="O544" t="n">
        <v>0</v>
      </c>
      <c r="P544" t="n">
        <v>0</v>
      </c>
      <c r="Q544" t="n">
        <v>0</v>
      </c>
      <c r="R544" s="2" t="inlineStr"/>
    </row>
    <row r="545" ht="15" customHeight="1">
      <c r="A545" t="inlineStr">
        <is>
          <t>A 37550-2022</t>
        </is>
      </c>
      <c r="B545" s="1" t="n">
        <v>44809</v>
      </c>
      <c r="C545" s="1" t="n">
        <v>46103</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8410-2026</t>
        </is>
      </c>
      <c r="B546" s="1" t="n">
        <v>46065.34261574074</v>
      </c>
      <c r="C546" s="1" t="n">
        <v>46103</v>
      </c>
      <c r="D546" t="inlineStr">
        <is>
          <t>STOCKHOLMS LÄN</t>
        </is>
      </c>
      <c r="E546" t="inlineStr">
        <is>
          <t>NORRTÄLJE</t>
        </is>
      </c>
      <c r="G546" t="n">
        <v>3.9</v>
      </c>
      <c r="H546" t="n">
        <v>0</v>
      </c>
      <c r="I546" t="n">
        <v>0</v>
      </c>
      <c r="J546" t="n">
        <v>0</v>
      </c>
      <c r="K546" t="n">
        <v>0</v>
      </c>
      <c r="L546" t="n">
        <v>0</v>
      </c>
      <c r="M546" t="n">
        <v>0</v>
      </c>
      <c r="N546" t="n">
        <v>0</v>
      </c>
      <c r="O546" t="n">
        <v>0</v>
      </c>
      <c r="P546" t="n">
        <v>0</v>
      </c>
      <c r="Q546" t="n">
        <v>0</v>
      </c>
      <c r="R546" s="2" t="inlineStr"/>
    </row>
    <row r="547" ht="15" customHeight="1">
      <c r="A547" t="inlineStr">
        <is>
          <t>A 28603-2024</t>
        </is>
      </c>
      <c r="B547" s="1" t="n">
        <v>45478.42887731481</v>
      </c>
      <c r="C547" s="1" t="n">
        <v>46103</v>
      </c>
      <c r="D547" t="inlineStr">
        <is>
          <t>STOCKHOLMS LÄN</t>
        </is>
      </c>
      <c r="E547" t="inlineStr">
        <is>
          <t>NORRTÄLJE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8454-2026</t>
        </is>
      </c>
      <c r="B548" s="1" t="n">
        <v>46065.42506944444</v>
      </c>
      <c r="C548" s="1" t="n">
        <v>46103</v>
      </c>
      <c r="D548" t="inlineStr">
        <is>
          <t>STOCKHOLMS LÄN</t>
        </is>
      </c>
      <c r="E548" t="inlineStr">
        <is>
          <t>NORRTÄLJE</t>
        </is>
      </c>
      <c r="G548" t="n">
        <v>3.2</v>
      </c>
      <c r="H548" t="n">
        <v>0</v>
      </c>
      <c r="I548" t="n">
        <v>0</v>
      </c>
      <c r="J548" t="n">
        <v>0</v>
      </c>
      <c r="K548" t="n">
        <v>0</v>
      </c>
      <c r="L548" t="n">
        <v>0</v>
      </c>
      <c r="M548" t="n">
        <v>0</v>
      </c>
      <c r="N548" t="n">
        <v>0</v>
      </c>
      <c r="O548" t="n">
        <v>0</v>
      </c>
      <c r="P548" t="n">
        <v>0</v>
      </c>
      <c r="Q548" t="n">
        <v>0</v>
      </c>
      <c r="R548" s="2" t="inlineStr"/>
    </row>
    <row r="549" ht="15" customHeight="1">
      <c r="A549" t="inlineStr">
        <is>
          <t>A 8465-2026</t>
        </is>
      </c>
      <c r="B549" s="1" t="n">
        <v>46065.44141203703</v>
      </c>
      <c r="C549" s="1" t="n">
        <v>46103</v>
      </c>
      <c r="D549" t="inlineStr">
        <is>
          <t>STOCKHOLMS LÄN</t>
        </is>
      </c>
      <c r="E549" t="inlineStr">
        <is>
          <t>NORRTÄLJE</t>
        </is>
      </c>
      <c r="G549" t="n">
        <v>1.3</v>
      </c>
      <c r="H549" t="n">
        <v>0</v>
      </c>
      <c r="I549" t="n">
        <v>0</v>
      </c>
      <c r="J549" t="n">
        <v>0</v>
      </c>
      <c r="K549" t="n">
        <v>0</v>
      </c>
      <c r="L549" t="n">
        <v>0</v>
      </c>
      <c r="M549" t="n">
        <v>0</v>
      </c>
      <c r="N549" t="n">
        <v>0</v>
      </c>
      <c r="O549" t="n">
        <v>0</v>
      </c>
      <c r="P549" t="n">
        <v>0</v>
      </c>
      <c r="Q549" t="n">
        <v>0</v>
      </c>
      <c r="R549" s="2" t="inlineStr"/>
    </row>
    <row r="550" ht="15" customHeight="1">
      <c r="A550" t="inlineStr">
        <is>
          <t>A 197-2026</t>
        </is>
      </c>
      <c r="B550" s="1" t="n">
        <v>46026</v>
      </c>
      <c r="C550" s="1" t="n">
        <v>46103</v>
      </c>
      <c r="D550" t="inlineStr">
        <is>
          <t>STOCKHOLMS LÄN</t>
        </is>
      </c>
      <c r="E550" t="inlineStr">
        <is>
          <t>NORRTÄLJE</t>
        </is>
      </c>
      <c r="G550" t="n">
        <v>0.8</v>
      </c>
      <c r="H550" t="n">
        <v>0</v>
      </c>
      <c r="I550" t="n">
        <v>0</v>
      </c>
      <c r="J550" t="n">
        <v>0</v>
      </c>
      <c r="K550" t="n">
        <v>0</v>
      </c>
      <c r="L550" t="n">
        <v>0</v>
      </c>
      <c r="M550" t="n">
        <v>0</v>
      </c>
      <c r="N550" t="n">
        <v>0</v>
      </c>
      <c r="O550" t="n">
        <v>0</v>
      </c>
      <c r="P550" t="n">
        <v>0</v>
      </c>
      <c r="Q550" t="n">
        <v>0</v>
      </c>
      <c r="R550" s="2" t="inlineStr"/>
    </row>
    <row r="551" ht="15" customHeight="1">
      <c r="A551" t="inlineStr">
        <is>
          <t>A 124-2026</t>
        </is>
      </c>
      <c r="B551" s="1" t="n">
        <v>46024.58378472222</v>
      </c>
      <c r="C551" s="1" t="n">
        <v>46103</v>
      </c>
      <c r="D551" t="inlineStr">
        <is>
          <t>STOCKHOLMS LÄN</t>
        </is>
      </c>
      <c r="E551" t="inlineStr">
        <is>
          <t>NORRTÄLJE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48161-2022</t>
        </is>
      </c>
      <c r="B552" s="1" t="n">
        <v>44858</v>
      </c>
      <c r="C552" s="1" t="n">
        <v>46103</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9103-2026</t>
        </is>
      </c>
      <c r="B553" s="1" t="n">
        <v>46069.65039351852</v>
      </c>
      <c r="C553" s="1" t="n">
        <v>46103</v>
      </c>
      <c r="D553" t="inlineStr">
        <is>
          <t>STOCKHOLMS LÄN</t>
        </is>
      </c>
      <c r="E553" t="inlineStr">
        <is>
          <t>NORRTÄLJE</t>
        </is>
      </c>
      <c r="F553" t="inlineStr">
        <is>
          <t>Holmen skog AB</t>
        </is>
      </c>
      <c r="G553" t="n">
        <v>3.6</v>
      </c>
      <c r="H553" t="n">
        <v>0</v>
      </c>
      <c r="I553" t="n">
        <v>0</v>
      </c>
      <c r="J553" t="n">
        <v>0</v>
      </c>
      <c r="K553" t="n">
        <v>0</v>
      </c>
      <c r="L553" t="n">
        <v>0</v>
      </c>
      <c r="M553" t="n">
        <v>0</v>
      </c>
      <c r="N553" t="n">
        <v>0</v>
      </c>
      <c r="O553" t="n">
        <v>0</v>
      </c>
      <c r="P553" t="n">
        <v>0</v>
      </c>
      <c r="Q553" t="n">
        <v>0</v>
      </c>
      <c r="R553" s="2" t="inlineStr"/>
    </row>
    <row r="554" ht="15" customHeight="1">
      <c r="A554" t="inlineStr">
        <is>
          <t>A 48798-2021</t>
        </is>
      </c>
      <c r="B554" s="1" t="n">
        <v>44452</v>
      </c>
      <c r="C554" s="1" t="n">
        <v>46103</v>
      </c>
      <c r="D554" t="inlineStr">
        <is>
          <t>STOCKHOLMS LÄN</t>
        </is>
      </c>
      <c r="E554" t="inlineStr">
        <is>
          <t>NORRTÄLJE</t>
        </is>
      </c>
      <c r="G554" t="n">
        <v>2</v>
      </c>
      <c r="H554" t="n">
        <v>0</v>
      </c>
      <c r="I554" t="n">
        <v>0</v>
      </c>
      <c r="J554" t="n">
        <v>0</v>
      </c>
      <c r="K554" t="n">
        <v>0</v>
      </c>
      <c r="L554" t="n">
        <v>0</v>
      </c>
      <c r="M554" t="n">
        <v>0</v>
      </c>
      <c r="N554" t="n">
        <v>0</v>
      </c>
      <c r="O554" t="n">
        <v>0</v>
      </c>
      <c r="P554" t="n">
        <v>0</v>
      </c>
      <c r="Q554" t="n">
        <v>0</v>
      </c>
      <c r="R554" s="2" t="inlineStr"/>
    </row>
    <row r="555" ht="15" customHeight="1">
      <c r="A555" t="inlineStr">
        <is>
          <t>A 8962-2026</t>
        </is>
      </c>
      <c r="B555" s="1" t="n">
        <v>46069.41644675926</v>
      </c>
      <c r="C555" s="1" t="n">
        <v>46103</v>
      </c>
      <c r="D555" t="inlineStr">
        <is>
          <t>STOCKHOLMS LÄN</t>
        </is>
      </c>
      <c r="E555" t="inlineStr">
        <is>
          <t>NORRTÄLJE</t>
        </is>
      </c>
      <c r="F555" t="inlineStr">
        <is>
          <t>Holmen skog AB</t>
        </is>
      </c>
      <c r="G555" t="n">
        <v>4.1</v>
      </c>
      <c r="H555" t="n">
        <v>0</v>
      </c>
      <c r="I555" t="n">
        <v>0</v>
      </c>
      <c r="J555" t="n">
        <v>0</v>
      </c>
      <c r="K555" t="n">
        <v>0</v>
      </c>
      <c r="L555" t="n">
        <v>0</v>
      </c>
      <c r="M555" t="n">
        <v>0</v>
      </c>
      <c r="N555" t="n">
        <v>0</v>
      </c>
      <c r="O555" t="n">
        <v>0</v>
      </c>
      <c r="P555" t="n">
        <v>0</v>
      </c>
      <c r="Q555" t="n">
        <v>0</v>
      </c>
      <c r="R555" s="2" t="inlineStr"/>
    </row>
    <row r="556" ht="15" customHeight="1">
      <c r="A556" t="inlineStr">
        <is>
          <t>A 8989-2026</t>
        </is>
      </c>
      <c r="B556" s="1" t="n">
        <v>46069.45789351852</v>
      </c>
      <c r="C556" s="1" t="n">
        <v>46103</v>
      </c>
      <c r="D556" t="inlineStr">
        <is>
          <t>STOCKHOLMS LÄN</t>
        </is>
      </c>
      <c r="E556" t="inlineStr">
        <is>
          <t>NORRTÄLJE</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54776-2023</t>
        </is>
      </c>
      <c r="B557" s="1" t="n">
        <v>45236.46369212963</v>
      </c>
      <c r="C557" s="1" t="n">
        <v>46103</v>
      </c>
      <c r="D557" t="inlineStr">
        <is>
          <t>STOCKHOLMS LÄN</t>
        </is>
      </c>
      <c r="E557" t="inlineStr">
        <is>
          <t>NORRTÄLJE</t>
        </is>
      </c>
      <c r="G557" t="n">
        <v>0.3</v>
      </c>
      <c r="H557" t="n">
        <v>0</v>
      </c>
      <c r="I557" t="n">
        <v>0</v>
      </c>
      <c r="J557" t="n">
        <v>0</v>
      </c>
      <c r="K557" t="n">
        <v>0</v>
      </c>
      <c r="L557" t="n">
        <v>0</v>
      </c>
      <c r="M557" t="n">
        <v>0</v>
      </c>
      <c r="N557" t="n">
        <v>0</v>
      </c>
      <c r="O557" t="n">
        <v>0</v>
      </c>
      <c r="P557" t="n">
        <v>0</v>
      </c>
      <c r="Q557" t="n">
        <v>0</v>
      </c>
      <c r="R557" s="2" t="inlineStr"/>
    </row>
    <row r="558" ht="15" customHeight="1">
      <c r="A558" t="inlineStr">
        <is>
          <t>A 47498-2025</t>
        </is>
      </c>
      <c r="B558" s="1" t="n">
        <v>45930.8134375</v>
      </c>
      <c r="C558" s="1" t="n">
        <v>46103</v>
      </c>
      <c r="D558" t="inlineStr">
        <is>
          <t>STOCKHOLMS LÄN</t>
        </is>
      </c>
      <c r="E558" t="inlineStr">
        <is>
          <t>NORRTÄLJE</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47460-2025</t>
        </is>
      </c>
      <c r="B559" s="1" t="n">
        <v>45930.66012731481</v>
      </c>
      <c r="C559" s="1" t="n">
        <v>46103</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57442-2021</t>
        </is>
      </c>
      <c r="B560" s="1" t="n">
        <v>44483</v>
      </c>
      <c r="C560" s="1" t="n">
        <v>46103</v>
      </c>
      <c r="D560" t="inlineStr">
        <is>
          <t>STOCKHOLMS LÄN</t>
        </is>
      </c>
      <c r="E560" t="inlineStr">
        <is>
          <t>NORRTÄLJE</t>
        </is>
      </c>
      <c r="G560" t="n">
        <v>3.3</v>
      </c>
      <c r="H560" t="n">
        <v>0</v>
      </c>
      <c r="I560" t="n">
        <v>0</v>
      </c>
      <c r="J560" t="n">
        <v>0</v>
      </c>
      <c r="K560" t="n">
        <v>0</v>
      </c>
      <c r="L560" t="n">
        <v>0</v>
      </c>
      <c r="M560" t="n">
        <v>0</v>
      </c>
      <c r="N560" t="n">
        <v>0</v>
      </c>
      <c r="O560" t="n">
        <v>0</v>
      </c>
      <c r="P560" t="n">
        <v>0</v>
      </c>
      <c r="Q560" t="n">
        <v>0</v>
      </c>
      <c r="R560" s="2" t="inlineStr"/>
    </row>
    <row r="561" ht="15" customHeight="1">
      <c r="A561" t="inlineStr">
        <is>
          <t>A 47496-2025</t>
        </is>
      </c>
      <c r="B561" s="1" t="n">
        <v>45930.79252314815</v>
      </c>
      <c r="C561" s="1" t="n">
        <v>46103</v>
      </c>
      <c r="D561" t="inlineStr">
        <is>
          <t>STOCKHOLMS LÄN</t>
        </is>
      </c>
      <c r="E561" t="inlineStr">
        <is>
          <t>NORRTÄLJE</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47497-2025</t>
        </is>
      </c>
      <c r="B562" s="1" t="n">
        <v>45930.80217592593</v>
      </c>
      <c r="C562" s="1" t="n">
        <v>46103</v>
      </c>
      <c r="D562" t="inlineStr">
        <is>
          <t>STOCKHOLMS LÄN</t>
        </is>
      </c>
      <c r="E562" t="inlineStr">
        <is>
          <t>NORRTÄLJE</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8985-2026</t>
        </is>
      </c>
      <c r="B563" s="1" t="n">
        <v>46069.45234953704</v>
      </c>
      <c r="C563" s="1" t="n">
        <v>46103</v>
      </c>
      <c r="D563" t="inlineStr">
        <is>
          <t>STOCKHOLMS LÄN</t>
        </is>
      </c>
      <c r="E563" t="inlineStr">
        <is>
          <t>NORRTÄLJE</t>
        </is>
      </c>
      <c r="F563" t="inlineStr">
        <is>
          <t>Holmen skog AB</t>
        </is>
      </c>
      <c r="G563" t="n">
        <v>1.1</v>
      </c>
      <c r="H563" t="n">
        <v>0</v>
      </c>
      <c r="I563" t="n">
        <v>0</v>
      </c>
      <c r="J563" t="n">
        <v>0</v>
      </c>
      <c r="K563" t="n">
        <v>0</v>
      </c>
      <c r="L563" t="n">
        <v>0</v>
      </c>
      <c r="M563" t="n">
        <v>0</v>
      </c>
      <c r="N563" t="n">
        <v>0</v>
      </c>
      <c r="O563" t="n">
        <v>0</v>
      </c>
      <c r="P563" t="n">
        <v>0</v>
      </c>
      <c r="Q563" t="n">
        <v>0</v>
      </c>
      <c r="R563" s="2" t="inlineStr"/>
    </row>
    <row r="564" ht="15" customHeight="1">
      <c r="A564" t="inlineStr">
        <is>
          <t>A 24690-2025</t>
        </is>
      </c>
      <c r="B564" s="1" t="n">
        <v>45798.67082175926</v>
      </c>
      <c r="C564" s="1" t="n">
        <v>46103</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55952-2024</t>
        </is>
      </c>
      <c r="B565" s="1" t="n">
        <v>45623.62563657408</v>
      </c>
      <c r="C565" s="1" t="n">
        <v>46103</v>
      </c>
      <c r="D565" t="inlineStr">
        <is>
          <t>STOCKHOLMS LÄN</t>
        </is>
      </c>
      <c r="E565" t="inlineStr">
        <is>
          <t>NORRTÄLJE</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8135-2025</t>
        </is>
      </c>
      <c r="B566" s="1" t="n">
        <v>45707.84997685185</v>
      </c>
      <c r="C566" s="1" t="n">
        <v>46103</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3383-2023</t>
        </is>
      </c>
      <c r="B567" s="1" t="n">
        <v>44949</v>
      </c>
      <c r="C567" s="1" t="n">
        <v>46103</v>
      </c>
      <c r="D567" t="inlineStr">
        <is>
          <t>STOCKHOLMS LÄN</t>
        </is>
      </c>
      <c r="E567" t="inlineStr">
        <is>
          <t>NORRTÄLJE</t>
        </is>
      </c>
      <c r="G567" t="n">
        <v>14.6</v>
      </c>
      <c r="H567" t="n">
        <v>0</v>
      </c>
      <c r="I567" t="n">
        <v>0</v>
      </c>
      <c r="J567" t="n">
        <v>0</v>
      </c>
      <c r="K567" t="n">
        <v>0</v>
      </c>
      <c r="L567" t="n">
        <v>0</v>
      </c>
      <c r="M567" t="n">
        <v>0</v>
      </c>
      <c r="N567" t="n">
        <v>0</v>
      </c>
      <c r="O567" t="n">
        <v>0</v>
      </c>
      <c r="P567" t="n">
        <v>0</v>
      </c>
      <c r="Q567" t="n">
        <v>0</v>
      </c>
      <c r="R567" s="2" t="inlineStr"/>
    </row>
    <row r="568" ht="15" customHeight="1">
      <c r="A568" t="inlineStr">
        <is>
          <t>A 48360-2025</t>
        </is>
      </c>
      <c r="B568" s="1" t="n">
        <v>45933.66253472222</v>
      </c>
      <c r="C568" s="1" t="n">
        <v>46103</v>
      </c>
      <c r="D568" t="inlineStr">
        <is>
          <t>STOCKHOLMS LÄN</t>
        </is>
      </c>
      <c r="E568" t="inlineStr">
        <is>
          <t>NORRTÄLJE</t>
        </is>
      </c>
      <c r="G568" t="n">
        <v>4.1</v>
      </c>
      <c r="H568" t="n">
        <v>0</v>
      </c>
      <c r="I568" t="n">
        <v>0</v>
      </c>
      <c r="J568" t="n">
        <v>0</v>
      </c>
      <c r="K568" t="n">
        <v>0</v>
      </c>
      <c r="L568" t="n">
        <v>0</v>
      </c>
      <c r="M568" t="n">
        <v>0</v>
      </c>
      <c r="N568" t="n">
        <v>0</v>
      </c>
      <c r="O568" t="n">
        <v>0</v>
      </c>
      <c r="P568" t="n">
        <v>0</v>
      </c>
      <c r="Q568" t="n">
        <v>0</v>
      </c>
      <c r="R568" s="2" t="inlineStr"/>
    </row>
    <row r="569" ht="15" customHeight="1">
      <c r="A569" t="inlineStr">
        <is>
          <t>A 48370-2025</t>
        </is>
      </c>
      <c r="B569" s="1" t="n">
        <v>45933.67854166667</v>
      </c>
      <c r="C569" s="1" t="n">
        <v>46103</v>
      </c>
      <c r="D569" t="inlineStr">
        <is>
          <t>STOCKHOLMS LÄN</t>
        </is>
      </c>
      <c r="E569" t="inlineStr">
        <is>
          <t>NORRTÄLJE</t>
        </is>
      </c>
      <c r="G569" t="n">
        <v>4.5</v>
      </c>
      <c r="H569" t="n">
        <v>0</v>
      </c>
      <c r="I569" t="n">
        <v>0</v>
      </c>
      <c r="J569" t="n">
        <v>0</v>
      </c>
      <c r="K569" t="n">
        <v>0</v>
      </c>
      <c r="L569" t="n">
        <v>0</v>
      </c>
      <c r="M569" t="n">
        <v>0</v>
      </c>
      <c r="N569" t="n">
        <v>0</v>
      </c>
      <c r="O569" t="n">
        <v>0</v>
      </c>
      <c r="P569" t="n">
        <v>0</v>
      </c>
      <c r="Q569" t="n">
        <v>0</v>
      </c>
      <c r="R569" s="2" t="inlineStr"/>
    </row>
    <row r="570" ht="15" customHeight="1">
      <c r="A570" t="inlineStr">
        <is>
          <t>A 48364-2025</t>
        </is>
      </c>
      <c r="B570" s="1" t="n">
        <v>45933.66796296297</v>
      </c>
      <c r="C570" s="1" t="n">
        <v>46103</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718-2026</t>
        </is>
      </c>
      <c r="B571" s="1" t="n">
        <v>46029.63174768518</v>
      </c>
      <c r="C571" s="1" t="n">
        <v>46103</v>
      </c>
      <c r="D571" t="inlineStr">
        <is>
          <t>STOCKHOLMS LÄN</t>
        </is>
      </c>
      <c r="E571" t="inlineStr">
        <is>
          <t>NORRTÄLJE</t>
        </is>
      </c>
      <c r="G571" t="n">
        <v>2.4</v>
      </c>
      <c r="H571" t="n">
        <v>0</v>
      </c>
      <c r="I571" t="n">
        <v>0</v>
      </c>
      <c r="J571" t="n">
        <v>0</v>
      </c>
      <c r="K571" t="n">
        <v>0</v>
      </c>
      <c r="L571" t="n">
        <v>0</v>
      </c>
      <c r="M571" t="n">
        <v>0</v>
      </c>
      <c r="N571" t="n">
        <v>0</v>
      </c>
      <c r="O571" t="n">
        <v>0</v>
      </c>
      <c r="P571" t="n">
        <v>0</v>
      </c>
      <c r="Q571" t="n">
        <v>0</v>
      </c>
      <c r="R571" s="2" t="inlineStr"/>
    </row>
    <row r="572" ht="15" customHeight="1">
      <c r="A572" t="inlineStr">
        <is>
          <t>A 694-2026</t>
        </is>
      </c>
      <c r="B572" s="1" t="n">
        <v>46029.61375</v>
      </c>
      <c r="C572" s="1" t="n">
        <v>46103</v>
      </c>
      <c r="D572" t="inlineStr">
        <is>
          <t>STOCKHOLMS LÄN</t>
        </is>
      </c>
      <c r="E572" t="inlineStr">
        <is>
          <t>NORRTÄLJE</t>
        </is>
      </c>
      <c r="G572" t="n">
        <v>9.6</v>
      </c>
      <c r="H572" t="n">
        <v>0</v>
      </c>
      <c r="I572" t="n">
        <v>0</v>
      </c>
      <c r="J572" t="n">
        <v>0</v>
      </c>
      <c r="K572" t="n">
        <v>0</v>
      </c>
      <c r="L572" t="n">
        <v>0</v>
      </c>
      <c r="M572" t="n">
        <v>0</v>
      </c>
      <c r="N572" t="n">
        <v>0</v>
      </c>
      <c r="O572" t="n">
        <v>0</v>
      </c>
      <c r="P572" t="n">
        <v>0</v>
      </c>
      <c r="Q572" t="n">
        <v>0</v>
      </c>
      <c r="R572" s="2" t="inlineStr"/>
    </row>
    <row r="573" ht="15" customHeight="1">
      <c r="A573" t="inlineStr">
        <is>
          <t>A 21732-2023</t>
        </is>
      </c>
      <c r="B573" s="1" t="n">
        <v>45063</v>
      </c>
      <c r="C573" s="1" t="n">
        <v>46103</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23307-2024</t>
        </is>
      </c>
      <c r="B574" s="1" t="n">
        <v>45453</v>
      </c>
      <c r="C574" s="1" t="n">
        <v>46103</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48174-2025</t>
        </is>
      </c>
      <c r="B575" s="1" t="n">
        <v>45933.44230324074</v>
      </c>
      <c r="C575" s="1" t="n">
        <v>46103</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47259-2024</t>
        </is>
      </c>
      <c r="B576" s="1" t="n">
        <v>45586</v>
      </c>
      <c r="C576" s="1" t="n">
        <v>46103</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48127-2025</t>
        </is>
      </c>
      <c r="B577" s="1" t="n">
        <v>45933.36621527778</v>
      </c>
      <c r="C577" s="1" t="n">
        <v>46103</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48179-2025</t>
        </is>
      </c>
      <c r="B578" s="1" t="n">
        <v>45933.44907407407</v>
      </c>
      <c r="C578" s="1" t="n">
        <v>46103</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693-2026</t>
        </is>
      </c>
      <c r="B579" s="1" t="n">
        <v>46029.6133449074</v>
      </c>
      <c r="C579" s="1" t="n">
        <v>46103</v>
      </c>
      <c r="D579" t="inlineStr">
        <is>
          <t>STOCKHOLMS LÄN</t>
        </is>
      </c>
      <c r="E579" t="inlineStr">
        <is>
          <t>NORRTÄLJE</t>
        </is>
      </c>
      <c r="G579" t="n">
        <v>9.6</v>
      </c>
      <c r="H579" t="n">
        <v>0</v>
      </c>
      <c r="I579" t="n">
        <v>0</v>
      </c>
      <c r="J579" t="n">
        <v>0</v>
      </c>
      <c r="K579" t="n">
        <v>0</v>
      </c>
      <c r="L579" t="n">
        <v>0</v>
      </c>
      <c r="M579" t="n">
        <v>0</v>
      </c>
      <c r="N579" t="n">
        <v>0</v>
      </c>
      <c r="O579" t="n">
        <v>0</v>
      </c>
      <c r="P579" t="n">
        <v>0</v>
      </c>
      <c r="Q579" t="n">
        <v>0</v>
      </c>
      <c r="R579" s="2" t="inlineStr"/>
    </row>
    <row r="580" ht="15" customHeight="1">
      <c r="A580" t="inlineStr">
        <is>
          <t>A 25702-2025</t>
        </is>
      </c>
      <c r="B580" s="1" t="n">
        <v>45800</v>
      </c>
      <c r="C580" s="1" t="n">
        <v>46103</v>
      </c>
      <c r="D580" t="inlineStr">
        <is>
          <t>STOCKHOLMS LÄN</t>
        </is>
      </c>
      <c r="E580" t="inlineStr">
        <is>
          <t>NORRTÄLJE</t>
        </is>
      </c>
      <c r="G580" t="n">
        <v>5.3</v>
      </c>
      <c r="H580" t="n">
        <v>0</v>
      </c>
      <c r="I580" t="n">
        <v>0</v>
      </c>
      <c r="J580" t="n">
        <v>0</v>
      </c>
      <c r="K580" t="n">
        <v>0</v>
      </c>
      <c r="L580" t="n">
        <v>0</v>
      </c>
      <c r="M580" t="n">
        <v>0</v>
      </c>
      <c r="N580" t="n">
        <v>0</v>
      </c>
      <c r="O580" t="n">
        <v>0</v>
      </c>
      <c r="P580" t="n">
        <v>0</v>
      </c>
      <c r="Q580" t="n">
        <v>0</v>
      </c>
      <c r="R580" s="2" t="inlineStr"/>
    </row>
    <row r="581" ht="15" customHeight="1">
      <c r="A581" t="inlineStr">
        <is>
          <t>A 48718-2025</t>
        </is>
      </c>
      <c r="B581" s="1" t="n">
        <v>45936</v>
      </c>
      <c r="C581" s="1" t="n">
        <v>46103</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475-2026</t>
        </is>
      </c>
      <c r="B582" s="1" t="n">
        <v>46029.39351851852</v>
      </c>
      <c r="C582" s="1" t="n">
        <v>46103</v>
      </c>
      <c r="D582" t="inlineStr">
        <is>
          <t>STOCKHOLMS LÄN</t>
        </is>
      </c>
      <c r="E582" t="inlineStr">
        <is>
          <t>NORRTÄLJE</t>
        </is>
      </c>
      <c r="G582" t="n">
        <v>4.6</v>
      </c>
      <c r="H582" t="n">
        <v>0</v>
      </c>
      <c r="I582" t="n">
        <v>0</v>
      </c>
      <c r="J582" t="n">
        <v>0</v>
      </c>
      <c r="K582" t="n">
        <v>0</v>
      </c>
      <c r="L582" t="n">
        <v>0</v>
      </c>
      <c r="M582" t="n">
        <v>0</v>
      </c>
      <c r="N582" t="n">
        <v>0</v>
      </c>
      <c r="O582" t="n">
        <v>0</v>
      </c>
      <c r="P582" t="n">
        <v>0</v>
      </c>
      <c r="Q582" t="n">
        <v>0</v>
      </c>
      <c r="R582" s="2" t="inlineStr"/>
    </row>
    <row r="583" ht="15" customHeight="1">
      <c r="A583" t="inlineStr">
        <is>
          <t>A 717-2026</t>
        </is>
      </c>
      <c r="B583" s="1" t="n">
        <v>46029.63028935185</v>
      </c>
      <c r="C583" s="1" t="n">
        <v>46103</v>
      </c>
      <c r="D583" t="inlineStr">
        <is>
          <t>STOCKHOLMS LÄN</t>
        </is>
      </c>
      <c r="E583" t="inlineStr">
        <is>
          <t>NORRTÄLJE</t>
        </is>
      </c>
      <c r="G583" t="n">
        <v>2.4</v>
      </c>
      <c r="H583" t="n">
        <v>0</v>
      </c>
      <c r="I583" t="n">
        <v>0</v>
      </c>
      <c r="J583" t="n">
        <v>0</v>
      </c>
      <c r="K583" t="n">
        <v>0</v>
      </c>
      <c r="L583" t="n">
        <v>0</v>
      </c>
      <c r="M583" t="n">
        <v>0</v>
      </c>
      <c r="N583" t="n">
        <v>0</v>
      </c>
      <c r="O583" t="n">
        <v>0</v>
      </c>
      <c r="P583" t="n">
        <v>0</v>
      </c>
      <c r="Q583" t="n">
        <v>0</v>
      </c>
      <c r="R583" s="2" t="inlineStr"/>
    </row>
    <row r="584" ht="15" customHeight="1">
      <c r="A584" t="inlineStr">
        <is>
          <t>A 48593-2025</t>
        </is>
      </c>
      <c r="B584" s="1" t="n">
        <v>45936.4627662037</v>
      </c>
      <c r="C584" s="1" t="n">
        <v>46103</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812-2026</t>
        </is>
      </c>
      <c r="B585" s="1" t="n">
        <v>46030.33358796296</v>
      </c>
      <c r="C585" s="1" t="n">
        <v>46103</v>
      </c>
      <c r="D585" t="inlineStr">
        <is>
          <t>STOCKHOLMS LÄN</t>
        </is>
      </c>
      <c r="E585" t="inlineStr">
        <is>
          <t>NORRTÄLJE</t>
        </is>
      </c>
      <c r="G585" t="n">
        <v>2.4</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46103</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56428-2023</t>
        </is>
      </c>
      <c r="B587" s="1" t="n">
        <v>45243.45289351852</v>
      </c>
      <c r="C587" s="1" t="n">
        <v>46103</v>
      </c>
      <c r="D587" t="inlineStr">
        <is>
          <t>STOCKHOLMS LÄN</t>
        </is>
      </c>
      <c r="E587" t="inlineStr">
        <is>
          <t>NORRTÄLJE</t>
        </is>
      </c>
      <c r="F587" t="inlineStr">
        <is>
          <t>Kyrkan</t>
        </is>
      </c>
      <c r="G587" t="n">
        <v>1.3</v>
      </c>
      <c r="H587" t="n">
        <v>0</v>
      </c>
      <c r="I587" t="n">
        <v>0</v>
      </c>
      <c r="J587" t="n">
        <v>0</v>
      </c>
      <c r="K587" t="n">
        <v>0</v>
      </c>
      <c r="L587" t="n">
        <v>0</v>
      </c>
      <c r="M587" t="n">
        <v>0</v>
      </c>
      <c r="N587" t="n">
        <v>0</v>
      </c>
      <c r="O587" t="n">
        <v>0</v>
      </c>
      <c r="P587" t="n">
        <v>0</v>
      </c>
      <c r="Q587" t="n">
        <v>0</v>
      </c>
      <c r="R587" s="2" t="inlineStr"/>
    </row>
    <row r="588" ht="15" customHeight="1">
      <c r="A588" t="inlineStr">
        <is>
          <t>A 48443-2025</t>
        </is>
      </c>
      <c r="B588" s="1" t="n">
        <v>45935.55326388889</v>
      </c>
      <c r="C588" s="1" t="n">
        <v>46103</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25712-2025</t>
        </is>
      </c>
      <c r="B589" s="1" t="n">
        <v>45803.69228009259</v>
      </c>
      <c r="C589" s="1" t="n">
        <v>46103</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17556-2025</t>
        </is>
      </c>
      <c r="B590" s="1" t="n">
        <v>45757.62482638889</v>
      </c>
      <c r="C590" s="1" t="n">
        <v>46103</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25733-2025</t>
        </is>
      </c>
      <c r="B591" s="1" t="n">
        <v>45800</v>
      </c>
      <c r="C591" s="1" t="n">
        <v>46103</v>
      </c>
      <c r="D591" t="inlineStr">
        <is>
          <t>STOCKHOLMS LÄN</t>
        </is>
      </c>
      <c r="E591" t="inlineStr">
        <is>
          <t>NORRTÄLJE</t>
        </is>
      </c>
      <c r="G591" t="n">
        <v>2.2</v>
      </c>
      <c r="H591" t="n">
        <v>0</v>
      </c>
      <c r="I591" t="n">
        <v>0</v>
      </c>
      <c r="J591" t="n">
        <v>0</v>
      </c>
      <c r="K591" t="n">
        <v>0</v>
      </c>
      <c r="L591" t="n">
        <v>0</v>
      </c>
      <c r="M591" t="n">
        <v>0</v>
      </c>
      <c r="N591" t="n">
        <v>0</v>
      </c>
      <c r="O591" t="n">
        <v>0</v>
      </c>
      <c r="P591" t="n">
        <v>0</v>
      </c>
      <c r="Q591" t="n">
        <v>0</v>
      </c>
      <c r="R591" s="2" t="inlineStr"/>
    </row>
    <row r="592" ht="15" customHeight="1">
      <c r="A592" t="inlineStr">
        <is>
          <t>A 39238-2024</t>
        </is>
      </c>
      <c r="B592" s="1" t="n">
        <v>45549</v>
      </c>
      <c r="C592" s="1" t="n">
        <v>46103</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25571-2025</t>
        </is>
      </c>
      <c r="B593" s="1" t="n">
        <v>45803.4675</v>
      </c>
      <c r="C593" s="1" t="n">
        <v>46103</v>
      </c>
      <c r="D593" t="inlineStr">
        <is>
          <t>STOCKHOLMS LÄN</t>
        </is>
      </c>
      <c r="E593" t="inlineStr">
        <is>
          <t>NORRTÄLJE</t>
        </is>
      </c>
      <c r="G593" t="n">
        <v>5.4</v>
      </c>
      <c r="H593" t="n">
        <v>0</v>
      </c>
      <c r="I593" t="n">
        <v>0</v>
      </c>
      <c r="J593" t="n">
        <v>0</v>
      </c>
      <c r="K593" t="n">
        <v>0</v>
      </c>
      <c r="L593" t="n">
        <v>0</v>
      </c>
      <c r="M593" t="n">
        <v>0</v>
      </c>
      <c r="N593" t="n">
        <v>0</v>
      </c>
      <c r="O593" t="n">
        <v>0</v>
      </c>
      <c r="P593" t="n">
        <v>0</v>
      </c>
      <c r="Q593" t="n">
        <v>0</v>
      </c>
      <c r="R593" s="2" t="inlineStr"/>
    </row>
    <row r="594" ht="15" customHeight="1">
      <c r="A594" t="inlineStr">
        <is>
          <t>A 25721-2025</t>
        </is>
      </c>
      <c r="B594" s="1" t="n">
        <v>45800</v>
      </c>
      <c r="C594" s="1" t="n">
        <v>46103</v>
      </c>
      <c r="D594" t="inlineStr">
        <is>
          <t>STOCKHOLMS LÄN</t>
        </is>
      </c>
      <c r="E594" t="inlineStr">
        <is>
          <t>NORRTÄLJE</t>
        </is>
      </c>
      <c r="G594" t="n">
        <v>6</v>
      </c>
      <c r="H594" t="n">
        <v>0</v>
      </c>
      <c r="I594" t="n">
        <v>0</v>
      </c>
      <c r="J594" t="n">
        <v>0</v>
      </c>
      <c r="K594" t="n">
        <v>0</v>
      </c>
      <c r="L594" t="n">
        <v>0</v>
      </c>
      <c r="M594" t="n">
        <v>0</v>
      </c>
      <c r="N594" t="n">
        <v>0</v>
      </c>
      <c r="O594" t="n">
        <v>0</v>
      </c>
      <c r="P594" t="n">
        <v>0</v>
      </c>
      <c r="Q594" t="n">
        <v>0</v>
      </c>
      <c r="R594" s="2" t="inlineStr"/>
    </row>
    <row r="595" ht="15" customHeight="1">
      <c r="A595" t="inlineStr">
        <is>
          <t>A 48780-2025</t>
        </is>
      </c>
      <c r="B595" s="1" t="n">
        <v>45937.30377314815</v>
      </c>
      <c r="C595" s="1" t="n">
        <v>46103</v>
      </c>
      <c r="D595" t="inlineStr">
        <is>
          <t>STOCKHOLMS LÄN</t>
        </is>
      </c>
      <c r="E595" t="inlineStr">
        <is>
          <t>NORRTÄLJE</t>
        </is>
      </c>
      <c r="G595" t="n">
        <v>7.7</v>
      </c>
      <c r="H595" t="n">
        <v>0</v>
      </c>
      <c r="I595" t="n">
        <v>0</v>
      </c>
      <c r="J595" t="n">
        <v>0</v>
      </c>
      <c r="K595" t="n">
        <v>0</v>
      </c>
      <c r="L595" t="n">
        <v>0</v>
      </c>
      <c r="M595" t="n">
        <v>0</v>
      </c>
      <c r="N595" t="n">
        <v>0</v>
      </c>
      <c r="O595" t="n">
        <v>0</v>
      </c>
      <c r="P595" t="n">
        <v>0</v>
      </c>
      <c r="Q595" t="n">
        <v>0</v>
      </c>
      <c r="R595" s="2" t="inlineStr"/>
    </row>
    <row r="596" ht="15" customHeight="1">
      <c r="A596" t="inlineStr">
        <is>
          <t>A 25697-2025</t>
        </is>
      </c>
      <c r="B596" s="1" t="n">
        <v>45803.66587962963</v>
      </c>
      <c r="C596" s="1" t="n">
        <v>46103</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41218-2024</t>
        </is>
      </c>
      <c r="B597" s="1" t="n">
        <v>45559.54706018518</v>
      </c>
      <c r="C597" s="1" t="n">
        <v>46103</v>
      </c>
      <c r="D597" t="inlineStr">
        <is>
          <t>STOCKHOLMS LÄN</t>
        </is>
      </c>
      <c r="E597" t="inlineStr">
        <is>
          <t>NORRTÄLJE</t>
        </is>
      </c>
      <c r="G597" t="n">
        <v>6</v>
      </c>
      <c r="H597" t="n">
        <v>0</v>
      </c>
      <c r="I597" t="n">
        <v>0</v>
      </c>
      <c r="J597" t="n">
        <v>0</v>
      </c>
      <c r="K597" t="n">
        <v>0</v>
      </c>
      <c r="L597" t="n">
        <v>0</v>
      </c>
      <c r="M597" t="n">
        <v>0</v>
      </c>
      <c r="N597" t="n">
        <v>0</v>
      </c>
      <c r="O597" t="n">
        <v>0</v>
      </c>
      <c r="P597" t="n">
        <v>0</v>
      </c>
      <c r="Q597" t="n">
        <v>0</v>
      </c>
      <c r="R597" s="2" t="inlineStr"/>
    </row>
    <row r="598" ht="15" customHeight="1">
      <c r="A598" t="inlineStr">
        <is>
          <t>A 42094-2023</t>
        </is>
      </c>
      <c r="B598" s="1" t="n">
        <v>45177.61498842593</v>
      </c>
      <c r="C598" s="1" t="n">
        <v>46103</v>
      </c>
      <c r="D598" t="inlineStr">
        <is>
          <t>STOCKHOLMS LÄN</t>
        </is>
      </c>
      <c r="E598" t="inlineStr">
        <is>
          <t>NORRTÄLJE</t>
        </is>
      </c>
      <c r="G598" t="n">
        <v>0.3</v>
      </c>
      <c r="H598" t="n">
        <v>0</v>
      </c>
      <c r="I598" t="n">
        <v>0</v>
      </c>
      <c r="J598" t="n">
        <v>0</v>
      </c>
      <c r="K598" t="n">
        <v>0</v>
      </c>
      <c r="L598" t="n">
        <v>0</v>
      </c>
      <c r="M598" t="n">
        <v>0</v>
      </c>
      <c r="N598" t="n">
        <v>0</v>
      </c>
      <c r="O598" t="n">
        <v>0</v>
      </c>
      <c r="P598" t="n">
        <v>0</v>
      </c>
      <c r="Q598" t="n">
        <v>0</v>
      </c>
      <c r="R598" s="2" t="inlineStr"/>
    </row>
    <row r="599" ht="15" customHeight="1">
      <c r="A599" t="inlineStr">
        <is>
          <t>A 8370-2025</t>
        </is>
      </c>
      <c r="B599" s="1" t="n">
        <v>45708</v>
      </c>
      <c r="C599" s="1" t="n">
        <v>46103</v>
      </c>
      <c r="D599" t="inlineStr">
        <is>
          <t>STOCKHOLMS LÄN</t>
        </is>
      </c>
      <c r="E599" t="inlineStr">
        <is>
          <t>NORRTÄLJE</t>
        </is>
      </c>
      <c r="F599" t="inlineStr">
        <is>
          <t>Övriga Aktiebolag</t>
        </is>
      </c>
      <c r="G599" t="n">
        <v>5.6</v>
      </c>
      <c r="H599" t="n">
        <v>0</v>
      </c>
      <c r="I599" t="n">
        <v>0</v>
      </c>
      <c r="J599" t="n">
        <v>0</v>
      </c>
      <c r="K599" t="n">
        <v>0</v>
      </c>
      <c r="L599" t="n">
        <v>0</v>
      </c>
      <c r="M599" t="n">
        <v>0</v>
      </c>
      <c r="N599" t="n">
        <v>0</v>
      </c>
      <c r="O599" t="n">
        <v>0</v>
      </c>
      <c r="P599" t="n">
        <v>0</v>
      </c>
      <c r="Q599" t="n">
        <v>0</v>
      </c>
      <c r="R599" s="2" t="inlineStr"/>
    </row>
    <row r="600" ht="15" customHeight="1">
      <c r="A600" t="inlineStr">
        <is>
          <t>A 3299-2022</t>
        </is>
      </c>
      <c r="B600" s="1" t="n">
        <v>44584.91001157407</v>
      </c>
      <c r="C600" s="1" t="n">
        <v>46103</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49129-2025</t>
        </is>
      </c>
      <c r="B601" s="1" t="n">
        <v>45937.89517361111</v>
      </c>
      <c r="C601" s="1" t="n">
        <v>46103</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9720-2026</t>
        </is>
      </c>
      <c r="B602" s="1" t="n">
        <v>46072.45061342593</v>
      </c>
      <c r="C602" s="1" t="n">
        <v>46103</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12348-2025</t>
        </is>
      </c>
      <c r="B603" s="1" t="n">
        <v>45730.35026620371</v>
      </c>
      <c r="C603" s="1" t="n">
        <v>46103</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17545-2025</t>
        </is>
      </c>
      <c r="B604" s="1" t="n">
        <v>45757.60658564815</v>
      </c>
      <c r="C604" s="1" t="n">
        <v>46103</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10399-2026</t>
        </is>
      </c>
      <c r="B605" s="1" t="n">
        <v>46077</v>
      </c>
      <c r="C605" s="1" t="n">
        <v>46103</v>
      </c>
      <c r="D605" t="inlineStr">
        <is>
          <t>STOCKHOLMS LÄN</t>
        </is>
      </c>
      <c r="E605" t="inlineStr">
        <is>
          <t>NORRTÄLJE</t>
        </is>
      </c>
      <c r="F605" t="inlineStr">
        <is>
          <t>Övriga Aktiebolag</t>
        </is>
      </c>
      <c r="G605" t="n">
        <v>0.2</v>
      </c>
      <c r="H605" t="n">
        <v>0</v>
      </c>
      <c r="I605" t="n">
        <v>0</v>
      </c>
      <c r="J605" t="n">
        <v>0</v>
      </c>
      <c r="K605" t="n">
        <v>0</v>
      </c>
      <c r="L605" t="n">
        <v>0</v>
      </c>
      <c r="M605" t="n">
        <v>0</v>
      </c>
      <c r="N605" t="n">
        <v>0</v>
      </c>
      <c r="O605" t="n">
        <v>0</v>
      </c>
      <c r="P605" t="n">
        <v>0</v>
      </c>
      <c r="Q605" t="n">
        <v>0</v>
      </c>
      <c r="R605" s="2" t="inlineStr"/>
    </row>
    <row r="606" ht="15" customHeight="1">
      <c r="A606" t="inlineStr">
        <is>
          <t>A 25094-2023</t>
        </is>
      </c>
      <c r="B606" s="1" t="n">
        <v>45086.3629050926</v>
      </c>
      <c r="C606" s="1" t="n">
        <v>46103</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36157-2024</t>
        </is>
      </c>
      <c r="B607" s="1" t="n">
        <v>45534.38240740741</v>
      </c>
      <c r="C607" s="1" t="n">
        <v>46103</v>
      </c>
      <c r="D607" t="inlineStr">
        <is>
          <t>STOCKHOLMS LÄN</t>
        </is>
      </c>
      <c r="E607" t="inlineStr">
        <is>
          <t>NORRTÄLJE</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47694-2023</t>
        </is>
      </c>
      <c r="B608" s="1" t="n">
        <v>45203.63303240741</v>
      </c>
      <c r="C608" s="1" t="n">
        <v>46103</v>
      </c>
      <c r="D608" t="inlineStr">
        <is>
          <t>STOCKHOLMS LÄN</t>
        </is>
      </c>
      <c r="E608" t="inlineStr">
        <is>
          <t>NORRTÄLJE</t>
        </is>
      </c>
      <c r="G608" t="n">
        <v>5.2</v>
      </c>
      <c r="H608" t="n">
        <v>0</v>
      </c>
      <c r="I608" t="n">
        <v>0</v>
      </c>
      <c r="J608" t="n">
        <v>0</v>
      </c>
      <c r="K608" t="n">
        <v>0</v>
      </c>
      <c r="L608" t="n">
        <v>0</v>
      </c>
      <c r="M608" t="n">
        <v>0</v>
      </c>
      <c r="N608" t="n">
        <v>0</v>
      </c>
      <c r="O608" t="n">
        <v>0</v>
      </c>
      <c r="P608" t="n">
        <v>0</v>
      </c>
      <c r="Q608" t="n">
        <v>0</v>
      </c>
      <c r="R608" s="2" t="inlineStr"/>
    </row>
    <row r="609" ht="15" customHeight="1">
      <c r="A609" t="inlineStr">
        <is>
          <t>A 50097-2025</t>
        </is>
      </c>
      <c r="B609" s="1" t="n">
        <v>45943.50207175926</v>
      </c>
      <c r="C609" s="1" t="n">
        <v>46103</v>
      </c>
      <c r="D609" t="inlineStr">
        <is>
          <t>STOCKHOLMS LÄN</t>
        </is>
      </c>
      <c r="E609" t="inlineStr">
        <is>
          <t>NORRTÄLJE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35532-2024</t>
        </is>
      </c>
      <c r="B610" s="1" t="n">
        <v>45531</v>
      </c>
      <c r="C610" s="1" t="n">
        <v>46103</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49836-2025</t>
        </is>
      </c>
      <c r="B611" s="1" t="n">
        <v>45940.46862268518</v>
      </c>
      <c r="C611" s="1" t="n">
        <v>46103</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1755-2026</t>
        </is>
      </c>
      <c r="B612" s="1" t="n">
        <v>46034.66230324074</v>
      </c>
      <c r="C612" s="1" t="n">
        <v>46103</v>
      </c>
      <c r="D612" t="inlineStr">
        <is>
          <t>STOCKHOLMS LÄN</t>
        </is>
      </c>
      <c r="E612" t="inlineStr">
        <is>
          <t>NORRTÄLJE</t>
        </is>
      </c>
      <c r="F612" t="inlineStr">
        <is>
          <t>Holmen skog AB</t>
        </is>
      </c>
      <c r="G612" t="n">
        <v>3.5</v>
      </c>
      <c r="H612" t="n">
        <v>0</v>
      </c>
      <c r="I612" t="n">
        <v>0</v>
      </c>
      <c r="J612" t="n">
        <v>0</v>
      </c>
      <c r="K612" t="n">
        <v>0</v>
      </c>
      <c r="L612" t="n">
        <v>0</v>
      </c>
      <c r="M612" t="n">
        <v>0</v>
      </c>
      <c r="N612" t="n">
        <v>0</v>
      </c>
      <c r="O612" t="n">
        <v>0</v>
      </c>
      <c r="P612" t="n">
        <v>0</v>
      </c>
      <c r="Q612" t="n">
        <v>0</v>
      </c>
      <c r="R612" s="2" t="inlineStr"/>
    </row>
    <row r="613" ht="15" customHeight="1">
      <c r="A613" t="inlineStr">
        <is>
          <t>A 1654-2025</t>
        </is>
      </c>
      <c r="B613" s="1" t="n">
        <v>45670.65921296296</v>
      </c>
      <c r="C613" s="1" t="n">
        <v>46103</v>
      </c>
      <c r="D613" t="inlineStr">
        <is>
          <t>STOCKHOLMS LÄN</t>
        </is>
      </c>
      <c r="E613" t="inlineStr">
        <is>
          <t>NORRTÄLJE</t>
        </is>
      </c>
      <c r="G613" t="n">
        <v>2.5</v>
      </c>
      <c r="H613" t="n">
        <v>0</v>
      </c>
      <c r="I613" t="n">
        <v>0</v>
      </c>
      <c r="J613" t="n">
        <v>0</v>
      </c>
      <c r="K613" t="n">
        <v>0</v>
      </c>
      <c r="L613" t="n">
        <v>0</v>
      </c>
      <c r="M613" t="n">
        <v>0</v>
      </c>
      <c r="N613" t="n">
        <v>0</v>
      </c>
      <c r="O613" t="n">
        <v>0</v>
      </c>
      <c r="P613" t="n">
        <v>0</v>
      </c>
      <c r="Q613" t="n">
        <v>0</v>
      </c>
      <c r="R613" s="2" t="inlineStr"/>
    </row>
    <row r="614" ht="15" customHeight="1">
      <c r="A614" t="inlineStr">
        <is>
          <t>A 62644-2023</t>
        </is>
      </c>
      <c r="B614" s="1" t="n">
        <v>45271</v>
      </c>
      <c r="C614" s="1" t="n">
        <v>46103</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38449-2022</t>
        </is>
      </c>
      <c r="B615" s="1" t="n">
        <v>44813</v>
      </c>
      <c r="C615" s="1" t="n">
        <v>46103</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1789-2026</t>
        </is>
      </c>
      <c r="B616" s="1" t="n">
        <v>46034</v>
      </c>
      <c r="C616" s="1" t="n">
        <v>46103</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11229-2022</t>
        </is>
      </c>
      <c r="B617" s="1" t="n">
        <v>44629</v>
      </c>
      <c r="C617" s="1" t="n">
        <v>46103</v>
      </c>
      <c r="D617" t="inlineStr">
        <is>
          <t>STOCKHOLMS LÄN</t>
        </is>
      </c>
      <c r="E617" t="inlineStr">
        <is>
          <t>NORRTÄLJE</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10429-2026</t>
        </is>
      </c>
      <c r="B618" s="1" t="n">
        <v>46077.3822337963</v>
      </c>
      <c r="C618" s="1" t="n">
        <v>46103</v>
      </c>
      <c r="D618" t="inlineStr">
        <is>
          <t>STOCKHOLMS LÄN</t>
        </is>
      </c>
      <c r="E618" t="inlineStr">
        <is>
          <t>NORRTÄLJE</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10444-2026</t>
        </is>
      </c>
      <c r="B619" s="1" t="n">
        <v>46077.42230324074</v>
      </c>
      <c r="C619" s="1" t="n">
        <v>46103</v>
      </c>
      <c r="D619" t="inlineStr">
        <is>
          <t>STOCKHOLMS LÄN</t>
        </is>
      </c>
      <c r="E619" t="inlineStr">
        <is>
          <t>NORRTÄLJE</t>
        </is>
      </c>
      <c r="F619" t="inlineStr">
        <is>
          <t>Holmen skog AB</t>
        </is>
      </c>
      <c r="G619" t="n">
        <v>4.9</v>
      </c>
      <c r="H619" t="n">
        <v>0</v>
      </c>
      <c r="I619" t="n">
        <v>0</v>
      </c>
      <c r="J619" t="n">
        <v>0</v>
      </c>
      <c r="K619" t="n">
        <v>0</v>
      </c>
      <c r="L619" t="n">
        <v>0</v>
      </c>
      <c r="M619" t="n">
        <v>0</v>
      </c>
      <c r="N619" t="n">
        <v>0</v>
      </c>
      <c r="O619" t="n">
        <v>0</v>
      </c>
      <c r="P619" t="n">
        <v>0</v>
      </c>
      <c r="Q619" t="n">
        <v>0</v>
      </c>
      <c r="R619" s="2" t="inlineStr"/>
    </row>
    <row r="620" ht="15" customHeight="1">
      <c r="A620" t="inlineStr">
        <is>
          <t>A 50327-2025</t>
        </is>
      </c>
      <c r="B620" s="1" t="n">
        <v>45944.46387731482</v>
      </c>
      <c r="C620" s="1" t="n">
        <v>46103</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10586-2026</t>
        </is>
      </c>
      <c r="B621" s="1" t="n">
        <v>46077.68192129629</v>
      </c>
      <c r="C621" s="1" t="n">
        <v>46103</v>
      </c>
      <c r="D621" t="inlineStr">
        <is>
          <t>STOCKHOLMS LÄN</t>
        </is>
      </c>
      <c r="E621" t="inlineStr">
        <is>
          <t>NORRTÄLJE</t>
        </is>
      </c>
      <c r="F621" t="inlineStr">
        <is>
          <t>Holmen skog AB</t>
        </is>
      </c>
      <c r="G621" t="n">
        <v>3.3</v>
      </c>
      <c r="H621" t="n">
        <v>0</v>
      </c>
      <c r="I621" t="n">
        <v>0</v>
      </c>
      <c r="J621" t="n">
        <v>0</v>
      </c>
      <c r="K621" t="n">
        <v>0</v>
      </c>
      <c r="L621" t="n">
        <v>0</v>
      </c>
      <c r="M621" t="n">
        <v>0</v>
      </c>
      <c r="N621" t="n">
        <v>0</v>
      </c>
      <c r="O621" t="n">
        <v>0</v>
      </c>
      <c r="P621" t="n">
        <v>0</v>
      </c>
      <c r="Q621" t="n">
        <v>0</v>
      </c>
      <c r="R621" s="2" t="inlineStr"/>
    </row>
    <row r="622" ht="15" customHeight="1">
      <c r="A622" t="inlineStr">
        <is>
          <t>A 10553-2026</t>
        </is>
      </c>
      <c r="B622" s="1" t="n">
        <v>46077.62944444444</v>
      </c>
      <c r="C622" s="1" t="n">
        <v>46103</v>
      </c>
      <c r="D622" t="inlineStr">
        <is>
          <t>STOCKHOLMS LÄN</t>
        </is>
      </c>
      <c r="E622" t="inlineStr">
        <is>
          <t>NORRTÄLJE</t>
        </is>
      </c>
      <c r="G622" t="n">
        <v>4.9</v>
      </c>
      <c r="H622" t="n">
        <v>0</v>
      </c>
      <c r="I622" t="n">
        <v>0</v>
      </c>
      <c r="J622" t="n">
        <v>0</v>
      </c>
      <c r="K622" t="n">
        <v>0</v>
      </c>
      <c r="L622" t="n">
        <v>0</v>
      </c>
      <c r="M622" t="n">
        <v>0</v>
      </c>
      <c r="N622" t="n">
        <v>0</v>
      </c>
      <c r="O622" t="n">
        <v>0</v>
      </c>
      <c r="P622" t="n">
        <v>0</v>
      </c>
      <c r="Q622" t="n">
        <v>0</v>
      </c>
      <c r="R622" s="2" t="inlineStr"/>
    </row>
    <row r="623" ht="15" customHeight="1">
      <c r="A623" t="inlineStr">
        <is>
          <t>A 50563-2025</t>
        </is>
      </c>
      <c r="B623" s="1" t="n">
        <v>45944</v>
      </c>
      <c r="C623" s="1" t="n">
        <v>46103</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50333-2025</t>
        </is>
      </c>
      <c r="B624" s="1" t="n">
        <v>45944.47178240741</v>
      </c>
      <c r="C624" s="1" t="n">
        <v>46103</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57353-2024</t>
        </is>
      </c>
      <c r="B625" s="1" t="n">
        <v>45629.65143518519</v>
      </c>
      <c r="C625" s="1" t="n">
        <v>46103</v>
      </c>
      <c r="D625" t="inlineStr">
        <is>
          <t>STOCKHOLMS LÄN</t>
        </is>
      </c>
      <c r="E625" t="inlineStr">
        <is>
          <t>NORRTÄLJE</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51122-2025</t>
        </is>
      </c>
      <c r="B626" s="1" t="n">
        <v>45947.53693287037</v>
      </c>
      <c r="C626" s="1" t="n">
        <v>46103</v>
      </c>
      <c r="D626" t="inlineStr">
        <is>
          <t>STOCKHOLMS LÄN</t>
        </is>
      </c>
      <c r="E626" t="inlineStr">
        <is>
          <t>NORRTÄLJE</t>
        </is>
      </c>
      <c r="G626" t="n">
        <v>3.8</v>
      </c>
      <c r="H626" t="n">
        <v>0</v>
      </c>
      <c r="I626" t="n">
        <v>0</v>
      </c>
      <c r="J626" t="n">
        <v>0</v>
      </c>
      <c r="K626" t="n">
        <v>0</v>
      </c>
      <c r="L626" t="n">
        <v>0</v>
      </c>
      <c r="M626" t="n">
        <v>0</v>
      </c>
      <c r="N626" t="n">
        <v>0</v>
      </c>
      <c r="O626" t="n">
        <v>0</v>
      </c>
      <c r="P626" t="n">
        <v>0</v>
      </c>
      <c r="Q626" t="n">
        <v>0</v>
      </c>
      <c r="R626" s="2" t="inlineStr"/>
    </row>
    <row r="627" ht="15" customHeight="1">
      <c r="A627" t="inlineStr">
        <is>
          <t>A 48587-2023</t>
        </is>
      </c>
      <c r="B627" s="1" t="n">
        <v>45208</v>
      </c>
      <c r="C627" s="1" t="n">
        <v>46103</v>
      </c>
      <c r="D627" t="inlineStr">
        <is>
          <t>STOCKHOLMS LÄN</t>
        </is>
      </c>
      <c r="E627" t="inlineStr">
        <is>
          <t>NORRTÄLJE</t>
        </is>
      </c>
      <c r="G627" t="n">
        <v>7</v>
      </c>
      <c r="H627" t="n">
        <v>0</v>
      </c>
      <c r="I627" t="n">
        <v>0</v>
      </c>
      <c r="J627" t="n">
        <v>0</v>
      </c>
      <c r="K627" t="n">
        <v>0</v>
      </c>
      <c r="L627" t="n">
        <v>0</v>
      </c>
      <c r="M627" t="n">
        <v>0</v>
      </c>
      <c r="N627" t="n">
        <v>0</v>
      </c>
      <c r="O627" t="n">
        <v>0</v>
      </c>
      <c r="P627" t="n">
        <v>0</v>
      </c>
      <c r="Q627" t="n">
        <v>0</v>
      </c>
      <c r="R627" s="2" t="inlineStr"/>
    </row>
    <row r="628" ht="15" customHeight="1">
      <c r="A628" t="inlineStr">
        <is>
          <t>A 51233-2025</t>
        </is>
      </c>
      <c r="B628" s="1" t="n">
        <v>45947.68232638889</v>
      </c>
      <c r="C628" s="1" t="n">
        <v>46103</v>
      </c>
      <c r="D628" t="inlineStr">
        <is>
          <t>STOCKHOLMS LÄN</t>
        </is>
      </c>
      <c r="E628" t="inlineStr">
        <is>
          <t>NORRTÄLJE</t>
        </is>
      </c>
      <c r="F628" t="inlineStr">
        <is>
          <t>Naturvårdsverket</t>
        </is>
      </c>
      <c r="G628" t="n">
        <v>8.1</v>
      </c>
      <c r="H628" t="n">
        <v>0</v>
      </c>
      <c r="I628" t="n">
        <v>0</v>
      </c>
      <c r="J628" t="n">
        <v>0</v>
      </c>
      <c r="K628" t="n">
        <v>0</v>
      </c>
      <c r="L628" t="n">
        <v>0</v>
      </c>
      <c r="M628" t="n">
        <v>0</v>
      </c>
      <c r="N628" t="n">
        <v>0</v>
      </c>
      <c r="O628" t="n">
        <v>0</v>
      </c>
      <c r="P628" t="n">
        <v>0</v>
      </c>
      <c r="Q628" t="n">
        <v>0</v>
      </c>
      <c r="R628" s="2" t="inlineStr"/>
    </row>
    <row r="629" ht="15" customHeight="1">
      <c r="A629" t="inlineStr">
        <is>
          <t>A 51236-2025</t>
        </is>
      </c>
      <c r="B629" s="1" t="n">
        <v>45947.69078703703</v>
      </c>
      <c r="C629" s="1" t="n">
        <v>46103</v>
      </c>
      <c r="D629" t="inlineStr">
        <is>
          <t>STOCKHOLMS LÄN</t>
        </is>
      </c>
      <c r="E629" t="inlineStr">
        <is>
          <t>NORRTÄLJE</t>
        </is>
      </c>
      <c r="F629" t="inlineStr">
        <is>
          <t>Naturvårdsverket</t>
        </is>
      </c>
      <c r="G629" t="n">
        <v>6.3</v>
      </c>
      <c r="H629" t="n">
        <v>0</v>
      </c>
      <c r="I629" t="n">
        <v>0</v>
      </c>
      <c r="J629" t="n">
        <v>0</v>
      </c>
      <c r="K629" t="n">
        <v>0</v>
      </c>
      <c r="L629" t="n">
        <v>0</v>
      </c>
      <c r="M629" t="n">
        <v>0</v>
      </c>
      <c r="N629" t="n">
        <v>0</v>
      </c>
      <c r="O629" t="n">
        <v>0</v>
      </c>
      <c r="P629" t="n">
        <v>0</v>
      </c>
      <c r="Q629" t="n">
        <v>0</v>
      </c>
      <c r="R629" s="2" t="inlineStr"/>
    </row>
    <row r="630" ht="15" customHeight="1">
      <c r="A630" t="inlineStr">
        <is>
          <t>A 51241-2025</t>
        </is>
      </c>
      <c r="B630" s="1" t="n">
        <v>45947.71726851852</v>
      </c>
      <c r="C630" s="1" t="n">
        <v>46103</v>
      </c>
      <c r="D630" t="inlineStr">
        <is>
          <t>STOCKHOLMS LÄN</t>
        </is>
      </c>
      <c r="E630" t="inlineStr">
        <is>
          <t>NORRTÄLJE</t>
        </is>
      </c>
      <c r="F630" t="inlineStr">
        <is>
          <t>Naturvårdsverket</t>
        </is>
      </c>
      <c r="G630" t="n">
        <v>6.4</v>
      </c>
      <c r="H630" t="n">
        <v>0</v>
      </c>
      <c r="I630" t="n">
        <v>0</v>
      </c>
      <c r="J630" t="n">
        <v>0</v>
      </c>
      <c r="K630" t="n">
        <v>0</v>
      </c>
      <c r="L630" t="n">
        <v>0</v>
      </c>
      <c r="M630" t="n">
        <v>0</v>
      </c>
      <c r="N630" t="n">
        <v>0</v>
      </c>
      <c r="O630" t="n">
        <v>0</v>
      </c>
      <c r="P630" t="n">
        <v>0</v>
      </c>
      <c r="Q630" t="n">
        <v>0</v>
      </c>
      <c r="R630" s="2" t="inlineStr"/>
    </row>
    <row r="631" ht="15" customHeight="1">
      <c r="A631" t="inlineStr">
        <is>
          <t>A 51240-2025</t>
        </is>
      </c>
      <c r="B631" s="1" t="n">
        <v>45947.70420138889</v>
      </c>
      <c r="C631" s="1" t="n">
        <v>46103</v>
      </c>
      <c r="D631" t="inlineStr">
        <is>
          <t>STOCKHOLMS LÄN</t>
        </is>
      </c>
      <c r="E631" t="inlineStr">
        <is>
          <t>NORRTÄLJE</t>
        </is>
      </c>
      <c r="F631" t="inlineStr">
        <is>
          <t>Naturvårdsverket</t>
        </is>
      </c>
      <c r="G631" t="n">
        <v>3</v>
      </c>
      <c r="H631" t="n">
        <v>0</v>
      </c>
      <c r="I631" t="n">
        <v>0</v>
      </c>
      <c r="J631" t="n">
        <v>0</v>
      </c>
      <c r="K631" t="n">
        <v>0</v>
      </c>
      <c r="L631" t="n">
        <v>0</v>
      </c>
      <c r="M631" t="n">
        <v>0</v>
      </c>
      <c r="N631" t="n">
        <v>0</v>
      </c>
      <c r="O631" t="n">
        <v>0</v>
      </c>
      <c r="P631" t="n">
        <v>0</v>
      </c>
      <c r="Q631" t="n">
        <v>0</v>
      </c>
      <c r="R631" s="2" t="inlineStr"/>
    </row>
    <row r="632" ht="15" customHeight="1">
      <c r="A632" t="inlineStr">
        <is>
          <t>A 2549-2022</t>
        </is>
      </c>
      <c r="B632" s="1" t="n">
        <v>44580</v>
      </c>
      <c r="C632" s="1" t="n">
        <v>46103</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2088-2026</t>
        </is>
      </c>
      <c r="B633" s="1" t="n">
        <v>46036.35909722222</v>
      </c>
      <c r="C633" s="1" t="n">
        <v>46103</v>
      </c>
      <c r="D633" t="inlineStr">
        <is>
          <t>STOCKHOLMS LÄN</t>
        </is>
      </c>
      <c r="E633" t="inlineStr">
        <is>
          <t>NORRTÄLJE</t>
        </is>
      </c>
      <c r="G633" t="n">
        <v>7</v>
      </c>
      <c r="H633" t="n">
        <v>0</v>
      </c>
      <c r="I633" t="n">
        <v>0</v>
      </c>
      <c r="J633" t="n">
        <v>0</v>
      </c>
      <c r="K633" t="n">
        <v>0</v>
      </c>
      <c r="L633" t="n">
        <v>0</v>
      </c>
      <c r="M633" t="n">
        <v>0</v>
      </c>
      <c r="N633" t="n">
        <v>0</v>
      </c>
      <c r="O633" t="n">
        <v>0</v>
      </c>
      <c r="P633" t="n">
        <v>0</v>
      </c>
      <c r="Q633" t="n">
        <v>0</v>
      </c>
      <c r="R633" s="2" t="inlineStr"/>
    </row>
    <row r="634" ht="15" customHeight="1">
      <c r="A634" t="inlineStr">
        <is>
          <t>A 7582-2026</t>
        </is>
      </c>
      <c r="B634" s="1" t="n">
        <v>46061</v>
      </c>
      <c r="C634" s="1" t="n">
        <v>46103</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4438-2023</t>
        </is>
      </c>
      <c r="B635" s="1" t="n">
        <v>44956</v>
      </c>
      <c r="C635" s="1" t="n">
        <v>46103</v>
      </c>
      <c r="D635" t="inlineStr">
        <is>
          <t>STOCKHOLMS LÄN</t>
        </is>
      </c>
      <c r="E635" t="inlineStr">
        <is>
          <t>NORRTÄLJE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51121-2025</t>
        </is>
      </c>
      <c r="B636" s="1" t="n">
        <v>45947.53293981482</v>
      </c>
      <c r="C636" s="1" t="n">
        <v>46103</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47758-2023</t>
        </is>
      </c>
      <c r="B637" s="1" t="n">
        <v>45203.83891203703</v>
      </c>
      <c r="C637" s="1" t="n">
        <v>46103</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59477-2025</t>
        </is>
      </c>
      <c r="B638" s="1" t="n">
        <v>45989.58679398148</v>
      </c>
      <c r="C638" s="1" t="n">
        <v>46103</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51061-2023</t>
        </is>
      </c>
      <c r="B639" s="1" t="n">
        <v>45218.65849537037</v>
      </c>
      <c r="C639" s="1" t="n">
        <v>46103</v>
      </c>
      <c r="D639" t="inlineStr">
        <is>
          <t>STOCKHOLMS LÄN</t>
        </is>
      </c>
      <c r="E639" t="inlineStr">
        <is>
          <t>NORRTÄLJE</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51532-2025</t>
        </is>
      </c>
      <c r="B640" s="1" t="n">
        <v>45950.68297453703</v>
      </c>
      <c r="C640" s="1" t="n">
        <v>46103</v>
      </c>
      <c r="D640" t="inlineStr">
        <is>
          <t>STOCKHOLMS LÄN</t>
        </is>
      </c>
      <c r="E640" t="inlineStr">
        <is>
          <t>NORRTÄLJE</t>
        </is>
      </c>
      <c r="F640" t="inlineStr">
        <is>
          <t>Naturvårdsverket</t>
        </is>
      </c>
      <c r="G640" t="n">
        <v>17.3</v>
      </c>
      <c r="H640" t="n">
        <v>0</v>
      </c>
      <c r="I640" t="n">
        <v>0</v>
      </c>
      <c r="J640" t="n">
        <v>0</v>
      </c>
      <c r="K640" t="n">
        <v>0</v>
      </c>
      <c r="L640" t="n">
        <v>0</v>
      </c>
      <c r="M640" t="n">
        <v>0</v>
      </c>
      <c r="N640" t="n">
        <v>0</v>
      </c>
      <c r="O640" t="n">
        <v>0</v>
      </c>
      <c r="P640" t="n">
        <v>0</v>
      </c>
      <c r="Q640" t="n">
        <v>0</v>
      </c>
      <c r="R640" s="2" t="inlineStr"/>
    </row>
    <row r="641" ht="15" customHeight="1">
      <c r="A641" t="inlineStr">
        <is>
          <t>A 22697-2022</t>
        </is>
      </c>
      <c r="B641" s="1" t="n">
        <v>44714.56040509259</v>
      </c>
      <c r="C641" s="1" t="n">
        <v>46103</v>
      </c>
      <c r="D641" t="inlineStr">
        <is>
          <t>STOCKHOLMS LÄN</t>
        </is>
      </c>
      <c r="E641" t="inlineStr">
        <is>
          <t>NORRTÄLJE</t>
        </is>
      </c>
      <c r="G641" t="n">
        <v>5.6</v>
      </c>
      <c r="H641" t="n">
        <v>0</v>
      </c>
      <c r="I641" t="n">
        <v>0</v>
      </c>
      <c r="J641" t="n">
        <v>0</v>
      </c>
      <c r="K641" t="n">
        <v>0</v>
      </c>
      <c r="L641" t="n">
        <v>0</v>
      </c>
      <c r="M641" t="n">
        <v>0</v>
      </c>
      <c r="N641" t="n">
        <v>0</v>
      </c>
      <c r="O641" t="n">
        <v>0</v>
      </c>
      <c r="P641" t="n">
        <v>0</v>
      </c>
      <c r="Q641" t="n">
        <v>0</v>
      </c>
      <c r="R641" s="2" t="inlineStr"/>
    </row>
    <row r="642" ht="15" customHeight="1">
      <c r="A642" t="inlineStr">
        <is>
          <t>A 51789-2025</t>
        </is>
      </c>
      <c r="B642" s="1" t="n">
        <v>45951.68046296296</v>
      </c>
      <c r="C642" s="1" t="n">
        <v>46103</v>
      </c>
      <c r="D642" t="inlineStr">
        <is>
          <t>STOCKHOLMS LÄN</t>
        </is>
      </c>
      <c r="E642" t="inlineStr">
        <is>
          <t>NORRTÄLJE</t>
        </is>
      </c>
      <c r="F642" t="inlineStr">
        <is>
          <t>Naturvårdsverket</t>
        </is>
      </c>
      <c r="G642" t="n">
        <v>8.9</v>
      </c>
      <c r="H642" t="n">
        <v>0</v>
      </c>
      <c r="I642" t="n">
        <v>0</v>
      </c>
      <c r="J642" t="n">
        <v>0</v>
      </c>
      <c r="K642" t="n">
        <v>0</v>
      </c>
      <c r="L642" t="n">
        <v>0</v>
      </c>
      <c r="M642" t="n">
        <v>0</v>
      </c>
      <c r="N642" t="n">
        <v>0</v>
      </c>
      <c r="O642" t="n">
        <v>0</v>
      </c>
      <c r="P642" t="n">
        <v>0</v>
      </c>
      <c r="Q642" t="n">
        <v>0</v>
      </c>
      <c r="R642" s="2" t="inlineStr"/>
    </row>
    <row r="643" ht="15" customHeight="1">
      <c r="A643" t="inlineStr">
        <is>
          <t>A 45549-2022</t>
        </is>
      </c>
      <c r="B643" s="1" t="n">
        <v>44845.48064814815</v>
      </c>
      <c r="C643" s="1" t="n">
        <v>46103</v>
      </c>
      <c r="D643" t="inlineStr">
        <is>
          <t>STOCKHOLMS LÄN</t>
        </is>
      </c>
      <c r="E643" t="inlineStr">
        <is>
          <t>NORRTÄLJE</t>
        </is>
      </c>
      <c r="G643" t="n">
        <v>0.8</v>
      </c>
      <c r="H643" t="n">
        <v>0</v>
      </c>
      <c r="I643" t="n">
        <v>0</v>
      </c>
      <c r="J643" t="n">
        <v>0</v>
      </c>
      <c r="K643" t="n">
        <v>0</v>
      </c>
      <c r="L643" t="n">
        <v>0</v>
      </c>
      <c r="M643" t="n">
        <v>0</v>
      </c>
      <c r="N643" t="n">
        <v>0</v>
      </c>
      <c r="O643" t="n">
        <v>0</v>
      </c>
      <c r="P643" t="n">
        <v>0</v>
      </c>
      <c r="Q643" t="n">
        <v>0</v>
      </c>
      <c r="R643" s="2" t="inlineStr"/>
    </row>
    <row r="644" ht="15" customHeight="1">
      <c r="A644" t="inlineStr">
        <is>
          <t>A 54396-2021</t>
        </is>
      </c>
      <c r="B644" s="1" t="n">
        <v>44472</v>
      </c>
      <c r="C644" s="1" t="n">
        <v>46103</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2116-2026</t>
        </is>
      </c>
      <c r="B645" s="1" t="n">
        <v>46036.38108796296</v>
      </c>
      <c r="C645" s="1" t="n">
        <v>46103</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24727-2023</t>
        </is>
      </c>
      <c r="B646" s="1" t="n">
        <v>45084.57695601852</v>
      </c>
      <c r="C646" s="1" t="n">
        <v>46103</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48722-2023</t>
        </is>
      </c>
      <c r="B647" s="1" t="n">
        <v>45208.70996527778</v>
      </c>
      <c r="C647" s="1" t="n">
        <v>46103</v>
      </c>
      <c r="D647" t="inlineStr">
        <is>
          <t>STOCKHOLMS LÄN</t>
        </is>
      </c>
      <c r="E647" t="inlineStr">
        <is>
          <t>NORRTÄLJE</t>
        </is>
      </c>
      <c r="G647" t="n">
        <v>0.3</v>
      </c>
      <c r="H647" t="n">
        <v>0</v>
      </c>
      <c r="I647" t="n">
        <v>0</v>
      </c>
      <c r="J647" t="n">
        <v>0</v>
      </c>
      <c r="K647" t="n">
        <v>0</v>
      </c>
      <c r="L647" t="n">
        <v>0</v>
      </c>
      <c r="M647" t="n">
        <v>0</v>
      </c>
      <c r="N647" t="n">
        <v>0</v>
      </c>
      <c r="O647" t="n">
        <v>0</v>
      </c>
      <c r="P647" t="n">
        <v>0</v>
      </c>
      <c r="Q647" t="n">
        <v>0</v>
      </c>
      <c r="R647" s="2" t="inlineStr"/>
    </row>
    <row r="648" ht="15" customHeight="1">
      <c r="A648" t="inlineStr">
        <is>
          <t>A 10646-2026</t>
        </is>
      </c>
      <c r="B648" s="1" t="n">
        <v>46078.34157407407</v>
      </c>
      <c r="C648" s="1" t="n">
        <v>46103</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35235-2024</t>
        </is>
      </c>
      <c r="B649" s="1" t="n">
        <v>45530</v>
      </c>
      <c r="C649" s="1" t="n">
        <v>46103</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1448-2023</t>
        </is>
      </c>
      <c r="B650" s="1" t="n">
        <v>44937</v>
      </c>
      <c r="C650" s="1" t="n">
        <v>46103</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8736-2024</t>
        </is>
      </c>
      <c r="B651" s="1" t="n">
        <v>45356.4722800926</v>
      </c>
      <c r="C651" s="1" t="n">
        <v>46103</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51960-2025</t>
        </is>
      </c>
      <c r="B652" s="1" t="n">
        <v>45952.54755787037</v>
      </c>
      <c r="C652" s="1" t="n">
        <v>46103</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33149-2022</t>
        </is>
      </c>
      <c r="B653" s="1" t="n">
        <v>44785</v>
      </c>
      <c r="C653" s="1" t="n">
        <v>46103</v>
      </c>
      <c r="D653" t="inlineStr">
        <is>
          <t>STOCKHOLMS LÄN</t>
        </is>
      </c>
      <c r="E653" t="inlineStr">
        <is>
          <t>NORRTÄLJE</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51941-2025</t>
        </is>
      </c>
      <c r="B654" s="1" t="n">
        <v>45952.52261574074</v>
      </c>
      <c r="C654" s="1" t="n">
        <v>46103</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52061-2025</t>
        </is>
      </c>
      <c r="B655" s="1" t="n">
        <v>45952.63679398148</v>
      </c>
      <c r="C655" s="1" t="n">
        <v>46103</v>
      </c>
      <c r="D655" t="inlineStr">
        <is>
          <t>STOCKHOLMS LÄN</t>
        </is>
      </c>
      <c r="E655" t="inlineStr">
        <is>
          <t>NORRTÄLJE</t>
        </is>
      </c>
      <c r="G655" t="n">
        <v>9.5</v>
      </c>
      <c r="H655" t="n">
        <v>0</v>
      </c>
      <c r="I655" t="n">
        <v>0</v>
      </c>
      <c r="J655" t="n">
        <v>0</v>
      </c>
      <c r="K655" t="n">
        <v>0</v>
      </c>
      <c r="L655" t="n">
        <v>0</v>
      </c>
      <c r="M655" t="n">
        <v>0</v>
      </c>
      <c r="N655" t="n">
        <v>0</v>
      </c>
      <c r="O655" t="n">
        <v>0</v>
      </c>
      <c r="P655" t="n">
        <v>0</v>
      </c>
      <c r="Q655" t="n">
        <v>0</v>
      </c>
      <c r="R655" s="2" t="inlineStr"/>
    </row>
    <row r="656" ht="15" customHeight="1">
      <c r="A656" t="inlineStr">
        <is>
          <t>A 51945-2025</t>
        </is>
      </c>
      <c r="B656" s="1" t="n">
        <v>45952.52679398148</v>
      </c>
      <c r="C656" s="1" t="n">
        <v>46103</v>
      </c>
      <c r="D656" t="inlineStr">
        <is>
          <t>STOCKHOLMS LÄN</t>
        </is>
      </c>
      <c r="E656" t="inlineStr">
        <is>
          <t>NORRTÄLJE</t>
        </is>
      </c>
      <c r="G656" t="n">
        <v>7</v>
      </c>
      <c r="H656" t="n">
        <v>0</v>
      </c>
      <c r="I656" t="n">
        <v>0</v>
      </c>
      <c r="J656" t="n">
        <v>0</v>
      </c>
      <c r="K656" t="n">
        <v>0</v>
      </c>
      <c r="L656" t="n">
        <v>0</v>
      </c>
      <c r="M656" t="n">
        <v>0</v>
      </c>
      <c r="N656" t="n">
        <v>0</v>
      </c>
      <c r="O656" t="n">
        <v>0</v>
      </c>
      <c r="P656" t="n">
        <v>0</v>
      </c>
      <c r="Q656" t="n">
        <v>0</v>
      </c>
      <c r="R656" s="2" t="inlineStr"/>
    </row>
    <row r="657" ht="15" customHeight="1">
      <c r="A657" t="inlineStr">
        <is>
          <t>A 52251-2025</t>
        </is>
      </c>
      <c r="B657" s="1" t="n">
        <v>45953.49185185185</v>
      </c>
      <c r="C657" s="1" t="n">
        <v>46103</v>
      </c>
      <c r="D657" t="inlineStr">
        <is>
          <t>STOCKHOLMS LÄN</t>
        </is>
      </c>
      <c r="E657" t="inlineStr">
        <is>
          <t>NORRTÄLJE</t>
        </is>
      </c>
      <c r="G657" t="n">
        <v>6.2</v>
      </c>
      <c r="H657" t="n">
        <v>0</v>
      </c>
      <c r="I657" t="n">
        <v>0</v>
      </c>
      <c r="J657" t="n">
        <v>0</v>
      </c>
      <c r="K657" t="n">
        <v>0</v>
      </c>
      <c r="L657" t="n">
        <v>0</v>
      </c>
      <c r="M657" t="n">
        <v>0</v>
      </c>
      <c r="N657" t="n">
        <v>0</v>
      </c>
      <c r="O657" t="n">
        <v>0</v>
      </c>
      <c r="P657" t="n">
        <v>0</v>
      </c>
      <c r="Q657" t="n">
        <v>0</v>
      </c>
      <c r="R657" s="2" t="inlineStr"/>
    </row>
    <row r="658" ht="15" customHeight="1">
      <c r="A658" t="inlineStr">
        <is>
          <t>A 52254-2025</t>
        </is>
      </c>
      <c r="B658" s="1" t="n">
        <v>45953.49519675926</v>
      </c>
      <c r="C658" s="1" t="n">
        <v>46103</v>
      </c>
      <c r="D658" t="inlineStr">
        <is>
          <t>STOCKHOLMS LÄN</t>
        </is>
      </c>
      <c r="E658" t="inlineStr">
        <is>
          <t>NORRTÄLJE</t>
        </is>
      </c>
      <c r="G658" t="n">
        <v>2.2</v>
      </c>
      <c r="H658" t="n">
        <v>0</v>
      </c>
      <c r="I658" t="n">
        <v>0</v>
      </c>
      <c r="J658" t="n">
        <v>0</v>
      </c>
      <c r="K658" t="n">
        <v>0</v>
      </c>
      <c r="L658" t="n">
        <v>0</v>
      </c>
      <c r="M658" t="n">
        <v>0</v>
      </c>
      <c r="N658" t="n">
        <v>0</v>
      </c>
      <c r="O658" t="n">
        <v>0</v>
      </c>
      <c r="P658" t="n">
        <v>0</v>
      </c>
      <c r="Q658" t="n">
        <v>0</v>
      </c>
      <c r="R658" s="2" t="inlineStr"/>
    </row>
    <row r="659" ht="15" customHeight="1">
      <c r="A659" t="inlineStr">
        <is>
          <t>A 52773-2025</t>
        </is>
      </c>
      <c r="B659" s="1" t="n">
        <v>45957.41457175926</v>
      </c>
      <c r="C659" s="1" t="n">
        <v>46103</v>
      </c>
      <c r="D659" t="inlineStr">
        <is>
          <t>STOCKHOLMS LÄN</t>
        </is>
      </c>
      <c r="E659" t="inlineStr">
        <is>
          <t>NORRTÄLJE</t>
        </is>
      </c>
      <c r="F659" t="inlineStr">
        <is>
          <t>Sveaskog</t>
        </is>
      </c>
      <c r="G659" t="n">
        <v>10.5</v>
      </c>
      <c r="H659" t="n">
        <v>0</v>
      </c>
      <c r="I659" t="n">
        <v>0</v>
      </c>
      <c r="J659" t="n">
        <v>0</v>
      </c>
      <c r="K659" t="n">
        <v>0</v>
      </c>
      <c r="L659" t="n">
        <v>0</v>
      </c>
      <c r="M659" t="n">
        <v>0</v>
      </c>
      <c r="N659" t="n">
        <v>0</v>
      </c>
      <c r="O659" t="n">
        <v>0</v>
      </c>
      <c r="P659" t="n">
        <v>0</v>
      </c>
      <c r="Q659" t="n">
        <v>0</v>
      </c>
      <c r="R659" s="2" t="inlineStr"/>
    </row>
    <row r="660" ht="15" customHeight="1">
      <c r="A660" t="inlineStr">
        <is>
          <t>A 52777-2025</t>
        </is>
      </c>
      <c r="B660" s="1" t="n">
        <v>45957.41832175926</v>
      </c>
      <c r="C660" s="1" t="n">
        <v>46103</v>
      </c>
      <c r="D660" t="inlineStr">
        <is>
          <t>STOCKHOLMS LÄN</t>
        </is>
      </c>
      <c r="E660" t="inlineStr">
        <is>
          <t>NORRTÄLJE</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52526-2025</t>
        </is>
      </c>
      <c r="B661" s="1" t="n">
        <v>45954.53061342592</v>
      </c>
      <c r="C661" s="1" t="n">
        <v>46103</v>
      </c>
      <c r="D661" t="inlineStr">
        <is>
          <t>STOCKHOLMS LÄN</t>
        </is>
      </c>
      <c r="E661" t="inlineStr">
        <is>
          <t>NORRTÄLJE</t>
        </is>
      </c>
      <c r="F661" t="inlineStr">
        <is>
          <t>Sveaskog</t>
        </is>
      </c>
      <c r="G661" t="n">
        <v>2.9</v>
      </c>
      <c r="H661" t="n">
        <v>0</v>
      </c>
      <c r="I661" t="n">
        <v>0</v>
      </c>
      <c r="J661" t="n">
        <v>0</v>
      </c>
      <c r="K661" t="n">
        <v>0</v>
      </c>
      <c r="L661" t="n">
        <v>0</v>
      </c>
      <c r="M661" t="n">
        <v>0</v>
      </c>
      <c r="N661" t="n">
        <v>0</v>
      </c>
      <c r="O661" t="n">
        <v>0</v>
      </c>
      <c r="P661" t="n">
        <v>0</v>
      </c>
      <c r="Q661" t="n">
        <v>0</v>
      </c>
      <c r="R661" s="2" t="inlineStr"/>
    </row>
    <row r="662" ht="15" customHeight="1">
      <c r="A662" t="inlineStr">
        <is>
          <t>A 53000-2025</t>
        </is>
      </c>
      <c r="B662" s="1" t="n">
        <v>45957.74357638889</v>
      </c>
      <c r="C662" s="1" t="n">
        <v>46103</v>
      </c>
      <c r="D662" t="inlineStr">
        <is>
          <t>STOCKHOLMS LÄN</t>
        </is>
      </c>
      <c r="E662" t="inlineStr">
        <is>
          <t>NORRTÄLJE</t>
        </is>
      </c>
      <c r="G662" t="n">
        <v>2.1</v>
      </c>
      <c r="H662" t="n">
        <v>0</v>
      </c>
      <c r="I662" t="n">
        <v>0</v>
      </c>
      <c r="J662" t="n">
        <v>0</v>
      </c>
      <c r="K662" t="n">
        <v>0</v>
      </c>
      <c r="L662" t="n">
        <v>0</v>
      </c>
      <c r="M662" t="n">
        <v>0</v>
      </c>
      <c r="N662" t="n">
        <v>0</v>
      </c>
      <c r="O662" t="n">
        <v>0</v>
      </c>
      <c r="P662" t="n">
        <v>0</v>
      </c>
      <c r="Q662" t="n">
        <v>0</v>
      </c>
      <c r="R662" s="2" t="inlineStr"/>
    </row>
    <row r="663" ht="15" customHeight="1">
      <c r="A663" t="inlineStr">
        <is>
          <t>A 52703-2025</t>
        </is>
      </c>
      <c r="B663" s="1" t="n">
        <v>45956.88643518519</v>
      </c>
      <c r="C663" s="1" t="n">
        <v>46103</v>
      </c>
      <c r="D663" t="inlineStr">
        <is>
          <t>STOCKHOLMS LÄN</t>
        </is>
      </c>
      <c r="E663" t="inlineStr">
        <is>
          <t>NORRTÄLJE</t>
        </is>
      </c>
      <c r="G663" t="n">
        <v>4.7</v>
      </c>
      <c r="H663" t="n">
        <v>0</v>
      </c>
      <c r="I663" t="n">
        <v>0</v>
      </c>
      <c r="J663" t="n">
        <v>0</v>
      </c>
      <c r="K663" t="n">
        <v>0</v>
      </c>
      <c r="L663" t="n">
        <v>0</v>
      </c>
      <c r="M663" t="n">
        <v>0</v>
      </c>
      <c r="N663" t="n">
        <v>0</v>
      </c>
      <c r="O663" t="n">
        <v>0</v>
      </c>
      <c r="P663" t="n">
        <v>0</v>
      </c>
      <c r="Q663" t="n">
        <v>0</v>
      </c>
      <c r="R663" s="2" t="inlineStr"/>
    </row>
    <row r="664" ht="15" customHeight="1">
      <c r="A664" t="inlineStr">
        <is>
          <t>A 52729-2025</t>
        </is>
      </c>
      <c r="B664" s="1" t="n">
        <v>45957.3636574074</v>
      </c>
      <c r="C664" s="1" t="n">
        <v>46103</v>
      </c>
      <c r="D664" t="inlineStr">
        <is>
          <t>STOCKHOLMS LÄN</t>
        </is>
      </c>
      <c r="E664" t="inlineStr">
        <is>
          <t>NORRTÄLJE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52734-2025</t>
        </is>
      </c>
      <c r="B665" s="1" t="n">
        <v>45957.3710300926</v>
      </c>
      <c r="C665" s="1" t="n">
        <v>46103</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6537-2024</t>
        </is>
      </c>
      <c r="B666" s="1" t="n">
        <v>45341.39853009259</v>
      </c>
      <c r="C666" s="1" t="n">
        <v>46103</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52776-2025</t>
        </is>
      </c>
      <c r="B667" s="1" t="n">
        <v>45957.41724537037</v>
      </c>
      <c r="C667" s="1" t="n">
        <v>46103</v>
      </c>
      <c r="D667" t="inlineStr">
        <is>
          <t>STOCKHOLMS LÄN</t>
        </is>
      </c>
      <c r="E667" t="inlineStr">
        <is>
          <t>NORRTÄLJE</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40175-2024</t>
        </is>
      </c>
      <c r="B668" s="1" t="n">
        <v>45554.55707175926</v>
      </c>
      <c r="C668" s="1" t="n">
        <v>46103</v>
      </c>
      <c r="D668" t="inlineStr">
        <is>
          <t>STOCKHOLMS LÄN</t>
        </is>
      </c>
      <c r="E668" t="inlineStr">
        <is>
          <t>NORRTÄLJE</t>
        </is>
      </c>
      <c r="G668" t="n">
        <v>7.7</v>
      </c>
      <c r="H668" t="n">
        <v>0</v>
      </c>
      <c r="I668" t="n">
        <v>0</v>
      </c>
      <c r="J668" t="n">
        <v>0</v>
      </c>
      <c r="K668" t="n">
        <v>0</v>
      </c>
      <c r="L668" t="n">
        <v>0</v>
      </c>
      <c r="M668" t="n">
        <v>0</v>
      </c>
      <c r="N668" t="n">
        <v>0</v>
      </c>
      <c r="O668" t="n">
        <v>0</v>
      </c>
      <c r="P668" t="n">
        <v>0</v>
      </c>
      <c r="Q668" t="n">
        <v>0</v>
      </c>
      <c r="R668" s="2" t="inlineStr"/>
    </row>
    <row r="669" ht="15" customHeight="1">
      <c r="A669" t="inlineStr">
        <is>
          <t>A 54558-2024</t>
        </is>
      </c>
      <c r="B669" s="1" t="n">
        <v>45617.62358796296</v>
      </c>
      <c r="C669" s="1" t="n">
        <v>46103</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52529-2025</t>
        </is>
      </c>
      <c r="B670" s="1" t="n">
        <v>45954.53229166667</v>
      </c>
      <c r="C670" s="1" t="n">
        <v>46103</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52704-2025</t>
        </is>
      </c>
      <c r="B671" s="1" t="n">
        <v>45956.89097222222</v>
      </c>
      <c r="C671" s="1" t="n">
        <v>46103</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52553-2025</t>
        </is>
      </c>
      <c r="B672" s="1" t="n">
        <v>45954.5624537037</v>
      </c>
      <c r="C672" s="1" t="n">
        <v>46103</v>
      </c>
      <c r="D672" t="inlineStr">
        <is>
          <t>STOCKHOLMS LÄN</t>
        </is>
      </c>
      <c r="E672" t="inlineStr">
        <is>
          <t>NORRTÄLJE</t>
        </is>
      </c>
      <c r="G672" t="n">
        <v>4.4</v>
      </c>
      <c r="H672" t="n">
        <v>0</v>
      </c>
      <c r="I672" t="n">
        <v>0</v>
      </c>
      <c r="J672" t="n">
        <v>0</v>
      </c>
      <c r="K672" t="n">
        <v>0</v>
      </c>
      <c r="L672" t="n">
        <v>0</v>
      </c>
      <c r="M672" t="n">
        <v>0</v>
      </c>
      <c r="N672" t="n">
        <v>0</v>
      </c>
      <c r="O672" t="n">
        <v>0</v>
      </c>
      <c r="P672" t="n">
        <v>0</v>
      </c>
      <c r="Q672" t="n">
        <v>0</v>
      </c>
      <c r="R672" s="2" t="inlineStr"/>
    </row>
    <row r="673" ht="15" customHeight="1">
      <c r="A673" t="inlineStr">
        <is>
          <t>A 3549-2026</t>
        </is>
      </c>
      <c r="B673" s="1" t="n">
        <v>46042</v>
      </c>
      <c r="C673" s="1" t="n">
        <v>46103</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23056-2023</t>
        </is>
      </c>
      <c r="B674" s="1" t="n">
        <v>45075</v>
      </c>
      <c r="C674" s="1" t="n">
        <v>46103</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47431-2023</t>
        </is>
      </c>
      <c r="B675" s="1" t="n">
        <v>45202</v>
      </c>
      <c r="C675" s="1" t="n">
        <v>46103</v>
      </c>
      <c r="D675" t="inlineStr">
        <is>
          <t>STOCKHOLMS LÄN</t>
        </is>
      </c>
      <c r="E675" t="inlineStr">
        <is>
          <t>NORRTÄLJE</t>
        </is>
      </c>
      <c r="F675" t="inlineStr">
        <is>
          <t>Naturvårdsverket</t>
        </is>
      </c>
      <c r="G675" t="n">
        <v>1.2</v>
      </c>
      <c r="H675" t="n">
        <v>0</v>
      </c>
      <c r="I675" t="n">
        <v>0</v>
      </c>
      <c r="J675" t="n">
        <v>0</v>
      </c>
      <c r="K675" t="n">
        <v>0</v>
      </c>
      <c r="L675" t="n">
        <v>0</v>
      </c>
      <c r="M675" t="n">
        <v>0</v>
      </c>
      <c r="N675" t="n">
        <v>0</v>
      </c>
      <c r="O675" t="n">
        <v>0</v>
      </c>
      <c r="P675" t="n">
        <v>0</v>
      </c>
      <c r="Q675" t="n">
        <v>0</v>
      </c>
      <c r="R675" s="2" t="inlineStr"/>
    </row>
    <row r="676" ht="15" customHeight="1">
      <c r="A676" t="inlineStr">
        <is>
          <t>A 59499-2023</t>
        </is>
      </c>
      <c r="B676" s="1" t="n">
        <v>45254</v>
      </c>
      <c r="C676" s="1" t="n">
        <v>46103</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59468-2023</t>
        </is>
      </c>
      <c r="B677" s="1" t="n">
        <v>45254.41509259259</v>
      </c>
      <c r="C677" s="1" t="n">
        <v>46103</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12532-2025</t>
        </is>
      </c>
      <c r="B678" s="1" t="n">
        <v>45730.69143518519</v>
      </c>
      <c r="C678" s="1" t="n">
        <v>46103</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5732-2023</t>
        </is>
      </c>
      <c r="B679" s="1" t="n">
        <v>44962</v>
      </c>
      <c r="C679" s="1" t="n">
        <v>46103</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10653-2022</t>
        </is>
      </c>
      <c r="B680" s="1" t="n">
        <v>44624.59434027778</v>
      </c>
      <c r="C680" s="1" t="n">
        <v>46103</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21729-2024</t>
        </is>
      </c>
      <c r="B681" s="1" t="n">
        <v>45442</v>
      </c>
      <c r="C681" s="1" t="n">
        <v>46103</v>
      </c>
      <c r="D681" t="inlineStr">
        <is>
          <t>STOCKHOLMS LÄN</t>
        </is>
      </c>
      <c r="E681" t="inlineStr">
        <is>
          <t>NORRTÄLJE</t>
        </is>
      </c>
      <c r="G681" t="n">
        <v>2.2</v>
      </c>
      <c r="H681" t="n">
        <v>0</v>
      </c>
      <c r="I681" t="n">
        <v>0</v>
      </c>
      <c r="J681" t="n">
        <v>0</v>
      </c>
      <c r="K681" t="n">
        <v>0</v>
      </c>
      <c r="L681" t="n">
        <v>0</v>
      </c>
      <c r="M681" t="n">
        <v>0</v>
      </c>
      <c r="N681" t="n">
        <v>0</v>
      </c>
      <c r="O681" t="n">
        <v>0</v>
      </c>
      <c r="P681" t="n">
        <v>0</v>
      </c>
      <c r="Q681" t="n">
        <v>0</v>
      </c>
      <c r="R681" s="2" t="inlineStr"/>
    </row>
    <row r="682" ht="15" customHeight="1">
      <c r="A682" t="inlineStr">
        <is>
          <t>A 53299-2025</t>
        </is>
      </c>
      <c r="B682" s="1" t="n">
        <v>45959.31901620371</v>
      </c>
      <c r="C682" s="1" t="n">
        <v>46103</v>
      </c>
      <c r="D682" t="inlineStr">
        <is>
          <t>STOCKHOLMS LÄN</t>
        </is>
      </c>
      <c r="E682" t="inlineStr">
        <is>
          <t>NORRTÄLJE</t>
        </is>
      </c>
      <c r="G682" t="n">
        <v>4.8</v>
      </c>
      <c r="H682" t="n">
        <v>0</v>
      </c>
      <c r="I682" t="n">
        <v>0</v>
      </c>
      <c r="J682" t="n">
        <v>0</v>
      </c>
      <c r="K682" t="n">
        <v>0</v>
      </c>
      <c r="L682" t="n">
        <v>0</v>
      </c>
      <c r="M682" t="n">
        <v>0</v>
      </c>
      <c r="N682" t="n">
        <v>0</v>
      </c>
      <c r="O682" t="n">
        <v>0</v>
      </c>
      <c r="P682" t="n">
        <v>0</v>
      </c>
      <c r="Q682" t="n">
        <v>0</v>
      </c>
      <c r="R682" s="2" t="inlineStr"/>
    </row>
    <row r="683" ht="15" customHeight="1">
      <c r="A683" t="inlineStr">
        <is>
          <t>A 53087-2025</t>
        </is>
      </c>
      <c r="B683" s="1" t="n">
        <v>45958.41065972222</v>
      </c>
      <c r="C683" s="1" t="n">
        <v>46103</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53115-2025</t>
        </is>
      </c>
      <c r="B684" s="1" t="n">
        <v>45958.44614583333</v>
      </c>
      <c r="C684" s="1" t="n">
        <v>46103</v>
      </c>
      <c r="D684" t="inlineStr">
        <is>
          <t>STOCKHOLMS LÄN</t>
        </is>
      </c>
      <c r="E684" t="inlineStr">
        <is>
          <t>NORRTÄLJE</t>
        </is>
      </c>
      <c r="F684" t="inlineStr">
        <is>
          <t>Kyrkan</t>
        </is>
      </c>
      <c r="G684" t="n">
        <v>2.5</v>
      </c>
      <c r="H684" t="n">
        <v>0</v>
      </c>
      <c r="I684" t="n">
        <v>0</v>
      </c>
      <c r="J684" t="n">
        <v>0</v>
      </c>
      <c r="K684" t="n">
        <v>0</v>
      </c>
      <c r="L684" t="n">
        <v>0</v>
      </c>
      <c r="M684" t="n">
        <v>0</v>
      </c>
      <c r="N684" t="n">
        <v>0</v>
      </c>
      <c r="O684" t="n">
        <v>0</v>
      </c>
      <c r="P684" t="n">
        <v>0</v>
      </c>
      <c r="Q684" t="n">
        <v>0</v>
      </c>
      <c r="R684" s="2" t="inlineStr"/>
    </row>
    <row r="685" ht="15" customHeight="1">
      <c r="A685" t="inlineStr">
        <is>
          <t>A 53629-2025</t>
        </is>
      </c>
      <c r="B685" s="1" t="n">
        <v>45960.49570601852</v>
      </c>
      <c r="C685" s="1" t="n">
        <v>46103</v>
      </c>
      <c r="D685" t="inlineStr">
        <is>
          <t>STOCKHOLMS LÄN</t>
        </is>
      </c>
      <c r="E685" t="inlineStr">
        <is>
          <t>NORRTÄLJE</t>
        </is>
      </c>
      <c r="F685" t="inlineStr">
        <is>
          <t>Naturvårdsverket</t>
        </is>
      </c>
      <c r="G685" t="n">
        <v>7.9</v>
      </c>
      <c r="H685" t="n">
        <v>0</v>
      </c>
      <c r="I685" t="n">
        <v>0</v>
      </c>
      <c r="J685" t="n">
        <v>0</v>
      </c>
      <c r="K685" t="n">
        <v>0</v>
      </c>
      <c r="L685" t="n">
        <v>0</v>
      </c>
      <c r="M685" t="n">
        <v>0</v>
      </c>
      <c r="N685" t="n">
        <v>0</v>
      </c>
      <c r="O685" t="n">
        <v>0</v>
      </c>
      <c r="P685" t="n">
        <v>0</v>
      </c>
      <c r="Q685" t="n">
        <v>0</v>
      </c>
      <c r="R685" s="2" t="inlineStr"/>
    </row>
    <row r="686" ht="15" customHeight="1">
      <c r="A686" t="inlineStr">
        <is>
          <t>A 11854-2025</t>
        </is>
      </c>
      <c r="B686" s="1" t="n">
        <v>45728.38924768518</v>
      </c>
      <c r="C686" s="1" t="n">
        <v>46103</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11648-2026</t>
        </is>
      </c>
      <c r="B687" s="1" t="n">
        <v>46084.51575231482</v>
      </c>
      <c r="C687" s="1" t="n">
        <v>46103</v>
      </c>
      <c r="D687" t="inlineStr">
        <is>
          <t>STOCKHOLMS LÄN</t>
        </is>
      </c>
      <c r="E687" t="inlineStr">
        <is>
          <t>NORRTÄLJE</t>
        </is>
      </c>
      <c r="G687" t="n">
        <v>4.1</v>
      </c>
      <c r="H687" t="n">
        <v>0</v>
      </c>
      <c r="I687" t="n">
        <v>0</v>
      </c>
      <c r="J687" t="n">
        <v>0</v>
      </c>
      <c r="K687" t="n">
        <v>0</v>
      </c>
      <c r="L687" t="n">
        <v>0</v>
      </c>
      <c r="M687" t="n">
        <v>0</v>
      </c>
      <c r="N687" t="n">
        <v>0</v>
      </c>
      <c r="O687" t="n">
        <v>0</v>
      </c>
      <c r="P687" t="n">
        <v>0</v>
      </c>
      <c r="Q687" t="n">
        <v>0</v>
      </c>
      <c r="R687" s="2" t="inlineStr"/>
    </row>
    <row r="688" ht="15" customHeight="1">
      <c r="A688" t="inlineStr">
        <is>
          <t>A 14762-2024</t>
        </is>
      </c>
      <c r="B688" s="1" t="n">
        <v>45397</v>
      </c>
      <c r="C688" s="1" t="n">
        <v>46103</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53747-2025</t>
        </is>
      </c>
      <c r="B689" s="1" t="n">
        <v>45960.65415509259</v>
      </c>
      <c r="C689" s="1" t="n">
        <v>46103</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4227-2026</t>
        </is>
      </c>
      <c r="B690" s="1" t="n">
        <v>46044</v>
      </c>
      <c r="C690" s="1" t="n">
        <v>46103</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59712-2024</t>
        </is>
      </c>
      <c r="B691" s="1" t="n">
        <v>45639.45166666667</v>
      </c>
      <c r="C691" s="1" t="n">
        <v>46103</v>
      </c>
      <c r="D691" t="inlineStr">
        <is>
          <t>STOCKHOLMS LÄN</t>
        </is>
      </c>
      <c r="E691" t="inlineStr">
        <is>
          <t>NORRTÄLJE</t>
        </is>
      </c>
      <c r="G691" t="n">
        <v>4.4</v>
      </c>
      <c r="H691" t="n">
        <v>0</v>
      </c>
      <c r="I691" t="n">
        <v>0</v>
      </c>
      <c r="J691" t="n">
        <v>0</v>
      </c>
      <c r="K691" t="n">
        <v>0</v>
      </c>
      <c r="L691" t="n">
        <v>0</v>
      </c>
      <c r="M691" t="n">
        <v>0</v>
      </c>
      <c r="N691" t="n">
        <v>0</v>
      </c>
      <c r="O691" t="n">
        <v>0</v>
      </c>
      <c r="P691" t="n">
        <v>0</v>
      </c>
      <c r="Q691" t="n">
        <v>0</v>
      </c>
      <c r="R691" s="2" t="inlineStr"/>
    </row>
    <row r="692" ht="15" customHeight="1">
      <c r="A692" t="inlineStr">
        <is>
          <t>A 12234-2026</t>
        </is>
      </c>
      <c r="B692" s="1" t="n">
        <v>46087.4091087963</v>
      </c>
      <c r="C692" s="1" t="n">
        <v>46103</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35127-2023</t>
        </is>
      </c>
      <c r="B693" s="1" t="n">
        <v>45145.51</v>
      </c>
      <c r="C693" s="1" t="n">
        <v>46103</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45255-2022</t>
        </is>
      </c>
      <c r="B694" s="1" t="n">
        <v>44840</v>
      </c>
      <c r="C694" s="1" t="n">
        <v>46103</v>
      </c>
      <c r="D694" t="inlineStr">
        <is>
          <t>STOCKHOLMS LÄN</t>
        </is>
      </c>
      <c r="E694" t="inlineStr">
        <is>
          <t>NORRTÄLJE</t>
        </is>
      </c>
      <c r="G694" t="n">
        <v>4.1</v>
      </c>
      <c r="H694" t="n">
        <v>0</v>
      </c>
      <c r="I694" t="n">
        <v>0</v>
      </c>
      <c r="J694" t="n">
        <v>0</v>
      </c>
      <c r="K694" t="n">
        <v>0</v>
      </c>
      <c r="L694" t="n">
        <v>0</v>
      </c>
      <c r="M694" t="n">
        <v>0</v>
      </c>
      <c r="N694" t="n">
        <v>0</v>
      </c>
      <c r="O694" t="n">
        <v>0</v>
      </c>
      <c r="P694" t="n">
        <v>0</v>
      </c>
      <c r="Q694" t="n">
        <v>0</v>
      </c>
      <c r="R694" s="2" t="inlineStr"/>
    </row>
    <row r="695" ht="15" customHeight="1">
      <c r="A695" t="inlineStr">
        <is>
          <t>A 53561-2023</t>
        </is>
      </c>
      <c r="B695" s="1" t="n">
        <v>45224</v>
      </c>
      <c r="C695" s="1" t="n">
        <v>46103</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4230-2026</t>
        </is>
      </c>
      <c r="B696" s="1" t="n">
        <v>46044.89366898148</v>
      </c>
      <c r="C696" s="1" t="n">
        <v>46103</v>
      </c>
      <c r="D696" t="inlineStr">
        <is>
          <t>STOCKHOLMS LÄN</t>
        </is>
      </c>
      <c r="E696" t="inlineStr">
        <is>
          <t>NORRTÄLJE</t>
        </is>
      </c>
      <c r="G696" t="n">
        <v>10.8</v>
      </c>
      <c r="H696" t="n">
        <v>0</v>
      </c>
      <c r="I696" t="n">
        <v>0</v>
      </c>
      <c r="J696" t="n">
        <v>0</v>
      </c>
      <c r="K696" t="n">
        <v>0</v>
      </c>
      <c r="L696" t="n">
        <v>0</v>
      </c>
      <c r="M696" t="n">
        <v>0</v>
      </c>
      <c r="N696" t="n">
        <v>0</v>
      </c>
      <c r="O696" t="n">
        <v>0</v>
      </c>
      <c r="P696" t="n">
        <v>0</v>
      </c>
      <c r="Q696" t="n">
        <v>0</v>
      </c>
      <c r="R696" s="2" t="inlineStr"/>
    </row>
    <row r="697" ht="15" customHeight="1">
      <c r="A697" t="inlineStr">
        <is>
          <t>A 4231-2026</t>
        </is>
      </c>
      <c r="B697" s="1" t="n">
        <v>46044</v>
      </c>
      <c r="C697" s="1" t="n">
        <v>46103</v>
      </c>
      <c r="D697" t="inlineStr">
        <is>
          <t>STOCKHOLMS LÄN</t>
        </is>
      </c>
      <c r="E697" t="inlineStr">
        <is>
          <t>NORRTÄLJE</t>
        </is>
      </c>
      <c r="G697" t="n">
        <v>2.9</v>
      </c>
      <c r="H697" t="n">
        <v>0</v>
      </c>
      <c r="I697" t="n">
        <v>0</v>
      </c>
      <c r="J697" t="n">
        <v>0</v>
      </c>
      <c r="K697" t="n">
        <v>0</v>
      </c>
      <c r="L697" t="n">
        <v>0</v>
      </c>
      <c r="M697" t="n">
        <v>0</v>
      </c>
      <c r="N697" t="n">
        <v>0</v>
      </c>
      <c r="O697" t="n">
        <v>0</v>
      </c>
      <c r="P697" t="n">
        <v>0</v>
      </c>
      <c r="Q697" t="n">
        <v>0</v>
      </c>
      <c r="R697" s="2" t="inlineStr"/>
    </row>
    <row r="698" ht="15" customHeight="1">
      <c r="A698" t="inlineStr">
        <is>
          <t>A 4232-2026</t>
        </is>
      </c>
      <c r="B698" s="1" t="n">
        <v>46044.89594907407</v>
      </c>
      <c r="C698" s="1" t="n">
        <v>46103</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59893-2022</t>
        </is>
      </c>
      <c r="B699" s="1" t="n">
        <v>44908.77368055555</v>
      </c>
      <c r="C699" s="1" t="n">
        <v>46103</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3933-2026</t>
        </is>
      </c>
      <c r="B700" s="1" t="n">
        <v>46043.79916666666</v>
      </c>
      <c r="C700" s="1" t="n">
        <v>46103</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39905-2023</t>
        </is>
      </c>
      <c r="B701" s="1" t="n">
        <v>45168.44489583333</v>
      </c>
      <c r="C701" s="1" t="n">
        <v>46103</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5645-2023</t>
        </is>
      </c>
      <c r="B702" s="1" t="n">
        <v>44960.60469907407</v>
      </c>
      <c r="C702" s="1" t="n">
        <v>46103</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68361-2021</t>
        </is>
      </c>
      <c r="B703" s="1" t="n">
        <v>44528.91494212963</v>
      </c>
      <c r="C703" s="1" t="n">
        <v>46103</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60529-2023</t>
        </is>
      </c>
      <c r="B704" s="1" t="n">
        <v>45259</v>
      </c>
      <c r="C704" s="1" t="n">
        <v>46103</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4235-2026</t>
        </is>
      </c>
      <c r="B705" s="1" t="n">
        <v>46044</v>
      </c>
      <c r="C705" s="1" t="n">
        <v>46103</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54907-2025</t>
        </is>
      </c>
      <c r="B706" s="1" t="n">
        <v>45967.37137731481</v>
      </c>
      <c r="C706" s="1" t="n">
        <v>46103</v>
      </c>
      <c r="D706" t="inlineStr">
        <is>
          <t>STOCKHOLMS LÄN</t>
        </is>
      </c>
      <c r="E706" t="inlineStr">
        <is>
          <t>NORRTÄLJE</t>
        </is>
      </c>
      <c r="G706" t="n">
        <v>2.3</v>
      </c>
      <c r="H706" t="n">
        <v>0</v>
      </c>
      <c r="I706" t="n">
        <v>0</v>
      </c>
      <c r="J706" t="n">
        <v>0</v>
      </c>
      <c r="K706" t="n">
        <v>0</v>
      </c>
      <c r="L706" t="n">
        <v>0</v>
      </c>
      <c r="M706" t="n">
        <v>0</v>
      </c>
      <c r="N706" t="n">
        <v>0</v>
      </c>
      <c r="O706" t="n">
        <v>0</v>
      </c>
      <c r="P706" t="n">
        <v>0</v>
      </c>
      <c r="Q706" t="n">
        <v>0</v>
      </c>
      <c r="R706" s="2" t="inlineStr"/>
    </row>
    <row r="707" ht="15" customHeight="1">
      <c r="A707" t="inlineStr">
        <is>
          <t>A 12718-2026</t>
        </is>
      </c>
      <c r="B707" s="1" t="n">
        <v>46091.60412037037</v>
      </c>
      <c r="C707" s="1" t="n">
        <v>46103</v>
      </c>
      <c r="D707" t="inlineStr">
        <is>
          <t>STOCKHOLMS LÄN</t>
        </is>
      </c>
      <c r="E707" t="inlineStr">
        <is>
          <t>NORRTÄLJE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12703-2026</t>
        </is>
      </c>
      <c r="B708" s="1" t="n">
        <v>46091.58175925926</v>
      </c>
      <c r="C708" s="1" t="n">
        <v>46103</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19706-2023</t>
        </is>
      </c>
      <c r="B709" s="1" t="n">
        <v>45051.455</v>
      </c>
      <c r="C709" s="1" t="n">
        <v>46103</v>
      </c>
      <c r="D709" t="inlineStr">
        <is>
          <t>STOCKHOLMS LÄN</t>
        </is>
      </c>
      <c r="E709" t="inlineStr">
        <is>
          <t>NORRTÄLJE</t>
        </is>
      </c>
      <c r="G709" t="n">
        <v>0.2</v>
      </c>
      <c r="H709" t="n">
        <v>0</v>
      </c>
      <c r="I709" t="n">
        <v>0</v>
      </c>
      <c r="J709" t="n">
        <v>0</v>
      </c>
      <c r="K709" t="n">
        <v>0</v>
      </c>
      <c r="L709" t="n">
        <v>0</v>
      </c>
      <c r="M709" t="n">
        <v>0</v>
      </c>
      <c r="N709" t="n">
        <v>0</v>
      </c>
      <c r="O709" t="n">
        <v>0</v>
      </c>
      <c r="P709" t="n">
        <v>0</v>
      </c>
      <c r="Q709" t="n">
        <v>0</v>
      </c>
      <c r="R709" s="2" t="inlineStr"/>
    </row>
    <row r="710" ht="15" customHeight="1">
      <c r="A710" t="inlineStr">
        <is>
          <t>A 18539-2021</t>
        </is>
      </c>
      <c r="B710" s="1" t="n">
        <v>44306</v>
      </c>
      <c r="C710" s="1" t="n">
        <v>46103</v>
      </c>
      <c r="D710" t="inlineStr">
        <is>
          <t>STOCKHOLMS LÄN</t>
        </is>
      </c>
      <c r="E710" t="inlineStr">
        <is>
          <t>NORRTÄLJE</t>
        </is>
      </c>
      <c r="F710" t="inlineStr">
        <is>
          <t>Holmen skog AB</t>
        </is>
      </c>
      <c r="G710" t="n">
        <v>5.5</v>
      </c>
      <c r="H710" t="n">
        <v>0</v>
      </c>
      <c r="I710" t="n">
        <v>0</v>
      </c>
      <c r="J710" t="n">
        <v>0</v>
      </c>
      <c r="K710" t="n">
        <v>0</v>
      </c>
      <c r="L710" t="n">
        <v>0</v>
      </c>
      <c r="M710" t="n">
        <v>0</v>
      </c>
      <c r="N710" t="n">
        <v>0</v>
      </c>
      <c r="O710" t="n">
        <v>0</v>
      </c>
      <c r="P710" t="n">
        <v>0</v>
      </c>
      <c r="Q710" t="n">
        <v>0</v>
      </c>
      <c r="R710" s="2" t="inlineStr"/>
    </row>
    <row r="711" ht="15" customHeight="1">
      <c r="A711" t="inlineStr">
        <is>
          <t>A 55503-2025</t>
        </is>
      </c>
      <c r="B711" s="1" t="n">
        <v>45971</v>
      </c>
      <c r="C711" s="1" t="n">
        <v>46103</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17612-2022</t>
        </is>
      </c>
      <c r="B712" s="1" t="n">
        <v>44680</v>
      </c>
      <c r="C712" s="1" t="n">
        <v>46103</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4549-2026</t>
        </is>
      </c>
      <c r="B713" s="1" t="n">
        <v>46047</v>
      </c>
      <c r="C713" s="1" t="n">
        <v>46103</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16835-2022</t>
        </is>
      </c>
      <c r="B714" s="1" t="n">
        <v>44673</v>
      </c>
      <c r="C714" s="1" t="n">
        <v>46103</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62765-2022</t>
        </is>
      </c>
      <c r="B715" s="1" t="n">
        <v>44637</v>
      </c>
      <c r="C715" s="1" t="n">
        <v>46103</v>
      </c>
      <c r="D715" t="inlineStr">
        <is>
          <t>STOCKHOLMS LÄN</t>
        </is>
      </c>
      <c r="E715" t="inlineStr">
        <is>
          <t>NORRTÄLJE</t>
        </is>
      </c>
      <c r="G715" t="n">
        <v>2.7</v>
      </c>
      <c r="H715" t="n">
        <v>0</v>
      </c>
      <c r="I715" t="n">
        <v>0</v>
      </c>
      <c r="J715" t="n">
        <v>0</v>
      </c>
      <c r="K715" t="n">
        <v>0</v>
      </c>
      <c r="L715" t="n">
        <v>0</v>
      </c>
      <c r="M715" t="n">
        <v>0</v>
      </c>
      <c r="N715" t="n">
        <v>0</v>
      </c>
      <c r="O715" t="n">
        <v>0</v>
      </c>
      <c r="P715" t="n">
        <v>0</v>
      </c>
      <c r="Q715" t="n">
        <v>0</v>
      </c>
      <c r="R715" s="2" t="inlineStr"/>
    </row>
    <row r="716" ht="15" customHeight="1">
      <c r="A716" t="inlineStr">
        <is>
          <t>A 58404-2023</t>
        </is>
      </c>
      <c r="B716" s="1" t="n">
        <v>45245</v>
      </c>
      <c r="C716" s="1" t="n">
        <v>46103</v>
      </c>
      <c r="D716" t="inlineStr">
        <is>
          <t>STOCKHOLMS LÄN</t>
        </is>
      </c>
      <c r="E716" t="inlineStr">
        <is>
          <t>NORRTÄLJE</t>
        </is>
      </c>
      <c r="G716" t="n">
        <v>53.5</v>
      </c>
      <c r="H716" t="n">
        <v>0</v>
      </c>
      <c r="I716" t="n">
        <v>0</v>
      </c>
      <c r="J716" t="n">
        <v>0</v>
      </c>
      <c r="K716" t="n">
        <v>0</v>
      </c>
      <c r="L716" t="n">
        <v>0</v>
      </c>
      <c r="M716" t="n">
        <v>0</v>
      </c>
      <c r="N716" t="n">
        <v>0</v>
      </c>
      <c r="O716" t="n">
        <v>0</v>
      </c>
      <c r="P716" t="n">
        <v>0</v>
      </c>
      <c r="Q716" t="n">
        <v>0</v>
      </c>
      <c r="R716" s="2" t="inlineStr"/>
    </row>
    <row r="717" ht="15" customHeight="1">
      <c r="A717" t="inlineStr">
        <is>
          <t>A 8586-2023</t>
        </is>
      </c>
      <c r="B717" s="1" t="n">
        <v>44977</v>
      </c>
      <c r="C717" s="1" t="n">
        <v>46103</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16202-2022</t>
        </is>
      </c>
      <c r="B718" s="1" t="n">
        <v>44670</v>
      </c>
      <c r="C718" s="1" t="n">
        <v>46103</v>
      </c>
      <c r="D718" t="inlineStr">
        <is>
          <t>STOCKHOLMS LÄN</t>
        </is>
      </c>
      <c r="E718" t="inlineStr">
        <is>
          <t>NORRTÄLJE</t>
        </is>
      </c>
      <c r="G718" t="n">
        <v>1.5</v>
      </c>
      <c r="H718" t="n">
        <v>0</v>
      </c>
      <c r="I718" t="n">
        <v>0</v>
      </c>
      <c r="J718" t="n">
        <v>0</v>
      </c>
      <c r="K718" t="n">
        <v>0</v>
      </c>
      <c r="L718" t="n">
        <v>0</v>
      </c>
      <c r="M718" t="n">
        <v>0</v>
      </c>
      <c r="N718" t="n">
        <v>0</v>
      </c>
      <c r="O718" t="n">
        <v>0</v>
      </c>
      <c r="P718" t="n">
        <v>0</v>
      </c>
      <c r="Q718" t="n">
        <v>0</v>
      </c>
      <c r="R718" s="2" t="inlineStr"/>
    </row>
    <row r="719" ht="15" customHeight="1">
      <c r="A719" t="inlineStr">
        <is>
          <t>A 55018-2024</t>
        </is>
      </c>
      <c r="B719" s="1" t="n">
        <v>45621.35712962963</v>
      </c>
      <c r="C719" s="1" t="n">
        <v>46103</v>
      </c>
      <c r="D719" t="inlineStr">
        <is>
          <t>STOCKHOLMS LÄN</t>
        </is>
      </c>
      <c r="E719" t="inlineStr">
        <is>
          <t>NORRTÄLJE</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50136-2023</t>
        </is>
      </c>
      <c r="B720" s="1" t="n">
        <v>45215</v>
      </c>
      <c r="C720" s="1" t="n">
        <v>46103</v>
      </c>
      <c r="D720" t="inlineStr">
        <is>
          <t>STOCKHOLMS LÄN</t>
        </is>
      </c>
      <c r="E720" t="inlineStr">
        <is>
          <t>NORRTÄLJE</t>
        </is>
      </c>
      <c r="G720" t="n">
        <v>5.2</v>
      </c>
      <c r="H720" t="n">
        <v>0</v>
      </c>
      <c r="I720" t="n">
        <v>0</v>
      </c>
      <c r="J720" t="n">
        <v>0</v>
      </c>
      <c r="K720" t="n">
        <v>0</v>
      </c>
      <c r="L720" t="n">
        <v>0</v>
      </c>
      <c r="M720" t="n">
        <v>0</v>
      </c>
      <c r="N720" t="n">
        <v>0</v>
      </c>
      <c r="O720" t="n">
        <v>0</v>
      </c>
      <c r="P720" t="n">
        <v>0</v>
      </c>
      <c r="Q720" t="n">
        <v>0</v>
      </c>
      <c r="R720" s="2" t="inlineStr"/>
    </row>
    <row r="721" ht="15" customHeight="1">
      <c r="A721" t="inlineStr">
        <is>
          <t>A 25656-2023</t>
        </is>
      </c>
      <c r="B721" s="1" t="n">
        <v>45089</v>
      </c>
      <c r="C721" s="1" t="n">
        <v>46103</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6003-2025</t>
        </is>
      </c>
      <c r="B722" s="1" t="n">
        <v>45695.57881944445</v>
      </c>
      <c r="C722" s="1" t="n">
        <v>46103</v>
      </c>
      <c r="D722" t="inlineStr">
        <is>
          <t>STOCKHOLMS LÄN</t>
        </is>
      </c>
      <c r="E722" t="inlineStr">
        <is>
          <t>NORRTÄLJE</t>
        </is>
      </c>
      <c r="F722" t="inlineStr">
        <is>
          <t>Holmen skog AB</t>
        </is>
      </c>
      <c r="G722" t="n">
        <v>2.3</v>
      </c>
      <c r="H722" t="n">
        <v>0</v>
      </c>
      <c r="I722" t="n">
        <v>0</v>
      </c>
      <c r="J722" t="n">
        <v>0</v>
      </c>
      <c r="K722" t="n">
        <v>0</v>
      </c>
      <c r="L722" t="n">
        <v>0</v>
      </c>
      <c r="M722" t="n">
        <v>0</v>
      </c>
      <c r="N722" t="n">
        <v>0</v>
      </c>
      <c r="O722" t="n">
        <v>0</v>
      </c>
      <c r="P722" t="n">
        <v>0</v>
      </c>
      <c r="Q722" t="n">
        <v>0</v>
      </c>
      <c r="R722" s="2" t="inlineStr"/>
    </row>
    <row r="723" ht="15" customHeight="1">
      <c r="A723" t="inlineStr">
        <is>
          <t>A 4886-2026</t>
        </is>
      </c>
      <c r="B723" s="1" t="n">
        <v>46048.66328703704</v>
      </c>
      <c r="C723" s="1" t="n">
        <v>46103</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11902-2024</t>
        </is>
      </c>
      <c r="B724" s="1" t="n">
        <v>45376.55704861111</v>
      </c>
      <c r="C724" s="1" t="n">
        <v>46103</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38049-2023</t>
        </is>
      </c>
      <c r="B725" s="1" t="n">
        <v>45159</v>
      </c>
      <c r="C725" s="1" t="n">
        <v>46103</v>
      </c>
      <c r="D725" t="inlineStr">
        <is>
          <t>STOCKHOLMS LÄN</t>
        </is>
      </c>
      <c r="E725" t="inlineStr">
        <is>
          <t>NORRTÄLJE</t>
        </is>
      </c>
      <c r="G725" t="n">
        <v>3.6</v>
      </c>
      <c r="H725" t="n">
        <v>0</v>
      </c>
      <c r="I725" t="n">
        <v>0</v>
      </c>
      <c r="J725" t="n">
        <v>0</v>
      </c>
      <c r="K725" t="n">
        <v>0</v>
      </c>
      <c r="L725" t="n">
        <v>0</v>
      </c>
      <c r="M725" t="n">
        <v>0</v>
      </c>
      <c r="N725" t="n">
        <v>0</v>
      </c>
      <c r="O725" t="n">
        <v>0</v>
      </c>
      <c r="P725" t="n">
        <v>0</v>
      </c>
      <c r="Q725" t="n">
        <v>0</v>
      </c>
      <c r="R725" s="2" t="inlineStr"/>
    </row>
    <row r="726" ht="15" customHeight="1">
      <c r="A726" t="inlineStr">
        <is>
          <t>A 59535-2024</t>
        </is>
      </c>
      <c r="B726" s="1" t="n">
        <v>45638.59979166667</v>
      </c>
      <c r="C726" s="1" t="n">
        <v>46103</v>
      </c>
      <c r="D726" t="inlineStr">
        <is>
          <t>STOCKHOLMS LÄN</t>
        </is>
      </c>
      <c r="E726" t="inlineStr">
        <is>
          <t>NORRTÄLJE</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13109-2026</t>
        </is>
      </c>
      <c r="B727" s="1" t="n">
        <v>46093.42730324074</v>
      </c>
      <c r="C727" s="1" t="n">
        <v>46103</v>
      </c>
      <c r="D727" t="inlineStr">
        <is>
          <t>STOCKHOLMS LÄN</t>
        </is>
      </c>
      <c r="E727" t="inlineStr">
        <is>
          <t>NORRTÄLJE</t>
        </is>
      </c>
      <c r="G727" t="n">
        <v>4</v>
      </c>
      <c r="H727" t="n">
        <v>0</v>
      </c>
      <c r="I727" t="n">
        <v>0</v>
      </c>
      <c r="J727" t="n">
        <v>0</v>
      </c>
      <c r="K727" t="n">
        <v>0</v>
      </c>
      <c r="L727" t="n">
        <v>0</v>
      </c>
      <c r="M727" t="n">
        <v>0</v>
      </c>
      <c r="N727" t="n">
        <v>0</v>
      </c>
      <c r="O727" t="n">
        <v>0</v>
      </c>
      <c r="P727" t="n">
        <v>0</v>
      </c>
      <c r="Q727" t="n">
        <v>0</v>
      </c>
      <c r="R727" s="2" t="inlineStr"/>
    </row>
    <row r="728" ht="15" customHeight="1">
      <c r="A728" t="inlineStr">
        <is>
          <t>A 13204-2026</t>
        </is>
      </c>
      <c r="B728" s="1" t="n">
        <v>46093.60788194444</v>
      </c>
      <c r="C728" s="1" t="n">
        <v>46103</v>
      </c>
      <c r="D728" t="inlineStr">
        <is>
          <t>STOCKHOLMS LÄN</t>
        </is>
      </c>
      <c r="E728" t="inlineStr">
        <is>
          <t>NORRTÄLJE</t>
        </is>
      </c>
      <c r="G728" t="n">
        <v>3.5</v>
      </c>
      <c r="H728" t="n">
        <v>0</v>
      </c>
      <c r="I728" t="n">
        <v>0</v>
      </c>
      <c r="J728" t="n">
        <v>0</v>
      </c>
      <c r="K728" t="n">
        <v>0</v>
      </c>
      <c r="L728" t="n">
        <v>0</v>
      </c>
      <c r="M728" t="n">
        <v>0</v>
      </c>
      <c r="N728" t="n">
        <v>0</v>
      </c>
      <c r="O728" t="n">
        <v>0</v>
      </c>
      <c r="P728" t="n">
        <v>0</v>
      </c>
      <c r="Q728" t="n">
        <v>0</v>
      </c>
      <c r="R728" s="2" t="inlineStr"/>
    </row>
    <row r="729" ht="15" customHeight="1">
      <c r="A729" t="inlineStr">
        <is>
          <t>A 4183-2025</t>
        </is>
      </c>
      <c r="B729" s="1" t="n">
        <v>45685.44592592592</v>
      </c>
      <c r="C729" s="1" t="n">
        <v>46103</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5226-2026</t>
        </is>
      </c>
      <c r="B730" s="1" t="n">
        <v>46049.79961805556</v>
      </c>
      <c r="C730" s="1" t="n">
        <v>46103</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9480-2025</t>
        </is>
      </c>
      <c r="B731" s="1" t="n">
        <v>45715</v>
      </c>
      <c r="C731" s="1" t="n">
        <v>46103</v>
      </c>
      <c r="D731" t="inlineStr">
        <is>
          <t>STOCKHOLMS LÄN</t>
        </is>
      </c>
      <c r="E731" t="inlineStr">
        <is>
          <t>NORRTÄLJE</t>
        </is>
      </c>
      <c r="F731" t="inlineStr">
        <is>
          <t>Övriga Aktiebolag</t>
        </is>
      </c>
      <c r="G731" t="n">
        <v>3.9</v>
      </c>
      <c r="H731" t="n">
        <v>0</v>
      </c>
      <c r="I731" t="n">
        <v>0</v>
      </c>
      <c r="J731" t="n">
        <v>0</v>
      </c>
      <c r="K731" t="n">
        <v>0</v>
      </c>
      <c r="L731" t="n">
        <v>0</v>
      </c>
      <c r="M731" t="n">
        <v>0</v>
      </c>
      <c r="N731" t="n">
        <v>0</v>
      </c>
      <c r="O731" t="n">
        <v>0</v>
      </c>
      <c r="P731" t="n">
        <v>0</v>
      </c>
      <c r="Q731" t="n">
        <v>0</v>
      </c>
      <c r="R731" s="2" t="inlineStr"/>
    </row>
    <row r="732" ht="15" customHeight="1">
      <c r="A732" t="inlineStr">
        <is>
          <t>A 13122-2026</t>
        </is>
      </c>
      <c r="B732" s="1" t="n">
        <v>46093.45657407407</v>
      </c>
      <c r="C732" s="1" t="n">
        <v>46103</v>
      </c>
      <c r="D732" t="inlineStr">
        <is>
          <t>STOCKHOLMS LÄN</t>
        </is>
      </c>
      <c r="E732" t="inlineStr">
        <is>
          <t>NORRTÄLJE</t>
        </is>
      </c>
      <c r="G732" t="n">
        <v>4</v>
      </c>
      <c r="H732" t="n">
        <v>0</v>
      </c>
      <c r="I732" t="n">
        <v>0</v>
      </c>
      <c r="J732" t="n">
        <v>0</v>
      </c>
      <c r="K732" t="n">
        <v>0</v>
      </c>
      <c r="L732" t="n">
        <v>0</v>
      </c>
      <c r="M732" t="n">
        <v>0</v>
      </c>
      <c r="N732" t="n">
        <v>0</v>
      </c>
      <c r="O732" t="n">
        <v>0</v>
      </c>
      <c r="P732" t="n">
        <v>0</v>
      </c>
      <c r="Q732" t="n">
        <v>0</v>
      </c>
      <c r="R732" s="2" t="inlineStr"/>
    </row>
    <row r="733" ht="15" customHeight="1">
      <c r="A733" t="inlineStr">
        <is>
          <t>A 5224-2026</t>
        </is>
      </c>
      <c r="B733" s="1" t="n">
        <v>46049.79521990741</v>
      </c>
      <c r="C733" s="1" t="n">
        <v>46103</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5227-2026</t>
        </is>
      </c>
      <c r="B734" s="1" t="n">
        <v>46049.80460648148</v>
      </c>
      <c r="C734" s="1" t="n">
        <v>46103</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26051-2025</t>
        </is>
      </c>
      <c r="B735" s="1" t="n">
        <v>45804.74479166666</v>
      </c>
      <c r="C735" s="1" t="n">
        <v>46103</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5241-2026</t>
        </is>
      </c>
      <c r="B736" s="1" t="n">
        <v>46049.86471064815</v>
      </c>
      <c r="C736" s="1" t="n">
        <v>46103</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24522-2023</t>
        </is>
      </c>
      <c r="B737" s="1" t="n">
        <v>45082.69179398148</v>
      </c>
      <c r="C737" s="1" t="n">
        <v>46103</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25625-2023</t>
        </is>
      </c>
      <c r="B738" s="1" t="n">
        <v>45089</v>
      </c>
      <c r="C738" s="1" t="n">
        <v>46103</v>
      </c>
      <c r="D738" t="inlineStr">
        <is>
          <t>STOCKHOLMS LÄN</t>
        </is>
      </c>
      <c r="E738" t="inlineStr">
        <is>
          <t>NORRTÄLJE</t>
        </is>
      </c>
      <c r="G738" t="n">
        <v>5.5</v>
      </c>
      <c r="H738" t="n">
        <v>0</v>
      </c>
      <c r="I738" t="n">
        <v>0</v>
      </c>
      <c r="J738" t="n">
        <v>0</v>
      </c>
      <c r="K738" t="n">
        <v>0</v>
      </c>
      <c r="L738" t="n">
        <v>0</v>
      </c>
      <c r="M738" t="n">
        <v>0</v>
      </c>
      <c r="N738" t="n">
        <v>0</v>
      </c>
      <c r="O738" t="n">
        <v>0</v>
      </c>
      <c r="P738" t="n">
        <v>0</v>
      </c>
      <c r="Q738" t="n">
        <v>0</v>
      </c>
      <c r="R738" s="2" t="inlineStr"/>
    </row>
    <row r="739" ht="15" customHeight="1">
      <c r="A739" t="inlineStr">
        <is>
          <t>A 37147-2023</t>
        </is>
      </c>
      <c r="B739" s="1" t="n">
        <v>45155</v>
      </c>
      <c r="C739" s="1" t="n">
        <v>46103</v>
      </c>
      <c r="D739" t="inlineStr">
        <is>
          <t>STOCKHOLMS LÄN</t>
        </is>
      </c>
      <c r="E739" t="inlineStr">
        <is>
          <t>NORRTÄLJE</t>
        </is>
      </c>
      <c r="G739" t="n">
        <v>8</v>
      </c>
      <c r="H739" t="n">
        <v>0</v>
      </c>
      <c r="I739" t="n">
        <v>0</v>
      </c>
      <c r="J739" t="n">
        <v>0</v>
      </c>
      <c r="K739" t="n">
        <v>0</v>
      </c>
      <c r="L739" t="n">
        <v>0</v>
      </c>
      <c r="M739" t="n">
        <v>0</v>
      </c>
      <c r="N739" t="n">
        <v>0</v>
      </c>
      <c r="O739" t="n">
        <v>0</v>
      </c>
      <c r="P739" t="n">
        <v>0</v>
      </c>
      <c r="Q739" t="n">
        <v>0</v>
      </c>
      <c r="R739" s="2" t="inlineStr"/>
    </row>
    <row r="740" ht="15" customHeight="1">
      <c r="A740" t="inlineStr">
        <is>
          <t>A 7186-2024</t>
        </is>
      </c>
      <c r="B740" s="1" t="n">
        <v>45344</v>
      </c>
      <c r="C740" s="1" t="n">
        <v>46103</v>
      </c>
      <c r="D740" t="inlineStr">
        <is>
          <t>STOCKHOLMS LÄN</t>
        </is>
      </c>
      <c r="E740" t="inlineStr">
        <is>
          <t>NORRTÄLJE</t>
        </is>
      </c>
      <c r="G740" t="n">
        <v>4.9</v>
      </c>
      <c r="H740" t="n">
        <v>0</v>
      </c>
      <c r="I740" t="n">
        <v>0</v>
      </c>
      <c r="J740" t="n">
        <v>0</v>
      </c>
      <c r="K740" t="n">
        <v>0</v>
      </c>
      <c r="L740" t="n">
        <v>0</v>
      </c>
      <c r="M740" t="n">
        <v>0</v>
      </c>
      <c r="N740" t="n">
        <v>0</v>
      </c>
      <c r="O740" t="n">
        <v>0</v>
      </c>
      <c r="P740" t="n">
        <v>0</v>
      </c>
      <c r="Q740" t="n">
        <v>0</v>
      </c>
      <c r="R740" s="2" t="inlineStr"/>
    </row>
    <row r="741" ht="15" customHeight="1">
      <c r="A741" t="inlineStr">
        <is>
          <t>A 13544-2026</t>
        </is>
      </c>
      <c r="B741" s="1" t="n">
        <v>46094.68538194444</v>
      </c>
      <c r="C741" s="1" t="n">
        <v>46103</v>
      </c>
      <c r="D741" t="inlineStr">
        <is>
          <t>STOCKHOLMS LÄN</t>
        </is>
      </c>
      <c r="E741" t="inlineStr">
        <is>
          <t>NORRTÄLJE</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57602-2024</t>
        </is>
      </c>
      <c r="B742" s="1" t="n">
        <v>45630.52866898148</v>
      </c>
      <c r="C742" s="1" t="n">
        <v>46103</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39610-2025</t>
        </is>
      </c>
      <c r="B743" s="1" t="n">
        <v>45890</v>
      </c>
      <c r="C743" s="1" t="n">
        <v>46103</v>
      </c>
      <c r="D743" t="inlineStr">
        <is>
          <t>STOCKHOLMS LÄN</t>
        </is>
      </c>
      <c r="E743" t="inlineStr">
        <is>
          <t>NORRTÄLJE</t>
        </is>
      </c>
      <c r="G743" t="n">
        <v>28.6</v>
      </c>
      <c r="H743" t="n">
        <v>0</v>
      </c>
      <c r="I743" t="n">
        <v>0</v>
      </c>
      <c r="J743" t="n">
        <v>0</v>
      </c>
      <c r="K743" t="n">
        <v>0</v>
      </c>
      <c r="L743" t="n">
        <v>0</v>
      </c>
      <c r="M743" t="n">
        <v>0</v>
      </c>
      <c r="N743" t="n">
        <v>0</v>
      </c>
      <c r="O743" t="n">
        <v>0</v>
      </c>
      <c r="P743" t="n">
        <v>0</v>
      </c>
      <c r="Q743" t="n">
        <v>0</v>
      </c>
      <c r="R743" s="2" t="inlineStr"/>
    </row>
    <row r="744" ht="15" customHeight="1">
      <c r="A744" t="inlineStr">
        <is>
          <t>A 64600-2021</t>
        </is>
      </c>
      <c r="B744" s="1" t="n">
        <v>44511.70518518519</v>
      </c>
      <c r="C744" s="1" t="n">
        <v>46103</v>
      </c>
      <c r="D744" t="inlineStr">
        <is>
          <t>STOCKHOLMS LÄN</t>
        </is>
      </c>
      <c r="E744" t="inlineStr">
        <is>
          <t>NORRTÄLJE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50602-2021</t>
        </is>
      </c>
      <c r="B745" s="1" t="n">
        <v>44459</v>
      </c>
      <c r="C745" s="1" t="n">
        <v>46103</v>
      </c>
      <c r="D745" t="inlineStr">
        <is>
          <t>STOCKHOLMS LÄN</t>
        </is>
      </c>
      <c r="E745" t="inlineStr">
        <is>
          <t>NORRTÄLJE</t>
        </is>
      </c>
      <c r="F745" t="inlineStr">
        <is>
          <t>Holmen skog AB</t>
        </is>
      </c>
      <c r="G745" t="n">
        <v>2</v>
      </c>
      <c r="H745" t="n">
        <v>0</v>
      </c>
      <c r="I745" t="n">
        <v>0</v>
      </c>
      <c r="J745" t="n">
        <v>0</v>
      </c>
      <c r="K745" t="n">
        <v>0</v>
      </c>
      <c r="L745" t="n">
        <v>0</v>
      </c>
      <c r="M745" t="n">
        <v>0</v>
      </c>
      <c r="N745" t="n">
        <v>0</v>
      </c>
      <c r="O745" t="n">
        <v>0</v>
      </c>
      <c r="P745" t="n">
        <v>0</v>
      </c>
      <c r="Q745" t="n">
        <v>0</v>
      </c>
      <c r="R745" s="2" t="inlineStr"/>
    </row>
    <row r="746" ht="15" customHeight="1">
      <c r="A746" t="inlineStr">
        <is>
          <t>A 26365-2024</t>
        </is>
      </c>
      <c r="B746" s="1" t="n">
        <v>45469</v>
      </c>
      <c r="C746" s="1" t="n">
        <v>46103</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13545-2026</t>
        </is>
      </c>
      <c r="B747" s="1" t="n">
        <v>46094.6911574074</v>
      </c>
      <c r="C747" s="1" t="n">
        <v>46103</v>
      </c>
      <c r="D747" t="inlineStr">
        <is>
          <t>STOCKHOLMS LÄN</t>
        </is>
      </c>
      <c r="E747" t="inlineStr">
        <is>
          <t>NORRTÄLJE</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5934-2026</t>
        </is>
      </c>
      <c r="B748" s="1" t="n">
        <v>46052.47082175926</v>
      </c>
      <c r="C748" s="1" t="n">
        <v>46103</v>
      </c>
      <c r="D748" t="inlineStr">
        <is>
          <t>STOCKHOLMS LÄN</t>
        </is>
      </c>
      <c r="E748" t="inlineStr">
        <is>
          <t>NORRTÄLJE</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13546-2026</t>
        </is>
      </c>
      <c r="B749" s="1" t="n">
        <v>46094.69196759259</v>
      </c>
      <c r="C749" s="1" t="n">
        <v>46103</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26640-2023</t>
        </is>
      </c>
      <c r="B750" s="1" t="n">
        <v>45092</v>
      </c>
      <c r="C750" s="1" t="n">
        <v>46103</v>
      </c>
      <c r="D750" t="inlineStr">
        <is>
          <t>STOCKHOLMS LÄN</t>
        </is>
      </c>
      <c r="E750" t="inlineStr">
        <is>
          <t>NORRTÄLJE</t>
        </is>
      </c>
      <c r="G750" t="n">
        <v>5.7</v>
      </c>
      <c r="H750" t="n">
        <v>0</v>
      </c>
      <c r="I750" t="n">
        <v>0</v>
      </c>
      <c r="J750" t="n">
        <v>0</v>
      </c>
      <c r="K750" t="n">
        <v>0</v>
      </c>
      <c r="L750" t="n">
        <v>0</v>
      </c>
      <c r="M750" t="n">
        <v>0</v>
      </c>
      <c r="N750" t="n">
        <v>0</v>
      </c>
      <c r="O750" t="n">
        <v>0</v>
      </c>
      <c r="P750" t="n">
        <v>0</v>
      </c>
      <c r="Q750" t="n">
        <v>0</v>
      </c>
      <c r="R750" s="2" t="inlineStr"/>
    </row>
    <row r="751" ht="15" customHeight="1">
      <c r="A751" t="inlineStr">
        <is>
          <t>A 31827-2023</t>
        </is>
      </c>
      <c r="B751" s="1" t="n">
        <v>45118</v>
      </c>
      <c r="C751" s="1" t="n">
        <v>46103</v>
      </c>
      <c r="D751" t="inlineStr">
        <is>
          <t>STOCKHOLMS LÄN</t>
        </is>
      </c>
      <c r="E751" t="inlineStr">
        <is>
          <t>NORRTÄLJE</t>
        </is>
      </c>
      <c r="F751" t="inlineStr">
        <is>
          <t>Kyrkan</t>
        </is>
      </c>
      <c r="G751" t="n">
        <v>4.9</v>
      </c>
      <c r="H751" t="n">
        <v>0</v>
      </c>
      <c r="I751" t="n">
        <v>0</v>
      </c>
      <c r="J751" t="n">
        <v>0</v>
      </c>
      <c r="K751" t="n">
        <v>0</v>
      </c>
      <c r="L751" t="n">
        <v>0</v>
      </c>
      <c r="M751" t="n">
        <v>0</v>
      </c>
      <c r="N751" t="n">
        <v>0</v>
      </c>
      <c r="O751" t="n">
        <v>0</v>
      </c>
      <c r="P751" t="n">
        <v>0</v>
      </c>
      <c r="Q751" t="n">
        <v>0</v>
      </c>
      <c r="R751" s="2" t="inlineStr"/>
    </row>
    <row r="752" ht="15" customHeight="1">
      <c r="A752" t="inlineStr">
        <is>
          <t>A 58993-2022</t>
        </is>
      </c>
      <c r="B752" s="1" t="n">
        <v>44903</v>
      </c>
      <c r="C752" s="1" t="n">
        <v>46103</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28900-2022</t>
        </is>
      </c>
      <c r="B753" s="1" t="n">
        <v>44749.55258101852</v>
      </c>
      <c r="C753" s="1" t="n">
        <v>46103</v>
      </c>
      <c r="D753" t="inlineStr">
        <is>
          <t>STOCKHOLMS LÄN</t>
        </is>
      </c>
      <c r="E753" t="inlineStr">
        <is>
          <t>NORRTÄLJE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17574-2025</t>
        </is>
      </c>
      <c r="B754" s="1" t="n">
        <v>45757.65178240741</v>
      </c>
      <c r="C754" s="1" t="n">
        <v>46103</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58297-2023</t>
        </is>
      </c>
      <c r="B755" s="1" t="n">
        <v>45245</v>
      </c>
      <c r="C755" s="1" t="n">
        <v>46103</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20304-2023</t>
        </is>
      </c>
      <c r="B756" s="1" t="n">
        <v>45056</v>
      </c>
      <c r="C756" s="1" t="n">
        <v>46103</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26708-2025</t>
        </is>
      </c>
      <c r="B757" s="1" t="n">
        <v>45810.45633101852</v>
      </c>
      <c r="C757" s="1" t="n">
        <v>46103</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12299-2025</t>
        </is>
      </c>
      <c r="B758" s="1" t="n">
        <v>45729.71065972222</v>
      </c>
      <c r="C758" s="1" t="n">
        <v>46103</v>
      </c>
      <c r="D758" t="inlineStr">
        <is>
          <t>STOCKHOLMS LÄN</t>
        </is>
      </c>
      <c r="E758" t="inlineStr">
        <is>
          <t>NORRTÄLJE</t>
        </is>
      </c>
      <c r="F758" t="inlineStr">
        <is>
          <t>Holmen skog AB</t>
        </is>
      </c>
      <c r="G758" t="n">
        <v>6.9</v>
      </c>
      <c r="H758" t="n">
        <v>0</v>
      </c>
      <c r="I758" t="n">
        <v>0</v>
      </c>
      <c r="J758" t="n">
        <v>0</v>
      </c>
      <c r="K758" t="n">
        <v>0</v>
      </c>
      <c r="L758" t="n">
        <v>0</v>
      </c>
      <c r="M758" t="n">
        <v>0</v>
      </c>
      <c r="N758" t="n">
        <v>0</v>
      </c>
      <c r="O758" t="n">
        <v>0</v>
      </c>
      <c r="P758" t="n">
        <v>0</v>
      </c>
      <c r="Q758" t="n">
        <v>0</v>
      </c>
      <c r="R758" s="2" t="inlineStr"/>
    </row>
    <row r="759" ht="15" customHeight="1">
      <c r="A759" t="inlineStr">
        <is>
          <t>A 22157-2023</t>
        </is>
      </c>
      <c r="B759" s="1" t="n">
        <v>45069</v>
      </c>
      <c r="C759" s="1" t="n">
        <v>46103</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c r="U759">
        <f>HYPERLINK("https://klasma.github.io/Logging_0188/knärot/A 22157-2023 karta knärot.png", "A 22157-2023")</f>
        <v/>
      </c>
      <c r="V759">
        <f>HYPERLINK("https://klasma.github.io/Logging_0188/klagomål/A 22157-2023 FSC-klagomål.docx", "A 22157-2023")</f>
        <v/>
      </c>
      <c r="W759">
        <f>HYPERLINK("https://klasma.github.io/Logging_0188/klagomålsmail/A 22157-2023 FSC-klagomål mail.docx", "A 22157-2023")</f>
        <v/>
      </c>
      <c r="X759">
        <f>HYPERLINK("https://klasma.github.io/Logging_0188/tillsyn/A 22157-2023 tillsynsbegäran.docx", "A 22157-2023")</f>
        <v/>
      </c>
      <c r="Y759">
        <f>HYPERLINK("https://klasma.github.io/Logging_0188/tillsynsmail/A 22157-2023 tillsynsbegäran mail.docx", "A 22157-2023")</f>
        <v/>
      </c>
    </row>
    <row r="760" ht="15" customHeight="1">
      <c r="A760" t="inlineStr">
        <is>
          <t>A 11929-2024</t>
        </is>
      </c>
      <c r="B760" s="1" t="n">
        <v>45376.64532407407</v>
      </c>
      <c r="C760" s="1" t="n">
        <v>46103</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26702-2025</t>
        </is>
      </c>
      <c r="B761" s="1" t="n">
        <v>45810.45236111111</v>
      </c>
      <c r="C761" s="1" t="n">
        <v>46103</v>
      </c>
      <c r="D761" t="inlineStr">
        <is>
          <t>STOCKHOLMS LÄN</t>
        </is>
      </c>
      <c r="E761" t="inlineStr">
        <is>
          <t>NORRTÄLJE</t>
        </is>
      </c>
      <c r="G761" t="n">
        <v>7.3</v>
      </c>
      <c r="H761" t="n">
        <v>0</v>
      </c>
      <c r="I761" t="n">
        <v>0</v>
      </c>
      <c r="J761" t="n">
        <v>0</v>
      </c>
      <c r="K761" t="n">
        <v>0</v>
      </c>
      <c r="L761" t="n">
        <v>0</v>
      </c>
      <c r="M761" t="n">
        <v>0</v>
      </c>
      <c r="N761" t="n">
        <v>0</v>
      </c>
      <c r="O761" t="n">
        <v>0</v>
      </c>
      <c r="P761" t="n">
        <v>0</v>
      </c>
      <c r="Q761" t="n">
        <v>0</v>
      </c>
      <c r="R761" s="2" t="inlineStr"/>
    </row>
    <row r="762" ht="15" customHeight="1">
      <c r="A762" t="inlineStr">
        <is>
          <t>A 23061-2025</t>
        </is>
      </c>
      <c r="B762" s="1" t="n">
        <v>45790.81410879629</v>
      </c>
      <c r="C762" s="1" t="n">
        <v>46103</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27040-2025</t>
        </is>
      </c>
      <c r="B763" s="1" t="n">
        <v>45811.60451388889</v>
      </c>
      <c r="C763" s="1" t="n">
        <v>46103</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26747-2025</t>
        </is>
      </c>
      <c r="B764" s="1" t="n">
        <v>45810.5333912037</v>
      </c>
      <c r="C764" s="1" t="n">
        <v>46103</v>
      </c>
      <c r="D764" t="inlineStr">
        <is>
          <t>STOCKHOLMS LÄN</t>
        </is>
      </c>
      <c r="E764" t="inlineStr">
        <is>
          <t>NORRTÄLJE</t>
        </is>
      </c>
      <c r="G764" t="n">
        <v>1.9</v>
      </c>
      <c r="H764" t="n">
        <v>0</v>
      </c>
      <c r="I764" t="n">
        <v>0</v>
      </c>
      <c r="J764" t="n">
        <v>0</v>
      </c>
      <c r="K764" t="n">
        <v>0</v>
      </c>
      <c r="L764" t="n">
        <v>0</v>
      </c>
      <c r="M764" t="n">
        <v>0</v>
      </c>
      <c r="N764" t="n">
        <v>0</v>
      </c>
      <c r="O764" t="n">
        <v>0</v>
      </c>
      <c r="P764" t="n">
        <v>0</v>
      </c>
      <c r="Q764" t="n">
        <v>0</v>
      </c>
      <c r="R764" s="2" t="inlineStr"/>
    </row>
    <row r="765" ht="15" customHeight="1">
      <c r="A765" t="inlineStr">
        <is>
          <t>A 26675-2025</t>
        </is>
      </c>
      <c r="B765" s="1" t="n">
        <v>45810.42393518519</v>
      </c>
      <c r="C765" s="1" t="n">
        <v>46103</v>
      </c>
      <c r="D765" t="inlineStr">
        <is>
          <t>STOCKHOLMS LÄN</t>
        </is>
      </c>
      <c r="E765" t="inlineStr">
        <is>
          <t>NORRTÄLJE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27554-2025</t>
        </is>
      </c>
      <c r="B766" s="1" t="n">
        <v>45813.4709375</v>
      </c>
      <c r="C766" s="1" t="n">
        <v>46103</v>
      </c>
      <c r="D766" t="inlineStr">
        <is>
          <t>STOCKHOLMS LÄN</t>
        </is>
      </c>
      <c r="E766" t="inlineStr">
        <is>
          <t>NORRTÄLJE</t>
        </is>
      </c>
      <c r="F766" t="inlineStr">
        <is>
          <t>Övriga Aktiebolag</t>
        </is>
      </c>
      <c r="G766" t="n">
        <v>2.5</v>
      </c>
      <c r="H766" t="n">
        <v>0</v>
      </c>
      <c r="I766" t="n">
        <v>0</v>
      </c>
      <c r="J766" t="n">
        <v>0</v>
      </c>
      <c r="K766" t="n">
        <v>0</v>
      </c>
      <c r="L766" t="n">
        <v>0</v>
      </c>
      <c r="M766" t="n">
        <v>0</v>
      </c>
      <c r="N766" t="n">
        <v>0</v>
      </c>
      <c r="O766" t="n">
        <v>0</v>
      </c>
      <c r="P766" t="n">
        <v>0</v>
      </c>
      <c r="Q766" t="n">
        <v>0</v>
      </c>
      <c r="R766" s="2" t="inlineStr"/>
    </row>
    <row r="767" ht="15" customHeight="1">
      <c r="A767" t="inlineStr">
        <is>
          <t>A 8296-2023</t>
        </is>
      </c>
      <c r="B767" s="1" t="n">
        <v>44974</v>
      </c>
      <c r="C767" s="1" t="n">
        <v>46103</v>
      </c>
      <c r="D767" t="inlineStr">
        <is>
          <t>STOCKHOLMS LÄN</t>
        </is>
      </c>
      <c r="E767" t="inlineStr">
        <is>
          <t>NORRTÄLJE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24575-2024</t>
        </is>
      </c>
      <c r="B768" s="1" t="n">
        <v>45460.45523148148</v>
      </c>
      <c r="C768" s="1" t="n">
        <v>46103</v>
      </c>
      <c r="D768" t="inlineStr">
        <is>
          <t>STOCKHOLMS LÄN</t>
        </is>
      </c>
      <c r="E768" t="inlineStr">
        <is>
          <t>NORRTÄLJE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64899-2023</t>
        </is>
      </c>
      <c r="B769" s="1" t="n">
        <v>45282</v>
      </c>
      <c r="C769" s="1" t="n">
        <v>46103</v>
      </c>
      <c r="D769" t="inlineStr">
        <is>
          <t>STOCKHOLMS LÄN</t>
        </is>
      </c>
      <c r="E769" t="inlineStr">
        <is>
          <t>NORRTÄLJE</t>
        </is>
      </c>
      <c r="G769" t="n">
        <v>6.3</v>
      </c>
      <c r="H769" t="n">
        <v>0</v>
      </c>
      <c r="I769" t="n">
        <v>0</v>
      </c>
      <c r="J769" t="n">
        <v>0</v>
      </c>
      <c r="K769" t="n">
        <v>0</v>
      </c>
      <c r="L769" t="n">
        <v>0</v>
      </c>
      <c r="M769" t="n">
        <v>0</v>
      </c>
      <c r="N769" t="n">
        <v>0</v>
      </c>
      <c r="O769" t="n">
        <v>0</v>
      </c>
      <c r="P769" t="n">
        <v>0</v>
      </c>
      <c r="Q769" t="n">
        <v>0</v>
      </c>
      <c r="R769" s="2" t="inlineStr"/>
    </row>
    <row r="770" ht="15" customHeight="1">
      <c r="A770" t="inlineStr">
        <is>
          <t>A 52593-2024</t>
        </is>
      </c>
      <c r="B770" s="1" t="n">
        <v>45609.70778935185</v>
      </c>
      <c r="C770" s="1" t="n">
        <v>46103</v>
      </c>
      <c r="D770" t="inlineStr">
        <is>
          <t>STOCKHOLMS LÄN</t>
        </is>
      </c>
      <c r="E770" t="inlineStr">
        <is>
          <t>NORRTÄLJE</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52617-2024</t>
        </is>
      </c>
      <c r="B771" s="1" t="n">
        <v>45609.85146990741</v>
      </c>
      <c r="C771" s="1" t="n">
        <v>46103</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6724-2026</t>
        </is>
      </c>
      <c r="B772" s="1" t="n">
        <v>46056.67717592593</v>
      </c>
      <c r="C772" s="1" t="n">
        <v>46103</v>
      </c>
      <c r="D772" t="inlineStr">
        <is>
          <t>STOCKHOLMS LÄN</t>
        </is>
      </c>
      <c r="E772" t="inlineStr">
        <is>
          <t>NORRTÄLJE</t>
        </is>
      </c>
      <c r="F772" t="inlineStr">
        <is>
          <t>Holmen skog AB</t>
        </is>
      </c>
      <c r="G772" t="n">
        <v>16.2</v>
      </c>
      <c r="H772" t="n">
        <v>0</v>
      </c>
      <c r="I772" t="n">
        <v>0</v>
      </c>
      <c r="J772" t="n">
        <v>0</v>
      </c>
      <c r="K772" t="n">
        <v>0</v>
      </c>
      <c r="L772" t="n">
        <v>0</v>
      </c>
      <c r="M772" t="n">
        <v>0</v>
      </c>
      <c r="N772" t="n">
        <v>0</v>
      </c>
      <c r="O772" t="n">
        <v>0</v>
      </c>
      <c r="P772" t="n">
        <v>0</v>
      </c>
      <c r="Q772" t="n">
        <v>0</v>
      </c>
      <c r="R772" s="2" t="inlineStr"/>
    </row>
    <row r="773" ht="15" customHeight="1">
      <c r="A773" t="inlineStr">
        <is>
          <t>A 6828-2026</t>
        </is>
      </c>
      <c r="B773" s="1" t="n">
        <v>46057</v>
      </c>
      <c r="C773" s="1" t="n">
        <v>46103</v>
      </c>
      <c r="D773" t="inlineStr">
        <is>
          <t>STOCKHOLMS LÄN</t>
        </is>
      </c>
      <c r="E773" t="inlineStr">
        <is>
          <t>NORRTÄLJE</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6838-2026</t>
        </is>
      </c>
      <c r="B774" s="1" t="n">
        <v>46057.41151620371</v>
      </c>
      <c r="C774" s="1" t="n">
        <v>46103</v>
      </c>
      <c r="D774" t="inlineStr">
        <is>
          <t>STOCKHOLMS LÄN</t>
        </is>
      </c>
      <c r="E774" t="inlineStr">
        <is>
          <t>NORRTÄLJE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22816-2021</t>
        </is>
      </c>
      <c r="B775" s="1" t="n">
        <v>44325</v>
      </c>
      <c r="C775" s="1" t="n">
        <v>46103</v>
      </c>
      <c r="D775" t="inlineStr">
        <is>
          <t>STOCKHOLMS LÄN</t>
        </is>
      </c>
      <c r="E775" t="inlineStr">
        <is>
          <t>NORRTÄLJE</t>
        </is>
      </c>
      <c r="G775" t="n">
        <v>4.5</v>
      </c>
      <c r="H775" t="n">
        <v>0</v>
      </c>
      <c r="I775" t="n">
        <v>0</v>
      </c>
      <c r="J775" t="n">
        <v>0</v>
      </c>
      <c r="K775" t="n">
        <v>0</v>
      </c>
      <c r="L775" t="n">
        <v>0</v>
      </c>
      <c r="M775" t="n">
        <v>0</v>
      </c>
      <c r="N775" t="n">
        <v>0</v>
      </c>
      <c r="O775" t="n">
        <v>0</v>
      </c>
      <c r="P775" t="n">
        <v>0</v>
      </c>
      <c r="Q775" t="n">
        <v>0</v>
      </c>
      <c r="R775" s="2" t="inlineStr"/>
    </row>
    <row r="776" ht="15" customHeight="1">
      <c r="A776" t="inlineStr">
        <is>
          <t>A 59904-2023</t>
        </is>
      </c>
      <c r="B776" s="1" t="n">
        <v>45257</v>
      </c>
      <c r="C776" s="1" t="n">
        <v>46103</v>
      </c>
      <c r="D776" t="inlineStr">
        <is>
          <t>STOCKHOLMS LÄN</t>
        </is>
      </c>
      <c r="E776" t="inlineStr">
        <is>
          <t>NORRTÄLJE</t>
        </is>
      </c>
      <c r="G776" t="n">
        <v>17.4</v>
      </c>
      <c r="H776" t="n">
        <v>0</v>
      </c>
      <c r="I776" t="n">
        <v>0</v>
      </c>
      <c r="J776" t="n">
        <v>0</v>
      </c>
      <c r="K776" t="n">
        <v>0</v>
      </c>
      <c r="L776" t="n">
        <v>0</v>
      </c>
      <c r="M776" t="n">
        <v>0</v>
      </c>
      <c r="N776" t="n">
        <v>0</v>
      </c>
      <c r="O776" t="n">
        <v>0</v>
      </c>
      <c r="P776" t="n">
        <v>0</v>
      </c>
      <c r="Q776" t="n">
        <v>0</v>
      </c>
      <c r="R776" s="2" t="inlineStr"/>
    </row>
    <row r="777" ht="15" customHeight="1">
      <c r="A777" t="inlineStr">
        <is>
          <t>A 9914-2023</t>
        </is>
      </c>
      <c r="B777" s="1" t="n">
        <v>44985</v>
      </c>
      <c r="C777" s="1" t="n">
        <v>46103</v>
      </c>
      <c r="D777" t="inlineStr">
        <is>
          <t>STOCKHOLMS LÄN</t>
        </is>
      </c>
      <c r="E777" t="inlineStr">
        <is>
          <t>NORRTÄLJE</t>
        </is>
      </c>
      <c r="G777" t="n">
        <v>4.2</v>
      </c>
      <c r="H777" t="n">
        <v>0</v>
      </c>
      <c r="I777" t="n">
        <v>0</v>
      </c>
      <c r="J777" t="n">
        <v>0</v>
      </c>
      <c r="K777" t="n">
        <v>0</v>
      </c>
      <c r="L777" t="n">
        <v>0</v>
      </c>
      <c r="M777" t="n">
        <v>0</v>
      </c>
      <c r="N777" t="n">
        <v>0</v>
      </c>
      <c r="O777" t="n">
        <v>0</v>
      </c>
      <c r="P777" t="n">
        <v>0</v>
      </c>
      <c r="Q777" t="n">
        <v>0</v>
      </c>
      <c r="R777" s="2" t="inlineStr"/>
    </row>
    <row r="778" ht="15" customHeight="1">
      <c r="A778" t="inlineStr">
        <is>
          <t>A 27700-2025</t>
        </is>
      </c>
      <c r="B778" s="1" t="n">
        <v>45813.6799537037</v>
      </c>
      <c r="C778" s="1" t="n">
        <v>46103</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11062-2024</t>
        </is>
      </c>
      <c r="B779" s="1" t="n">
        <v>45370</v>
      </c>
      <c r="C779" s="1" t="n">
        <v>46103</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6874-2026</t>
        </is>
      </c>
      <c r="B780" s="1" t="n">
        <v>46057.45295138889</v>
      </c>
      <c r="C780" s="1" t="n">
        <v>46103</v>
      </c>
      <c r="D780" t="inlineStr">
        <is>
          <t>STOCKHOLMS LÄN</t>
        </is>
      </c>
      <c r="E780" t="inlineStr">
        <is>
          <t>NORRTÄLJE</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27697-2025</t>
        </is>
      </c>
      <c r="B781" s="1" t="n">
        <v>45813.66961805556</v>
      </c>
      <c r="C781" s="1" t="n">
        <v>46103</v>
      </c>
      <c r="D781" t="inlineStr">
        <is>
          <t>STOCKHOLMS LÄN</t>
        </is>
      </c>
      <c r="E781" t="inlineStr">
        <is>
          <t>NORRTÄLJE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33569-2023</t>
        </is>
      </c>
      <c r="B782" s="1" t="n">
        <v>45131.666875</v>
      </c>
      <c r="C782" s="1" t="n">
        <v>46103</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6532-2026</t>
        </is>
      </c>
      <c r="B783" s="1" t="n">
        <v>46056.41300925926</v>
      </c>
      <c r="C783" s="1" t="n">
        <v>46103</v>
      </c>
      <c r="D783" t="inlineStr">
        <is>
          <t>STOCKHOLMS LÄN</t>
        </is>
      </c>
      <c r="E783" t="inlineStr">
        <is>
          <t>NORRTÄLJE</t>
        </is>
      </c>
      <c r="G783" t="n">
        <v>2.2</v>
      </c>
      <c r="H783" t="n">
        <v>0</v>
      </c>
      <c r="I783" t="n">
        <v>0</v>
      </c>
      <c r="J783" t="n">
        <v>0</v>
      </c>
      <c r="K783" t="n">
        <v>0</v>
      </c>
      <c r="L783" t="n">
        <v>0</v>
      </c>
      <c r="M783" t="n">
        <v>0</v>
      </c>
      <c r="N783" t="n">
        <v>0</v>
      </c>
      <c r="O783" t="n">
        <v>0</v>
      </c>
      <c r="P783" t="n">
        <v>0</v>
      </c>
      <c r="Q783" t="n">
        <v>0</v>
      </c>
      <c r="R783" s="2" t="inlineStr"/>
    </row>
    <row r="784" ht="15" customHeight="1">
      <c r="A784" t="inlineStr">
        <is>
          <t>A 27802-2025</t>
        </is>
      </c>
      <c r="B784" s="1" t="n">
        <v>45817.2565625</v>
      </c>
      <c r="C784" s="1" t="n">
        <v>46103</v>
      </c>
      <c r="D784" t="inlineStr">
        <is>
          <t>STOCKHOLMS LÄN</t>
        </is>
      </c>
      <c r="E784" t="inlineStr">
        <is>
          <t>NORRTÄLJE</t>
        </is>
      </c>
      <c r="G784" t="n">
        <v>3</v>
      </c>
      <c r="H784" t="n">
        <v>0</v>
      </c>
      <c r="I784" t="n">
        <v>0</v>
      </c>
      <c r="J784" t="n">
        <v>0</v>
      </c>
      <c r="K784" t="n">
        <v>0</v>
      </c>
      <c r="L784" t="n">
        <v>0</v>
      </c>
      <c r="M784" t="n">
        <v>0</v>
      </c>
      <c r="N784" t="n">
        <v>0</v>
      </c>
      <c r="O784" t="n">
        <v>0</v>
      </c>
      <c r="P784" t="n">
        <v>0</v>
      </c>
      <c r="Q784" t="n">
        <v>0</v>
      </c>
      <c r="R784" s="2" t="inlineStr"/>
    </row>
    <row r="785" ht="15" customHeight="1">
      <c r="A785" t="inlineStr">
        <is>
          <t>A 27806-2025</t>
        </is>
      </c>
      <c r="B785" s="1" t="n">
        <v>45817.30329861111</v>
      </c>
      <c r="C785" s="1" t="n">
        <v>46103</v>
      </c>
      <c r="D785" t="inlineStr">
        <is>
          <t>STOCKHOLMS LÄN</t>
        </is>
      </c>
      <c r="E785" t="inlineStr">
        <is>
          <t>NORRTÄLJE</t>
        </is>
      </c>
      <c r="G785" t="n">
        <v>3</v>
      </c>
      <c r="H785" t="n">
        <v>0</v>
      </c>
      <c r="I785" t="n">
        <v>0</v>
      </c>
      <c r="J785" t="n">
        <v>0</v>
      </c>
      <c r="K785" t="n">
        <v>0</v>
      </c>
      <c r="L785" t="n">
        <v>0</v>
      </c>
      <c r="M785" t="n">
        <v>0</v>
      </c>
      <c r="N785" t="n">
        <v>0</v>
      </c>
      <c r="O785" t="n">
        <v>0</v>
      </c>
      <c r="P785" t="n">
        <v>0</v>
      </c>
      <c r="Q785" t="n">
        <v>0</v>
      </c>
      <c r="R785" s="2" t="inlineStr"/>
    </row>
    <row r="786" ht="15" customHeight="1">
      <c r="A786" t="inlineStr">
        <is>
          <t>A 27808-2025</t>
        </is>
      </c>
      <c r="B786" s="1" t="n">
        <v>45817.31085648148</v>
      </c>
      <c r="C786" s="1" t="n">
        <v>46103</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27810-2025</t>
        </is>
      </c>
      <c r="B787" s="1" t="n">
        <v>45817.31708333334</v>
      </c>
      <c r="C787" s="1" t="n">
        <v>46103</v>
      </c>
      <c r="D787" t="inlineStr">
        <is>
          <t>STOCKHOLMS LÄN</t>
        </is>
      </c>
      <c r="E787" t="inlineStr">
        <is>
          <t>NORRTÄLJE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27811-2025</t>
        </is>
      </c>
      <c r="B788" s="1" t="n">
        <v>45817.31986111111</v>
      </c>
      <c r="C788" s="1" t="n">
        <v>46103</v>
      </c>
      <c r="D788" t="inlineStr">
        <is>
          <t>STOCKHOLMS LÄN</t>
        </is>
      </c>
      <c r="E788" t="inlineStr">
        <is>
          <t>NORRTÄLJE</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27818-2025</t>
        </is>
      </c>
      <c r="B789" s="1" t="n">
        <v>45817.33503472222</v>
      </c>
      <c r="C789" s="1" t="n">
        <v>46103</v>
      </c>
      <c r="D789" t="inlineStr">
        <is>
          <t>STOCKHOLMS LÄN</t>
        </is>
      </c>
      <c r="E789" t="inlineStr">
        <is>
          <t>NORRTÄLJE</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15905-2023</t>
        </is>
      </c>
      <c r="B790" s="1" t="n">
        <v>45022</v>
      </c>
      <c r="C790" s="1" t="n">
        <v>46103</v>
      </c>
      <c r="D790" t="inlineStr">
        <is>
          <t>STOCKHOLMS LÄN</t>
        </is>
      </c>
      <c r="E790" t="inlineStr">
        <is>
          <t>NORRTÄLJE</t>
        </is>
      </c>
      <c r="G790" t="n">
        <v>3.2</v>
      </c>
      <c r="H790" t="n">
        <v>0</v>
      </c>
      <c r="I790" t="n">
        <v>0</v>
      </c>
      <c r="J790" t="n">
        <v>0</v>
      </c>
      <c r="K790" t="n">
        <v>0</v>
      </c>
      <c r="L790" t="n">
        <v>0</v>
      </c>
      <c r="M790" t="n">
        <v>0</v>
      </c>
      <c r="N790" t="n">
        <v>0</v>
      </c>
      <c r="O790" t="n">
        <v>0</v>
      </c>
      <c r="P790" t="n">
        <v>0</v>
      </c>
      <c r="Q790" t="n">
        <v>0</v>
      </c>
      <c r="R790" s="2" t="inlineStr"/>
    </row>
    <row r="791" ht="15" customHeight="1">
      <c r="A791" t="inlineStr">
        <is>
          <t>A 6701-2026</t>
        </is>
      </c>
      <c r="B791" s="1" t="n">
        <v>46056</v>
      </c>
      <c r="C791" s="1" t="n">
        <v>46103</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15956-2023</t>
        </is>
      </c>
      <c r="B792" s="1" t="n">
        <v>45022.61003472222</v>
      </c>
      <c r="C792" s="1" t="n">
        <v>46103</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27801-2025</t>
        </is>
      </c>
      <c r="B793" s="1" t="n">
        <v>45817.25471064815</v>
      </c>
      <c r="C793" s="1" t="n">
        <v>46103</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47626-2022</t>
        </is>
      </c>
      <c r="B794" s="1" t="n">
        <v>44854</v>
      </c>
      <c r="C794" s="1" t="n">
        <v>46103</v>
      </c>
      <c r="D794" t="inlineStr">
        <is>
          <t>STOCKHOLMS LÄN</t>
        </is>
      </c>
      <c r="E794" t="inlineStr">
        <is>
          <t>NORRTÄLJE</t>
        </is>
      </c>
      <c r="G794" t="n">
        <v>2</v>
      </c>
      <c r="H794" t="n">
        <v>0</v>
      </c>
      <c r="I794" t="n">
        <v>0</v>
      </c>
      <c r="J794" t="n">
        <v>0</v>
      </c>
      <c r="K794" t="n">
        <v>0</v>
      </c>
      <c r="L794" t="n">
        <v>0</v>
      </c>
      <c r="M794" t="n">
        <v>0</v>
      </c>
      <c r="N794" t="n">
        <v>0</v>
      </c>
      <c r="O794" t="n">
        <v>0</v>
      </c>
      <c r="P794" t="n">
        <v>0</v>
      </c>
      <c r="Q794" t="n">
        <v>0</v>
      </c>
      <c r="R794" s="2" t="inlineStr"/>
    </row>
    <row r="795" ht="15" customHeight="1">
      <c r="A795" t="inlineStr">
        <is>
          <t>A 27803-2025</t>
        </is>
      </c>
      <c r="B795" s="1" t="n">
        <v>45817.291875</v>
      </c>
      <c r="C795" s="1" t="n">
        <v>46103</v>
      </c>
      <c r="D795" t="inlineStr">
        <is>
          <t>STOCKHOLMS LÄN</t>
        </is>
      </c>
      <c r="E795" t="inlineStr">
        <is>
          <t>NORRTÄLJE</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27813-2025</t>
        </is>
      </c>
      <c r="B796" s="1" t="n">
        <v>45817.32538194444</v>
      </c>
      <c r="C796" s="1" t="n">
        <v>46103</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27821-2025</t>
        </is>
      </c>
      <c r="B797" s="1" t="n">
        <v>45817.34083333334</v>
      </c>
      <c r="C797" s="1" t="n">
        <v>46103</v>
      </c>
      <c r="D797" t="inlineStr">
        <is>
          <t>STOCKHOLMS LÄN</t>
        </is>
      </c>
      <c r="E797" t="inlineStr">
        <is>
          <t>NORRTÄLJE</t>
        </is>
      </c>
      <c r="G797" t="n">
        <v>3.2</v>
      </c>
      <c r="H797" t="n">
        <v>0</v>
      </c>
      <c r="I797" t="n">
        <v>0</v>
      </c>
      <c r="J797" t="n">
        <v>0</v>
      </c>
      <c r="K797" t="n">
        <v>0</v>
      </c>
      <c r="L797" t="n">
        <v>0</v>
      </c>
      <c r="M797" t="n">
        <v>0</v>
      </c>
      <c r="N797" t="n">
        <v>0</v>
      </c>
      <c r="O797" t="n">
        <v>0</v>
      </c>
      <c r="P797" t="n">
        <v>0</v>
      </c>
      <c r="Q797" t="n">
        <v>0</v>
      </c>
      <c r="R797" s="2" t="inlineStr"/>
    </row>
    <row r="798" ht="15" customHeight="1">
      <c r="A798" t="inlineStr">
        <is>
          <t>A 62206-2022</t>
        </is>
      </c>
      <c r="B798" s="1" t="n">
        <v>44922</v>
      </c>
      <c r="C798" s="1" t="n">
        <v>46103</v>
      </c>
      <c r="D798" t="inlineStr">
        <is>
          <t>STOCKHOLMS LÄN</t>
        </is>
      </c>
      <c r="E798" t="inlineStr">
        <is>
          <t>NORRTÄLJE</t>
        </is>
      </c>
      <c r="G798" t="n">
        <v>2.9</v>
      </c>
      <c r="H798" t="n">
        <v>0</v>
      </c>
      <c r="I798" t="n">
        <v>0</v>
      </c>
      <c r="J798" t="n">
        <v>0</v>
      </c>
      <c r="K798" t="n">
        <v>0</v>
      </c>
      <c r="L798" t="n">
        <v>0</v>
      </c>
      <c r="M798" t="n">
        <v>0</v>
      </c>
      <c r="N798" t="n">
        <v>0</v>
      </c>
      <c r="O798" t="n">
        <v>0</v>
      </c>
      <c r="P798" t="n">
        <v>0</v>
      </c>
      <c r="Q798" t="n">
        <v>0</v>
      </c>
      <c r="R798" s="2" t="inlineStr"/>
    </row>
    <row r="799" ht="15" customHeight="1">
      <c r="A799" t="inlineStr">
        <is>
          <t>A 20618-2022</t>
        </is>
      </c>
      <c r="B799" s="1" t="n">
        <v>44700.50659722222</v>
      </c>
      <c r="C799" s="1" t="n">
        <v>46103</v>
      </c>
      <c r="D799" t="inlineStr">
        <is>
          <t>STOCKHOLMS LÄN</t>
        </is>
      </c>
      <c r="E799" t="inlineStr">
        <is>
          <t>NORRTÄLJE</t>
        </is>
      </c>
      <c r="G799" t="n">
        <v>1.5</v>
      </c>
      <c r="H799" t="n">
        <v>0</v>
      </c>
      <c r="I799" t="n">
        <v>0</v>
      </c>
      <c r="J799" t="n">
        <v>0</v>
      </c>
      <c r="K799" t="n">
        <v>0</v>
      </c>
      <c r="L799" t="n">
        <v>0</v>
      </c>
      <c r="M799" t="n">
        <v>0</v>
      </c>
      <c r="N799" t="n">
        <v>0</v>
      </c>
      <c r="O799" t="n">
        <v>0</v>
      </c>
      <c r="P799" t="n">
        <v>0</v>
      </c>
      <c r="Q799" t="n">
        <v>0</v>
      </c>
      <c r="R799" s="2" t="inlineStr"/>
    </row>
    <row r="800" ht="15" customHeight="1">
      <c r="A800" t="inlineStr">
        <is>
          <t>A 40192-2023</t>
        </is>
      </c>
      <c r="B800" s="1" t="n">
        <v>45169</v>
      </c>
      <c r="C800" s="1" t="n">
        <v>46103</v>
      </c>
      <c r="D800" t="inlineStr">
        <is>
          <t>STOCKHOLMS LÄN</t>
        </is>
      </c>
      <c r="E800" t="inlineStr">
        <is>
          <t>NORRTÄLJE</t>
        </is>
      </c>
      <c r="F800" t="inlineStr">
        <is>
          <t>Kyrkan</t>
        </is>
      </c>
      <c r="G800" t="n">
        <v>0.7</v>
      </c>
      <c r="H800" t="n">
        <v>0</v>
      </c>
      <c r="I800" t="n">
        <v>0</v>
      </c>
      <c r="J800" t="n">
        <v>0</v>
      </c>
      <c r="K800" t="n">
        <v>0</v>
      </c>
      <c r="L800" t="n">
        <v>0</v>
      </c>
      <c r="M800" t="n">
        <v>0</v>
      </c>
      <c r="N800" t="n">
        <v>0</v>
      </c>
      <c r="O800" t="n">
        <v>0</v>
      </c>
      <c r="P800" t="n">
        <v>0</v>
      </c>
      <c r="Q800" t="n">
        <v>0</v>
      </c>
      <c r="R800" s="2" t="inlineStr"/>
    </row>
    <row r="801" ht="15" customHeight="1">
      <c r="A801" t="inlineStr">
        <is>
          <t>A 11900-2022</t>
        </is>
      </c>
      <c r="B801" s="1" t="n">
        <v>44635</v>
      </c>
      <c r="C801" s="1" t="n">
        <v>46103</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10973-2025</t>
        </is>
      </c>
      <c r="B802" s="1" t="n">
        <v>45723</v>
      </c>
      <c r="C802" s="1" t="n">
        <v>46103</v>
      </c>
      <c r="D802" t="inlineStr">
        <is>
          <t>STOCKHOLMS LÄN</t>
        </is>
      </c>
      <c r="E802" t="inlineStr">
        <is>
          <t>NORRTÄLJE</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14348-2026</t>
        </is>
      </c>
      <c r="B803" s="1" t="n">
        <v>46100.34112268518</v>
      </c>
      <c r="C803" s="1" t="n">
        <v>46103</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7308-2026</t>
        </is>
      </c>
      <c r="B804" s="1" t="n">
        <v>46058.66025462963</v>
      </c>
      <c r="C804" s="1" t="n">
        <v>46103</v>
      </c>
      <c r="D804" t="inlineStr">
        <is>
          <t>STOCKHOLMS LÄN</t>
        </is>
      </c>
      <c r="E804" t="inlineStr">
        <is>
          <t>NORRTÄLJE</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15528-2025</t>
        </is>
      </c>
      <c r="B805" s="1" t="n">
        <v>45747.63471064815</v>
      </c>
      <c r="C805" s="1" t="n">
        <v>46103</v>
      </c>
      <c r="D805" t="inlineStr">
        <is>
          <t>STOCKHOLMS LÄN</t>
        </is>
      </c>
      <c r="E805" t="inlineStr">
        <is>
          <t>NORRTÄLJE</t>
        </is>
      </c>
      <c r="G805" t="n">
        <v>10</v>
      </c>
      <c r="H805" t="n">
        <v>0</v>
      </c>
      <c r="I805" t="n">
        <v>0</v>
      </c>
      <c r="J805" t="n">
        <v>0</v>
      </c>
      <c r="K805" t="n">
        <v>0</v>
      </c>
      <c r="L805" t="n">
        <v>0</v>
      </c>
      <c r="M805" t="n">
        <v>0</v>
      </c>
      <c r="N805" t="n">
        <v>0</v>
      </c>
      <c r="O805" t="n">
        <v>0</v>
      </c>
      <c r="P805" t="n">
        <v>0</v>
      </c>
      <c r="Q805" t="n">
        <v>0</v>
      </c>
      <c r="R805" s="2" t="inlineStr"/>
    </row>
    <row r="806" ht="15" customHeight="1">
      <c r="A806" t="inlineStr">
        <is>
          <t>A 7532-2026</t>
        </is>
      </c>
      <c r="B806" s="1" t="n">
        <v>46059</v>
      </c>
      <c r="C806" s="1" t="n">
        <v>46103</v>
      </c>
      <c r="D806" t="inlineStr">
        <is>
          <t>STOCKHOLMS LÄN</t>
        </is>
      </c>
      <c r="E806" t="inlineStr">
        <is>
          <t>NORRTÄLJE</t>
        </is>
      </c>
      <c r="G806" t="n">
        <v>5.2</v>
      </c>
      <c r="H806" t="n">
        <v>0</v>
      </c>
      <c r="I806" t="n">
        <v>0</v>
      </c>
      <c r="J806" t="n">
        <v>0</v>
      </c>
      <c r="K806" t="n">
        <v>0</v>
      </c>
      <c r="L806" t="n">
        <v>0</v>
      </c>
      <c r="M806" t="n">
        <v>0</v>
      </c>
      <c r="N806" t="n">
        <v>0</v>
      </c>
      <c r="O806" t="n">
        <v>0</v>
      </c>
      <c r="P806" t="n">
        <v>0</v>
      </c>
      <c r="Q806" t="n">
        <v>0</v>
      </c>
      <c r="R806" s="2" t="inlineStr"/>
    </row>
    <row r="807" ht="15" customHeight="1">
      <c r="A807" t="inlineStr">
        <is>
          <t>A 14475-2026</t>
        </is>
      </c>
      <c r="B807" s="1" t="n">
        <v>46100.57251157407</v>
      </c>
      <c r="C807" s="1" t="n">
        <v>46103</v>
      </c>
      <c r="D807" t="inlineStr">
        <is>
          <t>STOCKHOLMS LÄN</t>
        </is>
      </c>
      <c r="E807" t="inlineStr">
        <is>
          <t>NORRTÄLJE</t>
        </is>
      </c>
      <c r="G807" t="n">
        <v>12.3</v>
      </c>
      <c r="H807" t="n">
        <v>0</v>
      </c>
      <c r="I807" t="n">
        <v>0</v>
      </c>
      <c r="J807" t="n">
        <v>0</v>
      </c>
      <c r="K807" t="n">
        <v>0</v>
      </c>
      <c r="L807" t="n">
        <v>0</v>
      </c>
      <c r="M807" t="n">
        <v>0</v>
      </c>
      <c r="N807" t="n">
        <v>0</v>
      </c>
      <c r="O807" t="n">
        <v>0</v>
      </c>
      <c r="P807" t="n">
        <v>0</v>
      </c>
      <c r="Q807" t="n">
        <v>0</v>
      </c>
      <c r="R807" s="2" t="inlineStr"/>
    </row>
    <row r="808" ht="15" customHeight="1">
      <c r="A808" t="inlineStr">
        <is>
          <t>A 11901-2024</t>
        </is>
      </c>
      <c r="B808" s="1" t="n">
        <v>45376.55638888889</v>
      </c>
      <c r="C808" s="1" t="n">
        <v>46103</v>
      </c>
      <c r="D808" t="inlineStr">
        <is>
          <t>STOCKHOLMS LÄN</t>
        </is>
      </c>
      <c r="E808" t="inlineStr">
        <is>
          <t>NORRTÄLJE</t>
        </is>
      </c>
      <c r="F808" t="inlineStr">
        <is>
          <t>Holmen skog AB</t>
        </is>
      </c>
      <c r="G808" t="n">
        <v>3.5</v>
      </c>
      <c r="H808" t="n">
        <v>0</v>
      </c>
      <c r="I808" t="n">
        <v>0</v>
      </c>
      <c r="J808" t="n">
        <v>0</v>
      </c>
      <c r="K808" t="n">
        <v>0</v>
      </c>
      <c r="L808" t="n">
        <v>0</v>
      </c>
      <c r="M808" t="n">
        <v>0</v>
      </c>
      <c r="N808" t="n">
        <v>0</v>
      </c>
      <c r="O808" t="n">
        <v>0</v>
      </c>
      <c r="P808" t="n">
        <v>0</v>
      </c>
      <c r="Q808" t="n">
        <v>0</v>
      </c>
      <c r="R808" s="2" t="inlineStr"/>
    </row>
    <row r="809" ht="15" customHeight="1">
      <c r="A809" t="inlineStr">
        <is>
          <t>A 27885-2022</t>
        </is>
      </c>
      <c r="B809" s="1" t="n">
        <v>44743.67418981482</v>
      </c>
      <c r="C809" s="1" t="n">
        <v>46103</v>
      </c>
      <c r="D809" t="inlineStr">
        <is>
          <t>STOCKHOLMS LÄN</t>
        </is>
      </c>
      <c r="E809" t="inlineStr">
        <is>
          <t>NORRTÄLJE</t>
        </is>
      </c>
      <c r="F809" t="inlineStr">
        <is>
          <t>Holmen skog AB</t>
        </is>
      </c>
      <c r="G809" t="n">
        <v>0.8</v>
      </c>
      <c r="H809" t="n">
        <v>0</v>
      </c>
      <c r="I809" t="n">
        <v>0</v>
      </c>
      <c r="J809" t="n">
        <v>0</v>
      </c>
      <c r="K809" t="n">
        <v>0</v>
      </c>
      <c r="L809" t="n">
        <v>0</v>
      </c>
      <c r="M809" t="n">
        <v>0</v>
      </c>
      <c r="N809" t="n">
        <v>0</v>
      </c>
      <c r="O809" t="n">
        <v>0</v>
      </c>
      <c r="P809" t="n">
        <v>0</v>
      </c>
      <c r="Q809" t="n">
        <v>0</v>
      </c>
      <c r="R809" s="2" t="inlineStr"/>
    </row>
    <row r="810" ht="15" customHeight="1">
      <c r="A810" t="inlineStr">
        <is>
          <t>A 44075-2023</t>
        </is>
      </c>
      <c r="B810" s="1" t="n">
        <v>45188.41637731482</v>
      </c>
      <c r="C810" s="1" t="n">
        <v>46103</v>
      </c>
      <c r="D810" t="inlineStr">
        <is>
          <t>STOCKHOLMS LÄN</t>
        </is>
      </c>
      <c r="E810" t="inlineStr">
        <is>
          <t>NORRTÄLJE</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60224-2023</t>
        </is>
      </c>
      <c r="B811" s="1" t="n">
        <v>45257</v>
      </c>
      <c r="C811" s="1" t="n">
        <v>46103</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5158-2024</t>
        </is>
      </c>
      <c r="B812" s="1" t="n">
        <v>45330.50098379629</v>
      </c>
      <c r="C812" s="1" t="n">
        <v>46103</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9130-2025</t>
        </is>
      </c>
      <c r="B813" s="1" t="n">
        <v>45713.92623842593</v>
      </c>
      <c r="C813" s="1" t="n">
        <v>46103</v>
      </c>
      <c r="D813" t="inlineStr">
        <is>
          <t>STOCKHOLMS LÄN</t>
        </is>
      </c>
      <c r="E813" t="inlineStr">
        <is>
          <t>NORRTÄLJE</t>
        </is>
      </c>
      <c r="G813" t="n">
        <v>16</v>
      </c>
      <c r="H813" t="n">
        <v>0</v>
      </c>
      <c r="I813" t="n">
        <v>0</v>
      </c>
      <c r="J813" t="n">
        <v>0</v>
      </c>
      <c r="K813" t="n">
        <v>0</v>
      </c>
      <c r="L813" t="n">
        <v>0</v>
      </c>
      <c r="M813" t="n">
        <v>0</v>
      </c>
      <c r="N813" t="n">
        <v>0</v>
      </c>
      <c r="O813" t="n">
        <v>0</v>
      </c>
      <c r="P813" t="n">
        <v>0</v>
      </c>
      <c r="Q813" t="n">
        <v>0</v>
      </c>
      <c r="R813" s="2" t="inlineStr"/>
    </row>
    <row r="814" ht="15" customHeight="1">
      <c r="A814" t="inlineStr">
        <is>
          <t>A 17551-2025</t>
        </is>
      </c>
      <c r="B814" s="1" t="n">
        <v>45757.61421296297</v>
      </c>
      <c r="C814" s="1" t="n">
        <v>46103</v>
      </c>
      <c r="D814" t="inlineStr">
        <is>
          <t>STOCKHOLMS LÄN</t>
        </is>
      </c>
      <c r="E814" t="inlineStr">
        <is>
          <t>NORRTÄLJE</t>
        </is>
      </c>
      <c r="G814" t="n">
        <v>2.8</v>
      </c>
      <c r="H814" t="n">
        <v>0</v>
      </c>
      <c r="I814" t="n">
        <v>0</v>
      </c>
      <c r="J814" t="n">
        <v>0</v>
      </c>
      <c r="K814" t="n">
        <v>0</v>
      </c>
      <c r="L814" t="n">
        <v>0</v>
      </c>
      <c r="M814" t="n">
        <v>0</v>
      </c>
      <c r="N814" t="n">
        <v>0</v>
      </c>
      <c r="O814" t="n">
        <v>0</v>
      </c>
      <c r="P814" t="n">
        <v>0</v>
      </c>
      <c r="Q814" t="n">
        <v>0</v>
      </c>
      <c r="R814" s="2" t="inlineStr"/>
    </row>
    <row r="815" ht="15" customHeight="1">
      <c r="A815" t="inlineStr">
        <is>
          <t>A 55010-2024</t>
        </is>
      </c>
      <c r="B815" s="1" t="n">
        <v>45621.34425925926</v>
      </c>
      <c r="C815" s="1" t="n">
        <v>46103</v>
      </c>
      <c r="D815" t="inlineStr">
        <is>
          <t>STOCKHOLMS LÄN</t>
        </is>
      </c>
      <c r="E815" t="inlineStr">
        <is>
          <t>NORRTÄLJE</t>
        </is>
      </c>
      <c r="F815" t="inlineStr">
        <is>
          <t>Sveaskog</t>
        </is>
      </c>
      <c r="G815" t="n">
        <v>5.7</v>
      </c>
      <c r="H815" t="n">
        <v>0</v>
      </c>
      <c r="I815" t="n">
        <v>0</v>
      </c>
      <c r="J815" t="n">
        <v>0</v>
      </c>
      <c r="K815" t="n">
        <v>0</v>
      </c>
      <c r="L815" t="n">
        <v>0</v>
      </c>
      <c r="M815" t="n">
        <v>0</v>
      </c>
      <c r="N815" t="n">
        <v>0</v>
      </c>
      <c r="O815" t="n">
        <v>0</v>
      </c>
      <c r="P815" t="n">
        <v>0</v>
      </c>
      <c r="Q815" t="n">
        <v>0</v>
      </c>
      <c r="R815" s="2" t="inlineStr"/>
    </row>
    <row r="816" ht="15" customHeight="1">
      <c r="A816" t="inlineStr">
        <is>
          <t>A 31105-2022</t>
        </is>
      </c>
      <c r="B816" s="1" t="n">
        <v>44769.66039351852</v>
      </c>
      <c r="C816" s="1" t="n">
        <v>46103</v>
      </c>
      <c r="D816" t="inlineStr">
        <is>
          <t>STOCKHOLMS LÄN</t>
        </is>
      </c>
      <c r="E816" t="inlineStr">
        <is>
          <t>NORRTÄLJE</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29250-2025</t>
        </is>
      </c>
      <c r="B817" s="1" t="n">
        <v>45824.37275462963</v>
      </c>
      <c r="C817" s="1" t="n">
        <v>46103</v>
      </c>
      <c r="D817" t="inlineStr">
        <is>
          <t>STOCKHOLMS LÄN</t>
        </is>
      </c>
      <c r="E817" t="inlineStr">
        <is>
          <t>NORRTÄLJE</t>
        </is>
      </c>
      <c r="F817" t="inlineStr">
        <is>
          <t>Sveaskog</t>
        </is>
      </c>
      <c r="G817" t="n">
        <v>6.4</v>
      </c>
      <c r="H817" t="n">
        <v>0</v>
      </c>
      <c r="I817" t="n">
        <v>0</v>
      </c>
      <c r="J817" t="n">
        <v>0</v>
      </c>
      <c r="K817" t="n">
        <v>0</v>
      </c>
      <c r="L817" t="n">
        <v>0</v>
      </c>
      <c r="M817" t="n">
        <v>0</v>
      </c>
      <c r="N817" t="n">
        <v>0</v>
      </c>
      <c r="O817" t="n">
        <v>0</v>
      </c>
      <c r="P817" t="n">
        <v>0</v>
      </c>
      <c r="Q817" t="n">
        <v>0</v>
      </c>
      <c r="R817" s="2" t="inlineStr"/>
    </row>
    <row r="818" ht="15" customHeight="1">
      <c r="A818" t="inlineStr">
        <is>
          <t>A 30620-2022</t>
        </is>
      </c>
      <c r="B818" s="1" t="n">
        <v>44763.40914351852</v>
      </c>
      <c r="C818" s="1" t="n">
        <v>46103</v>
      </c>
      <c r="D818" t="inlineStr">
        <is>
          <t>STOCKHOLMS LÄN</t>
        </is>
      </c>
      <c r="E818" t="inlineStr">
        <is>
          <t>NORRTÄLJE</t>
        </is>
      </c>
      <c r="G818" t="n">
        <v>1.8</v>
      </c>
      <c r="H818" t="n">
        <v>0</v>
      </c>
      <c r="I818" t="n">
        <v>0</v>
      </c>
      <c r="J818" t="n">
        <v>0</v>
      </c>
      <c r="K818" t="n">
        <v>0</v>
      </c>
      <c r="L818" t="n">
        <v>0</v>
      </c>
      <c r="M818" t="n">
        <v>0</v>
      </c>
      <c r="N818" t="n">
        <v>0</v>
      </c>
      <c r="O818" t="n">
        <v>0</v>
      </c>
      <c r="P818" t="n">
        <v>0</v>
      </c>
      <c r="Q818" t="n">
        <v>0</v>
      </c>
      <c r="R818" s="2" t="inlineStr"/>
    </row>
    <row r="819" ht="15" customHeight="1">
      <c r="A819" t="inlineStr">
        <is>
          <t>A 50113-2024</t>
        </is>
      </c>
      <c r="B819" s="1" t="n">
        <v>45600.411875</v>
      </c>
      <c r="C819" s="1" t="n">
        <v>46103</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28365-2022</t>
        </is>
      </c>
      <c r="B820" s="1" t="n">
        <v>44747</v>
      </c>
      <c r="C820" s="1" t="n">
        <v>46103</v>
      </c>
      <c r="D820" t="inlineStr">
        <is>
          <t>STOCKHOLMS LÄN</t>
        </is>
      </c>
      <c r="E820" t="inlineStr">
        <is>
          <t>NORRTÄLJE</t>
        </is>
      </c>
      <c r="G820" t="n">
        <v>5.1</v>
      </c>
      <c r="H820" t="n">
        <v>0</v>
      </c>
      <c r="I820" t="n">
        <v>0</v>
      </c>
      <c r="J820" t="n">
        <v>0</v>
      </c>
      <c r="K820" t="n">
        <v>0</v>
      </c>
      <c r="L820" t="n">
        <v>0</v>
      </c>
      <c r="M820" t="n">
        <v>0</v>
      </c>
      <c r="N820" t="n">
        <v>0</v>
      </c>
      <c r="O820" t="n">
        <v>0</v>
      </c>
      <c r="P820" t="n">
        <v>0</v>
      </c>
      <c r="Q820" t="n">
        <v>0</v>
      </c>
      <c r="R820" s="2" t="inlineStr"/>
    </row>
    <row r="821" ht="15" customHeight="1">
      <c r="A821" t="inlineStr">
        <is>
          <t>A 42955-2022</t>
        </is>
      </c>
      <c r="B821" s="1" t="n">
        <v>44833.40876157407</v>
      </c>
      <c r="C821" s="1" t="n">
        <v>46103</v>
      </c>
      <c r="D821" t="inlineStr">
        <is>
          <t>STOCKHOLMS LÄN</t>
        </is>
      </c>
      <c r="E821" t="inlineStr">
        <is>
          <t>NORRTÄLJE</t>
        </is>
      </c>
      <c r="G821" t="n">
        <v>13.1</v>
      </c>
      <c r="H821" t="n">
        <v>0</v>
      </c>
      <c r="I821" t="n">
        <v>0</v>
      </c>
      <c r="J821" t="n">
        <v>0</v>
      </c>
      <c r="K821" t="n">
        <v>0</v>
      </c>
      <c r="L821" t="n">
        <v>0</v>
      </c>
      <c r="M821" t="n">
        <v>0</v>
      </c>
      <c r="N821" t="n">
        <v>0</v>
      </c>
      <c r="O821" t="n">
        <v>0</v>
      </c>
      <c r="P821" t="n">
        <v>0</v>
      </c>
      <c r="Q821" t="n">
        <v>0</v>
      </c>
      <c r="R821" s="2" t="inlineStr"/>
    </row>
    <row r="822" ht="15" customHeight="1">
      <c r="A822" t="inlineStr">
        <is>
          <t>A 1283-2025</t>
        </is>
      </c>
      <c r="B822" s="1" t="n">
        <v>45667.49878472222</v>
      </c>
      <c r="C822" s="1" t="n">
        <v>46103</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13767-2025</t>
        </is>
      </c>
      <c r="B823" s="1" t="n">
        <v>45737.43347222222</v>
      </c>
      <c r="C823" s="1" t="n">
        <v>46103</v>
      </c>
      <c r="D823" t="inlineStr">
        <is>
          <t>STOCKHOLMS LÄN</t>
        </is>
      </c>
      <c r="E823" t="inlineStr">
        <is>
          <t>NORRTÄLJE</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20013-2025</t>
        </is>
      </c>
      <c r="B824" s="1" t="n">
        <v>45772.30436342592</v>
      </c>
      <c r="C824" s="1" t="n">
        <v>46103</v>
      </c>
      <c r="D824" t="inlineStr">
        <is>
          <t>STOCKHOLMS LÄN</t>
        </is>
      </c>
      <c r="E824" t="inlineStr">
        <is>
          <t>NORRTÄLJE</t>
        </is>
      </c>
      <c r="G824" t="n">
        <v>2.3</v>
      </c>
      <c r="H824" t="n">
        <v>0</v>
      </c>
      <c r="I824" t="n">
        <v>0</v>
      </c>
      <c r="J824" t="n">
        <v>0</v>
      </c>
      <c r="K824" t="n">
        <v>0</v>
      </c>
      <c r="L824" t="n">
        <v>0</v>
      </c>
      <c r="M824" t="n">
        <v>0</v>
      </c>
      <c r="N824" t="n">
        <v>0</v>
      </c>
      <c r="O824" t="n">
        <v>0</v>
      </c>
      <c r="P824" t="n">
        <v>0</v>
      </c>
      <c r="Q824" t="n">
        <v>0</v>
      </c>
      <c r="R824" s="2" t="inlineStr"/>
    </row>
    <row r="825" ht="15" customHeight="1">
      <c r="A825" t="inlineStr">
        <is>
          <t>A 53362-2023</t>
        </is>
      </c>
      <c r="B825" s="1" t="n">
        <v>45223</v>
      </c>
      <c r="C825" s="1" t="n">
        <v>46103</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15422-2024</t>
        </is>
      </c>
      <c r="B826" s="1" t="n">
        <v>45401.3653125</v>
      </c>
      <c r="C826" s="1" t="n">
        <v>46103</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30508-2023</t>
        </is>
      </c>
      <c r="B827" s="1" t="n">
        <v>45111</v>
      </c>
      <c r="C827" s="1" t="n">
        <v>46103</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30639-2025</t>
        </is>
      </c>
      <c r="B828" s="1" t="n">
        <v>45831.4844212963</v>
      </c>
      <c r="C828" s="1" t="n">
        <v>46103</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30668-2025</t>
        </is>
      </c>
      <c r="B829" s="1" t="n">
        <v>45831.51659722222</v>
      </c>
      <c r="C829" s="1" t="n">
        <v>46103</v>
      </c>
      <c r="D829" t="inlineStr">
        <is>
          <t>STOCKHOLMS LÄN</t>
        </is>
      </c>
      <c r="E829" t="inlineStr">
        <is>
          <t>NORRTÄLJE</t>
        </is>
      </c>
      <c r="G829" t="n">
        <v>4.9</v>
      </c>
      <c r="H829" t="n">
        <v>0</v>
      </c>
      <c r="I829" t="n">
        <v>0</v>
      </c>
      <c r="J829" t="n">
        <v>0</v>
      </c>
      <c r="K829" t="n">
        <v>0</v>
      </c>
      <c r="L829" t="n">
        <v>0</v>
      </c>
      <c r="M829" t="n">
        <v>0</v>
      </c>
      <c r="N829" t="n">
        <v>0</v>
      </c>
      <c r="O829" t="n">
        <v>0</v>
      </c>
      <c r="P829" t="n">
        <v>0</v>
      </c>
      <c r="Q829" t="n">
        <v>0</v>
      </c>
      <c r="R829" s="2" t="inlineStr"/>
    </row>
    <row r="830" ht="15" customHeight="1">
      <c r="A830" t="inlineStr">
        <is>
          <t>A 16008-2025</t>
        </is>
      </c>
      <c r="B830" s="1" t="n">
        <v>45749</v>
      </c>
      <c r="C830" s="1" t="n">
        <v>46103</v>
      </c>
      <c r="D830" t="inlineStr">
        <is>
          <t>STOCKHOLMS LÄN</t>
        </is>
      </c>
      <c r="E830" t="inlineStr">
        <is>
          <t>NORRTÄLJE</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46103</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32101-2022</t>
        </is>
      </c>
      <c r="B832" s="1" t="n">
        <v>44778.69210648148</v>
      </c>
      <c r="C832" s="1" t="n">
        <v>46103</v>
      </c>
      <c r="D832" t="inlineStr">
        <is>
          <t>STOCKHOLMS LÄN</t>
        </is>
      </c>
      <c r="E832" t="inlineStr">
        <is>
          <t>NORRTÄLJE</t>
        </is>
      </c>
      <c r="G832" t="n">
        <v>4.4</v>
      </c>
      <c r="H832" t="n">
        <v>0</v>
      </c>
      <c r="I832" t="n">
        <v>0</v>
      </c>
      <c r="J832" t="n">
        <v>0</v>
      </c>
      <c r="K832" t="n">
        <v>0</v>
      </c>
      <c r="L832" t="n">
        <v>0</v>
      </c>
      <c r="M832" t="n">
        <v>0</v>
      </c>
      <c r="N832" t="n">
        <v>0</v>
      </c>
      <c r="O832" t="n">
        <v>0</v>
      </c>
      <c r="P832" t="n">
        <v>0</v>
      </c>
      <c r="Q832" t="n">
        <v>0</v>
      </c>
      <c r="R832" s="2" t="inlineStr"/>
    </row>
    <row r="833" ht="15" customHeight="1">
      <c r="A833" t="inlineStr">
        <is>
          <t>A 23150-2024</t>
        </is>
      </c>
      <c r="B833" s="1" t="n">
        <v>45450.64643518518</v>
      </c>
      <c r="C833" s="1" t="n">
        <v>46103</v>
      </c>
      <c r="D833" t="inlineStr">
        <is>
          <t>STOCKHOLMS LÄN</t>
        </is>
      </c>
      <c r="E833" t="inlineStr">
        <is>
          <t>NORRTÄLJE</t>
        </is>
      </c>
      <c r="F833" t="inlineStr">
        <is>
          <t>Kommuner</t>
        </is>
      </c>
      <c r="G833" t="n">
        <v>2.7</v>
      </c>
      <c r="H833" t="n">
        <v>0</v>
      </c>
      <c r="I833" t="n">
        <v>0</v>
      </c>
      <c r="J833" t="n">
        <v>0</v>
      </c>
      <c r="K833" t="n">
        <v>0</v>
      </c>
      <c r="L833" t="n">
        <v>0</v>
      </c>
      <c r="M833" t="n">
        <v>0</v>
      </c>
      <c r="N833" t="n">
        <v>0</v>
      </c>
      <c r="O833" t="n">
        <v>0</v>
      </c>
      <c r="P833" t="n">
        <v>0</v>
      </c>
      <c r="Q833" t="n">
        <v>0</v>
      </c>
      <c r="R833" s="2" t="inlineStr"/>
    </row>
    <row r="834" ht="15" customHeight="1">
      <c r="A834" t="inlineStr">
        <is>
          <t>A 24933-2023</t>
        </is>
      </c>
      <c r="B834" s="1" t="n">
        <v>45085.5309375</v>
      </c>
      <c r="C834" s="1" t="n">
        <v>46103</v>
      </c>
      <c r="D834" t="inlineStr">
        <is>
          <t>STOCKHOLMS LÄN</t>
        </is>
      </c>
      <c r="E834" t="inlineStr">
        <is>
          <t>NORRTÄLJE</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56631-2024</t>
        </is>
      </c>
      <c r="B835" s="1" t="n">
        <v>45625</v>
      </c>
      <c r="C835" s="1" t="n">
        <v>46103</v>
      </c>
      <c r="D835" t="inlineStr">
        <is>
          <t>STOCKHOLMS LÄN</t>
        </is>
      </c>
      <c r="E835" t="inlineStr">
        <is>
          <t>NORRTÄLJE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31170-2025</t>
        </is>
      </c>
      <c r="B836" s="1" t="n">
        <v>45832.66385416667</v>
      </c>
      <c r="C836" s="1" t="n">
        <v>46103</v>
      </c>
      <c r="D836" t="inlineStr">
        <is>
          <t>STOCKHOLMS LÄN</t>
        </is>
      </c>
      <c r="E836" t="inlineStr">
        <is>
          <t>NORRTÄLJE</t>
        </is>
      </c>
      <c r="G836" t="n">
        <v>2.7</v>
      </c>
      <c r="H836" t="n">
        <v>0</v>
      </c>
      <c r="I836" t="n">
        <v>0</v>
      </c>
      <c r="J836" t="n">
        <v>0</v>
      </c>
      <c r="K836" t="n">
        <v>0</v>
      </c>
      <c r="L836" t="n">
        <v>0</v>
      </c>
      <c r="M836" t="n">
        <v>0</v>
      </c>
      <c r="N836" t="n">
        <v>0</v>
      </c>
      <c r="O836" t="n">
        <v>0</v>
      </c>
      <c r="P836" t="n">
        <v>0</v>
      </c>
      <c r="Q836" t="n">
        <v>0</v>
      </c>
      <c r="R836" s="2" t="inlineStr"/>
    </row>
    <row r="837" ht="15" customHeight="1">
      <c r="A837" t="inlineStr">
        <is>
          <t>A 652-2025</t>
        </is>
      </c>
      <c r="B837" s="1" t="n">
        <v>45664</v>
      </c>
      <c r="C837" s="1" t="n">
        <v>46103</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31880-2025</t>
        </is>
      </c>
      <c r="B838" s="1" t="n">
        <v>45834.65538194445</v>
      </c>
      <c r="C838" s="1" t="n">
        <v>46103</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32122-2025</t>
        </is>
      </c>
      <c r="B839" s="1" t="n">
        <v>45835.4928125</v>
      </c>
      <c r="C839" s="1" t="n">
        <v>46103</v>
      </c>
      <c r="D839" t="inlineStr">
        <is>
          <t>STOCKHOLMS LÄN</t>
        </is>
      </c>
      <c r="E839" t="inlineStr">
        <is>
          <t>NORRTÄLJE</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31868-2025</t>
        </is>
      </c>
      <c r="B840" s="1" t="n">
        <v>45834.6447337963</v>
      </c>
      <c r="C840" s="1" t="n">
        <v>46103</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6413-2025</t>
        </is>
      </c>
      <c r="B841" s="1" t="n">
        <v>45699.46283564815</v>
      </c>
      <c r="C841" s="1" t="n">
        <v>46103</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32016-2025</t>
        </is>
      </c>
      <c r="B842" s="1" t="n">
        <v>45835</v>
      </c>
      <c r="C842" s="1" t="n">
        <v>46103</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5389-2025</t>
        </is>
      </c>
      <c r="B843" s="1" t="n">
        <v>45692</v>
      </c>
      <c r="C843" s="1" t="n">
        <v>46103</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32283-2025</t>
        </is>
      </c>
      <c r="B844" s="1" t="n">
        <v>45835.68076388889</v>
      </c>
      <c r="C844" s="1" t="n">
        <v>46103</v>
      </c>
      <c r="D844" t="inlineStr">
        <is>
          <t>STOCKHOLMS LÄN</t>
        </is>
      </c>
      <c r="E844" t="inlineStr">
        <is>
          <t>NORRTÄLJE</t>
        </is>
      </c>
      <c r="G844" t="n">
        <v>1.8</v>
      </c>
      <c r="H844" t="n">
        <v>0</v>
      </c>
      <c r="I844" t="n">
        <v>0</v>
      </c>
      <c r="J844" t="n">
        <v>0</v>
      </c>
      <c r="K844" t="n">
        <v>0</v>
      </c>
      <c r="L844" t="n">
        <v>0</v>
      </c>
      <c r="M844" t="n">
        <v>0</v>
      </c>
      <c r="N844" t="n">
        <v>0</v>
      </c>
      <c r="O844" t="n">
        <v>0</v>
      </c>
      <c r="P844" t="n">
        <v>0</v>
      </c>
      <c r="Q844" t="n">
        <v>0</v>
      </c>
      <c r="R844" s="2" t="inlineStr"/>
    </row>
    <row r="845" ht="15" customHeight="1">
      <c r="A845" t="inlineStr">
        <is>
          <t>A 31874-2025</t>
        </is>
      </c>
      <c r="B845" s="1" t="n">
        <v>45834</v>
      </c>
      <c r="C845" s="1" t="n">
        <v>46103</v>
      </c>
      <c r="D845" t="inlineStr">
        <is>
          <t>STOCKHOLMS LÄN</t>
        </is>
      </c>
      <c r="E845" t="inlineStr">
        <is>
          <t>NORRTÄLJE</t>
        </is>
      </c>
      <c r="G845" t="n">
        <v>1.4</v>
      </c>
      <c r="H845" t="n">
        <v>0</v>
      </c>
      <c r="I845" t="n">
        <v>0</v>
      </c>
      <c r="J845" t="n">
        <v>0</v>
      </c>
      <c r="K845" t="n">
        <v>0</v>
      </c>
      <c r="L845" t="n">
        <v>0</v>
      </c>
      <c r="M845" t="n">
        <v>0</v>
      </c>
      <c r="N845" t="n">
        <v>0</v>
      </c>
      <c r="O845" t="n">
        <v>0</v>
      </c>
      <c r="P845" t="n">
        <v>0</v>
      </c>
      <c r="Q845" t="n">
        <v>0</v>
      </c>
      <c r="R845" s="2" t="inlineStr"/>
    </row>
    <row r="846" ht="15" customHeight="1">
      <c r="A846" t="inlineStr">
        <is>
          <t>A 32094-2025</t>
        </is>
      </c>
      <c r="B846" s="1" t="n">
        <v>45835.46034722222</v>
      </c>
      <c r="C846" s="1" t="n">
        <v>46103</v>
      </c>
      <c r="D846" t="inlineStr">
        <is>
          <t>STOCKHOLMS LÄN</t>
        </is>
      </c>
      <c r="E846" t="inlineStr">
        <is>
          <t>NORRTÄLJE</t>
        </is>
      </c>
      <c r="F846" t="inlineStr">
        <is>
          <t>Holmen skog AB</t>
        </is>
      </c>
      <c r="G846" t="n">
        <v>2.9</v>
      </c>
      <c r="H846" t="n">
        <v>0</v>
      </c>
      <c r="I846" t="n">
        <v>0</v>
      </c>
      <c r="J846" t="n">
        <v>0</v>
      </c>
      <c r="K846" t="n">
        <v>0</v>
      </c>
      <c r="L846" t="n">
        <v>0</v>
      </c>
      <c r="M846" t="n">
        <v>0</v>
      </c>
      <c r="N846" t="n">
        <v>0</v>
      </c>
      <c r="O846" t="n">
        <v>0</v>
      </c>
      <c r="P846" t="n">
        <v>0</v>
      </c>
      <c r="Q846" t="n">
        <v>0</v>
      </c>
      <c r="R846" s="2" t="inlineStr"/>
    </row>
    <row r="847" ht="15" customHeight="1">
      <c r="A847" t="inlineStr">
        <is>
          <t>A 11499-2023</t>
        </is>
      </c>
      <c r="B847" s="1" t="n">
        <v>44993.66707175926</v>
      </c>
      <c r="C847" s="1" t="n">
        <v>46103</v>
      </c>
      <c r="D847" t="inlineStr">
        <is>
          <t>STOCKHOLMS LÄN</t>
        </is>
      </c>
      <c r="E847" t="inlineStr">
        <is>
          <t>NORRTÄLJE</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32480-2025</t>
        </is>
      </c>
      <c r="B848" s="1" t="n">
        <v>45838.43261574074</v>
      </c>
      <c r="C848" s="1" t="n">
        <v>46103</v>
      </c>
      <c r="D848" t="inlineStr">
        <is>
          <t>STOCKHOLMS LÄN</t>
        </is>
      </c>
      <c r="E848" t="inlineStr">
        <is>
          <t>NORRTÄLJE</t>
        </is>
      </c>
      <c r="F848" t="inlineStr">
        <is>
          <t>Holmen skog AB</t>
        </is>
      </c>
      <c r="G848" t="n">
        <v>0.7</v>
      </c>
      <c r="H848" t="n">
        <v>0</v>
      </c>
      <c r="I848" t="n">
        <v>0</v>
      </c>
      <c r="J848" t="n">
        <v>0</v>
      </c>
      <c r="K848" t="n">
        <v>0</v>
      </c>
      <c r="L848" t="n">
        <v>0</v>
      </c>
      <c r="M848" t="n">
        <v>0</v>
      </c>
      <c r="N848" t="n">
        <v>0</v>
      </c>
      <c r="O848" t="n">
        <v>0</v>
      </c>
      <c r="P848" t="n">
        <v>0</v>
      </c>
      <c r="Q848" t="n">
        <v>0</v>
      </c>
      <c r="R848" s="2" t="inlineStr"/>
    </row>
    <row r="849" ht="15" customHeight="1">
      <c r="A849" t="inlineStr">
        <is>
          <t>A 576-2023</t>
        </is>
      </c>
      <c r="B849" s="1" t="n">
        <v>44925</v>
      </c>
      <c r="C849" s="1" t="n">
        <v>46103</v>
      </c>
      <c r="D849" t="inlineStr">
        <is>
          <t>STOCKHOLMS LÄN</t>
        </is>
      </c>
      <c r="E849" t="inlineStr">
        <is>
          <t>NORRTÄLJE</t>
        </is>
      </c>
      <c r="G849" t="n">
        <v>7.2</v>
      </c>
      <c r="H849" t="n">
        <v>0</v>
      </c>
      <c r="I849" t="n">
        <v>0</v>
      </c>
      <c r="J849" t="n">
        <v>0</v>
      </c>
      <c r="K849" t="n">
        <v>0</v>
      </c>
      <c r="L849" t="n">
        <v>0</v>
      </c>
      <c r="M849" t="n">
        <v>0</v>
      </c>
      <c r="N849" t="n">
        <v>0</v>
      </c>
      <c r="O849" t="n">
        <v>0</v>
      </c>
      <c r="P849" t="n">
        <v>0</v>
      </c>
      <c r="Q849" t="n">
        <v>0</v>
      </c>
      <c r="R849" s="2" t="inlineStr"/>
    </row>
    <row r="850" ht="15" customHeight="1">
      <c r="A850" t="inlineStr">
        <is>
          <t>A 32872-2025</t>
        </is>
      </c>
      <c r="B850" s="1" t="n">
        <v>45839</v>
      </c>
      <c r="C850" s="1" t="n">
        <v>46103</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32903-2025</t>
        </is>
      </c>
      <c r="B851" s="1" t="n">
        <v>45839.62398148148</v>
      </c>
      <c r="C851" s="1" t="n">
        <v>46103</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32395-2025</t>
        </is>
      </c>
      <c r="B852" s="1" t="n">
        <v>45837.93730324074</v>
      </c>
      <c r="C852" s="1" t="n">
        <v>46103</v>
      </c>
      <c r="D852" t="inlineStr">
        <is>
          <t>STOCKHOLMS LÄN</t>
        </is>
      </c>
      <c r="E852" t="inlineStr">
        <is>
          <t>NORRTÄLJE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10678-2025</t>
        </is>
      </c>
      <c r="B853" s="1" t="n">
        <v>45721.89123842592</v>
      </c>
      <c r="C853" s="1" t="n">
        <v>46103</v>
      </c>
      <c r="D853" t="inlineStr">
        <is>
          <t>STOCKHOLMS LÄN</t>
        </is>
      </c>
      <c r="E853" t="inlineStr">
        <is>
          <t>NORRTÄLJE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32396-2025</t>
        </is>
      </c>
      <c r="B854" s="1" t="n">
        <v>45837</v>
      </c>
      <c r="C854" s="1" t="n">
        <v>46103</v>
      </c>
      <c r="D854" t="inlineStr">
        <is>
          <t>STOCKHOLMS LÄN</t>
        </is>
      </c>
      <c r="E854" t="inlineStr">
        <is>
          <t>NORRTÄLJE</t>
        </is>
      </c>
      <c r="G854" t="n">
        <v>2</v>
      </c>
      <c r="H854" t="n">
        <v>0</v>
      </c>
      <c r="I854" t="n">
        <v>0</v>
      </c>
      <c r="J854" t="n">
        <v>0</v>
      </c>
      <c r="K854" t="n">
        <v>0</v>
      </c>
      <c r="L854" t="n">
        <v>0</v>
      </c>
      <c r="M854" t="n">
        <v>0</v>
      </c>
      <c r="N854" t="n">
        <v>0</v>
      </c>
      <c r="O854" t="n">
        <v>0</v>
      </c>
      <c r="P854" t="n">
        <v>0</v>
      </c>
      <c r="Q854" t="n">
        <v>0</v>
      </c>
      <c r="R854" s="2" t="inlineStr"/>
    </row>
    <row r="855" ht="15" customHeight="1">
      <c r="A855" t="inlineStr">
        <is>
          <t>A 32397-2025</t>
        </is>
      </c>
      <c r="B855" s="1" t="n">
        <v>45837.94081018519</v>
      </c>
      <c r="C855" s="1" t="n">
        <v>46103</v>
      </c>
      <c r="D855" t="inlineStr">
        <is>
          <t>STOCKHOLMS LÄN</t>
        </is>
      </c>
      <c r="E855" t="inlineStr">
        <is>
          <t>NORRTÄLJE</t>
        </is>
      </c>
      <c r="G855" t="n">
        <v>5.9</v>
      </c>
      <c r="H855" t="n">
        <v>0</v>
      </c>
      <c r="I855" t="n">
        <v>0</v>
      </c>
      <c r="J855" t="n">
        <v>0</v>
      </c>
      <c r="K855" t="n">
        <v>0</v>
      </c>
      <c r="L855" t="n">
        <v>0</v>
      </c>
      <c r="M855" t="n">
        <v>0</v>
      </c>
      <c r="N855" t="n">
        <v>0</v>
      </c>
      <c r="O855" t="n">
        <v>0</v>
      </c>
      <c r="P855" t="n">
        <v>0</v>
      </c>
      <c r="Q855" t="n">
        <v>0</v>
      </c>
      <c r="R855" s="2" t="inlineStr"/>
    </row>
    <row r="856" ht="15" customHeight="1">
      <c r="A856" t="inlineStr">
        <is>
          <t>A 31936-2022</t>
        </is>
      </c>
      <c r="B856" s="1" t="n">
        <v>44777</v>
      </c>
      <c r="C856" s="1" t="n">
        <v>46103</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59873-2024</t>
        </is>
      </c>
      <c r="B857" s="1" t="n">
        <v>45640.57305555556</v>
      </c>
      <c r="C857" s="1" t="n">
        <v>46103</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35916-2024</t>
        </is>
      </c>
      <c r="B858" s="1" t="n">
        <v>45533</v>
      </c>
      <c r="C858" s="1" t="n">
        <v>46103</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10098-2022</t>
        </is>
      </c>
      <c r="B859" s="1" t="n">
        <v>44621</v>
      </c>
      <c r="C859" s="1" t="n">
        <v>46103</v>
      </c>
      <c r="D859" t="inlineStr">
        <is>
          <t>STOCKHOLMS LÄN</t>
        </is>
      </c>
      <c r="E859" t="inlineStr">
        <is>
          <t>NORRTÄLJE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63161-2023</t>
        </is>
      </c>
      <c r="B860" s="1" t="n">
        <v>45273</v>
      </c>
      <c r="C860" s="1" t="n">
        <v>46103</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7796-2025</t>
        </is>
      </c>
      <c r="B861" s="1" t="n">
        <v>45706.60130787037</v>
      </c>
      <c r="C861" s="1" t="n">
        <v>46103</v>
      </c>
      <c r="D861" t="inlineStr">
        <is>
          <t>STOCKHOLMS LÄN</t>
        </is>
      </c>
      <c r="E861" t="inlineStr">
        <is>
          <t>NORRTÄLJE</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33702-2025</t>
        </is>
      </c>
      <c r="B862" s="1" t="n">
        <v>45841.74596064815</v>
      </c>
      <c r="C862" s="1" t="n">
        <v>46103</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15552-2021</t>
        </is>
      </c>
      <c r="B863" s="1" t="n">
        <v>44285</v>
      </c>
      <c r="C863" s="1" t="n">
        <v>46103</v>
      </c>
      <c r="D863" t="inlineStr">
        <is>
          <t>STOCKHOLMS LÄN</t>
        </is>
      </c>
      <c r="E863" t="inlineStr">
        <is>
          <t>NORRTÄLJE</t>
        </is>
      </c>
      <c r="G863" t="n">
        <v>10</v>
      </c>
      <c r="H863" t="n">
        <v>0</v>
      </c>
      <c r="I863" t="n">
        <v>0</v>
      </c>
      <c r="J863" t="n">
        <v>0</v>
      </c>
      <c r="K863" t="n">
        <v>0</v>
      </c>
      <c r="L863" t="n">
        <v>0</v>
      </c>
      <c r="M863" t="n">
        <v>0</v>
      </c>
      <c r="N863" t="n">
        <v>0</v>
      </c>
      <c r="O863" t="n">
        <v>0</v>
      </c>
      <c r="P863" t="n">
        <v>0</v>
      </c>
      <c r="Q863" t="n">
        <v>0</v>
      </c>
      <c r="R863" s="2" t="inlineStr"/>
    </row>
    <row r="864" ht="15" customHeight="1">
      <c r="A864" t="inlineStr">
        <is>
          <t>A 58040-2024</t>
        </is>
      </c>
      <c r="B864" s="1" t="n">
        <v>45631.73952546297</v>
      </c>
      <c r="C864" s="1" t="n">
        <v>46103</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58041-2024</t>
        </is>
      </c>
      <c r="B865" s="1" t="n">
        <v>45631.74673611111</v>
      </c>
      <c r="C865" s="1" t="n">
        <v>46103</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30268-2024</t>
        </is>
      </c>
      <c r="B866" s="1" t="n">
        <v>45490.60572916667</v>
      </c>
      <c r="C866" s="1" t="n">
        <v>46103</v>
      </c>
      <c r="D866" t="inlineStr">
        <is>
          <t>STOCKHOLMS LÄN</t>
        </is>
      </c>
      <c r="E866" t="inlineStr">
        <is>
          <t>NORRTÄLJE</t>
        </is>
      </c>
      <c r="G866" t="n">
        <v>5.6</v>
      </c>
      <c r="H866" t="n">
        <v>0</v>
      </c>
      <c r="I866" t="n">
        <v>0</v>
      </c>
      <c r="J866" t="n">
        <v>0</v>
      </c>
      <c r="K866" t="n">
        <v>0</v>
      </c>
      <c r="L866" t="n">
        <v>0</v>
      </c>
      <c r="M866" t="n">
        <v>0</v>
      </c>
      <c r="N866" t="n">
        <v>0</v>
      </c>
      <c r="O866" t="n">
        <v>0</v>
      </c>
      <c r="P866" t="n">
        <v>0</v>
      </c>
      <c r="Q866" t="n">
        <v>0</v>
      </c>
      <c r="R866" s="2" t="inlineStr"/>
    </row>
    <row r="867" ht="15" customHeight="1">
      <c r="A867" t="inlineStr">
        <is>
          <t>A 12407-2025</t>
        </is>
      </c>
      <c r="B867" s="1" t="n">
        <v>45730.42851851852</v>
      </c>
      <c r="C867" s="1" t="n">
        <v>46103</v>
      </c>
      <c r="D867" t="inlineStr">
        <is>
          <t>STOCKHOLMS LÄN</t>
        </is>
      </c>
      <c r="E867" t="inlineStr">
        <is>
          <t>NORRTÄLJE</t>
        </is>
      </c>
      <c r="F867" t="inlineStr">
        <is>
          <t>Holmen skog AB</t>
        </is>
      </c>
      <c r="G867" t="n">
        <v>2.6</v>
      </c>
      <c r="H867" t="n">
        <v>0</v>
      </c>
      <c r="I867" t="n">
        <v>0</v>
      </c>
      <c r="J867" t="n">
        <v>0</v>
      </c>
      <c r="K867" t="n">
        <v>0</v>
      </c>
      <c r="L867" t="n">
        <v>0</v>
      </c>
      <c r="M867" t="n">
        <v>0</v>
      </c>
      <c r="N867" t="n">
        <v>0</v>
      </c>
      <c r="O867" t="n">
        <v>0</v>
      </c>
      <c r="P867" t="n">
        <v>0</v>
      </c>
      <c r="Q867" t="n">
        <v>0</v>
      </c>
      <c r="R867" s="2" t="inlineStr"/>
    </row>
    <row r="868" ht="15" customHeight="1">
      <c r="A868" t="inlineStr">
        <is>
          <t>A 33211-2025</t>
        </is>
      </c>
      <c r="B868" s="1" t="n">
        <v>45840.62755787037</v>
      </c>
      <c r="C868" s="1" t="n">
        <v>46103</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19025-2025</t>
        </is>
      </c>
      <c r="B869" s="1" t="n">
        <v>45764.6359837963</v>
      </c>
      <c r="C869" s="1" t="n">
        <v>46103</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33265-2025</t>
        </is>
      </c>
      <c r="B870" s="1" t="n">
        <v>45840.67829861111</v>
      </c>
      <c r="C870" s="1" t="n">
        <v>46103</v>
      </c>
      <c r="D870" t="inlineStr">
        <is>
          <t>STOCKHOLMS LÄN</t>
        </is>
      </c>
      <c r="E870" t="inlineStr">
        <is>
          <t>NORRTÄLJE</t>
        </is>
      </c>
      <c r="G870" t="n">
        <v>5.5</v>
      </c>
      <c r="H870" t="n">
        <v>0</v>
      </c>
      <c r="I870" t="n">
        <v>0</v>
      </c>
      <c r="J870" t="n">
        <v>0</v>
      </c>
      <c r="K870" t="n">
        <v>0</v>
      </c>
      <c r="L870" t="n">
        <v>0</v>
      </c>
      <c r="M870" t="n">
        <v>0</v>
      </c>
      <c r="N870" t="n">
        <v>0</v>
      </c>
      <c r="O870" t="n">
        <v>0</v>
      </c>
      <c r="P870" t="n">
        <v>0</v>
      </c>
      <c r="Q870" t="n">
        <v>0</v>
      </c>
      <c r="R870" s="2" t="inlineStr"/>
    </row>
    <row r="871" ht="15" customHeight="1">
      <c r="A871" t="inlineStr">
        <is>
          <t>A 54276-2021</t>
        </is>
      </c>
      <c r="B871" s="1" t="n">
        <v>44470</v>
      </c>
      <c r="C871" s="1" t="n">
        <v>46103</v>
      </c>
      <c r="D871" t="inlineStr">
        <is>
          <t>STOCKHOLMS LÄN</t>
        </is>
      </c>
      <c r="E871" t="inlineStr">
        <is>
          <t>NORRTÄLJE</t>
        </is>
      </c>
      <c r="G871" t="n">
        <v>7.3</v>
      </c>
      <c r="H871" t="n">
        <v>0</v>
      </c>
      <c r="I871" t="n">
        <v>0</v>
      </c>
      <c r="J871" t="n">
        <v>0</v>
      </c>
      <c r="K871" t="n">
        <v>0</v>
      </c>
      <c r="L871" t="n">
        <v>0</v>
      </c>
      <c r="M871" t="n">
        <v>0</v>
      </c>
      <c r="N871" t="n">
        <v>0</v>
      </c>
      <c r="O871" t="n">
        <v>0</v>
      </c>
      <c r="P871" t="n">
        <v>0</v>
      </c>
      <c r="Q871" t="n">
        <v>0</v>
      </c>
      <c r="R871" s="2" t="inlineStr"/>
    </row>
    <row r="872" ht="15" customHeight="1">
      <c r="A872" t="inlineStr">
        <is>
          <t>A 4316-2023</t>
        </is>
      </c>
      <c r="B872" s="1" t="n">
        <v>44953.67443287037</v>
      </c>
      <c r="C872" s="1" t="n">
        <v>46103</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41587-2023</t>
        </is>
      </c>
      <c r="B873" s="1" t="n">
        <v>45175</v>
      </c>
      <c r="C873" s="1" t="n">
        <v>46103</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33552-2025</t>
        </is>
      </c>
      <c r="B874" s="1" t="n">
        <v>45841.5737962963</v>
      </c>
      <c r="C874" s="1" t="n">
        <v>46103</v>
      </c>
      <c r="D874" t="inlineStr">
        <is>
          <t>STOCKHOLMS LÄN</t>
        </is>
      </c>
      <c r="E874" t="inlineStr">
        <is>
          <t>NORRTÄLJE</t>
        </is>
      </c>
      <c r="G874" t="n">
        <v>8.9</v>
      </c>
      <c r="H874" t="n">
        <v>0</v>
      </c>
      <c r="I874" t="n">
        <v>0</v>
      </c>
      <c r="J874" t="n">
        <v>0</v>
      </c>
      <c r="K874" t="n">
        <v>0</v>
      </c>
      <c r="L874" t="n">
        <v>0</v>
      </c>
      <c r="M874" t="n">
        <v>0</v>
      </c>
      <c r="N874" t="n">
        <v>0</v>
      </c>
      <c r="O874" t="n">
        <v>0</v>
      </c>
      <c r="P874" t="n">
        <v>0</v>
      </c>
      <c r="Q874" t="n">
        <v>0</v>
      </c>
      <c r="R874" s="2" t="inlineStr"/>
    </row>
    <row r="875" ht="15" customHeight="1">
      <c r="A875" t="inlineStr">
        <is>
          <t>A 33336-2025</t>
        </is>
      </c>
      <c r="B875" s="1" t="n">
        <v>45841.35611111111</v>
      </c>
      <c r="C875" s="1" t="n">
        <v>46103</v>
      </c>
      <c r="D875" t="inlineStr">
        <is>
          <t>STOCKHOLMS LÄN</t>
        </is>
      </c>
      <c r="E875" t="inlineStr">
        <is>
          <t>NORRTÄLJE</t>
        </is>
      </c>
      <c r="G875" t="n">
        <v>2.4</v>
      </c>
      <c r="H875" t="n">
        <v>0</v>
      </c>
      <c r="I875" t="n">
        <v>0</v>
      </c>
      <c r="J875" t="n">
        <v>0</v>
      </c>
      <c r="K875" t="n">
        <v>0</v>
      </c>
      <c r="L875" t="n">
        <v>0</v>
      </c>
      <c r="M875" t="n">
        <v>0</v>
      </c>
      <c r="N875" t="n">
        <v>0</v>
      </c>
      <c r="O875" t="n">
        <v>0</v>
      </c>
      <c r="P875" t="n">
        <v>0</v>
      </c>
      <c r="Q875" t="n">
        <v>0</v>
      </c>
      <c r="R875" s="2" t="inlineStr"/>
    </row>
    <row r="876" ht="15" customHeight="1">
      <c r="A876" t="inlineStr">
        <is>
          <t>A 33824-2025</t>
        </is>
      </c>
      <c r="B876" s="1" t="n">
        <v>45842.46885416667</v>
      </c>
      <c r="C876" s="1" t="n">
        <v>46103</v>
      </c>
      <c r="D876" t="inlineStr">
        <is>
          <t>STOCKHOLMS LÄN</t>
        </is>
      </c>
      <c r="E876" t="inlineStr">
        <is>
          <t>NORRTÄLJE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34006-2025</t>
        </is>
      </c>
      <c r="B877" s="1" t="n">
        <v>45844.62609953704</v>
      </c>
      <c r="C877" s="1" t="n">
        <v>46103</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17304-2024</t>
        </is>
      </c>
      <c r="B878" s="1" t="n">
        <v>45414</v>
      </c>
      <c r="C878" s="1" t="n">
        <v>46103</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34139-2025</t>
        </is>
      </c>
      <c r="B879" s="1" t="n">
        <v>45845</v>
      </c>
      <c r="C879" s="1" t="n">
        <v>46103</v>
      </c>
      <c r="D879" t="inlineStr">
        <is>
          <t>STOCKHOLMS LÄN</t>
        </is>
      </c>
      <c r="E879" t="inlineStr">
        <is>
          <t>NORRTÄLJE</t>
        </is>
      </c>
      <c r="G879" t="n">
        <v>5.5</v>
      </c>
      <c r="H879" t="n">
        <v>0</v>
      </c>
      <c r="I879" t="n">
        <v>0</v>
      </c>
      <c r="J879" t="n">
        <v>0</v>
      </c>
      <c r="K879" t="n">
        <v>0</v>
      </c>
      <c r="L879" t="n">
        <v>0</v>
      </c>
      <c r="M879" t="n">
        <v>0</v>
      </c>
      <c r="N879" t="n">
        <v>0</v>
      </c>
      <c r="O879" t="n">
        <v>0</v>
      </c>
      <c r="P879" t="n">
        <v>0</v>
      </c>
      <c r="Q879" t="n">
        <v>0</v>
      </c>
      <c r="R879" s="2" t="inlineStr"/>
    </row>
    <row r="880" ht="15" customHeight="1">
      <c r="A880" t="inlineStr">
        <is>
          <t>A 34010-2025</t>
        </is>
      </c>
      <c r="B880" s="1" t="n">
        <v>45844.91234953704</v>
      </c>
      <c r="C880" s="1" t="n">
        <v>46103</v>
      </c>
      <c r="D880" t="inlineStr">
        <is>
          <t>STOCKHOLMS LÄN</t>
        </is>
      </c>
      <c r="E880" t="inlineStr">
        <is>
          <t>NORRTÄLJE</t>
        </is>
      </c>
      <c r="F880" t="inlineStr">
        <is>
          <t>Övriga Aktiebolag</t>
        </is>
      </c>
      <c r="G880" t="n">
        <v>1.1</v>
      </c>
      <c r="H880" t="n">
        <v>0</v>
      </c>
      <c r="I880" t="n">
        <v>0</v>
      </c>
      <c r="J880" t="n">
        <v>0</v>
      </c>
      <c r="K880" t="n">
        <v>0</v>
      </c>
      <c r="L880" t="n">
        <v>0</v>
      </c>
      <c r="M880" t="n">
        <v>0</v>
      </c>
      <c r="N880" t="n">
        <v>0</v>
      </c>
      <c r="O880" t="n">
        <v>0</v>
      </c>
      <c r="P880" t="n">
        <v>0</v>
      </c>
      <c r="Q880" t="n">
        <v>0</v>
      </c>
      <c r="R880" s="2" t="inlineStr"/>
    </row>
    <row r="881" ht="15" customHeight="1">
      <c r="A881" t="inlineStr">
        <is>
          <t>A 11280-2023</t>
        </is>
      </c>
      <c r="B881" s="1" t="n">
        <v>44992</v>
      </c>
      <c r="C881" s="1" t="n">
        <v>46103</v>
      </c>
      <c r="D881" t="inlineStr">
        <is>
          <t>STOCKHOLMS LÄN</t>
        </is>
      </c>
      <c r="E881" t="inlineStr">
        <is>
          <t>NORRTÄLJE</t>
        </is>
      </c>
      <c r="G881" t="n">
        <v>0.8</v>
      </c>
      <c r="H881" t="n">
        <v>0</v>
      </c>
      <c r="I881" t="n">
        <v>0</v>
      </c>
      <c r="J881" t="n">
        <v>0</v>
      </c>
      <c r="K881" t="n">
        <v>0</v>
      </c>
      <c r="L881" t="n">
        <v>0</v>
      </c>
      <c r="M881" t="n">
        <v>0</v>
      </c>
      <c r="N881" t="n">
        <v>0</v>
      </c>
      <c r="O881" t="n">
        <v>0</v>
      </c>
      <c r="P881" t="n">
        <v>0</v>
      </c>
      <c r="Q881" t="n">
        <v>0</v>
      </c>
      <c r="R881" s="2" t="inlineStr"/>
    </row>
    <row r="882" ht="15" customHeight="1">
      <c r="A882" t="inlineStr">
        <is>
          <t>A 26668-2024</t>
        </is>
      </c>
      <c r="B882" s="1" t="n">
        <v>45469</v>
      </c>
      <c r="C882" s="1" t="n">
        <v>46103</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36689-2023</t>
        </is>
      </c>
      <c r="B883" s="1" t="n">
        <v>45152</v>
      </c>
      <c r="C883" s="1" t="n">
        <v>46103</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46073-2024</t>
        </is>
      </c>
      <c r="B884" s="1" t="n">
        <v>45581</v>
      </c>
      <c r="C884" s="1" t="n">
        <v>46103</v>
      </c>
      <c r="D884" t="inlineStr">
        <is>
          <t>STOCKHOLMS LÄN</t>
        </is>
      </c>
      <c r="E884" t="inlineStr">
        <is>
          <t>NORRTÄLJE</t>
        </is>
      </c>
      <c r="G884" t="n">
        <v>2</v>
      </c>
      <c r="H884" t="n">
        <v>0</v>
      </c>
      <c r="I884" t="n">
        <v>0</v>
      </c>
      <c r="J884" t="n">
        <v>0</v>
      </c>
      <c r="K884" t="n">
        <v>0</v>
      </c>
      <c r="L884" t="n">
        <v>0</v>
      </c>
      <c r="M884" t="n">
        <v>0</v>
      </c>
      <c r="N884" t="n">
        <v>0</v>
      </c>
      <c r="O884" t="n">
        <v>0</v>
      </c>
      <c r="P884" t="n">
        <v>0</v>
      </c>
      <c r="Q884" t="n">
        <v>0</v>
      </c>
      <c r="R884" s="2" t="inlineStr"/>
    </row>
    <row r="885" ht="15" customHeight="1">
      <c r="A885" t="inlineStr">
        <is>
          <t>A 31926-2022</t>
        </is>
      </c>
      <c r="B885" s="1" t="n">
        <v>44777</v>
      </c>
      <c r="C885" s="1" t="n">
        <v>46103</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21480-2022</t>
        </is>
      </c>
      <c r="B886" s="1" t="n">
        <v>44704</v>
      </c>
      <c r="C886" s="1" t="n">
        <v>46103</v>
      </c>
      <c r="D886" t="inlineStr">
        <is>
          <t>STOCKHOLMS LÄN</t>
        </is>
      </c>
      <c r="E886" t="inlineStr">
        <is>
          <t>NORRTÄLJE</t>
        </is>
      </c>
      <c r="G886" t="n">
        <v>2.8</v>
      </c>
      <c r="H886" t="n">
        <v>0</v>
      </c>
      <c r="I886" t="n">
        <v>0</v>
      </c>
      <c r="J886" t="n">
        <v>0</v>
      </c>
      <c r="K886" t="n">
        <v>0</v>
      </c>
      <c r="L886" t="n">
        <v>0</v>
      </c>
      <c r="M886" t="n">
        <v>0</v>
      </c>
      <c r="N886" t="n">
        <v>0</v>
      </c>
      <c r="O886" t="n">
        <v>0</v>
      </c>
      <c r="P886" t="n">
        <v>0</v>
      </c>
      <c r="Q886" t="n">
        <v>0</v>
      </c>
      <c r="R886" s="2" t="inlineStr"/>
    </row>
    <row r="887" ht="15" customHeight="1">
      <c r="A887" t="inlineStr">
        <is>
          <t>A 11041-2025</t>
        </is>
      </c>
      <c r="B887" s="1" t="n">
        <v>45723</v>
      </c>
      <c r="C887" s="1" t="n">
        <v>46103</v>
      </c>
      <c r="D887" t="inlineStr">
        <is>
          <t>STOCKHOLMS LÄN</t>
        </is>
      </c>
      <c r="E887" t="inlineStr">
        <is>
          <t>NORRTÄLJE</t>
        </is>
      </c>
      <c r="F887" t="inlineStr">
        <is>
          <t>Övriga Aktiebolag</t>
        </is>
      </c>
      <c r="G887" t="n">
        <v>1.8</v>
      </c>
      <c r="H887" t="n">
        <v>0</v>
      </c>
      <c r="I887" t="n">
        <v>0</v>
      </c>
      <c r="J887" t="n">
        <v>0</v>
      </c>
      <c r="K887" t="n">
        <v>0</v>
      </c>
      <c r="L887" t="n">
        <v>0</v>
      </c>
      <c r="M887" t="n">
        <v>0</v>
      </c>
      <c r="N887" t="n">
        <v>0</v>
      </c>
      <c r="O887" t="n">
        <v>0</v>
      </c>
      <c r="P887" t="n">
        <v>0</v>
      </c>
      <c r="Q887" t="n">
        <v>0</v>
      </c>
      <c r="R887" s="2" t="inlineStr"/>
    </row>
    <row r="888" ht="15" customHeight="1">
      <c r="A888" t="inlineStr">
        <is>
          <t>A 24024-2024</t>
        </is>
      </c>
      <c r="B888" s="1" t="n">
        <v>45456</v>
      </c>
      <c r="C888" s="1" t="n">
        <v>46103</v>
      </c>
      <c r="D888" t="inlineStr">
        <is>
          <t>STOCKHOLMS LÄN</t>
        </is>
      </c>
      <c r="E888" t="inlineStr">
        <is>
          <t>NORRTÄLJE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28809-2023</t>
        </is>
      </c>
      <c r="B889" s="1" t="n">
        <v>45104</v>
      </c>
      <c r="C889" s="1" t="n">
        <v>46103</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28813-2023</t>
        </is>
      </c>
      <c r="B890" s="1" t="n">
        <v>45104</v>
      </c>
      <c r="C890" s="1" t="n">
        <v>46103</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40656-2022</t>
        </is>
      </c>
      <c r="B891" s="1" t="n">
        <v>44824.36069444445</v>
      </c>
      <c r="C891" s="1" t="n">
        <v>46103</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60694-2024</t>
        </is>
      </c>
      <c r="B892" s="1" t="n">
        <v>45644.47878472223</v>
      </c>
      <c r="C892" s="1" t="n">
        <v>46103</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19450-2025</t>
        </is>
      </c>
      <c r="B893" s="1" t="n">
        <v>45770</v>
      </c>
      <c r="C893" s="1" t="n">
        <v>46103</v>
      </c>
      <c r="D893" t="inlineStr">
        <is>
          <t>STOCKHOLMS LÄN</t>
        </is>
      </c>
      <c r="E893" t="inlineStr">
        <is>
          <t>NORRTÄLJE</t>
        </is>
      </c>
      <c r="G893" t="n">
        <v>5.3</v>
      </c>
      <c r="H893" t="n">
        <v>0</v>
      </c>
      <c r="I893" t="n">
        <v>0</v>
      </c>
      <c r="J893" t="n">
        <v>0</v>
      </c>
      <c r="K893" t="n">
        <v>0</v>
      </c>
      <c r="L893" t="n">
        <v>0</v>
      </c>
      <c r="M893" t="n">
        <v>0</v>
      </c>
      <c r="N893" t="n">
        <v>0</v>
      </c>
      <c r="O893" t="n">
        <v>0</v>
      </c>
      <c r="P893" t="n">
        <v>0</v>
      </c>
      <c r="Q893" t="n">
        <v>0</v>
      </c>
      <c r="R893" s="2" t="inlineStr"/>
    </row>
    <row r="894" ht="15" customHeight="1">
      <c r="A894" t="inlineStr">
        <is>
          <t>A 35110-2025</t>
        </is>
      </c>
      <c r="B894" s="1" t="n">
        <v>45852.58030092593</v>
      </c>
      <c r="C894" s="1" t="n">
        <v>46103</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35254-2025</t>
        </is>
      </c>
      <c r="B895" s="1" t="n">
        <v>45853</v>
      </c>
      <c r="C895" s="1" t="n">
        <v>46103</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35479-2025</t>
        </is>
      </c>
      <c r="B896" s="1" t="n">
        <v>45855.69387731481</v>
      </c>
      <c r="C896" s="1" t="n">
        <v>46103</v>
      </c>
      <c r="D896" t="inlineStr">
        <is>
          <t>STOCKHOLMS LÄN</t>
        </is>
      </c>
      <c r="E896" t="inlineStr">
        <is>
          <t>NORRTÄLJE</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35451-2025</t>
        </is>
      </c>
      <c r="B897" s="1" t="n">
        <v>45855.57033564815</v>
      </c>
      <c r="C897" s="1" t="n">
        <v>46103</v>
      </c>
      <c r="D897" t="inlineStr">
        <is>
          <t>STOCKHOLMS LÄN</t>
        </is>
      </c>
      <c r="E897" t="inlineStr">
        <is>
          <t>NORRTÄLJE</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35478-2025</t>
        </is>
      </c>
      <c r="B898" s="1" t="n">
        <v>45855.68413194444</v>
      </c>
      <c r="C898" s="1" t="n">
        <v>46103</v>
      </c>
      <c r="D898" t="inlineStr">
        <is>
          <t>STOCKHOLMS LÄN</t>
        </is>
      </c>
      <c r="E898" t="inlineStr">
        <is>
          <t>NORRTÄLJE</t>
        </is>
      </c>
      <c r="F898" t="inlineStr">
        <is>
          <t>Holmen skog AB</t>
        </is>
      </c>
      <c r="G898" t="n">
        <v>2.7</v>
      </c>
      <c r="H898" t="n">
        <v>0</v>
      </c>
      <c r="I898" t="n">
        <v>0</v>
      </c>
      <c r="J898" t="n">
        <v>0</v>
      </c>
      <c r="K898" t="n">
        <v>0</v>
      </c>
      <c r="L898" t="n">
        <v>0</v>
      </c>
      <c r="M898" t="n">
        <v>0</v>
      </c>
      <c r="N898" t="n">
        <v>0</v>
      </c>
      <c r="O898" t="n">
        <v>0</v>
      </c>
      <c r="P898" t="n">
        <v>0</v>
      </c>
      <c r="Q898" t="n">
        <v>0</v>
      </c>
      <c r="R898" s="2" t="inlineStr"/>
    </row>
    <row r="899" ht="15" customHeight="1">
      <c r="A899" t="inlineStr">
        <is>
          <t>A 33353-2023</t>
        </is>
      </c>
      <c r="B899" s="1" t="n">
        <v>45128</v>
      </c>
      <c r="C899" s="1" t="n">
        <v>46103</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3966-2024</t>
        </is>
      </c>
      <c r="B900" s="1" t="n">
        <v>45322</v>
      </c>
      <c r="C900" s="1" t="n">
        <v>46103</v>
      </c>
      <c r="D900" t="inlineStr">
        <is>
          <t>STOCKHOLMS LÄN</t>
        </is>
      </c>
      <c r="E900" t="inlineStr">
        <is>
          <t>NORRTÄLJE</t>
        </is>
      </c>
      <c r="G900" t="n">
        <v>5.3</v>
      </c>
      <c r="H900" t="n">
        <v>0</v>
      </c>
      <c r="I900" t="n">
        <v>0</v>
      </c>
      <c r="J900" t="n">
        <v>0</v>
      </c>
      <c r="K900" t="n">
        <v>0</v>
      </c>
      <c r="L900" t="n">
        <v>0</v>
      </c>
      <c r="M900" t="n">
        <v>0</v>
      </c>
      <c r="N900" t="n">
        <v>0</v>
      </c>
      <c r="O900" t="n">
        <v>0</v>
      </c>
      <c r="P900" t="n">
        <v>0</v>
      </c>
      <c r="Q900" t="n">
        <v>0</v>
      </c>
      <c r="R900" s="2" t="inlineStr"/>
    </row>
    <row r="901" ht="15" customHeight="1">
      <c r="A901" t="inlineStr">
        <is>
          <t>A 23262-2023</t>
        </is>
      </c>
      <c r="B901" s="1" t="n">
        <v>45075.90270833333</v>
      </c>
      <c r="C901" s="1" t="n">
        <v>46103</v>
      </c>
      <c r="D901" t="inlineStr">
        <is>
          <t>STOCKHOLMS LÄN</t>
        </is>
      </c>
      <c r="E901" t="inlineStr">
        <is>
          <t>NORRTÄLJE</t>
        </is>
      </c>
      <c r="F901" t="inlineStr">
        <is>
          <t>Kommuner</t>
        </is>
      </c>
      <c r="G901" t="n">
        <v>1.9</v>
      </c>
      <c r="H901" t="n">
        <v>0</v>
      </c>
      <c r="I901" t="n">
        <v>0</v>
      </c>
      <c r="J901" t="n">
        <v>0</v>
      </c>
      <c r="K901" t="n">
        <v>0</v>
      </c>
      <c r="L901" t="n">
        <v>0</v>
      </c>
      <c r="M901" t="n">
        <v>0</v>
      </c>
      <c r="N901" t="n">
        <v>0</v>
      </c>
      <c r="O901" t="n">
        <v>0</v>
      </c>
      <c r="P901" t="n">
        <v>0</v>
      </c>
      <c r="Q901" t="n">
        <v>0</v>
      </c>
      <c r="R901" s="2" t="inlineStr"/>
    </row>
    <row r="902" ht="15" customHeight="1">
      <c r="A902" t="inlineStr">
        <is>
          <t>A 23268-2023</t>
        </is>
      </c>
      <c r="B902" s="1" t="n">
        <v>45075.91042824074</v>
      </c>
      <c r="C902" s="1" t="n">
        <v>46103</v>
      </c>
      <c r="D902" t="inlineStr">
        <is>
          <t>STOCKHOLMS LÄN</t>
        </is>
      </c>
      <c r="E902" t="inlineStr">
        <is>
          <t>NORRTÄLJE</t>
        </is>
      </c>
      <c r="G902" t="n">
        <v>3.3</v>
      </c>
      <c r="H902" t="n">
        <v>0</v>
      </c>
      <c r="I902" t="n">
        <v>0</v>
      </c>
      <c r="J902" t="n">
        <v>0</v>
      </c>
      <c r="K902" t="n">
        <v>0</v>
      </c>
      <c r="L902" t="n">
        <v>0</v>
      </c>
      <c r="M902" t="n">
        <v>0</v>
      </c>
      <c r="N902" t="n">
        <v>0</v>
      </c>
      <c r="O902" t="n">
        <v>0</v>
      </c>
      <c r="P902" t="n">
        <v>0</v>
      </c>
      <c r="Q902" t="n">
        <v>0</v>
      </c>
      <c r="R902" s="2" t="inlineStr"/>
    </row>
    <row r="903" ht="15" customHeight="1">
      <c r="A903" t="inlineStr">
        <is>
          <t>A 23270-2023</t>
        </is>
      </c>
      <c r="B903" s="1" t="n">
        <v>45075.91265046296</v>
      </c>
      <c r="C903" s="1" t="n">
        <v>46103</v>
      </c>
      <c r="D903" t="inlineStr">
        <is>
          <t>STOCKHOLMS LÄN</t>
        </is>
      </c>
      <c r="E903" t="inlineStr">
        <is>
          <t>NORRTÄLJE</t>
        </is>
      </c>
      <c r="G903" t="n">
        <v>12.3</v>
      </c>
      <c r="H903" t="n">
        <v>0</v>
      </c>
      <c r="I903" t="n">
        <v>0</v>
      </c>
      <c r="J903" t="n">
        <v>0</v>
      </c>
      <c r="K903" t="n">
        <v>0</v>
      </c>
      <c r="L903" t="n">
        <v>0</v>
      </c>
      <c r="M903" t="n">
        <v>0</v>
      </c>
      <c r="N903" t="n">
        <v>0</v>
      </c>
      <c r="O903" t="n">
        <v>0</v>
      </c>
      <c r="P903" t="n">
        <v>0</v>
      </c>
      <c r="Q903" t="n">
        <v>0</v>
      </c>
      <c r="R903" s="2" t="inlineStr"/>
    </row>
    <row r="904" ht="15" customHeight="1">
      <c r="A904" t="inlineStr">
        <is>
          <t>A 23274-2023</t>
        </is>
      </c>
      <c r="B904" s="1" t="n">
        <v>45075.92153935185</v>
      </c>
      <c r="C904" s="1" t="n">
        <v>46103</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34444-2024</t>
        </is>
      </c>
      <c r="B905" s="1" t="n">
        <v>45525</v>
      </c>
      <c r="C905" s="1" t="n">
        <v>46103</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20698-2025</t>
        </is>
      </c>
      <c r="B906" s="1" t="n">
        <v>45776.47122685185</v>
      </c>
      <c r="C906" s="1" t="n">
        <v>46103</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17843-2024</t>
        </is>
      </c>
      <c r="B907" s="1" t="n">
        <v>45418</v>
      </c>
      <c r="C907" s="1" t="n">
        <v>46103</v>
      </c>
      <c r="D907" t="inlineStr">
        <is>
          <t>STOCKHOLMS LÄN</t>
        </is>
      </c>
      <c r="E907" t="inlineStr">
        <is>
          <t>NORRTÄLJE</t>
        </is>
      </c>
      <c r="G907" t="n">
        <v>5.4</v>
      </c>
      <c r="H907" t="n">
        <v>0</v>
      </c>
      <c r="I907" t="n">
        <v>0</v>
      </c>
      <c r="J907" t="n">
        <v>0</v>
      </c>
      <c r="K907" t="n">
        <v>0</v>
      </c>
      <c r="L907" t="n">
        <v>0</v>
      </c>
      <c r="M907" t="n">
        <v>0</v>
      </c>
      <c r="N907" t="n">
        <v>0</v>
      </c>
      <c r="O907" t="n">
        <v>0</v>
      </c>
      <c r="P907" t="n">
        <v>0</v>
      </c>
      <c r="Q907" t="n">
        <v>0</v>
      </c>
      <c r="R907" s="2" t="inlineStr"/>
    </row>
    <row r="908" ht="15" customHeight="1">
      <c r="A908" t="inlineStr">
        <is>
          <t>A 26636-2023</t>
        </is>
      </c>
      <c r="B908" s="1" t="n">
        <v>45092</v>
      </c>
      <c r="C908" s="1" t="n">
        <v>46103</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26637-2023</t>
        </is>
      </c>
      <c r="B909" s="1" t="n">
        <v>45092</v>
      </c>
      <c r="C909" s="1" t="n">
        <v>46103</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72704-2021</t>
        </is>
      </c>
      <c r="B910" s="1" t="n">
        <v>44546</v>
      </c>
      <c r="C910" s="1" t="n">
        <v>46103</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52743-2024</t>
        </is>
      </c>
      <c r="B911" s="1" t="n">
        <v>45610.47414351852</v>
      </c>
      <c r="C911" s="1" t="n">
        <v>46103</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16852-2024</t>
        </is>
      </c>
      <c r="B912" s="1" t="n">
        <v>45411.54768518519</v>
      </c>
      <c r="C912" s="1" t="n">
        <v>46103</v>
      </c>
      <c r="D912" t="inlineStr">
        <is>
          <t>STOCKHOLMS LÄN</t>
        </is>
      </c>
      <c r="E912" t="inlineStr">
        <is>
          <t>NORRTÄLJE</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22232-2024</t>
        </is>
      </c>
      <c r="B913" s="1" t="n">
        <v>45446.4287962963</v>
      </c>
      <c r="C913" s="1" t="n">
        <v>46103</v>
      </c>
      <c r="D913" t="inlineStr">
        <is>
          <t>STOCKHOLMS LÄN</t>
        </is>
      </c>
      <c r="E913" t="inlineStr">
        <is>
          <t>NORRTÄLJE</t>
        </is>
      </c>
      <c r="G913" t="n">
        <v>12.8</v>
      </c>
      <c r="H913" t="n">
        <v>0</v>
      </c>
      <c r="I913" t="n">
        <v>0</v>
      </c>
      <c r="J913" t="n">
        <v>0</v>
      </c>
      <c r="K913" t="n">
        <v>0</v>
      </c>
      <c r="L913" t="n">
        <v>0</v>
      </c>
      <c r="M913" t="n">
        <v>0</v>
      </c>
      <c r="N913" t="n">
        <v>0</v>
      </c>
      <c r="O913" t="n">
        <v>0</v>
      </c>
      <c r="P913" t="n">
        <v>0</v>
      </c>
      <c r="Q913" t="n">
        <v>0</v>
      </c>
      <c r="R913" s="2" t="inlineStr"/>
    </row>
    <row r="914" ht="15" customHeight="1">
      <c r="A914" t="inlineStr">
        <is>
          <t>A 36396-2025</t>
        </is>
      </c>
      <c r="B914" s="1" t="n">
        <v>45868.62267361111</v>
      </c>
      <c r="C914" s="1" t="n">
        <v>46103</v>
      </c>
      <c r="D914" t="inlineStr">
        <is>
          <t>STOCKHOLMS LÄN</t>
        </is>
      </c>
      <c r="E914" t="inlineStr">
        <is>
          <t>NORRTÄLJE</t>
        </is>
      </c>
      <c r="G914" t="n">
        <v>4.1</v>
      </c>
      <c r="H914" t="n">
        <v>0</v>
      </c>
      <c r="I914" t="n">
        <v>0</v>
      </c>
      <c r="J914" t="n">
        <v>0</v>
      </c>
      <c r="K914" t="n">
        <v>0</v>
      </c>
      <c r="L914" t="n">
        <v>0</v>
      </c>
      <c r="M914" t="n">
        <v>0</v>
      </c>
      <c r="N914" t="n">
        <v>0</v>
      </c>
      <c r="O914" t="n">
        <v>0</v>
      </c>
      <c r="P914" t="n">
        <v>0</v>
      </c>
      <c r="Q914" t="n">
        <v>0</v>
      </c>
      <c r="R914" s="2" t="inlineStr"/>
    </row>
    <row r="915" ht="15" customHeight="1">
      <c r="A915" t="inlineStr">
        <is>
          <t>A 55755-2023</t>
        </is>
      </c>
      <c r="B915" s="1" t="n">
        <v>45239</v>
      </c>
      <c r="C915" s="1" t="n">
        <v>46103</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17348-2024</t>
        </is>
      </c>
      <c r="B916" s="1" t="n">
        <v>45414.58650462963</v>
      </c>
      <c r="C916" s="1" t="n">
        <v>46103</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13089-2022</t>
        </is>
      </c>
      <c r="B917" s="1" t="n">
        <v>44643</v>
      </c>
      <c r="C917" s="1" t="n">
        <v>46103</v>
      </c>
      <c r="D917" t="inlineStr">
        <is>
          <t>STOCKHOLMS LÄN</t>
        </is>
      </c>
      <c r="E917" t="inlineStr">
        <is>
          <t>NORRTÄLJE</t>
        </is>
      </c>
      <c r="G917" t="n">
        <v>4.5</v>
      </c>
      <c r="H917" t="n">
        <v>0</v>
      </c>
      <c r="I917" t="n">
        <v>0</v>
      </c>
      <c r="J917" t="n">
        <v>0</v>
      </c>
      <c r="K917" t="n">
        <v>0</v>
      </c>
      <c r="L917" t="n">
        <v>0</v>
      </c>
      <c r="M917" t="n">
        <v>0</v>
      </c>
      <c r="N917" t="n">
        <v>0</v>
      </c>
      <c r="O917" t="n">
        <v>0</v>
      </c>
      <c r="P917" t="n">
        <v>0</v>
      </c>
      <c r="Q917" t="n">
        <v>0</v>
      </c>
      <c r="R917" s="2" t="inlineStr"/>
    </row>
    <row r="918" ht="15" customHeight="1">
      <c r="A918" t="inlineStr">
        <is>
          <t>A 48145-2024</t>
        </is>
      </c>
      <c r="B918" s="1" t="n">
        <v>45589.6756712963</v>
      </c>
      <c r="C918" s="1" t="n">
        <v>46103</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23998-2024</t>
        </is>
      </c>
      <c r="B919" s="1" t="n">
        <v>45456</v>
      </c>
      <c r="C919" s="1" t="n">
        <v>46103</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15447-2023</t>
        </is>
      </c>
      <c r="B920" s="1" t="n">
        <v>45020</v>
      </c>
      <c r="C920" s="1" t="n">
        <v>46103</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37261-2025</t>
        </is>
      </c>
      <c r="B921" s="1" t="n">
        <v>45876.45253472222</v>
      </c>
      <c r="C921" s="1" t="n">
        <v>46103</v>
      </c>
      <c r="D921" t="inlineStr">
        <is>
          <t>STOCKHOLMS LÄN</t>
        </is>
      </c>
      <c r="E921" t="inlineStr">
        <is>
          <t>NORRTÄLJE</t>
        </is>
      </c>
      <c r="F921" t="inlineStr">
        <is>
          <t>Kommuner</t>
        </is>
      </c>
      <c r="G921" t="n">
        <v>2.2</v>
      </c>
      <c r="H921" t="n">
        <v>0</v>
      </c>
      <c r="I921" t="n">
        <v>0</v>
      </c>
      <c r="J921" t="n">
        <v>0</v>
      </c>
      <c r="K921" t="n">
        <v>0</v>
      </c>
      <c r="L921" t="n">
        <v>0</v>
      </c>
      <c r="M921" t="n">
        <v>0</v>
      </c>
      <c r="N921" t="n">
        <v>0</v>
      </c>
      <c r="O921" t="n">
        <v>0</v>
      </c>
      <c r="P921" t="n">
        <v>0</v>
      </c>
      <c r="Q921" t="n">
        <v>0</v>
      </c>
      <c r="R921" s="2" t="inlineStr"/>
    </row>
    <row r="922" ht="15" customHeight="1">
      <c r="A922" t="inlineStr">
        <is>
          <t>A 54358-2022</t>
        </is>
      </c>
      <c r="B922" s="1" t="n">
        <v>44882</v>
      </c>
      <c r="C922" s="1" t="n">
        <v>46103</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23263-2023</t>
        </is>
      </c>
      <c r="B923" s="1" t="n">
        <v>45075</v>
      </c>
      <c r="C923" s="1" t="n">
        <v>46103</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23264-2023</t>
        </is>
      </c>
      <c r="B924" s="1" t="n">
        <v>45075</v>
      </c>
      <c r="C924" s="1" t="n">
        <v>46103</v>
      </c>
      <c r="D924" t="inlineStr">
        <is>
          <t>STOCKHOLMS LÄN</t>
        </is>
      </c>
      <c r="E924" t="inlineStr">
        <is>
          <t>NORRTÄLJE</t>
        </is>
      </c>
      <c r="G924" t="n">
        <v>2.9</v>
      </c>
      <c r="H924" t="n">
        <v>0</v>
      </c>
      <c r="I924" t="n">
        <v>0</v>
      </c>
      <c r="J924" t="n">
        <v>0</v>
      </c>
      <c r="K924" t="n">
        <v>0</v>
      </c>
      <c r="L924" t="n">
        <v>0</v>
      </c>
      <c r="M924" t="n">
        <v>0</v>
      </c>
      <c r="N924" t="n">
        <v>0</v>
      </c>
      <c r="O924" t="n">
        <v>0</v>
      </c>
      <c r="P924" t="n">
        <v>0</v>
      </c>
      <c r="Q924" t="n">
        <v>0</v>
      </c>
      <c r="R924" s="2" t="inlineStr"/>
    </row>
    <row r="925" ht="15" customHeight="1">
      <c r="A925" t="inlineStr">
        <is>
          <t>A 23267-2023</t>
        </is>
      </c>
      <c r="B925" s="1" t="n">
        <v>45075.90934027778</v>
      </c>
      <c r="C925" s="1" t="n">
        <v>46103</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23269-2023</t>
        </is>
      </c>
      <c r="B926" s="1" t="n">
        <v>45075.91148148148</v>
      </c>
      <c r="C926" s="1" t="n">
        <v>46103</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37628-2025</t>
        </is>
      </c>
      <c r="B927" s="1" t="n">
        <v>45880.46189814815</v>
      </c>
      <c r="C927" s="1" t="n">
        <v>46103</v>
      </c>
      <c r="D927" t="inlineStr">
        <is>
          <t>STOCKHOLMS LÄN</t>
        </is>
      </c>
      <c r="E927" t="inlineStr">
        <is>
          <t>NORRTÄLJE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19911-2025</t>
        </is>
      </c>
      <c r="B928" s="1" t="n">
        <v>45771</v>
      </c>
      <c r="C928" s="1" t="n">
        <v>46103</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29369-2024</t>
        </is>
      </c>
      <c r="B929" s="1" t="n">
        <v>45483.57244212963</v>
      </c>
      <c r="C929" s="1" t="n">
        <v>46103</v>
      </c>
      <c r="D929" t="inlineStr">
        <is>
          <t>STOCKHOLMS LÄN</t>
        </is>
      </c>
      <c r="E929" t="inlineStr">
        <is>
          <t>NORRTÄLJE</t>
        </is>
      </c>
      <c r="G929" t="n">
        <v>15.9</v>
      </c>
      <c r="H929" t="n">
        <v>0</v>
      </c>
      <c r="I929" t="n">
        <v>0</v>
      </c>
      <c r="J929" t="n">
        <v>0</v>
      </c>
      <c r="K929" t="n">
        <v>0</v>
      </c>
      <c r="L929" t="n">
        <v>0</v>
      </c>
      <c r="M929" t="n">
        <v>0</v>
      </c>
      <c r="N929" t="n">
        <v>0</v>
      </c>
      <c r="O929" t="n">
        <v>0</v>
      </c>
      <c r="P929" t="n">
        <v>0</v>
      </c>
      <c r="Q929" t="n">
        <v>0</v>
      </c>
      <c r="R929" s="2" t="inlineStr"/>
    </row>
    <row r="930" ht="15" customHeight="1">
      <c r="A930" t="inlineStr">
        <is>
          <t>A 5831-2022</t>
        </is>
      </c>
      <c r="B930" s="1" t="n">
        <v>44596</v>
      </c>
      <c r="C930" s="1" t="n">
        <v>46103</v>
      </c>
      <c r="D930" t="inlineStr">
        <is>
          <t>STOCKHOLMS LÄN</t>
        </is>
      </c>
      <c r="E930" t="inlineStr">
        <is>
          <t>NORRTÄLJE</t>
        </is>
      </c>
      <c r="G930" t="n">
        <v>4.8</v>
      </c>
      <c r="H930" t="n">
        <v>0</v>
      </c>
      <c r="I930" t="n">
        <v>0</v>
      </c>
      <c r="J930" t="n">
        <v>0</v>
      </c>
      <c r="K930" t="n">
        <v>0</v>
      </c>
      <c r="L930" t="n">
        <v>0</v>
      </c>
      <c r="M930" t="n">
        <v>0</v>
      </c>
      <c r="N930" t="n">
        <v>0</v>
      </c>
      <c r="O930" t="n">
        <v>0</v>
      </c>
      <c r="P930" t="n">
        <v>0</v>
      </c>
      <c r="Q930" t="n">
        <v>0</v>
      </c>
      <c r="R930" s="2" t="inlineStr"/>
    </row>
    <row r="931" ht="15" customHeight="1">
      <c r="A931" t="inlineStr">
        <is>
          <t>A 5867-2022</t>
        </is>
      </c>
      <c r="B931" s="1" t="n">
        <v>44596.66335648148</v>
      </c>
      <c r="C931" s="1" t="n">
        <v>46103</v>
      </c>
      <c r="D931" t="inlineStr">
        <is>
          <t>STOCKHOLMS LÄN</t>
        </is>
      </c>
      <c r="E931" t="inlineStr">
        <is>
          <t>NORRTÄLJE</t>
        </is>
      </c>
      <c r="F931" t="inlineStr">
        <is>
          <t>Naturvårdsverket</t>
        </is>
      </c>
      <c r="G931" t="n">
        <v>1.6</v>
      </c>
      <c r="H931" t="n">
        <v>0</v>
      </c>
      <c r="I931" t="n">
        <v>0</v>
      </c>
      <c r="J931" t="n">
        <v>0</v>
      </c>
      <c r="K931" t="n">
        <v>0</v>
      </c>
      <c r="L931" t="n">
        <v>0</v>
      </c>
      <c r="M931" t="n">
        <v>0</v>
      </c>
      <c r="N931" t="n">
        <v>0</v>
      </c>
      <c r="O931" t="n">
        <v>0</v>
      </c>
      <c r="P931" t="n">
        <v>0</v>
      </c>
      <c r="Q931" t="n">
        <v>0</v>
      </c>
      <c r="R931" s="2" t="inlineStr"/>
    </row>
    <row r="932" ht="15" customHeight="1">
      <c r="A932" t="inlineStr">
        <is>
          <t>A 37632-2025</t>
        </is>
      </c>
      <c r="B932" s="1" t="n">
        <v>45880.46524305556</v>
      </c>
      <c r="C932" s="1" t="n">
        <v>46103</v>
      </c>
      <c r="D932" t="inlineStr">
        <is>
          <t>STOCKHOLMS LÄN</t>
        </is>
      </c>
      <c r="E932" t="inlineStr">
        <is>
          <t>NORRTÄLJE</t>
        </is>
      </c>
      <c r="F932" t="inlineStr">
        <is>
          <t>Sveaskog</t>
        </is>
      </c>
      <c r="G932" t="n">
        <v>6.4</v>
      </c>
      <c r="H932" t="n">
        <v>0</v>
      </c>
      <c r="I932" t="n">
        <v>0</v>
      </c>
      <c r="J932" t="n">
        <v>0</v>
      </c>
      <c r="K932" t="n">
        <v>0</v>
      </c>
      <c r="L932" t="n">
        <v>0</v>
      </c>
      <c r="M932" t="n">
        <v>0</v>
      </c>
      <c r="N932" t="n">
        <v>0</v>
      </c>
      <c r="O932" t="n">
        <v>0</v>
      </c>
      <c r="P932" t="n">
        <v>0</v>
      </c>
      <c r="Q932" t="n">
        <v>0</v>
      </c>
      <c r="R932" s="2" t="inlineStr"/>
    </row>
    <row r="933" ht="15" customHeight="1">
      <c r="A933" t="inlineStr">
        <is>
          <t>A 29841-2024</t>
        </is>
      </c>
      <c r="B933" s="1" t="n">
        <v>45485.60261574074</v>
      </c>
      <c r="C933" s="1" t="n">
        <v>46103</v>
      </c>
      <c r="D933" t="inlineStr">
        <is>
          <t>STOCKHOLMS LÄN</t>
        </is>
      </c>
      <c r="E933" t="inlineStr">
        <is>
          <t>NORRTÄLJE</t>
        </is>
      </c>
      <c r="G933" t="n">
        <v>15.9</v>
      </c>
      <c r="H933" t="n">
        <v>0</v>
      </c>
      <c r="I933" t="n">
        <v>0</v>
      </c>
      <c r="J933" t="n">
        <v>0</v>
      </c>
      <c r="K933" t="n">
        <v>0</v>
      </c>
      <c r="L933" t="n">
        <v>0</v>
      </c>
      <c r="M933" t="n">
        <v>0</v>
      </c>
      <c r="N933" t="n">
        <v>0</v>
      </c>
      <c r="O933" t="n">
        <v>0</v>
      </c>
      <c r="P933" t="n">
        <v>0</v>
      </c>
      <c r="Q933" t="n">
        <v>0</v>
      </c>
      <c r="R933" s="2" t="inlineStr"/>
    </row>
    <row r="934" ht="15" customHeight="1">
      <c r="A934" t="inlineStr">
        <is>
          <t>A 20692-2025</t>
        </is>
      </c>
      <c r="B934" s="1" t="n">
        <v>45776.46369212963</v>
      </c>
      <c r="C934" s="1" t="n">
        <v>46103</v>
      </c>
      <c r="D934" t="inlineStr">
        <is>
          <t>STOCKHOLMS LÄN</t>
        </is>
      </c>
      <c r="E934" t="inlineStr">
        <is>
          <t>NORRTÄLJE</t>
        </is>
      </c>
      <c r="G934" t="n">
        <v>2.1</v>
      </c>
      <c r="H934" t="n">
        <v>0</v>
      </c>
      <c r="I934" t="n">
        <v>0</v>
      </c>
      <c r="J934" t="n">
        <v>0</v>
      </c>
      <c r="K934" t="n">
        <v>0</v>
      </c>
      <c r="L934" t="n">
        <v>0</v>
      </c>
      <c r="M934" t="n">
        <v>0</v>
      </c>
      <c r="N934" t="n">
        <v>0</v>
      </c>
      <c r="O934" t="n">
        <v>0</v>
      </c>
      <c r="P934" t="n">
        <v>0</v>
      </c>
      <c r="Q934" t="n">
        <v>0</v>
      </c>
      <c r="R934" s="2" t="inlineStr"/>
    </row>
    <row r="935" ht="15" customHeight="1">
      <c r="A935" t="inlineStr">
        <is>
          <t>A 37630-2025</t>
        </is>
      </c>
      <c r="B935" s="1" t="n">
        <v>45880.46372685185</v>
      </c>
      <c r="C935" s="1" t="n">
        <v>46103</v>
      </c>
      <c r="D935" t="inlineStr">
        <is>
          <t>STOCKHOLMS LÄN</t>
        </is>
      </c>
      <c r="E935" t="inlineStr">
        <is>
          <t>NORRTÄLJE</t>
        </is>
      </c>
      <c r="F935" t="inlineStr">
        <is>
          <t>Sveaskog</t>
        </is>
      </c>
      <c r="G935" t="n">
        <v>12.9</v>
      </c>
      <c r="H935" t="n">
        <v>0</v>
      </c>
      <c r="I935" t="n">
        <v>0</v>
      </c>
      <c r="J935" t="n">
        <v>0</v>
      </c>
      <c r="K935" t="n">
        <v>0</v>
      </c>
      <c r="L935" t="n">
        <v>0</v>
      </c>
      <c r="M935" t="n">
        <v>0</v>
      </c>
      <c r="N935" t="n">
        <v>0</v>
      </c>
      <c r="O935" t="n">
        <v>0</v>
      </c>
      <c r="P935" t="n">
        <v>0</v>
      </c>
      <c r="Q935" t="n">
        <v>0</v>
      </c>
      <c r="R935" s="2" t="inlineStr"/>
    </row>
    <row r="936" ht="15" customHeight="1">
      <c r="A936" t="inlineStr">
        <is>
          <t>A 20244-2025</t>
        </is>
      </c>
      <c r="B936" s="1" t="n">
        <v>45772.71221064815</v>
      </c>
      <c r="C936" s="1" t="n">
        <v>46103</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48633-2023</t>
        </is>
      </c>
      <c r="B937" s="1" t="n">
        <v>45208.58004629629</v>
      </c>
      <c r="C937" s="1" t="n">
        <v>46103</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39669-2024</t>
        </is>
      </c>
      <c r="B938" s="1" t="n">
        <v>45552.52827546297</v>
      </c>
      <c r="C938" s="1" t="n">
        <v>46103</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46071-2024</t>
        </is>
      </c>
      <c r="B939" s="1" t="n">
        <v>45581</v>
      </c>
      <c r="C939" s="1" t="n">
        <v>46103</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13137-2024</t>
        </is>
      </c>
      <c r="B940" s="1" t="n">
        <v>45386.34175925926</v>
      </c>
      <c r="C940" s="1" t="n">
        <v>46103</v>
      </c>
      <c r="D940" t="inlineStr">
        <is>
          <t>STOCKHOLMS LÄN</t>
        </is>
      </c>
      <c r="E940" t="inlineStr">
        <is>
          <t>NORRTÄLJE</t>
        </is>
      </c>
      <c r="G940" t="n">
        <v>5</v>
      </c>
      <c r="H940" t="n">
        <v>0</v>
      </c>
      <c r="I940" t="n">
        <v>0</v>
      </c>
      <c r="J940" t="n">
        <v>0</v>
      </c>
      <c r="K940" t="n">
        <v>0</v>
      </c>
      <c r="L940" t="n">
        <v>0</v>
      </c>
      <c r="M940" t="n">
        <v>0</v>
      </c>
      <c r="N940" t="n">
        <v>0</v>
      </c>
      <c r="O940" t="n">
        <v>0</v>
      </c>
      <c r="P940" t="n">
        <v>0</v>
      </c>
      <c r="Q940" t="n">
        <v>0</v>
      </c>
      <c r="R940" s="2" t="inlineStr"/>
    </row>
    <row r="941" ht="15" customHeight="1">
      <c r="A941" t="inlineStr">
        <is>
          <t>A 24350-2025</t>
        </is>
      </c>
      <c r="B941" s="1" t="n">
        <v>45797.58350694444</v>
      </c>
      <c r="C941" s="1" t="n">
        <v>46103</v>
      </c>
      <c r="D941" t="inlineStr">
        <is>
          <t>STOCKHOLMS LÄN</t>
        </is>
      </c>
      <c r="E941" t="inlineStr">
        <is>
          <t>NORRTÄLJE</t>
        </is>
      </c>
      <c r="G941" t="n">
        <v>4.5</v>
      </c>
      <c r="H941" t="n">
        <v>0</v>
      </c>
      <c r="I941" t="n">
        <v>0</v>
      </c>
      <c r="J941" t="n">
        <v>0</v>
      </c>
      <c r="K941" t="n">
        <v>0</v>
      </c>
      <c r="L941" t="n">
        <v>0</v>
      </c>
      <c r="M941" t="n">
        <v>0</v>
      </c>
      <c r="N941" t="n">
        <v>0</v>
      </c>
      <c r="O941" t="n">
        <v>0</v>
      </c>
      <c r="P941" t="n">
        <v>0</v>
      </c>
      <c r="Q941" t="n">
        <v>0</v>
      </c>
      <c r="R941" s="2" t="inlineStr"/>
    </row>
    <row r="942" ht="15" customHeight="1">
      <c r="A942" t="inlineStr">
        <is>
          <t>A 26703-2025</t>
        </is>
      </c>
      <c r="B942" s="1" t="n">
        <v>45810.45263888889</v>
      </c>
      <c r="C942" s="1" t="n">
        <v>46103</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43170-2023</t>
        </is>
      </c>
      <c r="B943" s="1" t="n">
        <v>45183</v>
      </c>
      <c r="C943" s="1" t="n">
        <v>46103</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9-2024</t>
        </is>
      </c>
      <c r="B944" s="1" t="n">
        <v>45293</v>
      </c>
      <c r="C944" s="1" t="n">
        <v>46103</v>
      </c>
      <c r="D944" t="inlineStr">
        <is>
          <t>STOCKHOLMS LÄN</t>
        </is>
      </c>
      <c r="E944" t="inlineStr">
        <is>
          <t>NORRTÄLJE</t>
        </is>
      </c>
      <c r="F944" t="inlineStr">
        <is>
          <t>Sveaskog</t>
        </is>
      </c>
      <c r="G944" t="n">
        <v>1.3</v>
      </c>
      <c r="H944" t="n">
        <v>0</v>
      </c>
      <c r="I944" t="n">
        <v>0</v>
      </c>
      <c r="J944" t="n">
        <v>0</v>
      </c>
      <c r="K944" t="n">
        <v>0</v>
      </c>
      <c r="L944" t="n">
        <v>0</v>
      </c>
      <c r="M944" t="n">
        <v>0</v>
      </c>
      <c r="N944" t="n">
        <v>0</v>
      </c>
      <c r="O944" t="n">
        <v>0</v>
      </c>
      <c r="P944" t="n">
        <v>0</v>
      </c>
      <c r="Q944" t="n">
        <v>0</v>
      </c>
      <c r="R944" s="2" t="inlineStr"/>
    </row>
    <row r="945" ht="15" customHeight="1">
      <c r="A945" t="inlineStr">
        <is>
          <t>A 22832-2021</t>
        </is>
      </c>
      <c r="B945" s="1" t="n">
        <v>44325</v>
      </c>
      <c r="C945" s="1" t="n">
        <v>46103</v>
      </c>
      <c r="D945" t="inlineStr">
        <is>
          <t>STOCKHOLMS LÄN</t>
        </is>
      </c>
      <c r="E945" t="inlineStr">
        <is>
          <t>NORRTÄLJE</t>
        </is>
      </c>
      <c r="G945" t="n">
        <v>6.8</v>
      </c>
      <c r="H945" t="n">
        <v>0</v>
      </c>
      <c r="I945" t="n">
        <v>0</v>
      </c>
      <c r="J945" t="n">
        <v>0</v>
      </c>
      <c r="K945" t="n">
        <v>0</v>
      </c>
      <c r="L945" t="n">
        <v>0</v>
      </c>
      <c r="M945" t="n">
        <v>0</v>
      </c>
      <c r="N945" t="n">
        <v>0</v>
      </c>
      <c r="O945" t="n">
        <v>0</v>
      </c>
      <c r="P945" t="n">
        <v>0</v>
      </c>
      <c r="Q945" t="n">
        <v>0</v>
      </c>
      <c r="R945" s="2" t="inlineStr"/>
    </row>
    <row r="946" ht="15" customHeight="1">
      <c r="A946" t="inlineStr">
        <is>
          <t>A 16913-2025</t>
        </is>
      </c>
      <c r="B946" s="1" t="n">
        <v>45755.36583333334</v>
      </c>
      <c r="C946" s="1" t="n">
        <v>46103</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4035-2023</t>
        </is>
      </c>
      <c r="B947" s="1" t="n">
        <v>44952.57989583333</v>
      </c>
      <c r="C947" s="1" t="n">
        <v>46103</v>
      </c>
      <c r="D947" t="inlineStr">
        <is>
          <t>STOCKHOLMS LÄN</t>
        </is>
      </c>
      <c r="E947" t="inlineStr">
        <is>
          <t>NORRTÄLJE</t>
        </is>
      </c>
      <c r="F947" t="inlineStr">
        <is>
          <t>Holmen skog AB</t>
        </is>
      </c>
      <c r="G947" t="n">
        <v>1.5</v>
      </c>
      <c r="H947" t="n">
        <v>0</v>
      </c>
      <c r="I947" t="n">
        <v>0</v>
      </c>
      <c r="J947" t="n">
        <v>0</v>
      </c>
      <c r="K947" t="n">
        <v>0</v>
      </c>
      <c r="L947" t="n">
        <v>0</v>
      </c>
      <c r="M947" t="n">
        <v>0</v>
      </c>
      <c r="N947" t="n">
        <v>0</v>
      </c>
      <c r="O947" t="n">
        <v>0</v>
      </c>
      <c r="P947" t="n">
        <v>0</v>
      </c>
      <c r="Q947" t="n">
        <v>0</v>
      </c>
      <c r="R947" s="2" t="inlineStr"/>
    </row>
    <row r="948" ht="15" customHeight="1">
      <c r="A948" t="inlineStr">
        <is>
          <t>A 38153-2025</t>
        </is>
      </c>
      <c r="B948" s="1" t="n">
        <v>45882.59722222222</v>
      </c>
      <c r="C948" s="1" t="n">
        <v>46103</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46103</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53600-2022</t>
        </is>
      </c>
      <c r="B950" s="1" t="n">
        <v>44879.70518518519</v>
      </c>
      <c r="C950" s="1" t="n">
        <v>46103</v>
      </c>
      <c r="D950" t="inlineStr">
        <is>
          <t>STOCKHOLMS LÄN</t>
        </is>
      </c>
      <c r="E950" t="inlineStr">
        <is>
          <t>NORRTÄLJE</t>
        </is>
      </c>
      <c r="G950" t="n">
        <v>4.3</v>
      </c>
      <c r="H950" t="n">
        <v>0</v>
      </c>
      <c r="I950" t="n">
        <v>0</v>
      </c>
      <c r="J950" t="n">
        <v>0</v>
      </c>
      <c r="K950" t="n">
        <v>0</v>
      </c>
      <c r="L950" t="n">
        <v>0</v>
      </c>
      <c r="M950" t="n">
        <v>0</v>
      </c>
      <c r="N950" t="n">
        <v>0</v>
      </c>
      <c r="O950" t="n">
        <v>0</v>
      </c>
      <c r="P950" t="n">
        <v>0</v>
      </c>
      <c r="Q950" t="n">
        <v>0</v>
      </c>
      <c r="R950" s="2" t="inlineStr"/>
    </row>
    <row r="951" ht="15" customHeight="1">
      <c r="A951" t="inlineStr">
        <is>
          <t>A 7697-2025</t>
        </is>
      </c>
      <c r="B951" s="1" t="n">
        <v>45706.40086805556</v>
      </c>
      <c r="C951" s="1" t="n">
        <v>46103</v>
      </c>
      <c r="D951" t="inlineStr">
        <is>
          <t>STOCKHOLMS LÄN</t>
        </is>
      </c>
      <c r="E951" t="inlineStr">
        <is>
          <t>NORRTÄLJE</t>
        </is>
      </c>
      <c r="F951" t="inlineStr">
        <is>
          <t>Holmen skog AB</t>
        </is>
      </c>
      <c r="G951" t="n">
        <v>1.8</v>
      </c>
      <c r="H951" t="n">
        <v>0</v>
      </c>
      <c r="I951" t="n">
        <v>0</v>
      </c>
      <c r="J951" t="n">
        <v>0</v>
      </c>
      <c r="K951" t="n">
        <v>0</v>
      </c>
      <c r="L951" t="n">
        <v>0</v>
      </c>
      <c r="M951" t="n">
        <v>0</v>
      </c>
      <c r="N951" t="n">
        <v>0</v>
      </c>
      <c r="O951" t="n">
        <v>0</v>
      </c>
      <c r="P951" t="n">
        <v>0</v>
      </c>
      <c r="Q951" t="n">
        <v>0</v>
      </c>
      <c r="R951" s="2" t="inlineStr"/>
    </row>
    <row r="952" ht="15" customHeight="1">
      <c r="A952" t="inlineStr">
        <is>
          <t>A 30221-2024</t>
        </is>
      </c>
      <c r="B952" s="1" t="n">
        <v>45490.45342592592</v>
      </c>
      <c r="C952" s="1" t="n">
        <v>46103</v>
      </c>
      <c r="D952" t="inlineStr">
        <is>
          <t>STOCKHOLMS LÄN</t>
        </is>
      </c>
      <c r="E952" t="inlineStr">
        <is>
          <t>NORRTÄLJE</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22816-2021</t>
        </is>
      </c>
      <c r="B953" s="1" t="n">
        <v>44325</v>
      </c>
      <c r="C953" s="1" t="n">
        <v>46103</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13-2024</t>
        </is>
      </c>
      <c r="B954" s="1" t="n">
        <v>45293.37263888889</v>
      </c>
      <c r="C954" s="1" t="n">
        <v>46103</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19-2024</t>
        </is>
      </c>
      <c r="B955" s="1" t="n">
        <v>45293</v>
      </c>
      <c r="C955" s="1" t="n">
        <v>46103</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31559-2022</t>
        </is>
      </c>
      <c r="B956" s="1" t="n">
        <v>44775</v>
      </c>
      <c r="C956" s="1" t="n">
        <v>46103</v>
      </c>
      <c r="D956" t="inlineStr">
        <is>
          <t>STOCKHOLMS LÄN</t>
        </is>
      </c>
      <c r="E956" t="inlineStr">
        <is>
          <t>NORRTÄLJE</t>
        </is>
      </c>
      <c r="G956" t="n">
        <v>5.6</v>
      </c>
      <c r="H956" t="n">
        <v>0</v>
      </c>
      <c r="I956" t="n">
        <v>0</v>
      </c>
      <c r="J956" t="n">
        <v>0</v>
      </c>
      <c r="K956" t="n">
        <v>0</v>
      </c>
      <c r="L956" t="n">
        <v>0</v>
      </c>
      <c r="M956" t="n">
        <v>0</v>
      </c>
      <c r="N956" t="n">
        <v>0</v>
      </c>
      <c r="O956" t="n">
        <v>0</v>
      </c>
      <c r="P956" t="n">
        <v>0</v>
      </c>
      <c r="Q956" t="n">
        <v>0</v>
      </c>
      <c r="R956" s="2" t="inlineStr"/>
    </row>
    <row r="957" ht="15" customHeight="1">
      <c r="A957" t="inlineStr">
        <is>
          <t>A 8419-2025</t>
        </is>
      </c>
      <c r="B957" s="1" t="n">
        <v>45709.40231481481</v>
      </c>
      <c r="C957" s="1" t="n">
        <v>46103</v>
      </c>
      <c r="D957" t="inlineStr">
        <is>
          <t>STOCKHOLMS LÄN</t>
        </is>
      </c>
      <c r="E957" t="inlineStr">
        <is>
          <t>NORRTÄLJE</t>
        </is>
      </c>
      <c r="F957" t="inlineStr">
        <is>
          <t>Holmen skog AB</t>
        </is>
      </c>
      <c r="G957" t="n">
        <v>1.2</v>
      </c>
      <c r="H957" t="n">
        <v>0</v>
      </c>
      <c r="I957" t="n">
        <v>0</v>
      </c>
      <c r="J957" t="n">
        <v>0</v>
      </c>
      <c r="K957" t="n">
        <v>0</v>
      </c>
      <c r="L957" t="n">
        <v>0</v>
      </c>
      <c r="M957" t="n">
        <v>0</v>
      </c>
      <c r="N957" t="n">
        <v>0</v>
      </c>
      <c r="O957" t="n">
        <v>0</v>
      </c>
      <c r="P957" t="n">
        <v>0</v>
      </c>
      <c r="Q957" t="n">
        <v>0</v>
      </c>
      <c r="R957" s="2" t="inlineStr"/>
    </row>
    <row r="958" ht="15" customHeight="1">
      <c r="A958" t="inlineStr">
        <is>
          <t>A 35161-2022</t>
        </is>
      </c>
      <c r="B958" s="1" t="n">
        <v>44797</v>
      </c>
      <c r="C958" s="1" t="n">
        <v>46103</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67921-2021</t>
        </is>
      </c>
      <c r="B959" s="1" t="n">
        <v>44525</v>
      </c>
      <c r="C959" s="1" t="n">
        <v>46103</v>
      </c>
      <c r="D959" t="inlineStr">
        <is>
          <t>STOCKHOLMS LÄN</t>
        </is>
      </c>
      <c r="E959" t="inlineStr">
        <is>
          <t>NORRTÄLJE</t>
        </is>
      </c>
      <c r="G959" t="n">
        <v>6.3</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44490.02482638889</v>
      </c>
      <c r="C960" s="1" t="n">
        <v>46103</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46988-2024</t>
        </is>
      </c>
      <c r="B961" s="1" t="n">
        <v>45586</v>
      </c>
      <c r="C961" s="1" t="n">
        <v>46103</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21529-2021</t>
        </is>
      </c>
      <c r="B962" s="1" t="n">
        <v>44321</v>
      </c>
      <c r="C962" s="1" t="n">
        <v>46103</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13701-2022</t>
        </is>
      </c>
      <c r="B963" s="1" t="n">
        <v>44648</v>
      </c>
      <c r="C963" s="1" t="n">
        <v>46103</v>
      </c>
      <c r="D963" t="inlineStr">
        <is>
          <t>STOCKHOLMS LÄN</t>
        </is>
      </c>
      <c r="E963" t="inlineStr">
        <is>
          <t>NORRTÄLJE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65499-2021</t>
        </is>
      </c>
      <c r="B964" s="1" t="n">
        <v>44516</v>
      </c>
      <c r="C964" s="1" t="n">
        <v>46103</v>
      </c>
      <c r="D964" t="inlineStr">
        <is>
          <t>STOCKHOLMS LÄN</t>
        </is>
      </c>
      <c r="E964" t="inlineStr">
        <is>
          <t>NORRTÄLJE</t>
        </is>
      </c>
      <c r="F964" t="inlineStr">
        <is>
          <t>Kommuner</t>
        </is>
      </c>
      <c r="G964" t="n">
        <v>5.2</v>
      </c>
      <c r="H964" t="n">
        <v>0</v>
      </c>
      <c r="I964" t="n">
        <v>0</v>
      </c>
      <c r="J964" t="n">
        <v>0</v>
      </c>
      <c r="K964" t="n">
        <v>0</v>
      </c>
      <c r="L964" t="n">
        <v>0</v>
      </c>
      <c r="M964" t="n">
        <v>0</v>
      </c>
      <c r="N964" t="n">
        <v>0</v>
      </c>
      <c r="O964" t="n">
        <v>0</v>
      </c>
      <c r="P964" t="n">
        <v>0</v>
      </c>
      <c r="Q964" t="n">
        <v>0</v>
      </c>
      <c r="R964" s="2" t="inlineStr"/>
    </row>
    <row r="965" ht="15" customHeight="1">
      <c r="A965" t="inlineStr">
        <is>
          <t>A 14132-2025</t>
        </is>
      </c>
      <c r="B965" s="1" t="n">
        <v>45740.47550925926</v>
      </c>
      <c r="C965" s="1" t="n">
        <v>46103</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14133-2025</t>
        </is>
      </c>
      <c r="B966" s="1" t="n">
        <v>45740.47724537037</v>
      </c>
      <c r="C966" s="1" t="n">
        <v>46103</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8792-2025</t>
        </is>
      </c>
      <c r="B967" s="1" t="n">
        <v>45712</v>
      </c>
      <c r="C967" s="1" t="n">
        <v>46103</v>
      </c>
      <c r="D967" t="inlineStr">
        <is>
          <t>STOCKHOLMS LÄN</t>
        </is>
      </c>
      <c r="E967" t="inlineStr">
        <is>
          <t>NORRTÄLJE</t>
        </is>
      </c>
      <c r="F967" t="inlineStr">
        <is>
          <t>Övriga Aktiebolag</t>
        </is>
      </c>
      <c r="G967" t="n">
        <v>6.6</v>
      </c>
      <c r="H967" t="n">
        <v>0</v>
      </c>
      <c r="I967" t="n">
        <v>0</v>
      </c>
      <c r="J967" t="n">
        <v>0</v>
      </c>
      <c r="K967" t="n">
        <v>0</v>
      </c>
      <c r="L967" t="n">
        <v>0</v>
      </c>
      <c r="M967" t="n">
        <v>0</v>
      </c>
      <c r="N967" t="n">
        <v>0</v>
      </c>
      <c r="O967" t="n">
        <v>0</v>
      </c>
      <c r="P967" t="n">
        <v>0</v>
      </c>
      <c r="Q967" t="n">
        <v>0</v>
      </c>
      <c r="R967" s="2" t="inlineStr"/>
    </row>
    <row r="968" ht="15" customHeight="1">
      <c r="A968" t="inlineStr">
        <is>
          <t>A 24887-2023</t>
        </is>
      </c>
      <c r="B968" s="1" t="n">
        <v>45085</v>
      </c>
      <c r="C968" s="1" t="n">
        <v>46103</v>
      </c>
      <c r="D968" t="inlineStr">
        <is>
          <t>STOCKHOLMS LÄN</t>
        </is>
      </c>
      <c r="E968" t="inlineStr">
        <is>
          <t>NORRTÄLJE</t>
        </is>
      </c>
      <c r="G968" t="n">
        <v>13.9</v>
      </c>
      <c r="H968" t="n">
        <v>0</v>
      </c>
      <c r="I968" t="n">
        <v>0</v>
      </c>
      <c r="J968" t="n">
        <v>0</v>
      </c>
      <c r="K968" t="n">
        <v>0</v>
      </c>
      <c r="L968" t="n">
        <v>0</v>
      </c>
      <c r="M968" t="n">
        <v>0</v>
      </c>
      <c r="N968" t="n">
        <v>0</v>
      </c>
      <c r="O968" t="n">
        <v>0</v>
      </c>
      <c r="P968" t="n">
        <v>0</v>
      </c>
      <c r="Q968" t="n">
        <v>0</v>
      </c>
      <c r="R968" s="2" t="inlineStr"/>
    </row>
    <row r="969" ht="15" customHeight="1">
      <c r="A969" t="inlineStr">
        <is>
          <t>A 38612-2022</t>
        </is>
      </c>
      <c r="B969" s="1" t="n">
        <v>44813</v>
      </c>
      <c r="C969" s="1" t="n">
        <v>46103</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4326-2023</t>
        </is>
      </c>
      <c r="B970" s="1" t="n">
        <v>44953.70481481482</v>
      </c>
      <c r="C970" s="1" t="n">
        <v>46103</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54504-2024</t>
        </is>
      </c>
      <c r="B971" s="1" t="n">
        <v>45617.58453703704</v>
      </c>
      <c r="C971" s="1" t="n">
        <v>46103</v>
      </c>
      <c r="D971" t="inlineStr">
        <is>
          <t>STOCKHOLMS LÄN</t>
        </is>
      </c>
      <c r="E971" t="inlineStr">
        <is>
          <t>NORRTÄLJE</t>
        </is>
      </c>
      <c r="G971" t="n">
        <v>3.4</v>
      </c>
      <c r="H971" t="n">
        <v>0</v>
      </c>
      <c r="I971" t="n">
        <v>0</v>
      </c>
      <c r="J971" t="n">
        <v>0</v>
      </c>
      <c r="K971" t="n">
        <v>0</v>
      </c>
      <c r="L971" t="n">
        <v>0</v>
      </c>
      <c r="M971" t="n">
        <v>0</v>
      </c>
      <c r="N971" t="n">
        <v>0</v>
      </c>
      <c r="O971" t="n">
        <v>0</v>
      </c>
      <c r="P971" t="n">
        <v>0</v>
      </c>
      <c r="Q971" t="n">
        <v>0</v>
      </c>
      <c r="R971" s="2" t="inlineStr"/>
    </row>
    <row r="972" ht="15" customHeight="1">
      <c r="A972" t="inlineStr">
        <is>
          <t>A 21745-2023</t>
        </is>
      </c>
      <c r="B972" s="1" t="n">
        <v>45065.55917824074</v>
      </c>
      <c r="C972" s="1" t="n">
        <v>46103</v>
      </c>
      <c r="D972" t="inlineStr">
        <is>
          <t>STOCKHOLMS LÄN</t>
        </is>
      </c>
      <c r="E972" t="inlineStr">
        <is>
          <t>NORRTÄLJE</t>
        </is>
      </c>
      <c r="F972" t="inlineStr">
        <is>
          <t>Holmen skog AB</t>
        </is>
      </c>
      <c r="G972" t="n">
        <v>0.7</v>
      </c>
      <c r="H972" t="n">
        <v>0</v>
      </c>
      <c r="I972" t="n">
        <v>0</v>
      </c>
      <c r="J972" t="n">
        <v>0</v>
      </c>
      <c r="K972" t="n">
        <v>0</v>
      </c>
      <c r="L972" t="n">
        <v>0</v>
      </c>
      <c r="M972" t="n">
        <v>0</v>
      </c>
      <c r="N972" t="n">
        <v>0</v>
      </c>
      <c r="O972" t="n">
        <v>0</v>
      </c>
      <c r="P972" t="n">
        <v>0</v>
      </c>
      <c r="Q972" t="n">
        <v>0</v>
      </c>
      <c r="R972" s="2" t="inlineStr"/>
    </row>
    <row r="973" ht="15" customHeight="1">
      <c r="A973" t="inlineStr">
        <is>
          <t>A 21894-2023</t>
        </is>
      </c>
      <c r="B973" s="1" t="n">
        <v>45068.51783564815</v>
      </c>
      <c r="C973" s="1" t="n">
        <v>46103</v>
      </c>
      <c r="D973" t="inlineStr">
        <is>
          <t>STOCKHOLMS LÄN</t>
        </is>
      </c>
      <c r="E973" t="inlineStr">
        <is>
          <t>NORRTÄLJE</t>
        </is>
      </c>
      <c r="G973" t="n">
        <v>2.5</v>
      </c>
      <c r="H973" t="n">
        <v>0</v>
      </c>
      <c r="I973" t="n">
        <v>0</v>
      </c>
      <c r="J973" t="n">
        <v>0</v>
      </c>
      <c r="K973" t="n">
        <v>0</v>
      </c>
      <c r="L973" t="n">
        <v>0</v>
      </c>
      <c r="M973" t="n">
        <v>0</v>
      </c>
      <c r="N973" t="n">
        <v>0</v>
      </c>
      <c r="O973" t="n">
        <v>0</v>
      </c>
      <c r="P973" t="n">
        <v>0</v>
      </c>
      <c r="Q973" t="n">
        <v>0</v>
      </c>
      <c r="R973" s="2" t="inlineStr"/>
    </row>
    <row r="974" ht="15" customHeight="1">
      <c r="A974" t="inlineStr">
        <is>
          <t>A 13276-2022</t>
        </is>
      </c>
      <c r="B974" s="1" t="n">
        <v>44644</v>
      </c>
      <c r="C974" s="1" t="n">
        <v>46103</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28182-2022</t>
        </is>
      </c>
      <c r="B975" s="1" t="n">
        <v>44746.58530092592</v>
      </c>
      <c r="C975" s="1" t="n">
        <v>46103</v>
      </c>
      <c r="D975" t="inlineStr">
        <is>
          <t>STOCKHOLMS LÄN</t>
        </is>
      </c>
      <c r="E975" t="inlineStr">
        <is>
          <t>NORRTÄLJE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34461-2023</t>
        </is>
      </c>
      <c r="B976" s="1" t="n">
        <v>45139</v>
      </c>
      <c r="C976" s="1" t="n">
        <v>46103</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51046-2023</t>
        </is>
      </c>
      <c r="B977" s="1" t="n">
        <v>45218</v>
      </c>
      <c r="C977" s="1" t="n">
        <v>46103</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17382-2024</t>
        </is>
      </c>
      <c r="B978" s="1" t="n">
        <v>45414.65855324074</v>
      </c>
      <c r="C978" s="1" t="n">
        <v>46103</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6070-2022</t>
        </is>
      </c>
      <c r="B979" s="1" t="n">
        <v>44599.58428240741</v>
      </c>
      <c r="C979" s="1" t="n">
        <v>46103</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17039-2024</t>
        </is>
      </c>
      <c r="B980" s="1" t="n">
        <v>45412.4104050926</v>
      </c>
      <c r="C980" s="1" t="n">
        <v>46103</v>
      </c>
      <c r="D980" t="inlineStr">
        <is>
          <t>STOCKHOLMS LÄN</t>
        </is>
      </c>
      <c r="E980" t="inlineStr">
        <is>
          <t>NORRTÄLJE</t>
        </is>
      </c>
      <c r="G980" t="n">
        <v>5.9</v>
      </c>
      <c r="H980" t="n">
        <v>0</v>
      </c>
      <c r="I980" t="n">
        <v>0</v>
      </c>
      <c r="J980" t="n">
        <v>0</v>
      </c>
      <c r="K980" t="n">
        <v>0</v>
      </c>
      <c r="L980" t="n">
        <v>0</v>
      </c>
      <c r="M980" t="n">
        <v>0</v>
      </c>
      <c r="N980" t="n">
        <v>0</v>
      </c>
      <c r="O980" t="n">
        <v>0</v>
      </c>
      <c r="P980" t="n">
        <v>0</v>
      </c>
      <c r="Q980" t="n">
        <v>0</v>
      </c>
      <c r="R980" s="2" t="inlineStr"/>
    </row>
    <row r="981" ht="15" customHeight="1">
      <c r="A981" t="inlineStr">
        <is>
          <t>A 48180-2023</t>
        </is>
      </c>
      <c r="B981" s="1" t="n">
        <v>45205</v>
      </c>
      <c r="C981" s="1" t="n">
        <v>46103</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35695-2023</t>
        </is>
      </c>
      <c r="B982" s="1" t="n">
        <v>45147.65407407407</v>
      </c>
      <c r="C982" s="1" t="n">
        <v>46103</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45173-2023</t>
        </is>
      </c>
      <c r="B983" s="1" t="n">
        <v>45191</v>
      </c>
      <c r="C983" s="1" t="n">
        <v>46103</v>
      </c>
      <c r="D983" t="inlineStr">
        <is>
          <t>STOCKHOLMS LÄN</t>
        </is>
      </c>
      <c r="E983" t="inlineStr">
        <is>
          <t>NORRTÄLJE</t>
        </is>
      </c>
      <c r="F983" t="inlineStr">
        <is>
          <t>Sveaskog</t>
        </is>
      </c>
      <c r="G983" t="n">
        <v>3.6</v>
      </c>
      <c r="H983" t="n">
        <v>0</v>
      </c>
      <c r="I983" t="n">
        <v>0</v>
      </c>
      <c r="J983" t="n">
        <v>0</v>
      </c>
      <c r="K983" t="n">
        <v>0</v>
      </c>
      <c r="L983" t="n">
        <v>0</v>
      </c>
      <c r="M983" t="n">
        <v>0</v>
      </c>
      <c r="N983" t="n">
        <v>0</v>
      </c>
      <c r="O983" t="n">
        <v>0</v>
      </c>
      <c r="P983" t="n">
        <v>0</v>
      </c>
      <c r="Q983" t="n">
        <v>0</v>
      </c>
      <c r="R983" s="2" t="inlineStr"/>
    </row>
    <row r="984" ht="15" customHeight="1">
      <c r="A984" t="inlineStr">
        <is>
          <t>A 24705-2023</t>
        </is>
      </c>
      <c r="B984" s="1" t="n">
        <v>45084.54459490741</v>
      </c>
      <c r="C984" s="1" t="n">
        <v>46103</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21696-2024</t>
        </is>
      </c>
      <c r="B985" s="1" t="n">
        <v>45442.45686342593</v>
      </c>
      <c r="C985" s="1" t="n">
        <v>46103</v>
      </c>
      <c r="D985" t="inlineStr">
        <is>
          <t>STOCKHOLMS LÄN</t>
        </is>
      </c>
      <c r="E985" t="inlineStr">
        <is>
          <t>NORRTÄLJE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67990-2021</t>
        </is>
      </c>
      <c r="B986" s="1" t="n">
        <v>44525</v>
      </c>
      <c r="C986" s="1" t="n">
        <v>46103</v>
      </c>
      <c r="D986" t="inlineStr">
        <is>
          <t>STOCKHOLMS LÄN</t>
        </is>
      </c>
      <c r="E986" t="inlineStr">
        <is>
          <t>NORRTÄLJE</t>
        </is>
      </c>
      <c r="F986" t="inlineStr">
        <is>
          <t>Sveaskog</t>
        </is>
      </c>
      <c r="G986" t="n">
        <v>7.8</v>
      </c>
      <c r="H986" t="n">
        <v>0</v>
      </c>
      <c r="I986" t="n">
        <v>0</v>
      </c>
      <c r="J986" t="n">
        <v>0</v>
      </c>
      <c r="K986" t="n">
        <v>0</v>
      </c>
      <c r="L986" t="n">
        <v>0</v>
      </c>
      <c r="M986" t="n">
        <v>0</v>
      </c>
      <c r="N986" t="n">
        <v>0</v>
      </c>
      <c r="O986" t="n">
        <v>0</v>
      </c>
      <c r="P986" t="n">
        <v>0</v>
      </c>
      <c r="Q986" t="n">
        <v>0</v>
      </c>
      <c r="R986" s="2" t="inlineStr"/>
    </row>
    <row r="987" ht="15" customHeight="1">
      <c r="A987" t="inlineStr">
        <is>
          <t>A 71552-2021</t>
        </is>
      </c>
      <c r="B987" s="1" t="n">
        <v>44540</v>
      </c>
      <c r="C987" s="1" t="n">
        <v>46103</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73992-2021</t>
        </is>
      </c>
      <c r="B988" s="1" t="n">
        <v>44556</v>
      </c>
      <c r="C988" s="1" t="n">
        <v>46103</v>
      </c>
      <c r="D988" t="inlineStr">
        <is>
          <t>STOCKHOLMS LÄN</t>
        </is>
      </c>
      <c r="E988" t="inlineStr">
        <is>
          <t>NORRTÄLJE</t>
        </is>
      </c>
      <c r="G988" t="n">
        <v>12.5</v>
      </c>
      <c r="H988" t="n">
        <v>0</v>
      </c>
      <c r="I988" t="n">
        <v>0</v>
      </c>
      <c r="J988" t="n">
        <v>0</v>
      </c>
      <c r="K988" t="n">
        <v>0</v>
      </c>
      <c r="L988" t="n">
        <v>0</v>
      </c>
      <c r="M988" t="n">
        <v>0</v>
      </c>
      <c r="N988" t="n">
        <v>0</v>
      </c>
      <c r="O988" t="n">
        <v>0</v>
      </c>
      <c r="P988" t="n">
        <v>0</v>
      </c>
      <c r="Q988" t="n">
        <v>0</v>
      </c>
      <c r="R988" s="2" t="inlineStr"/>
    </row>
    <row r="989" ht="15" customHeight="1">
      <c r="A989" t="inlineStr">
        <is>
          <t>A 26113-2024</t>
        </is>
      </c>
      <c r="B989" s="1" t="n">
        <v>45468.45541666666</v>
      </c>
      <c r="C989" s="1" t="n">
        <v>46103</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26116-2024</t>
        </is>
      </c>
      <c r="B990" s="1" t="n">
        <v>45468.45747685185</v>
      </c>
      <c r="C990" s="1" t="n">
        <v>46103</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15978-2024</t>
        </is>
      </c>
      <c r="B991" s="1" t="n">
        <v>45405.57927083333</v>
      </c>
      <c r="C991" s="1" t="n">
        <v>46103</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11333-2025</t>
        </is>
      </c>
      <c r="B992" s="1" t="n">
        <v>45726.48377314815</v>
      </c>
      <c r="C992" s="1" t="n">
        <v>46103</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34391-2023</t>
        </is>
      </c>
      <c r="B993" s="1" t="n">
        <v>45139.51457175926</v>
      </c>
      <c r="C993" s="1" t="n">
        <v>46103</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67921-2021</t>
        </is>
      </c>
      <c r="B994" s="1" t="n">
        <v>44525</v>
      </c>
      <c r="C994" s="1" t="n">
        <v>46103</v>
      </c>
      <c r="D994" t="inlineStr">
        <is>
          <t>STOCKHOLMS LÄN</t>
        </is>
      </c>
      <c r="E994" t="inlineStr">
        <is>
          <t>NORRTÄLJE</t>
        </is>
      </c>
      <c r="G994" t="n">
        <v>6.3</v>
      </c>
      <c r="H994" t="n">
        <v>0</v>
      </c>
      <c r="I994" t="n">
        <v>0</v>
      </c>
      <c r="J994" t="n">
        <v>0</v>
      </c>
      <c r="K994" t="n">
        <v>0</v>
      </c>
      <c r="L994" t="n">
        <v>0</v>
      </c>
      <c r="M994" t="n">
        <v>0</v>
      </c>
      <c r="N994" t="n">
        <v>0</v>
      </c>
      <c r="O994" t="n">
        <v>0</v>
      </c>
      <c r="P994" t="n">
        <v>0</v>
      </c>
      <c r="Q994" t="n">
        <v>0</v>
      </c>
      <c r="R994" s="2" t="inlineStr"/>
    </row>
    <row r="995" ht="15" customHeight="1">
      <c r="A995" t="inlineStr">
        <is>
          <t>A 25681-2024</t>
        </is>
      </c>
      <c r="B995" s="1" t="n">
        <v>45463.80486111111</v>
      </c>
      <c r="C995" s="1" t="n">
        <v>46103</v>
      </c>
      <c r="D995" t="inlineStr">
        <is>
          <t>STOCKHOLMS LÄN</t>
        </is>
      </c>
      <c r="E995" t="inlineStr">
        <is>
          <t>NORRTÄLJE</t>
        </is>
      </c>
      <c r="G995" t="n">
        <v>2.7</v>
      </c>
      <c r="H995" t="n">
        <v>0</v>
      </c>
      <c r="I995" t="n">
        <v>0</v>
      </c>
      <c r="J995" t="n">
        <v>0</v>
      </c>
      <c r="K995" t="n">
        <v>0</v>
      </c>
      <c r="L995" t="n">
        <v>0</v>
      </c>
      <c r="M995" t="n">
        <v>0</v>
      </c>
      <c r="N995" t="n">
        <v>0</v>
      </c>
      <c r="O995" t="n">
        <v>0</v>
      </c>
      <c r="P995" t="n">
        <v>0</v>
      </c>
      <c r="Q995" t="n">
        <v>0</v>
      </c>
      <c r="R995" s="2" t="inlineStr"/>
    </row>
    <row r="996" ht="15" customHeight="1">
      <c r="A996" t="inlineStr">
        <is>
          <t>A 58853-2024</t>
        </is>
      </c>
      <c r="B996" s="1" t="n">
        <v>45636.38974537037</v>
      </c>
      <c r="C996" s="1" t="n">
        <v>46103</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35438-2023</t>
        </is>
      </c>
      <c r="B997" s="1" t="n">
        <v>45146</v>
      </c>
      <c r="C997" s="1" t="n">
        <v>46103</v>
      </c>
      <c r="D997" t="inlineStr">
        <is>
          <t>STOCKHOLMS LÄN</t>
        </is>
      </c>
      <c r="E997" t="inlineStr">
        <is>
          <t>NORRTÄLJE</t>
        </is>
      </c>
      <c r="F997" t="inlineStr">
        <is>
          <t>Kommuner</t>
        </is>
      </c>
      <c r="G997" t="n">
        <v>1.9</v>
      </c>
      <c r="H997" t="n">
        <v>0</v>
      </c>
      <c r="I997" t="n">
        <v>0</v>
      </c>
      <c r="J997" t="n">
        <v>0</v>
      </c>
      <c r="K997" t="n">
        <v>0</v>
      </c>
      <c r="L997" t="n">
        <v>0</v>
      </c>
      <c r="M997" t="n">
        <v>0</v>
      </c>
      <c r="N997" t="n">
        <v>0</v>
      </c>
      <c r="O997" t="n">
        <v>0</v>
      </c>
      <c r="P997" t="n">
        <v>0</v>
      </c>
      <c r="Q997" t="n">
        <v>0</v>
      </c>
      <c r="R997" s="2" t="inlineStr"/>
    </row>
    <row r="998" ht="15" customHeight="1">
      <c r="A998" t="inlineStr">
        <is>
          <t>A 20291-2022</t>
        </is>
      </c>
      <c r="B998" s="1" t="n">
        <v>44698</v>
      </c>
      <c r="C998" s="1" t="n">
        <v>46103</v>
      </c>
      <c r="D998" t="inlineStr">
        <is>
          <t>STOCKHOLMS LÄN</t>
        </is>
      </c>
      <c r="E998" t="inlineStr">
        <is>
          <t>NORRTÄLJE</t>
        </is>
      </c>
      <c r="F998" t="inlineStr">
        <is>
          <t>Naturvårdsverket</t>
        </is>
      </c>
      <c r="G998" t="n">
        <v>2</v>
      </c>
      <c r="H998" t="n">
        <v>0</v>
      </c>
      <c r="I998" t="n">
        <v>0</v>
      </c>
      <c r="J998" t="n">
        <v>0</v>
      </c>
      <c r="K998" t="n">
        <v>0</v>
      </c>
      <c r="L998" t="n">
        <v>0</v>
      </c>
      <c r="M998" t="n">
        <v>0</v>
      </c>
      <c r="N998" t="n">
        <v>0</v>
      </c>
      <c r="O998" t="n">
        <v>0</v>
      </c>
      <c r="P998" t="n">
        <v>0</v>
      </c>
      <c r="Q998" t="n">
        <v>0</v>
      </c>
      <c r="R998" s="2" t="inlineStr"/>
    </row>
    <row r="999" ht="15" customHeight="1">
      <c r="A999" t="inlineStr">
        <is>
          <t>A 26115-2024</t>
        </is>
      </c>
      <c r="B999" s="1" t="n">
        <v>45468.45628472222</v>
      </c>
      <c r="C999" s="1" t="n">
        <v>46103</v>
      </c>
      <c r="D999" t="inlineStr">
        <is>
          <t>STOCKHOLMS LÄN</t>
        </is>
      </c>
      <c r="E999" t="inlineStr">
        <is>
          <t>NORRTÄLJE</t>
        </is>
      </c>
      <c r="G999" t="n">
        <v>0.3</v>
      </c>
      <c r="H999" t="n">
        <v>0</v>
      </c>
      <c r="I999" t="n">
        <v>0</v>
      </c>
      <c r="J999" t="n">
        <v>0</v>
      </c>
      <c r="K999" t="n">
        <v>0</v>
      </c>
      <c r="L999" t="n">
        <v>0</v>
      </c>
      <c r="M999" t="n">
        <v>0</v>
      </c>
      <c r="N999" t="n">
        <v>0</v>
      </c>
      <c r="O999" t="n">
        <v>0</v>
      </c>
      <c r="P999" t="n">
        <v>0</v>
      </c>
      <c r="Q999" t="n">
        <v>0</v>
      </c>
      <c r="R999" s="2" t="inlineStr"/>
    </row>
    <row r="1000" ht="15" customHeight="1">
      <c r="A1000" t="inlineStr">
        <is>
          <t>A 19118-2022</t>
        </is>
      </c>
      <c r="B1000" s="1" t="n">
        <v>44691.5652662037</v>
      </c>
      <c r="C1000" s="1" t="n">
        <v>46103</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8739-2024</t>
        </is>
      </c>
      <c r="B1001" s="1" t="n">
        <v>45356.47784722222</v>
      </c>
      <c r="C1001" s="1" t="n">
        <v>46103</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38759-2022</t>
        </is>
      </c>
      <c r="B1002" s="1" t="n">
        <v>44816</v>
      </c>
      <c r="C1002" s="1" t="n">
        <v>46103</v>
      </c>
      <c r="D1002" t="inlineStr">
        <is>
          <t>STOCKHOLMS LÄN</t>
        </is>
      </c>
      <c r="E1002" t="inlineStr">
        <is>
          <t>NORRTÄLJE</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32857-2021</t>
        </is>
      </c>
      <c r="B1003" s="1" t="n">
        <v>44375</v>
      </c>
      <c r="C1003" s="1" t="n">
        <v>46103</v>
      </c>
      <c r="D1003" t="inlineStr">
        <is>
          <t>STOCKHOLMS LÄN</t>
        </is>
      </c>
      <c r="E1003" t="inlineStr">
        <is>
          <t>NORRTÄLJE</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29714-2023</t>
        </is>
      </c>
      <c r="B1004" s="1" t="n">
        <v>45107.42538194444</v>
      </c>
      <c r="C1004" s="1" t="n">
        <v>46103</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23271-2023</t>
        </is>
      </c>
      <c r="B1005" s="1" t="n">
        <v>45075.91362268518</v>
      </c>
      <c r="C1005" s="1" t="n">
        <v>46103</v>
      </c>
      <c r="D1005" t="inlineStr">
        <is>
          <t>STOCKHOLMS LÄN</t>
        </is>
      </c>
      <c r="E1005" t="inlineStr">
        <is>
          <t>NORRTÄLJE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23273-2023</t>
        </is>
      </c>
      <c r="B1006" s="1" t="n">
        <v>45075.91971064815</v>
      </c>
      <c r="C1006" s="1" t="n">
        <v>46103</v>
      </c>
      <c r="D1006" t="inlineStr">
        <is>
          <t>STOCKHOLMS LÄN</t>
        </is>
      </c>
      <c r="E1006" t="inlineStr">
        <is>
          <t>NORRTÄLJE</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7603-2025</t>
        </is>
      </c>
      <c r="B1007" s="1" t="n">
        <v>45705.66126157407</v>
      </c>
      <c r="C1007" s="1" t="n">
        <v>46103</v>
      </c>
      <c r="D1007" t="inlineStr">
        <is>
          <t>STOCKHOLMS LÄN</t>
        </is>
      </c>
      <c r="E1007" t="inlineStr">
        <is>
          <t>NORRTÄLJE</t>
        </is>
      </c>
      <c r="F1007" t="inlineStr">
        <is>
          <t>Holmen skog AB</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30802-2022</t>
        </is>
      </c>
      <c r="B1008" s="1" t="n">
        <v>44764</v>
      </c>
      <c r="C1008" s="1" t="n">
        <v>46103</v>
      </c>
      <c r="D1008" t="inlineStr">
        <is>
          <t>STOCKHOLMS LÄN</t>
        </is>
      </c>
      <c r="E1008" t="inlineStr">
        <is>
          <t>NORRTÄLJE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55369-2023</t>
        </is>
      </c>
      <c r="B1009" s="1" t="n">
        <v>45238</v>
      </c>
      <c r="C1009" s="1" t="n">
        <v>46103</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61113-2023</t>
        </is>
      </c>
      <c r="B1010" s="1" t="n">
        <v>45261</v>
      </c>
      <c r="C1010" s="1" t="n">
        <v>46103</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3283-2025</t>
        </is>
      </c>
      <c r="B1011" s="1" t="n">
        <v>45679</v>
      </c>
      <c r="C1011" s="1" t="n">
        <v>46103</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34295-2024</t>
        </is>
      </c>
      <c r="B1012" s="1" t="n">
        <v>45524</v>
      </c>
      <c r="C1012" s="1" t="n">
        <v>46103</v>
      </c>
      <c r="D1012" t="inlineStr">
        <is>
          <t>STOCKHOLMS LÄN</t>
        </is>
      </c>
      <c r="E1012" t="inlineStr">
        <is>
          <t>NORRTÄLJE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58311-2023</t>
        </is>
      </c>
      <c r="B1013" s="1" t="n">
        <v>45245</v>
      </c>
      <c r="C1013" s="1" t="n">
        <v>46103</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23692-2024</t>
        </is>
      </c>
      <c r="B1014" s="1" t="n">
        <v>45454.65774305556</v>
      </c>
      <c r="C1014" s="1" t="n">
        <v>46103</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20473-2021</t>
        </is>
      </c>
      <c r="B1015" s="1" t="n">
        <v>44315</v>
      </c>
      <c r="C1015" s="1" t="n">
        <v>46103</v>
      </c>
      <c r="D1015" t="inlineStr">
        <is>
          <t>STOCKHOLMS LÄN</t>
        </is>
      </c>
      <c r="E1015" t="inlineStr">
        <is>
          <t>NORRTÄLJE</t>
        </is>
      </c>
      <c r="F1015" t="inlineStr">
        <is>
          <t>Övriga Aktiebolag</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54273-2021</t>
        </is>
      </c>
      <c r="B1016" s="1" t="n">
        <v>44470.72987268519</v>
      </c>
      <c r="C1016" s="1" t="n">
        <v>46103</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7806-2025</t>
        </is>
      </c>
      <c r="B1017" s="1" t="n">
        <v>45706.61178240741</v>
      </c>
      <c r="C1017" s="1" t="n">
        <v>46103</v>
      </c>
      <c r="D1017" t="inlineStr">
        <is>
          <t>STOCKHOLMS LÄN</t>
        </is>
      </c>
      <c r="E1017" t="inlineStr">
        <is>
          <t>NORRTÄLJE</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53792-2023</t>
        </is>
      </c>
      <c r="B1018" s="1" t="n">
        <v>45231.34144675926</v>
      </c>
      <c r="C1018" s="1" t="n">
        <v>46103</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21329-2022</t>
        </is>
      </c>
      <c r="B1019" s="1" t="n">
        <v>44705.60626157407</v>
      </c>
      <c r="C1019" s="1" t="n">
        <v>46103</v>
      </c>
      <c r="D1019" t="inlineStr">
        <is>
          <t>STOCKHOLMS LÄN</t>
        </is>
      </c>
      <c r="E1019" t="inlineStr">
        <is>
          <t>NORRTÄLJE</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50569-2022</t>
        </is>
      </c>
      <c r="B1020" s="1" t="n">
        <v>44866.63775462963</v>
      </c>
      <c r="C1020" s="1" t="n">
        <v>46103</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24501-2023</t>
        </is>
      </c>
      <c r="B1021" s="1" t="n">
        <v>45082</v>
      </c>
      <c r="C1021" s="1" t="n">
        <v>46103</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24520-2023</t>
        </is>
      </c>
      <c r="B1022" s="1" t="n">
        <v>45082.68922453704</v>
      </c>
      <c r="C1022" s="1" t="n">
        <v>46103</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60654-2023</t>
        </is>
      </c>
      <c r="B1023" s="1" t="n">
        <v>45260.43225694444</v>
      </c>
      <c r="C1023" s="1" t="n">
        <v>46103</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60656-2023</t>
        </is>
      </c>
      <c r="B1024" s="1" t="n">
        <v>45260.4333449074</v>
      </c>
      <c r="C1024" s="1" t="n">
        <v>46103</v>
      </c>
      <c r="D1024" t="inlineStr">
        <is>
          <t>STOCKHOLMS LÄN</t>
        </is>
      </c>
      <c r="E1024" t="inlineStr">
        <is>
          <t>NORRTÄLJE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54496-2024</t>
        </is>
      </c>
      <c r="B1025" s="1" t="n">
        <v>45617.57439814815</v>
      </c>
      <c r="C1025" s="1" t="n">
        <v>46103</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21386-2023</t>
        </is>
      </c>
      <c r="B1026" s="1" t="n">
        <v>45063.35880787037</v>
      </c>
      <c r="C1026" s="1" t="n">
        <v>46103</v>
      </c>
      <c r="D1026" t="inlineStr">
        <is>
          <t>STOCKHOLMS LÄN</t>
        </is>
      </c>
      <c r="E1026" t="inlineStr">
        <is>
          <t>NORRTÄLJE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10642-2025</t>
        </is>
      </c>
      <c r="B1027" s="1" t="n">
        <v>45721.65858796296</v>
      </c>
      <c r="C1027" s="1" t="n">
        <v>46103</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20144-2023</t>
        </is>
      </c>
      <c r="B1028" s="1" t="n">
        <v>45055.43509259259</v>
      </c>
      <c r="C1028" s="1" t="n">
        <v>46103</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53312-2024</t>
        </is>
      </c>
      <c r="B1029" s="1" t="n">
        <v>45614.39627314815</v>
      </c>
      <c r="C1029" s="1" t="n">
        <v>46103</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39202-2024</t>
        </is>
      </c>
      <c r="B1030" s="1" t="n">
        <v>45548.72306712963</v>
      </c>
      <c r="C1030" s="1" t="n">
        <v>46103</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22756-2022</t>
        </is>
      </c>
      <c r="B1031" s="1" t="n">
        <v>44714.92253472222</v>
      </c>
      <c r="C1031" s="1" t="n">
        <v>46103</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4581-2025</t>
        </is>
      </c>
      <c r="B1032" s="1" t="n">
        <v>45687</v>
      </c>
      <c r="C1032" s="1" t="n">
        <v>46103</v>
      </c>
      <c r="D1032" t="inlineStr">
        <is>
          <t>STOCKHOLMS LÄN</t>
        </is>
      </c>
      <c r="E1032" t="inlineStr">
        <is>
          <t>NORRTÄLJE</t>
        </is>
      </c>
      <c r="F1032" t="inlineStr">
        <is>
          <t>Holmen skog AB</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60765-2023</t>
        </is>
      </c>
      <c r="B1033" s="1" t="n">
        <v>45260</v>
      </c>
      <c r="C1033" s="1" t="n">
        <v>46103</v>
      </c>
      <c r="D1033" t="inlineStr">
        <is>
          <t>STOCKHOLMS LÄN</t>
        </is>
      </c>
      <c r="E1033" t="inlineStr">
        <is>
          <t>NORRTÄLJE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23801-2022</t>
        </is>
      </c>
      <c r="B1034" s="1" t="n">
        <v>44722</v>
      </c>
      <c r="C1034" s="1" t="n">
        <v>46103</v>
      </c>
      <c r="D1034" t="inlineStr">
        <is>
          <t>STOCKHOLMS LÄN</t>
        </is>
      </c>
      <c r="E1034" t="inlineStr">
        <is>
          <t>NORRTÄLJE</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59276-2023</t>
        </is>
      </c>
      <c r="B1035" s="1" t="n">
        <v>45253.55641203704</v>
      </c>
      <c r="C1035" s="1" t="n">
        <v>46103</v>
      </c>
      <c r="D1035" t="inlineStr">
        <is>
          <t>STOCKHOLMS LÄN</t>
        </is>
      </c>
      <c r="E1035" t="inlineStr">
        <is>
          <t>NORRTÄLJE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46914-2022</t>
        </is>
      </c>
      <c r="B1036" s="1" t="n">
        <v>44851</v>
      </c>
      <c r="C1036" s="1" t="n">
        <v>46103</v>
      </c>
      <c r="D1036" t="inlineStr">
        <is>
          <t>STOCKHOLMS LÄN</t>
        </is>
      </c>
      <c r="E1036" t="inlineStr">
        <is>
          <t>NORRTÄLJE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18541-2023</t>
        </is>
      </c>
      <c r="B1037" s="1" t="n">
        <v>45042.74291666667</v>
      </c>
      <c r="C1037" s="1" t="n">
        <v>46103</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3509-2022</t>
        </is>
      </c>
      <c r="B1038" s="1" t="n">
        <v>44585</v>
      </c>
      <c r="C1038" s="1" t="n">
        <v>46103</v>
      </c>
      <c r="D1038" t="inlineStr">
        <is>
          <t>STOCKHOLMS LÄN</t>
        </is>
      </c>
      <c r="E1038" t="inlineStr">
        <is>
          <t>NORRTÄLJE</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26407-2024</t>
        </is>
      </c>
      <c r="B1039" s="1" t="n">
        <v>45469</v>
      </c>
      <c r="C1039" s="1" t="n">
        <v>46103</v>
      </c>
      <c r="D1039" t="inlineStr">
        <is>
          <t>STOCKHOLMS LÄN</t>
        </is>
      </c>
      <c r="E1039" t="inlineStr">
        <is>
          <t>NORRTÄLJE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12890-2024</t>
        </is>
      </c>
      <c r="B1040" s="1" t="n">
        <v>45385.36243055556</v>
      </c>
      <c r="C1040" s="1" t="n">
        <v>46103</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47419-2023</t>
        </is>
      </c>
      <c r="B1041" s="1" t="n">
        <v>45202.65660879629</v>
      </c>
      <c r="C1041" s="1" t="n">
        <v>46103</v>
      </c>
      <c r="D1041" t="inlineStr">
        <is>
          <t>STOCKHOLMS LÄN</t>
        </is>
      </c>
      <c r="E1041" t="inlineStr">
        <is>
          <t>NORRTÄLJE</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23070-2023</t>
        </is>
      </c>
      <c r="B1042" s="1" t="n">
        <v>45075</v>
      </c>
      <c r="C1042" s="1" t="n">
        <v>46103</v>
      </c>
      <c r="D1042" t="inlineStr">
        <is>
          <t>STOCKHOLMS LÄN</t>
        </is>
      </c>
      <c r="E1042" t="inlineStr">
        <is>
          <t>NORRTÄLJE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27824-2022</t>
        </is>
      </c>
      <c r="B1043" s="1" t="n">
        <v>44743.59331018518</v>
      </c>
      <c r="C1043" s="1" t="n">
        <v>46103</v>
      </c>
      <c r="D1043" t="inlineStr">
        <is>
          <t>STOCKHOLMS LÄN</t>
        </is>
      </c>
      <c r="E1043" t="inlineStr">
        <is>
          <t>NORRTÄLJE</t>
        </is>
      </c>
      <c r="F1043" t="inlineStr">
        <is>
          <t>Kommuner</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25619-2022</t>
        </is>
      </c>
      <c r="B1044" s="1" t="n">
        <v>44732</v>
      </c>
      <c r="C1044" s="1" t="n">
        <v>46103</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36246-2021</t>
        </is>
      </c>
      <c r="B1045" s="1" t="n">
        <v>44390</v>
      </c>
      <c r="C1045" s="1" t="n">
        <v>46103</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19952-2023</t>
        </is>
      </c>
      <c r="B1046" s="1" t="n">
        <v>45054.54091435186</v>
      </c>
      <c r="C1046" s="1" t="n">
        <v>46103</v>
      </c>
      <c r="D1046" t="inlineStr">
        <is>
          <t>STOCKHOLMS LÄN</t>
        </is>
      </c>
      <c r="E1046" t="inlineStr">
        <is>
          <t>NORRTÄLJE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19994-2023</t>
        </is>
      </c>
      <c r="B1047" s="1" t="n">
        <v>45054</v>
      </c>
      <c r="C1047" s="1" t="n">
        <v>46103</v>
      </c>
      <c r="D1047" t="inlineStr">
        <is>
          <t>STOCKHOLMS LÄN</t>
        </is>
      </c>
      <c r="E1047" t="inlineStr">
        <is>
          <t>NORRTÄLJE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14130-2025</t>
        </is>
      </c>
      <c r="B1048" s="1" t="n">
        <v>45740.47288194444</v>
      </c>
      <c r="C1048" s="1" t="n">
        <v>46103</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574-2023</t>
        </is>
      </c>
      <c r="B1049" s="1" t="n">
        <v>44925</v>
      </c>
      <c r="C1049" s="1" t="n">
        <v>46103</v>
      </c>
      <c r="D1049" t="inlineStr">
        <is>
          <t>STOCKHOLMS LÄN</t>
        </is>
      </c>
      <c r="E1049" t="inlineStr">
        <is>
          <t>NORRTÄLJE</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30283-2022</t>
        </is>
      </c>
      <c r="B1050" s="1" t="n">
        <v>44760</v>
      </c>
      <c r="C1050" s="1" t="n">
        <v>46103</v>
      </c>
      <c r="D1050" t="inlineStr">
        <is>
          <t>STOCKHOLMS LÄN</t>
        </is>
      </c>
      <c r="E1050" t="inlineStr">
        <is>
          <t>NORRTÄLJE</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30290-2022</t>
        </is>
      </c>
      <c r="B1051" s="1" t="n">
        <v>44760</v>
      </c>
      <c r="C1051" s="1" t="n">
        <v>46103</v>
      </c>
      <c r="D1051" t="inlineStr">
        <is>
          <t>STOCKHOLMS LÄN</t>
        </is>
      </c>
      <c r="E1051" t="inlineStr">
        <is>
          <t>NORRTÄLJE</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29684-2021</t>
        </is>
      </c>
      <c r="B1052" s="1" t="n">
        <v>44362.37172453704</v>
      </c>
      <c r="C1052" s="1" t="n">
        <v>46103</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60884-2024</t>
        </is>
      </c>
      <c r="B1053" s="1" t="n">
        <v>45644.90815972222</v>
      </c>
      <c r="C1053" s="1" t="n">
        <v>46103</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38610-2022</t>
        </is>
      </c>
      <c r="B1054" s="1" t="n">
        <v>44813.59915509259</v>
      </c>
      <c r="C1054" s="1" t="n">
        <v>46103</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10090-2022</t>
        </is>
      </c>
      <c r="B1055" s="1" t="n">
        <v>44621</v>
      </c>
      <c r="C1055" s="1" t="n">
        <v>46103</v>
      </c>
      <c r="D1055" t="inlineStr">
        <is>
          <t>STOCKHOLMS LÄN</t>
        </is>
      </c>
      <c r="E1055" t="inlineStr">
        <is>
          <t>NORRTÄLJE</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14724-2022</t>
        </is>
      </c>
      <c r="B1056" s="1" t="n">
        <v>44656</v>
      </c>
      <c r="C1056" s="1" t="n">
        <v>46103</v>
      </c>
      <c r="D1056" t="inlineStr">
        <is>
          <t>STOCKHOLMS LÄN</t>
        </is>
      </c>
      <c r="E1056" t="inlineStr">
        <is>
          <t>NORRTÄLJE</t>
        </is>
      </c>
      <c r="F1056" t="inlineStr">
        <is>
          <t>Sveaskog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18846-2022</t>
        </is>
      </c>
      <c r="B1057" s="1" t="n">
        <v>44690</v>
      </c>
      <c r="C1057" s="1" t="n">
        <v>46103</v>
      </c>
      <c r="D1057" t="inlineStr">
        <is>
          <t>STOCKHOLMS LÄN</t>
        </is>
      </c>
      <c r="E1057" t="inlineStr">
        <is>
          <t>NORRTÄLJE</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43300-2023</t>
        </is>
      </c>
      <c r="B1058" s="1" t="n">
        <v>45183</v>
      </c>
      <c r="C1058" s="1" t="n">
        <v>46103</v>
      </c>
      <c r="D1058" t="inlineStr">
        <is>
          <t>STOCKHOLMS LÄN</t>
        </is>
      </c>
      <c r="E1058" t="inlineStr">
        <is>
          <t>NORRTÄLJE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25654-2023</t>
        </is>
      </c>
      <c r="B1059" s="1" t="n">
        <v>45089</v>
      </c>
      <c r="C1059" s="1" t="n">
        <v>46103</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23125-2022</t>
        </is>
      </c>
      <c r="B1060" s="1" t="n">
        <v>44719</v>
      </c>
      <c r="C1060" s="1" t="n">
        <v>46103</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20121-2022</t>
        </is>
      </c>
      <c r="B1061" s="1" t="n">
        <v>44698</v>
      </c>
      <c r="C1061" s="1" t="n">
        <v>46103</v>
      </c>
      <c r="D1061" t="inlineStr">
        <is>
          <t>STOCKHOLMS LÄN</t>
        </is>
      </c>
      <c r="E1061" t="inlineStr">
        <is>
          <t>NORRTÄLJE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33385-2024</t>
        </is>
      </c>
      <c r="B1062" s="1" t="n">
        <v>45519</v>
      </c>
      <c r="C1062" s="1" t="n">
        <v>46103</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41172-2023</t>
        </is>
      </c>
      <c r="B1063" s="1" t="n">
        <v>45170</v>
      </c>
      <c r="C1063" s="1" t="n">
        <v>46103</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73307-2021</t>
        </is>
      </c>
      <c r="B1064" s="1" t="n">
        <v>44549</v>
      </c>
      <c r="C1064" s="1" t="n">
        <v>46103</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50534-2024</t>
        </is>
      </c>
      <c r="B1065" s="1" t="n">
        <v>45601.56726851852</v>
      </c>
      <c r="C1065" s="1" t="n">
        <v>46103</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65499-2021</t>
        </is>
      </c>
      <c r="B1066" s="1" t="n">
        <v>44516</v>
      </c>
      <c r="C1066" s="1" t="n">
        <v>46103</v>
      </c>
      <c r="D1066" t="inlineStr">
        <is>
          <t>STOCKHOLMS LÄN</t>
        </is>
      </c>
      <c r="E1066" t="inlineStr">
        <is>
          <t>NORRTÄLJE</t>
        </is>
      </c>
      <c r="F1066" t="inlineStr">
        <is>
          <t>Kommuner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65511-2021</t>
        </is>
      </c>
      <c r="B1067" s="1" t="n">
        <v>44516.40674768519</v>
      </c>
      <c r="C1067" s="1" t="n">
        <v>46103</v>
      </c>
      <c r="D1067" t="inlineStr">
        <is>
          <t>STOCKHOLMS LÄN</t>
        </is>
      </c>
      <c r="E1067" t="inlineStr">
        <is>
          <t>NORRTÄLJE</t>
        </is>
      </c>
      <c r="F1067" t="inlineStr">
        <is>
          <t>Kommuner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22833-2024</t>
        </is>
      </c>
      <c r="B1068" s="1" t="n">
        <v>45448.56746527777</v>
      </c>
      <c r="C1068" s="1" t="n">
        <v>46103</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32514-2022</t>
        </is>
      </c>
      <c r="B1069" s="1" t="n">
        <v>44782</v>
      </c>
      <c r="C1069" s="1" t="n">
        <v>46103</v>
      </c>
      <c r="D1069" t="inlineStr">
        <is>
          <t>STOCKHOLMS LÄN</t>
        </is>
      </c>
      <c r="E1069" t="inlineStr">
        <is>
          <t>NORRTÄLJE</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29362-2022</t>
        </is>
      </c>
      <c r="B1070" s="1" t="n">
        <v>44753</v>
      </c>
      <c r="C1070" s="1" t="n">
        <v>46103</v>
      </c>
      <c r="D1070" t="inlineStr">
        <is>
          <t>STOCKHOLMS LÄN</t>
        </is>
      </c>
      <c r="E1070" t="inlineStr">
        <is>
          <t>NORRTÄLJE</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58492-2022</t>
        </is>
      </c>
      <c r="B1071" s="1" t="n">
        <v>44902</v>
      </c>
      <c r="C1071" s="1" t="n">
        <v>46103</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51315-2021</t>
        </is>
      </c>
      <c r="B1072" s="1" t="n">
        <v>44461</v>
      </c>
      <c r="C1072" s="1" t="n">
        <v>46103</v>
      </c>
      <c r="D1072" t="inlineStr">
        <is>
          <t>STOCKHOLMS LÄN</t>
        </is>
      </c>
      <c r="E1072" t="inlineStr">
        <is>
          <t>NORRTÄLJE</t>
        </is>
      </c>
      <c r="F1072" t="inlineStr">
        <is>
          <t>Holmen skog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14873-2025</t>
        </is>
      </c>
      <c r="B1073" s="1" t="n">
        <v>45743.44953703704</v>
      </c>
      <c r="C1073" s="1" t="n">
        <v>46103</v>
      </c>
      <c r="D1073" t="inlineStr">
        <is>
          <t>STOCKHOLMS LÄN</t>
        </is>
      </c>
      <c r="E1073" t="inlineStr">
        <is>
          <t>NORRTÄLJE</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34773-2022</t>
        </is>
      </c>
      <c r="B1074" s="1" t="n">
        <v>44795</v>
      </c>
      <c r="C1074" s="1" t="n">
        <v>46103</v>
      </c>
      <c r="D1074" t="inlineStr">
        <is>
          <t>STOCKHOLMS LÄN</t>
        </is>
      </c>
      <c r="E1074" t="inlineStr">
        <is>
          <t>NORRTÄLJE</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33173-2024</t>
        </is>
      </c>
      <c r="B1075" s="1" t="n">
        <v>45518</v>
      </c>
      <c r="C1075" s="1" t="n">
        <v>46103</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4484-2025</t>
        </is>
      </c>
      <c r="B1076" s="1" t="n">
        <v>45686.65545138889</v>
      </c>
      <c r="C1076" s="1" t="n">
        <v>46103</v>
      </c>
      <c r="D1076" t="inlineStr">
        <is>
          <t>STOCKHOLMS LÄN</t>
        </is>
      </c>
      <c r="E1076" t="inlineStr">
        <is>
          <t>NORRTÄLJE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33878-2024</t>
        </is>
      </c>
      <c r="B1077" s="1" t="n">
        <v>45522.44414351852</v>
      </c>
      <c r="C1077" s="1" t="n">
        <v>46103</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9246-2024</t>
        </is>
      </c>
      <c r="B1078" s="1" t="n">
        <v>45357</v>
      </c>
      <c r="C1078" s="1" t="n">
        <v>46103</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35698-2023</t>
        </is>
      </c>
      <c r="B1079" s="1" t="n">
        <v>45147</v>
      </c>
      <c r="C1079" s="1" t="n">
        <v>46103</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62398-2022</t>
        </is>
      </c>
      <c r="B1080" s="1" t="n">
        <v>44923.90159722222</v>
      </c>
      <c r="C1080" s="1" t="n">
        <v>46103</v>
      </c>
      <c r="D1080" t="inlineStr">
        <is>
          <t>STOCKHOLMS LÄN</t>
        </is>
      </c>
      <c r="E1080" t="inlineStr">
        <is>
          <t>NORRTÄLJE</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49700-2023</t>
        </is>
      </c>
      <c r="B1081" s="1" t="n">
        <v>45212</v>
      </c>
      <c r="C1081" s="1" t="n">
        <v>46103</v>
      </c>
      <c r="D1081" t="inlineStr">
        <is>
          <t>STOCKHOLMS LÄN</t>
        </is>
      </c>
      <c r="E1081" t="inlineStr">
        <is>
          <t>NORRTÄLJE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32071-2023</t>
        </is>
      </c>
      <c r="B1082" s="1" t="n">
        <v>45119.57728009259</v>
      </c>
      <c r="C1082" s="1" t="n">
        <v>46103</v>
      </c>
      <c r="D1082" t="inlineStr">
        <is>
          <t>STOCKHOLMS LÄN</t>
        </is>
      </c>
      <c r="E1082" t="inlineStr">
        <is>
          <t>NORRTÄLJE</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1425-2025</t>
        </is>
      </c>
      <c r="B1083" s="1" t="n">
        <v>45668.67446759259</v>
      </c>
      <c r="C1083" s="1" t="n">
        <v>46103</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17775-2022</t>
        </is>
      </c>
      <c r="B1084" s="1" t="n">
        <v>44682.78430555556</v>
      </c>
      <c r="C1084" s="1" t="n">
        <v>46103</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38720-2022</t>
        </is>
      </c>
      <c r="B1085" s="1" t="n">
        <v>44815.74539351852</v>
      </c>
      <c r="C1085" s="1" t="n">
        <v>46103</v>
      </c>
      <c r="D1085" t="inlineStr">
        <is>
          <t>STOCKHOLMS LÄN</t>
        </is>
      </c>
      <c r="E1085" t="inlineStr">
        <is>
          <t>NORRTÄLJE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10215-2023</t>
        </is>
      </c>
      <c r="B1086" s="1" t="n">
        <v>44986.5887962963</v>
      </c>
      <c r="C1086" s="1" t="n">
        <v>46103</v>
      </c>
      <c r="D1086" t="inlineStr">
        <is>
          <t>STOCKHOLMS LÄN</t>
        </is>
      </c>
      <c r="E1086" t="inlineStr">
        <is>
          <t>NORRTÄLJE</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25609-2023</t>
        </is>
      </c>
      <c r="B1087" s="1" t="n">
        <v>45089</v>
      </c>
      <c r="C1087" s="1" t="n">
        <v>46103</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20014-2025</t>
        </is>
      </c>
      <c r="B1088" s="1" t="n">
        <v>45772.3078125</v>
      </c>
      <c r="C1088" s="1" t="n">
        <v>46103</v>
      </c>
      <c r="D1088" t="inlineStr">
        <is>
          <t>STOCKHOLMS LÄN</t>
        </is>
      </c>
      <c r="E1088" t="inlineStr">
        <is>
          <t>NORRTÄLJE</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20136-2025</t>
        </is>
      </c>
      <c r="B1089" s="1" t="n">
        <v>45772.51127314815</v>
      </c>
      <c r="C1089" s="1" t="n">
        <v>46103</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2287-2024</t>
        </is>
      </c>
      <c r="B1090" s="1" t="n">
        <v>45310</v>
      </c>
      <c r="C1090" s="1" t="n">
        <v>46103</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13785-2024</t>
        </is>
      </c>
      <c r="B1091" s="1" t="n">
        <v>45391.3395949074</v>
      </c>
      <c r="C1091" s="1" t="n">
        <v>46103</v>
      </c>
      <c r="D1091" t="inlineStr">
        <is>
          <t>STOCKHOLMS LÄN</t>
        </is>
      </c>
      <c r="E1091" t="inlineStr">
        <is>
          <t>NORRTÄLJE</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50469-2022</t>
        </is>
      </c>
      <c r="B1092" s="1" t="n">
        <v>44866.49827546296</v>
      </c>
      <c r="C1092" s="1" t="n">
        <v>46103</v>
      </c>
      <c r="D1092" t="inlineStr">
        <is>
          <t>STOCKHOLMS LÄN</t>
        </is>
      </c>
      <c r="E1092" t="inlineStr">
        <is>
          <t>NORRTÄLJE</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51116-2022</t>
        </is>
      </c>
      <c r="B1093" s="1" t="n">
        <v>44868.45741898148</v>
      </c>
      <c r="C1093" s="1" t="n">
        <v>46103</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60217-2021</t>
        </is>
      </c>
      <c r="B1094" s="1" t="n">
        <v>44495.5893287037</v>
      </c>
      <c r="C1094" s="1" t="n">
        <v>46103</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5839-2023</t>
        </is>
      </c>
      <c r="B1095" s="1" t="n">
        <v>44963</v>
      </c>
      <c r="C1095" s="1" t="n">
        <v>46103</v>
      </c>
      <c r="D1095" t="inlineStr">
        <is>
          <t>STOCKHOLMS LÄN</t>
        </is>
      </c>
      <c r="E1095" t="inlineStr">
        <is>
          <t>NORRTÄLJE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38985-2022</t>
        </is>
      </c>
      <c r="B1096" s="1" t="n">
        <v>44816</v>
      </c>
      <c r="C1096" s="1" t="n">
        <v>46103</v>
      </c>
      <c r="D1096" t="inlineStr">
        <is>
          <t>STOCKHOLMS LÄN</t>
        </is>
      </c>
      <c r="E1096" t="inlineStr">
        <is>
          <t>NORRTÄLJE</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5665-2025</t>
        </is>
      </c>
      <c r="B1097" s="1" t="n">
        <v>45693</v>
      </c>
      <c r="C1097" s="1" t="n">
        <v>46103</v>
      </c>
      <c r="D1097" t="inlineStr">
        <is>
          <t>STOCKHOLMS LÄN</t>
        </is>
      </c>
      <c r="E1097" t="inlineStr">
        <is>
          <t>NORRTÄLJE</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3426-2025</t>
        </is>
      </c>
      <c r="B1098" s="1" t="n">
        <v>45680.42665509259</v>
      </c>
      <c r="C1098" s="1" t="n">
        <v>46103</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58530-2024</t>
        </is>
      </c>
      <c r="B1099" s="1" t="n">
        <v>45635.44788194444</v>
      </c>
      <c r="C1099" s="1" t="n">
        <v>46103</v>
      </c>
      <c r="D1099" t="inlineStr">
        <is>
          <t>STOCKHOLMS LÄN</t>
        </is>
      </c>
      <c r="E1099" t="inlineStr">
        <is>
          <t>NORRTÄLJE</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22421-2021</t>
        </is>
      </c>
      <c r="B1100" s="1" t="n">
        <v>44326</v>
      </c>
      <c r="C1100" s="1" t="n">
        <v>46103</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40761-2024</t>
        </is>
      </c>
      <c r="B1101" s="1" t="n">
        <v>45558.46283564815</v>
      </c>
      <c r="C1101" s="1" t="n">
        <v>46103</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4553-2023</t>
        </is>
      </c>
      <c r="B1102" s="1" t="n">
        <v>44956.65920138889</v>
      </c>
      <c r="C1102" s="1" t="n">
        <v>46103</v>
      </c>
      <c r="D1102" t="inlineStr">
        <is>
          <t>STOCKHOLMS LÄN</t>
        </is>
      </c>
      <c r="E1102" t="inlineStr">
        <is>
          <t>NORRTÄLJE</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4593-2023</t>
        </is>
      </c>
      <c r="B1103" s="1" t="n">
        <v>44956</v>
      </c>
      <c r="C1103" s="1" t="n">
        <v>46103</v>
      </c>
      <c r="D1103" t="inlineStr">
        <is>
          <t>STOCKHOLMS LÄN</t>
        </is>
      </c>
      <c r="E1103" t="inlineStr">
        <is>
          <t>NORRTÄLJE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13171-2025</t>
        </is>
      </c>
      <c r="B1104" s="1" t="n">
        <v>45735.36594907408</v>
      </c>
      <c r="C1104" s="1" t="n">
        <v>46103</v>
      </c>
      <c r="D1104" t="inlineStr">
        <is>
          <t>STOCKHOLMS LÄN</t>
        </is>
      </c>
      <c r="E1104" t="inlineStr">
        <is>
          <t>NORRTÄLJE</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51978-2023</t>
        </is>
      </c>
      <c r="B1105" s="1" t="n">
        <v>45223</v>
      </c>
      <c r="C1105" s="1" t="n">
        <v>46103</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18092-2022</t>
        </is>
      </c>
      <c r="B1106" s="1" t="n">
        <v>44684</v>
      </c>
      <c r="C1106" s="1" t="n">
        <v>46103</v>
      </c>
      <c r="D1106" t="inlineStr">
        <is>
          <t>STOCKHOLMS LÄN</t>
        </is>
      </c>
      <c r="E1106" t="inlineStr">
        <is>
          <t>NORRTÄLJE</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59310-2023</t>
        </is>
      </c>
      <c r="B1107" s="1" t="n">
        <v>45253.61146990741</v>
      </c>
      <c r="C1107" s="1" t="n">
        <v>46103</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9329-2023</t>
        </is>
      </c>
      <c r="B1108" s="1" t="n">
        <v>44980</v>
      </c>
      <c r="C1108" s="1" t="n">
        <v>46103</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59878-2024</t>
        </is>
      </c>
      <c r="B1109" s="1" t="n">
        <v>45640.60240740741</v>
      </c>
      <c r="C1109" s="1" t="n">
        <v>46103</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41335-2023</t>
        </is>
      </c>
      <c r="B1110" s="1" t="n">
        <v>45174.68702546296</v>
      </c>
      <c r="C1110" s="1" t="n">
        <v>46103</v>
      </c>
      <c r="D1110" t="inlineStr">
        <is>
          <t>STOCKHOLMS LÄN</t>
        </is>
      </c>
      <c r="E1110" t="inlineStr">
        <is>
          <t>NORRTÄLJE</t>
        </is>
      </c>
      <c r="F1110" t="inlineStr">
        <is>
          <t>Holmen skog AB</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33040-2021</t>
        </is>
      </c>
      <c r="B1111" s="1" t="n">
        <v>44376.50728009259</v>
      </c>
      <c r="C1111" s="1" t="n">
        <v>46103</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33053-2021</t>
        </is>
      </c>
      <c r="B1112" s="1" t="n">
        <v>44376</v>
      </c>
      <c r="C1112" s="1" t="n">
        <v>46103</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43150-2023</t>
        </is>
      </c>
      <c r="B1113" s="1" t="n">
        <v>45183</v>
      </c>
      <c r="C1113" s="1" t="n">
        <v>46103</v>
      </c>
      <c r="D1113" t="inlineStr">
        <is>
          <t>STOCKHOLMS LÄN</t>
        </is>
      </c>
      <c r="E1113" t="inlineStr">
        <is>
          <t>NORRTÄLJE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54259-2023</t>
        </is>
      </c>
      <c r="B1114" s="1" t="n">
        <v>45232</v>
      </c>
      <c r="C1114" s="1" t="n">
        <v>46103</v>
      </c>
      <c r="D1114" t="inlineStr">
        <is>
          <t>STOCKHOLMS LÄN</t>
        </is>
      </c>
      <c r="E1114" t="inlineStr">
        <is>
          <t>NORRTÄLJE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60822-2023</t>
        </is>
      </c>
      <c r="B1115" s="1" t="n">
        <v>45259</v>
      </c>
      <c r="C1115" s="1" t="n">
        <v>46103</v>
      </c>
      <c r="D1115" t="inlineStr">
        <is>
          <t>STOCKHOLMS LÄN</t>
        </is>
      </c>
      <c r="E1115" t="inlineStr">
        <is>
          <t>NORRTÄLJE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27381-2024</t>
        </is>
      </c>
      <c r="B1116" s="1" t="n">
        <v>45473.94501157408</v>
      </c>
      <c r="C1116" s="1" t="n">
        <v>46103</v>
      </c>
      <c r="D1116" t="inlineStr">
        <is>
          <t>STOCKHOLMS LÄN</t>
        </is>
      </c>
      <c r="E1116" t="inlineStr">
        <is>
          <t>NORRTÄLJE</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23265-2023</t>
        </is>
      </c>
      <c r="B1117" s="1" t="n">
        <v>45075.90703703704</v>
      </c>
      <c r="C1117" s="1" t="n">
        <v>46103</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26117-2024</t>
        </is>
      </c>
      <c r="B1118" s="1" t="n">
        <v>45468.45877314815</v>
      </c>
      <c r="C1118" s="1" t="n">
        <v>46103</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20336-2024</t>
        </is>
      </c>
      <c r="B1119" s="1" t="n">
        <v>45435.43123842592</v>
      </c>
      <c r="C1119" s="1" t="n">
        <v>46103</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1847-2023</t>
        </is>
      </c>
      <c r="B1120" s="1" t="n">
        <v>44938</v>
      </c>
      <c r="C1120" s="1" t="n">
        <v>46103</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59721-2024</t>
        </is>
      </c>
      <c r="B1121" s="1" t="n">
        <v>45639.47385416667</v>
      </c>
      <c r="C1121" s="1" t="n">
        <v>46103</v>
      </c>
      <c r="D1121" t="inlineStr">
        <is>
          <t>STOCKHOLMS LÄN</t>
        </is>
      </c>
      <c r="E1121" t="inlineStr">
        <is>
          <t>NORRTÄLJE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37010-2022</t>
        </is>
      </c>
      <c r="B1122" s="1" t="n">
        <v>44806.41576388889</v>
      </c>
      <c r="C1122" s="1" t="n">
        <v>46103</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951-2023</t>
        </is>
      </c>
      <c r="B1123" s="1" t="n">
        <v>44934</v>
      </c>
      <c r="C1123" s="1" t="n">
        <v>46103</v>
      </c>
      <c r="D1123" t="inlineStr">
        <is>
          <t>STOCKHOLMS LÄN</t>
        </is>
      </c>
      <c r="E1123" t="inlineStr">
        <is>
          <t>NORRTÄLJE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5423-2023</t>
        </is>
      </c>
      <c r="B1124" s="1" t="n">
        <v>44959.74533564815</v>
      </c>
      <c r="C1124" s="1" t="n">
        <v>46103</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50182-2024</t>
        </is>
      </c>
      <c r="B1125" s="1" t="n">
        <v>45600.47275462963</v>
      </c>
      <c r="C1125" s="1" t="n">
        <v>46103</v>
      </c>
      <c r="D1125" t="inlineStr">
        <is>
          <t>STOCKHOLMS LÄN</t>
        </is>
      </c>
      <c r="E1125" t="inlineStr">
        <is>
          <t>NORRTÄLJE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12629-2024</t>
        </is>
      </c>
      <c r="B1126" s="1" t="n">
        <v>45383</v>
      </c>
      <c r="C1126" s="1" t="n">
        <v>46103</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35708-2022</t>
        </is>
      </c>
      <c r="B1127" s="1" t="n">
        <v>44799.65013888889</v>
      </c>
      <c r="C1127" s="1" t="n">
        <v>46103</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45220-2024</t>
        </is>
      </c>
      <c r="B1128" s="1" t="n">
        <v>45575</v>
      </c>
      <c r="C1128" s="1" t="n">
        <v>46103</v>
      </c>
      <c r="D1128" t="inlineStr">
        <is>
          <t>STOCKHOLMS LÄN</t>
        </is>
      </c>
      <c r="E1128" t="inlineStr">
        <is>
          <t>NORRTÄLJE</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21731-2023</t>
        </is>
      </c>
      <c r="B1129" s="1" t="n">
        <v>45063</v>
      </c>
      <c r="C1129" s="1" t="n">
        <v>46103</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23266-2023</t>
        </is>
      </c>
      <c r="B1130" s="1" t="n">
        <v>45075.90817129629</v>
      </c>
      <c r="C1130" s="1" t="n">
        <v>46103</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47521-2024</t>
        </is>
      </c>
      <c r="B1131" s="1" t="n">
        <v>45587.62565972222</v>
      </c>
      <c r="C1131" s="1" t="n">
        <v>46103</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58260-2023</t>
        </is>
      </c>
      <c r="B1132" s="1" t="n">
        <v>45245</v>
      </c>
      <c r="C1132" s="1" t="n">
        <v>46103</v>
      </c>
      <c r="D1132" t="inlineStr">
        <is>
          <t>STOCKHOLMS LÄN</t>
        </is>
      </c>
      <c r="E1132" t="inlineStr">
        <is>
          <t>NORRTÄLJE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58261-2023</t>
        </is>
      </c>
      <c r="B1133" s="1" t="n">
        <v>45245</v>
      </c>
      <c r="C1133" s="1" t="n">
        <v>46103</v>
      </c>
      <c r="D1133" t="inlineStr">
        <is>
          <t>STOCKHOLMS LÄN</t>
        </is>
      </c>
      <c r="E1133" t="inlineStr">
        <is>
          <t>NORRTÄLJE</t>
        </is>
      </c>
      <c r="G1133" t="n">
        <v>53.5</v>
      </c>
      <c r="H1133" t="n">
        <v>0</v>
      </c>
      <c r="I1133" t="n">
        <v>0</v>
      </c>
      <c r="J1133" t="n">
        <v>0</v>
      </c>
      <c r="K1133" t="n">
        <v>0</v>
      </c>
      <c r="L1133" t="n">
        <v>0</v>
      </c>
      <c r="M1133" t="n">
        <v>0</v>
      </c>
      <c r="N1133" t="n">
        <v>0</v>
      </c>
      <c r="O1133" t="n">
        <v>0</v>
      </c>
      <c r="P1133" t="n">
        <v>0</v>
      </c>
      <c r="Q1133" t="n">
        <v>0</v>
      </c>
      <c r="R1133" s="2" t="inlineStr"/>
    </row>
    <row r="1134" ht="15" customHeight="1">
      <c r="A1134" t="inlineStr">
        <is>
          <t>A 29266-2022</t>
        </is>
      </c>
      <c r="B1134" s="1" t="n">
        <v>44750.66068287037</v>
      </c>
      <c r="C1134" s="1" t="n">
        <v>46103</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29278-2022</t>
        </is>
      </c>
      <c r="B1135" s="1" t="n">
        <v>44750</v>
      </c>
      <c r="C1135" s="1" t="n">
        <v>46103</v>
      </c>
      <c r="D1135" t="inlineStr">
        <is>
          <t>STOCKHOLMS LÄN</t>
        </is>
      </c>
      <c r="E1135" t="inlineStr">
        <is>
          <t>NORRTÄLJE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37273-2024</t>
        </is>
      </c>
      <c r="B1136" s="1" t="n">
        <v>45540</v>
      </c>
      <c r="C1136" s="1" t="n">
        <v>46103</v>
      </c>
      <c r="D1136" t="inlineStr">
        <is>
          <t>STOCKHOLMS LÄN</t>
        </is>
      </c>
      <c r="E1136" t="inlineStr">
        <is>
          <t>NORRTÄLJE</t>
        </is>
      </c>
      <c r="F1136" t="inlineStr">
        <is>
          <t>Sveaskog</t>
        </is>
      </c>
      <c r="G1136" t="n">
        <v>12.5</v>
      </c>
      <c r="H1136" t="n">
        <v>0</v>
      </c>
      <c r="I1136" t="n">
        <v>0</v>
      </c>
      <c r="J1136" t="n">
        <v>0</v>
      </c>
      <c r="K1136" t="n">
        <v>0</v>
      </c>
      <c r="L1136" t="n">
        <v>0</v>
      </c>
      <c r="M1136" t="n">
        <v>0</v>
      </c>
      <c r="N1136" t="n">
        <v>0</v>
      </c>
      <c r="O1136" t="n">
        <v>0</v>
      </c>
      <c r="P1136" t="n">
        <v>0</v>
      </c>
      <c r="Q1136" t="n">
        <v>0</v>
      </c>
      <c r="R1136" s="2" t="inlineStr"/>
    </row>
    <row r="1137" ht="15" customHeight="1">
      <c r="A1137" t="inlineStr">
        <is>
          <t>A 12908-2025</t>
        </is>
      </c>
      <c r="B1137" s="1" t="n">
        <v>45733.82105324074</v>
      </c>
      <c r="C1137" s="1" t="n">
        <v>46103</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23060-2023</t>
        </is>
      </c>
      <c r="B1138" s="1" t="n">
        <v>45075</v>
      </c>
      <c r="C1138" s="1" t="n">
        <v>46103</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32103-2022</t>
        </is>
      </c>
      <c r="B1139" s="1" t="n">
        <v>44778</v>
      </c>
      <c r="C1139" s="1" t="n">
        <v>46103</v>
      </c>
      <c r="D1139" t="inlineStr">
        <is>
          <t>STOCKHOLMS LÄN</t>
        </is>
      </c>
      <c r="E1139" t="inlineStr">
        <is>
          <t>NORRTÄLJE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6401-2024</t>
        </is>
      </c>
      <c r="B1140" s="1" t="n">
        <v>45338</v>
      </c>
      <c r="C1140" s="1" t="n">
        <v>46103</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59504-2023</t>
        </is>
      </c>
      <c r="B1141" s="1" t="n">
        <v>45254</v>
      </c>
      <c r="C1141" s="1" t="n">
        <v>46103</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52321-2024</t>
        </is>
      </c>
      <c r="B1142" s="1" t="n">
        <v>45608</v>
      </c>
      <c r="C1142" s="1" t="n">
        <v>46103</v>
      </c>
      <c r="D1142" t="inlineStr">
        <is>
          <t>STOCKHOLMS LÄN</t>
        </is>
      </c>
      <c r="E1142" t="inlineStr">
        <is>
          <t>NORRTÄLJE</t>
        </is>
      </c>
      <c r="G1142" t="n">
        <v>18.1</v>
      </c>
      <c r="H1142" t="n">
        <v>0</v>
      </c>
      <c r="I1142" t="n">
        <v>0</v>
      </c>
      <c r="J1142" t="n">
        <v>0</v>
      </c>
      <c r="K1142" t="n">
        <v>0</v>
      </c>
      <c r="L1142" t="n">
        <v>0</v>
      </c>
      <c r="M1142" t="n">
        <v>0</v>
      </c>
      <c r="N1142" t="n">
        <v>0</v>
      </c>
      <c r="O1142" t="n">
        <v>0</v>
      </c>
      <c r="P1142" t="n">
        <v>0</v>
      </c>
      <c r="Q1142" t="n">
        <v>0</v>
      </c>
      <c r="R1142" s="2" t="inlineStr"/>
    </row>
    <row r="1143" ht="15" customHeight="1">
      <c r="A1143" t="inlineStr">
        <is>
          <t>A 48151-2024</t>
        </is>
      </c>
      <c r="B1143" s="1" t="n">
        <v>45589.68289351852</v>
      </c>
      <c r="C1143" s="1" t="n">
        <v>46103</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20370-2025</t>
        </is>
      </c>
      <c r="B1144" s="1" t="n">
        <v>45775.41451388889</v>
      </c>
      <c r="C1144" s="1" t="n">
        <v>46103</v>
      </c>
      <c r="D1144" t="inlineStr">
        <is>
          <t>STOCKHOLMS LÄN</t>
        </is>
      </c>
      <c r="E1144" t="inlineStr">
        <is>
          <t>NORRTÄLJE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19580-2022</t>
        </is>
      </c>
      <c r="B1145" s="1" t="n">
        <v>44693</v>
      </c>
      <c r="C1145" s="1" t="n">
        <v>46103</v>
      </c>
      <c r="D1145" t="inlineStr">
        <is>
          <t>STOCKHOLMS LÄN</t>
        </is>
      </c>
      <c r="E1145" t="inlineStr">
        <is>
          <t>NORRTÄLJE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30731-2023</t>
        </is>
      </c>
      <c r="B1146" s="1" t="n">
        <v>45112</v>
      </c>
      <c r="C1146" s="1" t="n">
        <v>46103</v>
      </c>
      <c r="D1146" t="inlineStr">
        <is>
          <t>STOCKHOLMS LÄN</t>
        </is>
      </c>
      <c r="E1146" t="inlineStr">
        <is>
          <t>NORRTÄLJE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4580-2025</t>
        </is>
      </c>
      <c r="B1147" s="1" t="n">
        <v>45687.5038425926</v>
      </c>
      <c r="C1147" s="1" t="n">
        <v>46103</v>
      </c>
      <c r="D1147" t="inlineStr">
        <is>
          <t>STOCKHOLMS LÄN</t>
        </is>
      </c>
      <c r="E1147" t="inlineStr">
        <is>
          <t>NORRTÄLJE</t>
        </is>
      </c>
      <c r="F1147" t="inlineStr">
        <is>
          <t>Holmen skog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31057-2022</t>
        </is>
      </c>
      <c r="B1148" s="1" t="n">
        <v>44769</v>
      </c>
      <c r="C1148" s="1" t="n">
        <v>46103</v>
      </c>
      <c r="D1148" t="inlineStr">
        <is>
          <t>STOCKHOLMS LÄN</t>
        </is>
      </c>
      <c r="E1148" t="inlineStr">
        <is>
          <t>NORRTÄLJE</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31140-2023</t>
        </is>
      </c>
      <c r="B1149" s="1" t="n">
        <v>45113</v>
      </c>
      <c r="C1149" s="1" t="n">
        <v>46103</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31149-2023</t>
        </is>
      </c>
      <c r="B1150" s="1" t="n">
        <v>45113</v>
      </c>
      <c r="C1150" s="1" t="n">
        <v>46103</v>
      </c>
      <c r="D1150" t="inlineStr">
        <is>
          <t>STOCKHOLMS LÄN</t>
        </is>
      </c>
      <c r="E1150" t="inlineStr">
        <is>
          <t>NORRTÄLJE</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4658-2024</t>
        </is>
      </c>
      <c r="B1151" s="1" t="n">
        <v>45328.46336805556</v>
      </c>
      <c r="C1151" s="1" t="n">
        <v>46103</v>
      </c>
      <c r="D1151" t="inlineStr">
        <is>
          <t>STOCKHOLMS LÄN</t>
        </is>
      </c>
      <c r="E1151" t="inlineStr">
        <is>
          <t>NORRTÄLJE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19131-2025</t>
        </is>
      </c>
      <c r="B1152" s="1" t="n">
        <v>45769</v>
      </c>
      <c r="C1152" s="1" t="n">
        <v>46103</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7571-2024</t>
        </is>
      </c>
      <c r="B1153" s="1" t="n">
        <v>45348.46300925926</v>
      </c>
      <c r="C1153" s="1" t="n">
        <v>46103</v>
      </c>
      <c r="D1153" t="inlineStr">
        <is>
          <t>STOCKHOLMS LÄN</t>
        </is>
      </c>
      <c r="E1153" t="inlineStr">
        <is>
          <t>NORRTÄLJE</t>
        </is>
      </c>
      <c r="F1153" t="inlineStr">
        <is>
          <t>Holmen skog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11849-2025</t>
        </is>
      </c>
      <c r="B1154" s="1" t="n">
        <v>45728.38409722222</v>
      </c>
      <c r="C1154" s="1" t="n">
        <v>46103</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40425-2021</t>
        </is>
      </c>
      <c r="B1155" s="1" t="n">
        <v>44419</v>
      </c>
      <c r="C1155" s="1" t="n">
        <v>46103</v>
      </c>
      <c r="D1155" t="inlineStr">
        <is>
          <t>STOCKHOLMS LÄN</t>
        </is>
      </c>
      <c r="E1155" t="inlineStr">
        <is>
          <t>NORRTÄLJE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58990-2021</t>
        </is>
      </c>
      <c r="B1156" s="1" t="n">
        <v>44490.03621527777</v>
      </c>
      <c r="C1156" s="1" t="n">
        <v>46103</v>
      </c>
      <c r="D1156" t="inlineStr">
        <is>
          <t>STOCKHOLMS LÄN</t>
        </is>
      </c>
      <c r="E1156" t="inlineStr">
        <is>
          <t>NORRTÄLJE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20790-2025</t>
        </is>
      </c>
      <c r="B1157" s="1" t="n">
        <v>45776.62563657408</v>
      </c>
      <c r="C1157" s="1" t="n">
        <v>46103</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20699-2025</t>
        </is>
      </c>
      <c r="B1158" s="1" t="n">
        <v>45776.47346064815</v>
      </c>
      <c r="C1158" s="1" t="n">
        <v>46103</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3152-2024</t>
        </is>
      </c>
      <c r="B1159" s="1" t="n">
        <v>45316.60306712963</v>
      </c>
      <c r="C1159" s="1" t="n">
        <v>46103</v>
      </c>
      <c r="D1159" t="inlineStr">
        <is>
          <t>STOCKHOLMS LÄN</t>
        </is>
      </c>
      <c r="E1159" t="inlineStr">
        <is>
          <t>NORRTÄLJE</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59326-2023</t>
        </is>
      </c>
      <c r="B1160" s="1" t="n">
        <v>45253.63089120371</v>
      </c>
      <c r="C1160" s="1" t="n">
        <v>46103</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44836-2023</t>
        </is>
      </c>
      <c r="B1161" s="1" t="n">
        <v>45190.55609953704</v>
      </c>
      <c r="C1161" s="1" t="n">
        <v>46103</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20779-2025</t>
        </is>
      </c>
      <c r="B1162" s="1" t="n">
        <v>45776.59871527777</v>
      </c>
      <c r="C1162" s="1" t="n">
        <v>46103</v>
      </c>
      <c r="D1162" t="inlineStr">
        <is>
          <t>STOCKHOLMS LÄN</t>
        </is>
      </c>
      <c r="E1162" t="inlineStr">
        <is>
          <t>NORRTÄLJE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21771-2025</t>
        </is>
      </c>
      <c r="B1163" s="1" t="n">
        <v>45783</v>
      </c>
      <c r="C1163" s="1" t="n">
        <v>46103</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21778-2025</t>
        </is>
      </c>
      <c r="B1164" s="1" t="n">
        <v>45783.66429398148</v>
      </c>
      <c r="C1164" s="1" t="n">
        <v>46103</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c r="A1165" t="inlineStr">
        <is>
          <t>A 22202-2025</t>
        </is>
      </c>
      <c r="B1165" s="1" t="n">
        <v>45785.65300925926</v>
      </c>
      <c r="C1165" s="1" t="n">
        <v>46103</v>
      </c>
      <c r="D1165" t="inlineStr">
        <is>
          <t>STOCKHOLMS LÄN</t>
        </is>
      </c>
      <c r="E1165" t="inlineStr">
        <is>
          <t>NORRTÄLJE</t>
        </is>
      </c>
      <c r="G1165" t="n">
        <v>10.2</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2026-03-22T11:35:22Z</dcterms:created>
  <dcterms:modified xmlns:dcterms="http://purl.org/dc/terms/" xmlns:xsi="http://www.w3.org/2001/XMLSchema-instance" xsi:type="dcterms:W3CDTF">2026-03-22T11:35:23Z</dcterms:modified>
</cp:coreProperties>
</file>