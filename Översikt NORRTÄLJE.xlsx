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46169</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46169</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46169</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46169</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46169</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46169</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46169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46169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46169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46169</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46169</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46169</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17645-2026</t>
        </is>
      </c>
      <c r="B20" s="1" t="n">
        <v>46121.51921296296</v>
      </c>
      <c r="C20" s="1" t="n">
        <v>46169</v>
      </c>
      <c r="D20" t="inlineStr">
        <is>
          <t>STOCKHOLMS LÄN</t>
        </is>
      </c>
      <c r="E20" t="inlineStr">
        <is>
          <t>NORRTÄLJE</t>
        </is>
      </c>
      <c r="G20" t="n">
        <v>8.199999999999999</v>
      </c>
      <c r="H20" t="n">
        <v>7</v>
      </c>
      <c r="I20" t="n">
        <v>1</v>
      </c>
      <c r="J20" t="n">
        <v>5</v>
      </c>
      <c r="K20" t="n">
        <v>1</v>
      </c>
      <c r="L20" t="n">
        <v>0</v>
      </c>
      <c r="M20" t="n">
        <v>0</v>
      </c>
      <c r="N20" t="n">
        <v>0</v>
      </c>
      <c r="O20" t="n">
        <v>6</v>
      </c>
      <c r="P20" t="n">
        <v>1</v>
      </c>
      <c r="Q20" t="n">
        <v>12</v>
      </c>
      <c r="R20" s="2" t="inlineStr">
        <is>
          <t>Knärot
Granticka
Spillkråka
Tallticka
Ullticka
Vit vedfingersvamp
Grönpyrola
Grönsiska
Järnsparv
Kungsfågel
Nattviol
Blåsippa</t>
        </is>
      </c>
      <c r="S20">
        <f>HYPERLINK("https://klasma.github.io/Logging_0188/artfynd/A 17645-2026 artfynd.xlsx", "A 17645-2026")</f>
        <v/>
      </c>
      <c r="T20">
        <f>HYPERLINK("https://klasma.github.io/Logging_0188/kartor/A 17645-2026 karta.png", "A 17645-2026")</f>
        <v/>
      </c>
      <c r="U20">
        <f>HYPERLINK("https://klasma.github.io/Logging_0188/knärot/A 17645-2026 karta knärot.png", "A 17645-2026")</f>
        <v/>
      </c>
      <c r="V20">
        <f>HYPERLINK("https://klasma.github.io/Logging_0188/klagomål/A 17645-2026 FSC-klagomål.docx", "A 17645-2026")</f>
        <v/>
      </c>
      <c r="W20">
        <f>HYPERLINK("https://klasma.github.io/Logging_0188/klagomålsmail/A 17645-2026 FSC-klagomål mail.docx", "A 17645-2026")</f>
        <v/>
      </c>
      <c r="X20">
        <f>HYPERLINK("https://klasma.github.io/Logging_0188/tillsyn/A 17645-2026 tillsynsbegäran.docx", "A 17645-2026")</f>
        <v/>
      </c>
      <c r="Y20">
        <f>HYPERLINK("https://klasma.github.io/Logging_0188/tillsynsmail/A 17645-2026 tillsynsbegäran mail.docx", "A 17645-2026")</f>
        <v/>
      </c>
      <c r="Z20">
        <f>HYPERLINK("https://klasma.github.io/Logging_0188/fåglar/A 17645-2026 prioriterade fågelarter.docx", "A 17645-2026")</f>
        <v/>
      </c>
    </row>
    <row r="21" ht="15" customHeight="1">
      <c r="A21" t="inlineStr">
        <is>
          <t>A 3472-2023</t>
        </is>
      </c>
      <c r="B21" s="1" t="n">
        <v>44949</v>
      </c>
      <c r="C21" s="1" t="n">
        <v>46169</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46169</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46169</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46169</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46169</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46169</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46169</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46169</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47951-2025</t>
        </is>
      </c>
      <c r="B29" s="1" t="n">
        <v>45932.58491898148</v>
      </c>
      <c r="C29" s="1" t="n">
        <v>46169</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46169</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61099-2025</t>
        </is>
      </c>
      <c r="B31" s="1" t="n">
        <v>46000.44185185185</v>
      </c>
      <c r="C31" s="1" t="n">
        <v>46169</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46169</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46169</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46169</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46169</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46169</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46169</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46169</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46169</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46169</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46169</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56791-2025</t>
        </is>
      </c>
      <c r="B42" s="1" t="n">
        <v>45978</v>
      </c>
      <c r="C42" s="1" t="n">
        <v>46169</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72111-2021</t>
        </is>
      </c>
      <c r="B43" s="1" t="n">
        <v>44544</v>
      </c>
      <c r="C43" s="1" t="n">
        <v>46169</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46169</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46169</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v>
      </c>
      <c r="C46" s="1" t="n">
        <v>46169</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v>
      </c>
      <c r="C47" s="1" t="n">
        <v>46169</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46169</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46169</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46169</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46169</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46169</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46169</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34521-2025</t>
        </is>
      </c>
      <c r="B54" s="1" t="n">
        <v>45847.47052083333</v>
      </c>
      <c r="C54" s="1" t="n">
        <v>46169</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44709-2022</t>
        </is>
      </c>
      <c r="B55" s="1" t="n">
        <v>44839</v>
      </c>
      <c r="C55" s="1" t="n">
        <v>46169</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46169</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45113-2022</t>
        </is>
      </c>
      <c r="B57" s="1" t="n">
        <v>44843</v>
      </c>
      <c r="C57" s="1" t="n">
        <v>46169</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46169</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46169</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54110-2024</t>
        </is>
      </c>
      <c r="B60" s="1" t="n">
        <v>45616.54866898148</v>
      </c>
      <c r="C60" s="1" t="n">
        <v>46169</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46169</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52726-2025</t>
        </is>
      </c>
      <c r="B62" s="1" t="n">
        <v>45957.34722222222</v>
      </c>
      <c r="C62" s="1" t="n">
        <v>46169</v>
      </c>
      <c r="D62" t="inlineStr">
        <is>
          <t>STOCKHOLMS LÄN</t>
        </is>
      </c>
      <c r="E62" t="inlineStr">
        <is>
          <t>NORRTÄLJE</t>
        </is>
      </c>
      <c r="G62" t="n">
        <v>4.7</v>
      </c>
      <c r="H62" t="n">
        <v>2</v>
      </c>
      <c r="I62" t="n">
        <v>2</v>
      </c>
      <c r="J62" t="n">
        <v>0</v>
      </c>
      <c r="K62" t="n">
        <v>0</v>
      </c>
      <c r="L62" t="n">
        <v>0</v>
      </c>
      <c r="M62" t="n">
        <v>0</v>
      </c>
      <c r="N62" t="n">
        <v>0</v>
      </c>
      <c r="O62" t="n">
        <v>0</v>
      </c>
      <c r="P62" t="n">
        <v>0</v>
      </c>
      <c r="Q62" t="n">
        <v>3</v>
      </c>
      <c r="R62" s="2" t="inlineStr">
        <is>
          <t>Grön sköldmossa
Vågbandad barkbock
Tjäder</t>
        </is>
      </c>
      <c r="S62">
        <f>HYPERLINK("https://klasma.github.io/Logging_0188/artfynd/A 52726-2025 artfynd.xlsx", "A 52726-2025")</f>
        <v/>
      </c>
      <c r="T62">
        <f>HYPERLINK("https://klasma.github.io/Logging_0188/kartor/A 52726-2025 karta.png", "A 52726-2025")</f>
        <v/>
      </c>
      <c r="V62">
        <f>HYPERLINK("https://klasma.github.io/Logging_0188/klagomål/A 52726-2025 FSC-klagomål.docx", "A 52726-2025")</f>
        <v/>
      </c>
      <c r="W62">
        <f>HYPERLINK("https://klasma.github.io/Logging_0188/klagomålsmail/A 52726-2025 FSC-klagomål mail.docx", "A 52726-2025")</f>
        <v/>
      </c>
      <c r="X62">
        <f>HYPERLINK("https://klasma.github.io/Logging_0188/tillsyn/A 52726-2025 tillsynsbegäran.docx", "A 52726-2025")</f>
        <v/>
      </c>
      <c r="Y62">
        <f>HYPERLINK("https://klasma.github.io/Logging_0188/tillsynsmail/A 52726-2025 tillsynsbegäran mail.docx", "A 52726-2025")</f>
        <v/>
      </c>
      <c r="Z62">
        <f>HYPERLINK("https://klasma.github.io/Logging_0188/fåglar/A 52726-2025 prioriterade fågelarter.docx", "A 52726-2025")</f>
        <v/>
      </c>
    </row>
    <row r="63" ht="15" customHeight="1">
      <c r="A63" t="inlineStr">
        <is>
          <t>A 29185-2025</t>
        </is>
      </c>
      <c r="B63" s="1" t="n">
        <v>45821</v>
      </c>
      <c r="C63" s="1" t="n">
        <v>46169</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11031-2025</t>
        </is>
      </c>
      <c r="B64" s="1" t="n">
        <v>45723</v>
      </c>
      <c r="C64" s="1" t="n">
        <v>46169</v>
      </c>
      <c r="D64" t="inlineStr">
        <is>
          <t>STOCKHOLMS LÄN</t>
        </is>
      </c>
      <c r="E64" t="inlineStr">
        <is>
          <t>NORRTÄLJE</t>
        </is>
      </c>
      <c r="F64" t="inlineStr">
        <is>
          <t>Övriga Aktiebolag</t>
        </is>
      </c>
      <c r="G64" t="n">
        <v>13.2</v>
      </c>
      <c r="H64" t="n">
        <v>2</v>
      </c>
      <c r="I64" t="n">
        <v>0</v>
      </c>
      <c r="J64" t="n">
        <v>2</v>
      </c>
      <c r="K64" t="n">
        <v>0</v>
      </c>
      <c r="L64" t="n">
        <v>0</v>
      </c>
      <c r="M64" t="n">
        <v>0</v>
      </c>
      <c r="N64" t="n">
        <v>0</v>
      </c>
      <c r="O64" t="n">
        <v>2</v>
      </c>
      <c r="P64" t="n">
        <v>0</v>
      </c>
      <c r="Q64" t="n">
        <v>3</v>
      </c>
      <c r="R64" s="2" t="inlineStr">
        <is>
          <t>Järpe
Ullticka
Vanlig snok</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2851-2023</t>
        </is>
      </c>
      <c r="B65" s="1" t="n">
        <v>44945</v>
      </c>
      <c r="C65" s="1" t="n">
        <v>46169</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46169</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46169</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27870-2022</t>
        </is>
      </c>
      <c r="B68" s="1" t="n">
        <v>44743.64592592593</v>
      </c>
      <c r="C68" s="1" t="n">
        <v>46169</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50618-2022</t>
        </is>
      </c>
      <c r="B69" s="1" t="n">
        <v>44866</v>
      </c>
      <c r="C69" s="1" t="n">
        <v>46169</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20185-2022</t>
        </is>
      </c>
      <c r="B70" s="1" t="n">
        <v>44698</v>
      </c>
      <c r="C70" s="1" t="n">
        <v>46169</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52133-2022</t>
        </is>
      </c>
      <c r="B71" s="1" t="n">
        <v>44868</v>
      </c>
      <c r="C71" s="1" t="n">
        <v>46169</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46169</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46169</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46169</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50697-2025</t>
        </is>
      </c>
      <c r="B75" s="1" t="n">
        <v>45945.90854166666</v>
      </c>
      <c r="C75" s="1" t="n">
        <v>46169</v>
      </c>
      <c r="D75" t="inlineStr">
        <is>
          <t>STOCKHOLMS LÄN</t>
        </is>
      </c>
      <c r="E75" t="inlineStr">
        <is>
          <t>NORRTÄLJE</t>
        </is>
      </c>
      <c r="G75" t="n">
        <v>5.5</v>
      </c>
      <c r="H75" t="n">
        <v>0</v>
      </c>
      <c r="I75" t="n">
        <v>0</v>
      </c>
      <c r="J75" t="n">
        <v>2</v>
      </c>
      <c r="K75" t="n">
        <v>0</v>
      </c>
      <c r="L75" t="n">
        <v>0</v>
      </c>
      <c r="M75" t="n">
        <v>0</v>
      </c>
      <c r="N75" t="n">
        <v>0</v>
      </c>
      <c r="O75" t="n">
        <v>2</v>
      </c>
      <c r="P75" t="n">
        <v>0</v>
      </c>
      <c r="Q75" t="n">
        <v>2</v>
      </c>
      <c r="R75" s="2" t="inlineStr">
        <is>
          <t>Skogsklocka
Småflikig brosklav</t>
        </is>
      </c>
      <c r="S75">
        <f>HYPERLINK("https://klasma.github.io/Logging_0188/artfynd/A 50697-2025 artfynd.xlsx", "A 50697-2025")</f>
        <v/>
      </c>
      <c r="T75">
        <f>HYPERLINK("https://klasma.github.io/Logging_0188/kartor/A 50697-2025 karta.png", "A 50697-2025")</f>
        <v/>
      </c>
      <c r="V75">
        <f>HYPERLINK("https://klasma.github.io/Logging_0188/klagomål/A 50697-2025 FSC-klagomål.docx", "A 50697-2025")</f>
        <v/>
      </c>
      <c r="W75">
        <f>HYPERLINK("https://klasma.github.io/Logging_0188/klagomålsmail/A 50697-2025 FSC-klagomål mail.docx", "A 50697-2025")</f>
        <v/>
      </c>
      <c r="X75">
        <f>HYPERLINK("https://klasma.github.io/Logging_0188/tillsyn/A 50697-2025 tillsynsbegäran.docx", "A 50697-2025")</f>
        <v/>
      </c>
      <c r="Y75">
        <f>HYPERLINK("https://klasma.github.io/Logging_0188/tillsynsmail/A 50697-2025 tillsynsbegäran mail.docx", "A 50697-2025")</f>
        <v/>
      </c>
    </row>
    <row r="76" ht="15" customHeight="1">
      <c r="A76" t="inlineStr">
        <is>
          <t>A 30693-2022</t>
        </is>
      </c>
      <c r="B76" s="1" t="n">
        <v>44763</v>
      </c>
      <c r="C76" s="1" t="n">
        <v>46169</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33548-2025</t>
        </is>
      </c>
      <c r="B77" s="1" t="n">
        <v>45841.5721875</v>
      </c>
      <c r="C77" s="1" t="n">
        <v>46169</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17952-2022</t>
        </is>
      </c>
      <c r="B78" s="1" t="n">
        <v>44683</v>
      </c>
      <c r="C78" s="1" t="n">
        <v>46169</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46169</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46169</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46169</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46169</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53608-2025</t>
        </is>
      </c>
      <c r="B83" s="1" t="n">
        <v>45960</v>
      </c>
      <c r="C83" s="1" t="n">
        <v>46169</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16260-2022</t>
        </is>
      </c>
      <c r="B84" s="1" t="n">
        <v>44670</v>
      </c>
      <c r="C84" s="1" t="n">
        <v>46169</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46169</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21781-2026</t>
        </is>
      </c>
      <c r="B86" s="1" t="n">
        <v>46150.37699074074</v>
      </c>
      <c r="C86" s="1" t="n">
        <v>46169</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23548-2026</t>
        </is>
      </c>
      <c r="B87" s="1" t="n">
        <v>46163.57045138889</v>
      </c>
      <c r="C87" s="1" t="n">
        <v>46169</v>
      </c>
      <c r="D87" t="inlineStr">
        <is>
          <t>STOCKHOLMS LÄN</t>
        </is>
      </c>
      <c r="E87" t="inlineStr">
        <is>
          <t>NORRTÄLJE</t>
        </is>
      </c>
      <c r="G87" t="n">
        <v>2.3</v>
      </c>
      <c r="H87" t="n">
        <v>2</v>
      </c>
      <c r="I87" t="n">
        <v>0</v>
      </c>
      <c r="J87" t="n">
        <v>0</v>
      </c>
      <c r="K87" t="n">
        <v>0</v>
      </c>
      <c r="L87" t="n">
        <v>0</v>
      </c>
      <c r="M87" t="n">
        <v>0</v>
      </c>
      <c r="N87" t="n">
        <v>0</v>
      </c>
      <c r="O87" t="n">
        <v>0</v>
      </c>
      <c r="P87" t="n">
        <v>0</v>
      </c>
      <c r="Q87" t="n">
        <v>2</v>
      </c>
      <c r="R87" s="2" t="inlineStr">
        <is>
          <t>Nattviol × grönvit nattviol
Ängsnattviol × grönvit nattviol</t>
        </is>
      </c>
      <c r="S87">
        <f>HYPERLINK("https://klasma.github.io/Logging_0188/artfynd/A 23548-2026 artfynd.xlsx", "A 23548-2026")</f>
        <v/>
      </c>
      <c r="T87">
        <f>HYPERLINK("https://klasma.github.io/Logging_0188/kartor/A 23548-2026 karta.png", "A 23548-2026")</f>
        <v/>
      </c>
      <c r="V87">
        <f>HYPERLINK("https://klasma.github.io/Logging_0188/klagomål/A 23548-2026 FSC-klagomål.docx", "A 23548-2026")</f>
        <v/>
      </c>
      <c r="W87">
        <f>HYPERLINK("https://klasma.github.io/Logging_0188/klagomålsmail/A 23548-2026 FSC-klagomål mail.docx", "A 23548-2026")</f>
        <v/>
      </c>
      <c r="X87">
        <f>HYPERLINK("https://klasma.github.io/Logging_0188/tillsyn/A 23548-2026 tillsynsbegäran.docx", "A 23548-2026")</f>
        <v/>
      </c>
      <c r="Y87">
        <f>HYPERLINK("https://klasma.github.io/Logging_0188/tillsynsmail/A 23548-2026 tillsynsbegäran mail.docx", "A 23548-2026")</f>
        <v/>
      </c>
    </row>
    <row r="88" ht="15" customHeight="1">
      <c r="A88" t="inlineStr">
        <is>
          <t>A 1547-2022</t>
        </is>
      </c>
      <c r="B88" s="1" t="n">
        <v>44573</v>
      </c>
      <c r="C88" s="1" t="n">
        <v>46169</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46169</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46169</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46169</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46169</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46169</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9955-2022</t>
        </is>
      </c>
      <c r="B94" s="1" t="n">
        <v>44620</v>
      </c>
      <c r="C94" s="1" t="n">
        <v>46169</v>
      </c>
      <c r="D94" t="inlineStr">
        <is>
          <t>STOCKHOLMS LÄN</t>
        </is>
      </c>
      <c r="E94" t="inlineStr">
        <is>
          <t>NORRTÄLJE</t>
        </is>
      </c>
      <c r="G94" t="n">
        <v>7.8</v>
      </c>
      <c r="H94" t="n">
        <v>1</v>
      </c>
      <c r="I94" t="n">
        <v>0</v>
      </c>
      <c r="J94" t="n">
        <v>0</v>
      </c>
      <c r="K94" t="n">
        <v>0</v>
      </c>
      <c r="L94" t="n">
        <v>0</v>
      </c>
      <c r="M94" t="n">
        <v>0</v>
      </c>
      <c r="N94" t="n">
        <v>0</v>
      </c>
      <c r="O94" t="n">
        <v>0</v>
      </c>
      <c r="P94" t="n">
        <v>0</v>
      </c>
      <c r="Q94" t="n">
        <v>1</v>
      </c>
      <c r="R94" s="2" t="inlineStr">
        <is>
          <t>Åkergroda</t>
        </is>
      </c>
      <c r="S94">
        <f>HYPERLINK("https://klasma.github.io/Logging_0188/artfynd/A 9955-2022 artfynd.xlsx", "A 9955-2022")</f>
        <v/>
      </c>
      <c r="T94">
        <f>HYPERLINK("https://klasma.github.io/Logging_0188/kartor/A 9955-2022 karta.png", "A 9955-2022")</f>
        <v/>
      </c>
      <c r="V94">
        <f>HYPERLINK("https://klasma.github.io/Logging_0188/klagomål/A 9955-2022 FSC-klagomål.docx", "A 9955-2022")</f>
        <v/>
      </c>
      <c r="W94">
        <f>HYPERLINK("https://klasma.github.io/Logging_0188/klagomålsmail/A 9955-2022 FSC-klagomål mail.docx", "A 9955-2022")</f>
        <v/>
      </c>
      <c r="X94">
        <f>HYPERLINK("https://klasma.github.io/Logging_0188/tillsyn/A 9955-2022 tillsynsbegäran.docx", "A 9955-2022")</f>
        <v/>
      </c>
      <c r="Y94">
        <f>HYPERLINK("https://klasma.github.io/Logging_0188/tillsynsmail/A 9955-2022 tillsynsbegäran mail.docx", "A 9955-2022")</f>
        <v/>
      </c>
    </row>
    <row r="95" ht="15" customHeight="1">
      <c r="A95" t="inlineStr">
        <is>
          <t>A 23905-2025</t>
        </is>
      </c>
      <c r="B95" s="1" t="n">
        <v>45794.63298611111</v>
      </c>
      <c r="C95" s="1" t="n">
        <v>46169</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4595-2023</t>
        </is>
      </c>
      <c r="B96" s="1" t="n">
        <v>44956</v>
      </c>
      <c r="C96" s="1" t="n">
        <v>46169</v>
      </c>
      <c r="D96" t="inlineStr">
        <is>
          <t>STOCKHOLMS LÄN</t>
        </is>
      </c>
      <c r="E96" t="inlineStr">
        <is>
          <t>NORRTÄLJE</t>
        </is>
      </c>
      <c r="G96" t="n">
        <v>0.6</v>
      </c>
      <c r="H96" t="n">
        <v>1</v>
      </c>
      <c r="I96" t="n">
        <v>0</v>
      </c>
      <c r="J96" t="n">
        <v>0</v>
      </c>
      <c r="K96" t="n">
        <v>0</v>
      </c>
      <c r="L96" t="n">
        <v>0</v>
      </c>
      <c r="M96" t="n">
        <v>0</v>
      </c>
      <c r="N96" t="n">
        <v>0</v>
      </c>
      <c r="O96" t="n">
        <v>0</v>
      </c>
      <c r="P96" t="n">
        <v>0</v>
      </c>
      <c r="Q96" t="n">
        <v>1</v>
      </c>
      <c r="R96" s="2" t="inlineStr">
        <is>
          <t>Blåsippa</t>
        </is>
      </c>
      <c r="S96">
        <f>HYPERLINK("https://klasma.github.io/Logging_0188/artfynd/A 4595-2023 artfynd.xlsx", "A 4595-2023")</f>
        <v/>
      </c>
      <c r="T96">
        <f>HYPERLINK("https://klasma.github.io/Logging_0188/kartor/A 4595-2023 karta.png", "A 4595-2023")</f>
        <v/>
      </c>
      <c r="V96">
        <f>HYPERLINK("https://klasma.github.io/Logging_0188/klagomål/A 4595-2023 FSC-klagomål.docx", "A 4595-2023")</f>
        <v/>
      </c>
      <c r="W96">
        <f>HYPERLINK("https://klasma.github.io/Logging_0188/klagomålsmail/A 4595-2023 FSC-klagomål mail.docx", "A 4595-2023")</f>
        <v/>
      </c>
      <c r="X96">
        <f>HYPERLINK("https://klasma.github.io/Logging_0188/tillsyn/A 4595-2023 tillsynsbegäran.docx", "A 4595-2023")</f>
        <v/>
      </c>
      <c r="Y96">
        <f>HYPERLINK("https://klasma.github.io/Logging_0188/tillsynsmail/A 4595-2023 tillsynsbegäran mail.docx", "A 4595-2023")</f>
        <v/>
      </c>
    </row>
    <row r="97" ht="15" customHeight="1">
      <c r="A97" t="inlineStr">
        <is>
          <t>A 25669-2025</t>
        </is>
      </c>
      <c r="B97" s="1" t="n">
        <v>45803.62766203703</v>
      </c>
      <c r="C97" s="1" t="n">
        <v>46169</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35764-2024</t>
        </is>
      </c>
      <c r="B98" s="1" t="n">
        <v>45532</v>
      </c>
      <c r="C98" s="1" t="n">
        <v>46169</v>
      </c>
      <c r="D98" t="inlineStr">
        <is>
          <t>STOCKHOLMS LÄN</t>
        </is>
      </c>
      <c r="E98" t="inlineStr">
        <is>
          <t>NORRTÄLJE</t>
        </is>
      </c>
      <c r="G98" t="n">
        <v>14.2</v>
      </c>
      <c r="H98" t="n">
        <v>1</v>
      </c>
      <c r="I98" t="n">
        <v>0</v>
      </c>
      <c r="J98" t="n">
        <v>0</v>
      </c>
      <c r="K98" t="n">
        <v>1</v>
      </c>
      <c r="L98" t="n">
        <v>0</v>
      </c>
      <c r="M98" t="n">
        <v>0</v>
      </c>
      <c r="N98" t="n">
        <v>0</v>
      </c>
      <c r="O98" t="n">
        <v>1</v>
      </c>
      <c r="P98" t="n">
        <v>1</v>
      </c>
      <c r="Q98" t="n">
        <v>1</v>
      </c>
      <c r="R98" s="2" t="inlineStr">
        <is>
          <t>Knärot</t>
        </is>
      </c>
      <c r="S98">
        <f>HYPERLINK("https://klasma.github.io/Logging_0188/artfynd/A 35764-2024 artfynd.xlsx", "A 35764-2024")</f>
        <v/>
      </c>
      <c r="T98">
        <f>HYPERLINK("https://klasma.github.io/Logging_0188/kartor/A 35764-2024 karta.png", "A 35764-2024")</f>
        <v/>
      </c>
      <c r="U98">
        <f>HYPERLINK("https://klasma.github.io/Logging_0188/knärot/A 35764-2024 karta knärot.png", "A 35764-2024")</f>
        <v/>
      </c>
      <c r="V98">
        <f>HYPERLINK("https://klasma.github.io/Logging_0188/klagomål/A 35764-2024 FSC-klagomål.docx", "A 35764-2024")</f>
        <v/>
      </c>
      <c r="W98">
        <f>HYPERLINK("https://klasma.github.io/Logging_0188/klagomålsmail/A 35764-2024 FSC-klagomål mail.docx", "A 35764-2024")</f>
        <v/>
      </c>
      <c r="X98">
        <f>HYPERLINK("https://klasma.github.io/Logging_0188/tillsyn/A 35764-2024 tillsynsbegäran.docx", "A 35764-2024")</f>
        <v/>
      </c>
      <c r="Y98">
        <f>HYPERLINK("https://klasma.github.io/Logging_0188/tillsynsmail/A 35764-2024 tillsynsbegäran mail.docx", "A 35764-2024")</f>
        <v/>
      </c>
    </row>
    <row r="99" ht="15" customHeight="1">
      <c r="A99" t="inlineStr">
        <is>
          <t>A 25725-2025</t>
        </is>
      </c>
      <c r="B99" s="1" t="n">
        <v>45800</v>
      </c>
      <c r="C99" s="1" t="n">
        <v>46169</v>
      </c>
      <c r="D99" t="inlineStr">
        <is>
          <t>STOCKHOLMS LÄN</t>
        </is>
      </c>
      <c r="E99" t="inlineStr">
        <is>
          <t>NORRTÄLJE</t>
        </is>
      </c>
      <c r="G99" t="n">
        <v>5.2</v>
      </c>
      <c r="H99" t="n">
        <v>0</v>
      </c>
      <c r="I99" t="n">
        <v>0</v>
      </c>
      <c r="J99" t="n">
        <v>1</v>
      </c>
      <c r="K99" t="n">
        <v>0</v>
      </c>
      <c r="L99" t="n">
        <v>0</v>
      </c>
      <c r="M99" t="n">
        <v>0</v>
      </c>
      <c r="N99" t="n">
        <v>0</v>
      </c>
      <c r="O99" t="n">
        <v>1</v>
      </c>
      <c r="P99" t="n">
        <v>0</v>
      </c>
      <c r="Q99" t="n">
        <v>1</v>
      </c>
      <c r="R99" s="2" t="inlineStr">
        <is>
          <t>Tallticka</t>
        </is>
      </c>
      <c r="S99">
        <f>HYPERLINK("https://klasma.github.io/Logging_0188/artfynd/A 25725-2025 artfynd.xlsx", "A 25725-2025")</f>
        <v/>
      </c>
      <c r="T99">
        <f>HYPERLINK("https://klasma.github.io/Logging_0188/kartor/A 25725-2025 karta.png", "A 25725-2025")</f>
        <v/>
      </c>
      <c r="V99">
        <f>HYPERLINK("https://klasma.github.io/Logging_0188/klagomål/A 25725-2025 FSC-klagomål.docx", "A 25725-2025")</f>
        <v/>
      </c>
      <c r="W99">
        <f>HYPERLINK("https://klasma.github.io/Logging_0188/klagomålsmail/A 25725-2025 FSC-klagomål mail.docx", "A 25725-2025")</f>
        <v/>
      </c>
      <c r="X99">
        <f>HYPERLINK("https://klasma.github.io/Logging_0188/tillsyn/A 25725-2025 tillsynsbegäran.docx", "A 25725-2025")</f>
        <v/>
      </c>
      <c r="Y99">
        <f>HYPERLINK("https://klasma.github.io/Logging_0188/tillsynsmail/A 25725-2025 tillsynsbegäran mail.docx", "A 25725-2025")</f>
        <v/>
      </c>
    </row>
    <row r="100" ht="15" customHeight="1">
      <c r="A100" t="inlineStr">
        <is>
          <t>A 40861-2025</t>
        </is>
      </c>
      <c r="B100" s="1" t="n">
        <v>45897.56356481482</v>
      </c>
      <c r="C100" s="1" t="n">
        <v>46169</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46169</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25709-2025</t>
        </is>
      </c>
      <c r="B102" s="1" t="n">
        <v>45800</v>
      </c>
      <c r="C102" s="1" t="n">
        <v>46169</v>
      </c>
      <c r="D102" t="inlineStr">
        <is>
          <t>STOCKHOLMS LÄN</t>
        </is>
      </c>
      <c r="E102" t="inlineStr">
        <is>
          <t>NORRTÄLJE</t>
        </is>
      </c>
      <c r="G102" t="n">
        <v>4.6</v>
      </c>
      <c r="H102" t="n">
        <v>0</v>
      </c>
      <c r="I102" t="n">
        <v>0</v>
      </c>
      <c r="J102" t="n">
        <v>1</v>
      </c>
      <c r="K102" t="n">
        <v>0</v>
      </c>
      <c r="L102" t="n">
        <v>0</v>
      </c>
      <c r="M102" t="n">
        <v>0</v>
      </c>
      <c r="N102" t="n">
        <v>0</v>
      </c>
      <c r="O102" t="n">
        <v>1</v>
      </c>
      <c r="P102" t="n">
        <v>0</v>
      </c>
      <c r="Q102" t="n">
        <v>1</v>
      </c>
      <c r="R102" s="2" t="inlineStr">
        <is>
          <t>Ullticka</t>
        </is>
      </c>
      <c r="S102">
        <f>HYPERLINK("https://klasma.github.io/Logging_0188/artfynd/A 25709-2025 artfynd.xlsx", "A 25709-2025")</f>
        <v/>
      </c>
      <c r="T102">
        <f>HYPERLINK("https://klasma.github.io/Logging_0188/kartor/A 25709-2025 karta.png", "A 25709-2025")</f>
        <v/>
      </c>
      <c r="V102">
        <f>HYPERLINK("https://klasma.github.io/Logging_0188/klagomål/A 25709-2025 FSC-klagomål.docx", "A 25709-2025")</f>
        <v/>
      </c>
      <c r="W102">
        <f>HYPERLINK("https://klasma.github.io/Logging_0188/klagomålsmail/A 25709-2025 FSC-klagomål mail.docx", "A 25709-2025")</f>
        <v/>
      </c>
      <c r="X102">
        <f>HYPERLINK("https://klasma.github.io/Logging_0188/tillsyn/A 25709-2025 tillsynsbegäran.docx", "A 25709-2025")</f>
        <v/>
      </c>
      <c r="Y102">
        <f>HYPERLINK("https://klasma.github.io/Logging_0188/tillsynsmail/A 25709-2025 tillsynsbegäran mail.docx", "A 25709-2025")</f>
        <v/>
      </c>
    </row>
    <row r="103" ht="15" customHeight="1">
      <c r="A103" t="inlineStr">
        <is>
          <t>A 35649-2023</t>
        </is>
      </c>
      <c r="B103" s="1" t="n">
        <v>45146</v>
      </c>
      <c r="C103" s="1" t="n">
        <v>46169</v>
      </c>
      <c r="D103" t="inlineStr">
        <is>
          <t>STOCKHOLMS LÄN</t>
        </is>
      </c>
      <c r="E103" t="inlineStr">
        <is>
          <t>NORRTÄLJE</t>
        </is>
      </c>
      <c r="G103" t="n">
        <v>25.1</v>
      </c>
      <c r="H103" t="n">
        <v>0</v>
      </c>
      <c r="I103" t="n">
        <v>0</v>
      </c>
      <c r="J103" t="n">
        <v>1</v>
      </c>
      <c r="K103" t="n">
        <v>0</v>
      </c>
      <c r="L103" t="n">
        <v>0</v>
      </c>
      <c r="M103" t="n">
        <v>0</v>
      </c>
      <c r="N103" t="n">
        <v>0</v>
      </c>
      <c r="O103" t="n">
        <v>1</v>
      </c>
      <c r="P103" t="n">
        <v>0</v>
      </c>
      <c r="Q103" t="n">
        <v>1</v>
      </c>
      <c r="R103" s="2" t="inlineStr">
        <is>
          <t>Månlåsbräken</t>
        </is>
      </c>
      <c r="S103">
        <f>HYPERLINK("https://klasma.github.io/Logging_0188/artfynd/A 35649-2023 artfynd.xlsx", "A 35649-2023")</f>
        <v/>
      </c>
      <c r="T103">
        <f>HYPERLINK("https://klasma.github.io/Logging_0188/kartor/A 35649-2023 karta.png", "A 35649-2023")</f>
        <v/>
      </c>
      <c r="V103">
        <f>HYPERLINK("https://klasma.github.io/Logging_0188/klagomål/A 35649-2023 FSC-klagomål.docx", "A 35649-2023")</f>
        <v/>
      </c>
      <c r="W103">
        <f>HYPERLINK("https://klasma.github.io/Logging_0188/klagomålsmail/A 35649-2023 FSC-klagomål mail.docx", "A 35649-2023")</f>
        <v/>
      </c>
      <c r="X103">
        <f>HYPERLINK("https://klasma.github.io/Logging_0188/tillsyn/A 35649-2023 tillsynsbegäran.docx", "A 35649-2023")</f>
        <v/>
      </c>
      <c r="Y103">
        <f>HYPERLINK("https://klasma.github.io/Logging_0188/tillsynsmail/A 35649-2023 tillsynsbegäran mail.docx", "A 35649-2023")</f>
        <v/>
      </c>
    </row>
    <row r="104" ht="15" customHeight="1">
      <c r="A104" t="inlineStr">
        <is>
          <t>A 24535-2023</t>
        </is>
      </c>
      <c r="B104" s="1" t="n">
        <v>45082</v>
      </c>
      <c r="C104" s="1" t="n">
        <v>46169</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42313-2025</t>
        </is>
      </c>
      <c r="B105" s="1" t="n">
        <v>45904.6575</v>
      </c>
      <c r="C105" s="1" t="n">
        <v>46169</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52775-2025</t>
        </is>
      </c>
      <c r="B106" s="1" t="n">
        <v>45957.41608796296</v>
      </c>
      <c r="C106" s="1" t="n">
        <v>46169</v>
      </c>
      <c r="D106" t="inlineStr">
        <is>
          <t>STOCKHOLMS LÄN</t>
        </is>
      </c>
      <c r="E106" t="inlineStr">
        <is>
          <t>NORRTÄLJE</t>
        </is>
      </c>
      <c r="F106" t="inlineStr">
        <is>
          <t>Sveaskog</t>
        </is>
      </c>
      <c r="G106" t="n">
        <v>5.6</v>
      </c>
      <c r="H106" t="n">
        <v>0</v>
      </c>
      <c r="I106" t="n">
        <v>0</v>
      </c>
      <c r="J106" t="n">
        <v>1</v>
      </c>
      <c r="K106" t="n">
        <v>0</v>
      </c>
      <c r="L106" t="n">
        <v>0</v>
      </c>
      <c r="M106" t="n">
        <v>0</v>
      </c>
      <c r="N106" t="n">
        <v>0</v>
      </c>
      <c r="O106" t="n">
        <v>1</v>
      </c>
      <c r="P106" t="n">
        <v>0</v>
      </c>
      <c r="Q106" t="n">
        <v>1</v>
      </c>
      <c r="R106" s="2" t="inlineStr">
        <is>
          <t>Vedtrappmossa</t>
        </is>
      </c>
      <c r="S106">
        <f>HYPERLINK("https://klasma.github.io/Logging_0188/artfynd/A 52775-2025 artfynd.xlsx", "A 52775-2025")</f>
        <v/>
      </c>
      <c r="T106">
        <f>HYPERLINK("https://klasma.github.io/Logging_0188/kartor/A 52775-2025 karta.png", "A 52775-2025")</f>
        <v/>
      </c>
      <c r="V106">
        <f>HYPERLINK("https://klasma.github.io/Logging_0188/klagomål/A 52775-2025 FSC-klagomål.docx", "A 52775-2025")</f>
        <v/>
      </c>
      <c r="W106">
        <f>HYPERLINK("https://klasma.github.io/Logging_0188/klagomålsmail/A 52775-2025 FSC-klagomål mail.docx", "A 52775-2025")</f>
        <v/>
      </c>
      <c r="X106">
        <f>HYPERLINK("https://klasma.github.io/Logging_0188/tillsyn/A 52775-2025 tillsynsbegäran.docx", "A 52775-2025")</f>
        <v/>
      </c>
      <c r="Y106">
        <f>HYPERLINK("https://klasma.github.io/Logging_0188/tillsynsmail/A 52775-2025 tillsynsbegäran mail.docx", "A 52775-2025")</f>
        <v/>
      </c>
    </row>
    <row r="107" ht="15" customHeight="1">
      <c r="A107" t="inlineStr">
        <is>
          <t>A 31281-2022</t>
        </is>
      </c>
      <c r="B107" s="1" t="n">
        <v>44771</v>
      </c>
      <c r="C107" s="1" t="n">
        <v>46169</v>
      </c>
      <c r="D107" t="inlineStr">
        <is>
          <t>STOCKHOLMS LÄN</t>
        </is>
      </c>
      <c r="E107" t="inlineStr">
        <is>
          <t>NORRTÄLJE</t>
        </is>
      </c>
      <c r="F107" t="inlineStr">
        <is>
          <t>Holmen skog AB</t>
        </is>
      </c>
      <c r="G107" t="n">
        <v>5.2</v>
      </c>
      <c r="H107" t="n">
        <v>1</v>
      </c>
      <c r="I107" t="n">
        <v>0</v>
      </c>
      <c r="J107" t="n">
        <v>1</v>
      </c>
      <c r="K107" t="n">
        <v>0</v>
      </c>
      <c r="L107" t="n">
        <v>0</v>
      </c>
      <c r="M107" t="n">
        <v>0</v>
      </c>
      <c r="N107" t="n">
        <v>0</v>
      </c>
      <c r="O107" t="n">
        <v>1</v>
      </c>
      <c r="P107" t="n">
        <v>0</v>
      </c>
      <c r="Q107" t="n">
        <v>1</v>
      </c>
      <c r="R107" s="2" t="inlineStr">
        <is>
          <t>Kråka</t>
        </is>
      </c>
      <c r="S107">
        <f>HYPERLINK("https://klasma.github.io/Logging_0188/artfynd/A 31281-2022 artfynd.xlsx", "A 31281-2022")</f>
        <v/>
      </c>
      <c r="T107">
        <f>HYPERLINK("https://klasma.github.io/Logging_0188/kartor/A 31281-2022 karta.png", "A 31281-2022")</f>
        <v/>
      </c>
      <c r="V107">
        <f>HYPERLINK("https://klasma.github.io/Logging_0188/klagomål/A 31281-2022 FSC-klagomål.docx", "A 31281-2022")</f>
        <v/>
      </c>
      <c r="W107">
        <f>HYPERLINK("https://klasma.github.io/Logging_0188/klagomålsmail/A 31281-2022 FSC-klagomål mail.docx", "A 31281-2022")</f>
        <v/>
      </c>
      <c r="X107">
        <f>HYPERLINK("https://klasma.github.io/Logging_0188/tillsyn/A 31281-2022 tillsynsbegäran.docx", "A 31281-2022")</f>
        <v/>
      </c>
      <c r="Y107">
        <f>HYPERLINK("https://klasma.github.io/Logging_0188/tillsynsmail/A 31281-2022 tillsynsbegäran mail.docx", "A 31281-2022")</f>
        <v/>
      </c>
      <c r="Z107">
        <f>HYPERLINK("https://klasma.github.io/Logging_0188/fåglar/A 31281-2022 prioriterade fågelarter.docx", "A 31281-2022")</f>
        <v/>
      </c>
    </row>
    <row r="108" ht="15" customHeight="1">
      <c r="A108" t="inlineStr">
        <is>
          <t>A 53716-2025</t>
        </is>
      </c>
      <c r="B108" s="1" t="n">
        <v>45960.61782407408</v>
      </c>
      <c r="C108" s="1" t="n">
        <v>46169</v>
      </c>
      <c r="D108" t="inlineStr">
        <is>
          <t>STOCKHOLMS LÄN</t>
        </is>
      </c>
      <c r="E108" t="inlineStr">
        <is>
          <t>NORRTÄLJE</t>
        </is>
      </c>
      <c r="G108" t="n">
        <v>3.4</v>
      </c>
      <c r="H108" t="n">
        <v>0</v>
      </c>
      <c r="I108" t="n">
        <v>0</v>
      </c>
      <c r="J108" t="n">
        <v>0</v>
      </c>
      <c r="K108" t="n">
        <v>0</v>
      </c>
      <c r="L108" t="n">
        <v>1</v>
      </c>
      <c r="M108" t="n">
        <v>0</v>
      </c>
      <c r="N108" t="n">
        <v>0</v>
      </c>
      <c r="O108" t="n">
        <v>1</v>
      </c>
      <c r="P108" t="n">
        <v>1</v>
      </c>
      <c r="Q108" t="n">
        <v>1</v>
      </c>
      <c r="R108" s="2" t="inlineStr">
        <is>
          <t>Fältgentiana</t>
        </is>
      </c>
      <c r="S108">
        <f>HYPERLINK("https://klasma.github.io/Logging_0188/artfynd/A 53716-2025 artfynd.xlsx", "A 53716-2025")</f>
        <v/>
      </c>
      <c r="T108">
        <f>HYPERLINK("https://klasma.github.io/Logging_0188/kartor/A 53716-2025 karta.png", "A 53716-2025")</f>
        <v/>
      </c>
      <c r="V108">
        <f>HYPERLINK("https://klasma.github.io/Logging_0188/klagomål/A 53716-2025 FSC-klagomål.docx", "A 53716-2025")</f>
        <v/>
      </c>
      <c r="W108">
        <f>HYPERLINK("https://klasma.github.io/Logging_0188/klagomålsmail/A 53716-2025 FSC-klagomål mail.docx", "A 53716-2025")</f>
        <v/>
      </c>
      <c r="X108">
        <f>HYPERLINK("https://klasma.github.io/Logging_0188/tillsyn/A 53716-2025 tillsynsbegäran.docx", "A 53716-2025")</f>
        <v/>
      </c>
      <c r="Y108">
        <f>HYPERLINK("https://klasma.github.io/Logging_0188/tillsynsmail/A 53716-2025 tillsynsbegäran mail.docx", "A 53716-2025")</f>
        <v/>
      </c>
    </row>
    <row r="109" ht="15" customHeight="1">
      <c r="A109" t="inlineStr">
        <is>
          <t>A 4532-2025</t>
        </is>
      </c>
      <c r="B109" s="1" t="n">
        <v>45687.34177083334</v>
      </c>
      <c r="C109" s="1" t="n">
        <v>46169</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6381-2023</t>
        </is>
      </c>
      <c r="B110" s="1" t="n">
        <v>44965</v>
      </c>
      <c r="C110" s="1" t="n">
        <v>46169</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35691-2023</t>
        </is>
      </c>
      <c r="B111" s="1" t="n">
        <v>45147.65222222222</v>
      </c>
      <c r="C111" s="1" t="n">
        <v>46169</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46169</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16870-2025</t>
        </is>
      </c>
      <c r="B113" s="1" t="n">
        <v>45754</v>
      </c>
      <c r="C113" s="1" t="n">
        <v>46169</v>
      </c>
      <c r="D113" t="inlineStr">
        <is>
          <t>STOCKHOLMS LÄN</t>
        </is>
      </c>
      <c r="E113" t="inlineStr">
        <is>
          <t>NORRTÄLJE</t>
        </is>
      </c>
      <c r="G113" t="n">
        <v>24.6</v>
      </c>
      <c r="H113" t="n">
        <v>1</v>
      </c>
      <c r="I113" t="n">
        <v>0</v>
      </c>
      <c r="J113" t="n">
        <v>0</v>
      </c>
      <c r="K113" t="n">
        <v>0</v>
      </c>
      <c r="L113" t="n">
        <v>0</v>
      </c>
      <c r="M113" t="n">
        <v>0</v>
      </c>
      <c r="N113" t="n">
        <v>0</v>
      </c>
      <c r="O113" t="n">
        <v>0</v>
      </c>
      <c r="P113" t="n">
        <v>0</v>
      </c>
      <c r="Q113" t="n">
        <v>1</v>
      </c>
      <c r="R113" s="2" t="inlineStr">
        <is>
          <t>Vanlig groda</t>
        </is>
      </c>
      <c r="S113">
        <f>HYPERLINK("https://klasma.github.io/Logging_0188/artfynd/A 16870-2025 artfynd.xlsx", "A 16870-2025")</f>
        <v/>
      </c>
      <c r="T113">
        <f>HYPERLINK("https://klasma.github.io/Logging_0188/kartor/A 16870-2025 karta.png", "A 16870-2025")</f>
        <v/>
      </c>
      <c r="V113">
        <f>HYPERLINK("https://klasma.github.io/Logging_0188/klagomål/A 16870-2025 FSC-klagomål.docx", "A 16870-2025")</f>
        <v/>
      </c>
      <c r="W113">
        <f>HYPERLINK("https://klasma.github.io/Logging_0188/klagomålsmail/A 16870-2025 FSC-klagomål mail.docx", "A 16870-2025")</f>
        <v/>
      </c>
      <c r="X113">
        <f>HYPERLINK("https://klasma.github.io/Logging_0188/tillsyn/A 16870-2025 tillsynsbegäran.docx", "A 16870-2025")</f>
        <v/>
      </c>
      <c r="Y113">
        <f>HYPERLINK("https://klasma.github.io/Logging_0188/tillsynsmail/A 16870-2025 tillsynsbegäran mail.docx", "A 16870-2025")</f>
        <v/>
      </c>
    </row>
    <row r="114" ht="15" customHeight="1">
      <c r="A114" t="inlineStr">
        <is>
          <t>A 29946-2025</t>
        </is>
      </c>
      <c r="B114" s="1" t="n">
        <v>45826.46392361111</v>
      </c>
      <c r="C114" s="1" t="n">
        <v>46169</v>
      </c>
      <c r="D114" t="inlineStr">
        <is>
          <t>STOCKHOLMS LÄN</t>
        </is>
      </c>
      <c r="E114" t="inlineStr">
        <is>
          <t>NORRTÄLJE</t>
        </is>
      </c>
      <c r="F114" t="inlineStr">
        <is>
          <t>Holmen skog AB</t>
        </is>
      </c>
      <c r="G114" t="n">
        <v>3.6</v>
      </c>
      <c r="H114" t="n">
        <v>1</v>
      </c>
      <c r="I114" t="n">
        <v>0</v>
      </c>
      <c r="J114" t="n">
        <v>0</v>
      </c>
      <c r="K114" t="n">
        <v>0</v>
      </c>
      <c r="L114" t="n">
        <v>1</v>
      </c>
      <c r="M114" t="n">
        <v>0</v>
      </c>
      <c r="N114" t="n">
        <v>0</v>
      </c>
      <c r="O114" t="n">
        <v>1</v>
      </c>
      <c r="P114" t="n">
        <v>1</v>
      </c>
      <c r="Q114" t="n">
        <v>1</v>
      </c>
      <c r="R114" s="2" t="inlineStr">
        <is>
          <t>Asknätfjäril</t>
        </is>
      </c>
      <c r="S114">
        <f>HYPERLINK("https://klasma.github.io/Logging_0188/artfynd/A 29946-2025 artfynd.xlsx", "A 29946-2025")</f>
        <v/>
      </c>
      <c r="T114">
        <f>HYPERLINK("https://klasma.github.io/Logging_0188/kartor/A 29946-2025 karta.png", "A 29946-2025")</f>
        <v/>
      </c>
      <c r="V114">
        <f>HYPERLINK("https://klasma.github.io/Logging_0188/klagomål/A 29946-2025 FSC-klagomål.docx", "A 29946-2025")</f>
        <v/>
      </c>
      <c r="W114">
        <f>HYPERLINK("https://klasma.github.io/Logging_0188/klagomålsmail/A 29946-2025 FSC-klagomål mail.docx", "A 29946-2025")</f>
        <v/>
      </c>
      <c r="X114">
        <f>HYPERLINK("https://klasma.github.io/Logging_0188/tillsyn/A 29946-2025 tillsynsbegäran.docx", "A 29946-2025")</f>
        <v/>
      </c>
      <c r="Y114">
        <f>HYPERLINK("https://klasma.github.io/Logging_0188/tillsynsmail/A 29946-2025 tillsynsbegäran mail.docx", "A 29946-2025")</f>
        <v/>
      </c>
    </row>
    <row r="115" ht="15" customHeight="1">
      <c r="A115" t="inlineStr">
        <is>
          <t>A 50854-2022</t>
        </is>
      </c>
      <c r="B115" s="1" t="n">
        <v>44863</v>
      </c>
      <c r="C115" s="1" t="n">
        <v>46169</v>
      </c>
      <c r="D115" t="inlineStr">
        <is>
          <t>STOCKHOLMS LÄN</t>
        </is>
      </c>
      <c r="E115" t="inlineStr">
        <is>
          <t>NORRTÄLJE</t>
        </is>
      </c>
      <c r="G115" t="n">
        <v>2.9</v>
      </c>
      <c r="H115" t="n">
        <v>0</v>
      </c>
      <c r="I115" t="n">
        <v>1</v>
      </c>
      <c r="J115" t="n">
        <v>0</v>
      </c>
      <c r="K115" t="n">
        <v>0</v>
      </c>
      <c r="L115" t="n">
        <v>0</v>
      </c>
      <c r="M115" t="n">
        <v>0</v>
      </c>
      <c r="N115" t="n">
        <v>0</v>
      </c>
      <c r="O115" t="n">
        <v>0</v>
      </c>
      <c r="P115" t="n">
        <v>0</v>
      </c>
      <c r="Q115" t="n">
        <v>1</v>
      </c>
      <c r="R115" s="2" t="inlineStr">
        <is>
          <t>Tibast</t>
        </is>
      </c>
      <c r="S115">
        <f>HYPERLINK("https://klasma.github.io/Logging_0188/artfynd/A 50854-2022 artfynd.xlsx", "A 50854-2022")</f>
        <v/>
      </c>
      <c r="T115">
        <f>HYPERLINK("https://klasma.github.io/Logging_0188/kartor/A 50854-2022 karta.png", "A 50854-2022")</f>
        <v/>
      </c>
      <c r="V115">
        <f>HYPERLINK("https://klasma.github.io/Logging_0188/klagomål/A 50854-2022 FSC-klagomål.docx", "A 50854-2022")</f>
        <v/>
      </c>
      <c r="W115">
        <f>HYPERLINK("https://klasma.github.io/Logging_0188/klagomålsmail/A 50854-2022 FSC-klagomål mail.docx", "A 50854-2022")</f>
        <v/>
      </c>
      <c r="X115">
        <f>HYPERLINK("https://klasma.github.io/Logging_0188/tillsyn/A 50854-2022 tillsynsbegäran.docx", "A 50854-2022")</f>
        <v/>
      </c>
      <c r="Y115">
        <f>HYPERLINK("https://klasma.github.io/Logging_0188/tillsynsmail/A 50854-2022 tillsynsbegäran mail.docx", "A 50854-2022")</f>
        <v/>
      </c>
    </row>
    <row r="116" ht="15" customHeight="1">
      <c r="A116" t="inlineStr">
        <is>
          <t>A 39158-2025</t>
        </is>
      </c>
      <c r="B116" s="1" t="n">
        <v>45888</v>
      </c>
      <c r="C116" s="1" t="n">
        <v>46169</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33546-2025</t>
        </is>
      </c>
      <c r="B117" s="1" t="n">
        <v>45841.56996527778</v>
      </c>
      <c r="C117" s="1" t="n">
        <v>46169</v>
      </c>
      <c r="D117" t="inlineStr">
        <is>
          <t>STOCKHOLMS LÄN</t>
        </is>
      </c>
      <c r="E117" t="inlineStr">
        <is>
          <t>NORRTÄLJE</t>
        </is>
      </c>
      <c r="G117" t="n">
        <v>7.2</v>
      </c>
      <c r="H117" t="n">
        <v>1</v>
      </c>
      <c r="I117" t="n">
        <v>1</v>
      </c>
      <c r="J117" t="n">
        <v>0</v>
      </c>
      <c r="K117" t="n">
        <v>0</v>
      </c>
      <c r="L117" t="n">
        <v>0</v>
      </c>
      <c r="M117" t="n">
        <v>0</v>
      </c>
      <c r="N117" t="n">
        <v>0</v>
      </c>
      <c r="O117" t="n">
        <v>0</v>
      </c>
      <c r="P117" t="n">
        <v>0</v>
      </c>
      <c r="Q117" t="n">
        <v>1</v>
      </c>
      <c r="R117" s="2" t="inlineStr">
        <is>
          <t>Nästrot</t>
        </is>
      </c>
      <c r="S117">
        <f>HYPERLINK("https://klasma.github.io/Logging_0188/artfynd/A 33546-2025 artfynd.xlsx", "A 33546-2025")</f>
        <v/>
      </c>
      <c r="T117">
        <f>HYPERLINK("https://klasma.github.io/Logging_0188/kartor/A 33546-2025 karta.png", "A 33546-2025")</f>
        <v/>
      </c>
      <c r="V117">
        <f>HYPERLINK("https://klasma.github.io/Logging_0188/klagomål/A 33546-2025 FSC-klagomål.docx", "A 33546-2025")</f>
        <v/>
      </c>
      <c r="W117">
        <f>HYPERLINK("https://klasma.github.io/Logging_0188/klagomålsmail/A 33546-2025 FSC-klagomål mail.docx", "A 33546-2025")</f>
        <v/>
      </c>
      <c r="X117">
        <f>HYPERLINK("https://klasma.github.io/Logging_0188/tillsyn/A 33546-2025 tillsynsbegäran.docx", "A 33546-2025")</f>
        <v/>
      </c>
      <c r="Y117">
        <f>HYPERLINK("https://klasma.github.io/Logging_0188/tillsynsmail/A 33546-2025 tillsynsbegäran mail.docx", "A 33546-2025")</f>
        <v/>
      </c>
    </row>
    <row r="118" ht="15" customHeight="1">
      <c r="A118" t="inlineStr">
        <is>
          <t>A 26120-2024</t>
        </is>
      </c>
      <c r="B118" s="1" t="n">
        <v>45468.45995370371</v>
      </c>
      <c r="C118" s="1" t="n">
        <v>46169</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13291-2025</t>
        </is>
      </c>
      <c r="B119" s="1" t="n">
        <v>45735</v>
      </c>
      <c r="C119" s="1" t="n">
        <v>46169</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64456-2023</t>
        </is>
      </c>
      <c r="B120" s="1" t="n">
        <v>45280</v>
      </c>
      <c r="C120" s="1" t="n">
        <v>46169</v>
      </c>
      <c r="D120" t="inlineStr">
        <is>
          <t>STOCKHOLMS LÄN</t>
        </is>
      </c>
      <c r="E120" t="inlineStr">
        <is>
          <t>NORRTÄLJE</t>
        </is>
      </c>
      <c r="G120" t="n">
        <v>2.5</v>
      </c>
      <c r="H120" t="n">
        <v>0</v>
      </c>
      <c r="I120" t="n">
        <v>1</v>
      </c>
      <c r="J120" t="n">
        <v>0</v>
      </c>
      <c r="K120" t="n">
        <v>0</v>
      </c>
      <c r="L120" t="n">
        <v>0</v>
      </c>
      <c r="M120" t="n">
        <v>0</v>
      </c>
      <c r="N120" t="n">
        <v>0</v>
      </c>
      <c r="O120" t="n">
        <v>0</v>
      </c>
      <c r="P120" t="n">
        <v>0</v>
      </c>
      <c r="Q120" t="n">
        <v>1</v>
      </c>
      <c r="R120" s="2" t="inlineStr">
        <is>
          <t>Rödgul trumpetsvamp</t>
        </is>
      </c>
      <c r="S120">
        <f>HYPERLINK("https://klasma.github.io/Logging_0188/artfynd/A 64456-2023 artfynd.xlsx", "A 64456-2023")</f>
        <v/>
      </c>
      <c r="T120">
        <f>HYPERLINK("https://klasma.github.io/Logging_0188/kartor/A 64456-2023 karta.png", "A 64456-2023")</f>
        <v/>
      </c>
      <c r="V120">
        <f>HYPERLINK("https://klasma.github.io/Logging_0188/klagomål/A 64456-2023 FSC-klagomål.docx", "A 64456-2023")</f>
        <v/>
      </c>
      <c r="W120">
        <f>HYPERLINK("https://klasma.github.io/Logging_0188/klagomålsmail/A 64456-2023 FSC-klagomål mail.docx", "A 64456-2023")</f>
        <v/>
      </c>
      <c r="X120">
        <f>HYPERLINK("https://klasma.github.io/Logging_0188/tillsyn/A 64456-2023 tillsynsbegäran.docx", "A 64456-2023")</f>
        <v/>
      </c>
      <c r="Y120">
        <f>HYPERLINK("https://klasma.github.io/Logging_0188/tillsynsmail/A 64456-2023 tillsynsbegäran mail.docx", "A 64456-2023")</f>
        <v/>
      </c>
    </row>
    <row r="121" ht="15" customHeight="1">
      <c r="A121" t="inlineStr">
        <is>
          <t>A 8371-2025</t>
        </is>
      </c>
      <c r="B121" s="1" t="n">
        <v>45708</v>
      </c>
      <c r="C121" s="1" t="n">
        <v>46169</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24330-2023</t>
        </is>
      </c>
      <c r="B122" s="1" t="n">
        <v>45081</v>
      </c>
      <c r="C122" s="1" t="n">
        <v>46169</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21744-2023</t>
        </is>
      </c>
      <c r="B123" s="1" t="n">
        <v>45065</v>
      </c>
      <c r="C123" s="1" t="n">
        <v>46169</v>
      </c>
      <c r="D123" t="inlineStr">
        <is>
          <t>STOCKHOLMS LÄN</t>
        </is>
      </c>
      <c r="E123" t="inlineStr">
        <is>
          <t>NORRTÄLJE</t>
        </is>
      </c>
      <c r="F123" t="inlineStr">
        <is>
          <t>Holmen skog AB</t>
        </is>
      </c>
      <c r="G123" t="n">
        <v>4.2</v>
      </c>
      <c r="H123" t="n">
        <v>0</v>
      </c>
      <c r="I123" t="n">
        <v>1</v>
      </c>
      <c r="J123" t="n">
        <v>0</v>
      </c>
      <c r="K123" t="n">
        <v>0</v>
      </c>
      <c r="L123" t="n">
        <v>0</v>
      </c>
      <c r="M123" t="n">
        <v>0</v>
      </c>
      <c r="N123" t="n">
        <v>0</v>
      </c>
      <c r="O123" t="n">
        <v>0</v>
      </c>
      <c r="P123" t="n">
        <v>0</v>
      </c>
      <c r="Q123" t="n">
        <v>1</v>
      </c>
      <c r="R123" s="2" t="inlineStr">
        <is>
          <t>Korallblylav</t>
        </is>
      </c>
      <c r="S123">
        <f>HYPERLINK("https://klasma.github.io/Logging_0188/artfynd/A 21744-2023 artfynd.xlsx", "A 21744-2023")</f>
        <v/>
      </c>
      <c r="T123">
        <f>HYPERLINK("https://klasma.github.io/Logging_0188/kartor/A 21744-2023 karta.png", "A 21744-2023")</f>
        <v/>
      </c>
      <c r="V123">
        <f>HYPERLINK("https://klasma.github.io/Logging_0188/klagomål/A 21744-2023 FSC-klagomål.docx", "A 21744-2023")</f>
        <v/>
      </c>
      <c r="W123">
        <f>HYPERLINK("https://klasma.github.io/Logging_0188/klagomålsmail/A 21744-2023 FSC-klagomål mail.docx", "A 21744-2023")</f>
        <v/>
      </c>
      <c r="X123">
        <f>HYPERLINK("https://klasma.github.io/Logging_0188/tillsyn/A 21744-2023 tillsynsbegäran.docx", "A 21744-2023")</f>
        <v/>
      </c>
      <c r="Y123">
        <f>HYPERLINK("https://klasma.github.io/Logging_0188/tillsynsmail/A 21744-2023 tillsynsbegäran mail.docx", "A 21744-2023")</f>
        <v/>
      </c>
    </row>
    <row r="124" ht="15" customHeight="1">
      <c r="A124" t="inlineStr">
        <is>
          <t>A 59682-2025</t>
        </is>
      </c>
      <c r="B124" s="1" t="n">
        <v>45992.47116898148</v>
      </c>
      <c r="C124" s="1" t="n">
        <v>46169</v>
      </c>
      <c r="D124" t="inlineStr">
        <is>
          <t>STOCKHOLMS LÄN</t>
        </is>
      </c>
      <c r="E124" t="inlineStr">
        <is>
          <t>NORRTÄLJE</t>
        </is>
      </c>
      <c r="G124" t="n">
        <v>1.6</v>
      </c>
      <c r="H124" t="n">
        <v>0</v>
      </c>
      <c r="I124" t="n">
        <v>1</v>
      </c>
      <c r="J124" t="n">
        <v>0</v>
      </c>
      <c r="K124" t="n">
        <v>0</v>
      </c>
      <c r="L124" t="n">
        <v>0</v>
      </c>
      <c r="M124" t="n">
        <v>0</v>
      </c>
      <c r="N124" t="n">
        <v>0</v>
      </c>
      <c r="O124" t="n">
        <v>0</v>
      </c>
      <c r="P124" t="n">
        <v>0</v>
      </c>
      <c r="Q124" t="n">
        <v>1</v>
      </c>
      <c r="R124" s="2" t="inlineStr">
        <is>
          <t>Grönpyrola</t>
        </is>
      </c>
      <c r="S124">
        <f>HYPERLINK("https://klasma.github.io/Logging_0188/artfynd/A 59682-2025 artfynd.xlsx", "A 59682-2025")</f>
        <v/>
      </c>
      <c r="T124">
        <f>HYPERLINK("https://klasma.github.io/Logging_0188/kartor/A 59682-2025 karta.png", "A 59682-2025")</f>
        <v/>
      </c>
      <c r="V124">
        <f>HYPERLINK("https://klasma.github.io/Logging_0188/klagomål/A 59682-2025 FSC-klagomål.docx", "A 59682-2025")</f>
        <v/>
      </c>
      <c r="W124">
        <f>HYPERLINK("https://klasma.github.io/Logging_0188/klagomålsmail/A 59682-2025 FSC-klagomål mail.docx", "A 59682-2025")</f>
        <v/>
      </c>
      <c r="X124">
        <f>HYPERLINK("https://klasma.github.io/Logging_0188/tillsyn/A 59682-2025 tillsynsbegäran.docx", "A 59682-2025")</f>
        <v/>
      </c>
      <c r="Y124">
        <f>HYPERLINK("https://klasma.github.io/Logging_0188/tillsynsmail/A 59682-2025 tillsynsbegäran mail.docx", "A 59682-2025")</f>
        <v/>
      </c>
    </row>
    <row r="125" ht="15" customHeight="1">
      <c r="A125" t="inlineStr">
        <is>
          <t>A 52611-2024</t>
        </is>
      </c>
      <c r="B125" s="1" t="n">
        <v>45609.83747685186</v>
      </c>
      <c r="C125" s="1" t="n">
        <v>46169</v>
      </c>
      <c r="D125" t="inlineStr">
        <is>
          <t>STOCKHOLMS LÄN</t>
        </is>
      </c>
      <c r="E125" t="inlineStr">
        <is>
          <t>NORRTÄLJE</t>
        </is>
      </c>
      <c r="G125" t="n">
        <v>10.6</v>
      </c>
      <c r="H125" t="n">
        <v>1</v>
      </c>
      <c r="I125" t="n">
        <v>0</v>
      </c>
      <c r="J125" t="n">
        <v>0</v>
      </c>
      <c r="K125" t="n">
        <v>0</v>
      </c>
      <c r="L125" t="n">
        <v>0</v>
      </c>
      <c r="M125" t="n">
        <v>0</v>
      </c>
      <c r="N125" t="n">
        <v>0</v>
      </c>
      <c r="O125" t="n">
        <v>0</v>
      </c>
      <c r="P125" t="n">
        <v>0</v>
      </c>
      <c r="Q125" t="n">
        <v>1</v>
      </c>
      <c r="R125" s="2" t="inlineStr">
        <is>
          <t>Blåsippa</t>
        </is>
      </c>
      <c r="S125">
        <f>HYPERLINK("https://klasma.github.io/Logging_0188/artfynd/A 52611-2024 artfynd.xlsx", "A 52611-2024")</f>
        <v/>
      </c>
      <c r="T125">
        <f>HYPERLINK("https://klasma.github.io/Logging_0188/kartor/A 52611-2024 karta.png", "A 52611-2024")</f>
        <v/>
      </c>
      <c r="V125">
        <f>HYPERLINK("https://klasma.github.io/Logging_0188/klagomål/A 52611-2024 FSC-klagomål.docx", "A 52611-2024")</f>
        <v/>
      </c>
      <c r="W125">
        <f>HYPERLINK("https://klasma.github.io/Logging_0188/klagomålsmail/A 52611-2024 FSC-klagomål mail.docx", "A 52611-2024")</f>
        <v/>
      </c>
      <c r="X125">
        <f>HYPERLINK("https://klasma.github.io/Logging_0188/tillsyn/A 52611-2024 tillsynsbegäran.docx", "A 52611-2024")</f>
        <v/>
      </c>
      <c r="Y125">
        <f>HYPERLINK("https://klasma.github.io/Logging_0188/tillsynsmail/A 52611-2024 tillsynsbegäran mail.docx", "A 52611-2024")</f>
        <v/>
      </c>
    </row>
    <row r="126" ht="15" customHeight="1">
      <c r="A126" t="inlineStr">
        <is>
          <t>A 40192-2023</t>
        </is>
      </c>
      <c r="B126" s="1" t="n">
        <v>45169</v>
      </c>
      <c r="C126" s="1" t="n">
        <v>46169</v>
      </c>
      <c r="D126" t="inlineStr">
        <is>
          <t>STOCKHOLMS LÄN</t>
        </is>
      </c>
      <c r="E126" t="inlineStr">
        <is>
          <t>NORRTÄLJE</t>
        </is>
      </c>
      <c r="F126" t="inlineStr">
        <is>
          <t>Kyrkan</t>
        </is>
      </c>
      <c r="G126" t="n">
        <v>0.7</v>
      </c>
      <c r="H126" t="n">
        <v>1</v>
      </c>
      <c r="I126" t="n">
        <v>0</v>
      </c>
      <c r="J126" t="n">
        <v>0</v>
      </c>
      <c r="K126" t="n">
        <v>0</v>
      </c>
      <c r="L126" t="n">
        <v>0</v>
      </c>
      <c r="M126" t="n">
        <v>0</v>
      </c>
      <c r="N126" t="n">
        <v>0</v>
      </c>
      <c r="O126" t="n">
        <v>0</v>
      </c>
      <c r="P126" t="n">
        <v>0</v>
      </c>
      <c r="Q126" t="n">
        <v>1</v>
      </c>
      <c r="R126" s="2" t="inlineStr">
        <is>
          <t>Skogsduva</t>
        </is>
      </c>
      <c r="S126">
        <f>HYPERLINK("https://klasma.github.io/Logging_0188/artfynd/A 40192-2023 artfynd.xlsx", "A 40192-2023")</f>
        <v/>
      </c>
      <c r="T126">
        <f>HYPERLINK("https://klasma.github.io/Logging_0188/kartor/A 40192-2023 karta.png", "A 40192-2023")</f>
        <v/>
      </c>
      <c r="V126">
        <f>HYPERLINK("https://klasma.github.io/Logging_0188/klagomål/A 40192-2023 FSC-klagomål.docx", "A 40192-2023")</f>
        <v/>
      </c>
      <c r="W126">
        <f>HYPERLINK("https://klasma.github.io/Logging_0188/klagomålsmail/A 40192-2023 FSC-klagomål mail.docx", "A 40192-2023")</f>
        <v/>
      </c>
      <c r="X126">
        <f>HYPERLINK("https://klasma.github.io/Logging_0188/tillsyn/A 40192-2023 tillsynsbegäran.docx", "A 40192-2023")</f>
        <v/>
      </c>
      <c r="Y126">
        <f>HYPERLINK("https://klasma.github.io/Logging_0188/tillsynsmail/A 40192-2023 tillsynsbegäran mail.docx", "A 40192-2023")</f>
        <v/>
      </c>
      <c r="Z126">
        <f>HYPERLINK("https://klasma.github.io/Logging_0188/fåglar/A 40192-2023 prioriterade fågelarter.docx", "A 40192-2023")</f>
        <v/>
      </c>
    </row>
    <row r="127" ht="15" customHeight="1">
      <c r="A127" t="inlineStr">
        <is>
          <t>A 62715-2025</t>
        </is>
      </c>
      <c r="B127" s="1" t="n">
        <v>46008.52034722222</v>
      </c>
      <c r="C127" s="1" t="n">
        <v>46169</v>
      </c>
      <c r="D127" t="inlineStr">
        <is>
          <t>STOCKHOLMS LÄN</t>
        </is>
      </c>
      <c r="E127" t="inlineStr">
        <is>
          <t>NORRTÄLJE</t>
        </is>
      </c>
      <c r="G127" t="n">
        <v>0.8</v>
      </c>
      <c r="H127" t="n">
        <v>0</v>
      </c>
      <c r="I127" t="n">
        <v>1</v>
      </c>
      <c r="J127" t="n">
        <v>0</v>
      </c>
      <c r="K127" t="n">
        <v>0</v>
      </c>
      <c r="L127" t="n">
        <v>0</v>
      </c>
      <c r="M127" t="n">
        <v>0</v>
      </c>
      <c r="N127" t="n">
        <v>0</v>
      </c>
      <c r="O127" t="n">
        <v>0</v>
      </c>
      <c r="P127" t="n">
        <v>0</v>
      </c>
      <c r="Q127" t="n">
        <v>1</v>
      </c>
      <c r="R127" s="2" t="inlineStr">
        <is>
          <t>Granbarkgnagare</t>
        </is>
      </c>
      <c r="S127">
        <f>HYPERLINK("https://klasma.github.io/Logging_0188/artfynd/A 62715-2025 artfynd.xlsx", "A 62715-2025")</f>
        <v/>
      </c>
      <c r="T127">
        <f>HYPERLINK("https://klasma.github.io/Logging_0188/kartor/A 62715-2025 karta.png", "A 62715-2025")</f>
        <v/>
      </c>
      <c r="V127">
        <f>HYPERLINK("https://klasma.github.io/Logging_0188/klagomål/A 62715-2025 FSC-klagomål.docx", "A 62715-2025")</f>
        <v/>
      </c>
      <c r="W127">
        <f>HYPERLINK("https://klasma.github.io/Logging_0188/klagomålsmail/A 62715-2025 FSC-klagomål mail.docx", "A 62715-2025")</f>
        <v/>
      </c>
      <c r="X127">
        <f>HYPERLINK("https://klasma.github.io/Logging_0188/tillsyn/A 62715-2025 tillsynsbegäran.docx", "A 62715-2025")</f>
        <v/>
      </c>
      <c r="Y127">
        <f>HYPERLINK("https://klasma.github.io/Logging_0188/tillsynsmail/A 62715-2025 tillsynsbegäran mail.docx", "A 62715-2025")</f>
        <v/>
      </c>
    </row>
    <row r="128" ht="15" customHeight="1">
      <c r="A128" t="inlineStr">
        <is>
          <t>A 63292-2025</t>
        </is>
      </c>
      <c r="B128" s="1" t="n">
        <v>46010.59232638889</v>
      </c>
      <c r="C128" s="1" t="n">
        <v>46169</v>
      </c>
      <c r="D128" t="inlineStr">
        <is>
          <t>STOCKHOLMS LÄN</t>
        </is>
      </c>
      <c r="E128" t="inlineStr">
        <is>
          <t>NORRTÄLJE</t>
        </is>
      </c>
      <c r="G128" t="n">
        <v>11.1</v>
      </c>
      <c r="H128" t="n">
        <v>1</v>
      </c>
      <c r="I128" t="n">
        <v>1</v>
      </c>
      <c r="J128" t="n">
        <v>0</v>
      </c>
      <c r="K128" t="n">
        <v>0</v>
      </c>
      <c r="L128" t="n">
        <v>0</v>
      </c>
      <c r="M128" t="n">
        <v>0</v>
      </c>
      <c r="N128" t="n">
        <v>0</v>
      </c>
      <c r="O128" t="n">
        <v>0</v>
      </c>
      <c r="P128" t="n">
        <v>0</v>
      </c>
      <c r="Q128" t="n">
        <v>1</v>
      </c>
      <c r="R128" s="2" t="inlineStr">
        <is>
          <t>Nästrot</t>
        </is>
      </c>
      <c r="S128">
        <f>HYPERLINK("https://klasma.github.io/Logging_0188/artfynd/A 63292-2025 artfynd.xlsx", "A 63292-2025")</f>
        <v/>
      </c>
      <c r="T128">
        <f>HYPERLINK("https://klasma.github.io/Logging_0188/kartor/A 63292-2025 karta.png", "A 63292-2025")</f>
        <v/>
      </c>
      <c r="V128">
        <f>HYPERLINK("https://klasma.github.io/Logging_0188/klagomål/A 63292-2025 FSC-klagomål.docx", "A 63292-2025")</f>
        <v/>
      </c>
      <c r="W128">
        <f>HYPERLINK("https://klasma.github.io/Logging_0188/klagomålsmail/A 63292-2025 FSC-klagomål mail.docx", "A 63292-2025")</f>
        <v/>
      </c>
      <c r="X128">
        <f>HYPERLINK("https://klasma.github.io/Logging_0188/tillsyn/A 63292-2025 tillsynsbegäran.docx", "A 63292-2025")</f>
        <v/>
      </c>
      <c r="Y128">
        <f>HYPERLINK("https://klasma.github.io/Logging_0188/tillsynsmail/A 63292-2025 tillsynsbegäran mail.docx", "A 63292-2025")</f>
        <v/>
      </c>
    </row>
    <row r="129" ht="15" customHeight="1">
      <c r="A129" t="inlineStr">
        <is>
          <t>A 364-2026</t>
        </is>
      </c>
      <c r="B129" s="1" t="n">
        <v>46027.67134259259</v>
      </c>
      <c r="C129" s="1" t="n">
        <v>46169</v>
      </c>
      <c r="D129" t="inlineStr">
        <is>
          <t>STOCKHOLMS LÄN</t>
        </is>
      </c>
      <c r="E129" t="inlineStr">
        <is>
          <t>NORRTÄLJE</t>
        </is>
      </c>
      <c r="F129" t="inlineStr">
        <is>
          <t>Holmen skog AB</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364-2026 artfynd.xlsx", "A 364-2026")</f>
        <v/>
      </c>
      <c r="T129">
        <f>HYPERLINK("https://klasma.github.io/Logging_0188/kartor/A 364-2026 karta.png", "A 364-2026")</f>
        <v/>
      </c>
      <c r="V129">
        <f>HYPERLINK("https://klasma.github.io/Logging_0188/klagomål/A 364-2026 FSC-klagomål.docx", "A 364-2026")</f>
        <v/>
      </c>
      <c r="W129">
        <f>HYPERLINK("https://klasma.github.io/Logging_0188/klagomålsmail/A 364-2026 FSC-klagomål mail.docx", "A 364-2026")</f>
        <v/>
      </c>
      <c r="X129">
        <f>HYPERLINK("https://klasma.github.io/Logging_0188/tillsyn/A 364-2026 tillsynsbegäran.docx", "A 364-2026")</f>
        <v/>
      </c>
      <c r="Y129">
        <f>HYPERLINK("https://klasma.github.io/Logging_0188/tillsynsmail/A 364-2026 tillsynsbegäran mail.docx", "A 364-2026")</f>
        <v/>
      </c>
    </row>
    <row r="130" ht="15" customHeight="1">
      <c r="A130" t="inlineStr">
        <is>
          <t>A 26635-2023</t>
        </is>
      </c>
      <c r="B130" s="1" t="n">
        <v>45092</v>
      </c>
      <c r="C130" s="1" t="n">
        <v>46169</v>
      </c>
      <c r="D130" t="inlineStr">
        <is>
          <t>STOCKHOLMS LÄN</t>
        </is>
      </c>
      <c r="E130" t="inlineStr">
        <is>
          <t>NORRTÄLJE</t>
        </is>
      </c>
      <c r="G130" t="n">
        <v>3.1</v>
      </c>
      <c r="H130" t="n">
        <v>1</v>
      </c>
      <c r="I130" t="n">
        <v>0</v>
      </c>
      <c r="J130" t="n">
        <v>0</v>
      </c>
      <c r="K130" t="n">
        <v>0</v>
      </c>
      <c r="L130" t="n">
        <v>0</v>
      </c>
      <c r="M130" t="n">
        <v>0</v>
      </c>
      <c r="N130" t="n">
        <v>0</v>
      </c>
      <c r="O130" t="n">
        <v>0</v>
      </c>
      <c r="P130" t="n">
        <v>0</v>
      </c>
      <c r="Q130" t="n">
        <v>1</v>
      </c>
      <c r="R130" s="2" t="inlineStr">
        <is>
          <t>Fläcknycklar</t>
        </is>
      </c>
      <c r="S130">
        <f>HYPERLINK("https://klasma.github.io/Logging_0188/artfynd/A 26635-2023 artfynd.xlsx", "A 26635-2023")</f>
        <v/>
      </c>
      <c r="T130">
        <f>HYPERLINK("https://klasma.github.io/Logging_0188/kartor/A 26635-2023 karta.png", "A 26635-2023")</f>
        <v/>
      </c>
      <c r="V130">
        <f>HYPERLINK("https://klasma.github.io/Logging_0188/klagomål/A 26635-2023 FSC-klagomål.docx", "A 26635-2023")</f>
        <v/>
      </c>
      <c r="W130">
        <f>HYPERLINK("https://klasma.github.io/Logging_0188/klagomålsmail/A 26635-2023 FSC-klagomål mail.docx", "A 26635-2023")</f>
        <v/>
      </c>
      <c r="X130">
        <f>HYPERLINK("https://klasma.github.io/Logging_0188/tillsyn/A 26635-2023 tillsynsbegäran.docx", "A 26635-2023")</f>
        <v/>
      </c>
      <c r="Y130">
        <f>HYPERLINK("https://klasma.github.io/Logging_0188/tillsynsmail/A 26635-2023 tillsynsbegäran mail.docx", "A 26635-2023")</f>
        <v/>
      </c>
    </row>
    <row r="131" ht="15" customHeight="1">
      <c r="A131" t="inlineStr">
        <is>
          <t>A 47898-2022</t>
        </is>
      </c>
      <c r="B131" s="1" t="n">
        <v>44855</v>
      </c>
      <c r="C131" s="1" t="n">
        <v>46169</v>
      </c>
      <c r="D131" t="inlineStr">
        <is>
          <t>STOCKHOLMS LÄN</t>
        </is>
      </c>
      <c r="E131" t="inlineStr">
        <is>
          <t>NORRTÄLJE</t>
        </is>
      </c>
      <c r="G131" t="n">
        <v>6.7</v>
      </c>
      <c r="H131" t="n">
        <v>1</v>
      </c>
      <c r="I131" t="n">
        <v>1</v>
      </c>
      <c r="J131" t="n">
        <v>0</v>
      </c>
      <c r="K131" t="n">
        <v>0</v>
      </c>
      <c r="L131" t="n">
        <v>0</v>
      </c>
      <c r="M131" t="n">
        <v>0</v>
      </c>
      <c r="N131" t="n">
        <v>0</v>
      </c>
      <c r="O131" t="n">
        <v>0</v>
      </c>
      <c r="P131" t="n">
        <v>0</v>
      </c>
      <c r="Q131" t="n">
        <v>1</v>
      </c>
      <c r="R131" s="2" t="inlineStr">
        <is>
          <t>Guckusko</t>
        </is>
      </c>
      <c r="S131">
        <f>HYPERLINK("https://klasma.github.io/Logging_0188/artfynd/A 47898-2022 artfynd.xlsx", "A 47898-2022")</f>
        <v/>
      </c>
      <c r="T131">
        <f>HYPERLINK("https://klasma.github.io/Logging_0188/kartor/A 47898-2022 karta.png", "A 47898-2022")</f>
        <v/>
      </c>
      <c r="V131">
        <f>HYPERLINK("https://klasma.github.io/Logging_0188/klagomål/A 47898-2022 FSC-klagomål.docx", "A 47898-2022")</f>
        <v/>
      </c>
      <c r="W131">
        <f>HYPERLINK("https://klasma.github.io/Logging_0188/klagomålsmail/A 47898-2022 FSC-klagomål mail.docx", "A 47898-2022")</f>
        <v/>
      </c>
      <c r="X131">
        <f>HYPERLINK("https://klasma.github.io/Logging_0188/tillsyn/A 47898-2022 tillsynsbegäran.docx", "A 47898-2022")</f>
        <v/>
      </c>
      <c r="Y131">
        <f>HYPERLINK("https://klasma.github.io/Logging_0188/tillsynsmail/A 47898-2022 tillsynsbegäran mail.docx", "A 47898-2022")</f>
        <v/>
      </c>
    </row>
    <row r="132" ht="15" customHeight="1">
      <c r="A132" t="inlineStr">
        <is>
          <t>A 7734-2026</t>
        </is>
      </c>
      <c r="B132" s="1" t="n">
        <v>46062.52902777777</v>
      </c>
      <c r="C132" s="1" t="n">
        <v>46169</v>
      </c>
      <c r="D132" t="inlineStr">
        <is>
          <t>STOCKHOLMS LÄN</t>
        </is>
      </c>
      <c r="E132" t="inlineStr">
        <is>
          <t>NORRTÄLJE</t>
        </is>
      </c>
      <c r="G132" t="n">
        <v>6.6</v>
      </c>
      <c r="H132" t="n">
        <v>0</v>
      </c>
      <c r="I132" t="n">
        <v>1</v>
      </c>
      <c r="J132" t="n">
        <v>0</v>
      </c>
      <c r="K132" t="n">
        <v>0</v>
      </c>
      <c r="L132" t="n">
        <v>0</v>
      </c>
      <c r="M132" t="n">
        <v>0</v>
      </c>
      <c r="N132" t="n">
        <v>0</v>
      </c>
      <c r="O132" t="n">
        <v>0</v>
      </c>
      <c r="P132" t="n">
        <v>0</v>
      </c>
      <c r="Q132" t="n">
        <v>1</v>
      </c>
      <c r="R132" s="2" t="inlineStr">
        <is>
          <t>Kastanjefjällskivling</t>
        </is>
      </c>
      <c r="S132">
        <f>HYPERLINK("https://klasma.github.io/Logging_0188/artfynd/A 7734-2026 artfynd.xlsx", "A 7734-2026")</f>
        <v/>
      </c>
      <c r="T132">
        <f>HYPERLINK("https://klasma.github.io/Logging_0188/kartor/A 7734-2026 karta.png", "A 7734-2026")</f>
        <v/>
      </c>
      <c r="V132">
        <f>HYPERLINK("https://klasma.github.io/Logging_0188/klagomål/A 7734-2026 FSC-klagomål.docx", "A 7734-2026")</f>
        <v/>
      </c>
      <c r="W132">
        <f>HYPERLINK("https://klasma.github.io/Logging_0188/klagomålsmail/A 7734-2026 FSC-klagomål mail.docx", "A 7734-2026")</f>
        <v/>
      </c>
      <c r="X132">
        <f>HYPERLINK("https://klasma.github.io/Logging_0188/tillsyn/A 7734-2026 tillsynsbegäran.docx", "A 7734-2026")</f>
        <v/>
      </c>
      <c r="Y132">
        <f>HYPERLINK("https://klasma.github.io/Logging_0188/tillsynsmail/A 7734-2026 tillsynsbegäran mail.docx", "A 7734-2026")</f>
        <v/>
      </c>
    </row>
    <row r="133" ht="15" customHeight="1">
      <c r="A133" t="inlineStr">
        <is>
          <t>A 14365-2025</t>
        </is>
      </c>
      <c r="B133" s="1" t="n">
        <v>45741.38688657407</v>
      </c>
      <c r="C133" s="1" t="n">
        <v>46169</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32111-2022</t>
        </is>
      </c>
      <c r="B134" s="1" t="n">
        <v>44778.92797453704</v>
      </c>
      <c r="C134" s="1" t="n">
        <v>46169</v>
      </c>
      <c r="D134" t="inlineStr">
        <is>
          <t>STOCKHOLMS LÄN</t>
        </is>
      </c>
      <c r="E134" t="inlineStr">
        <is>
          <t>NORRTÄLJE</t>
        </is>
      </c>
      <c r="G134" t="n">
        <v>3.1</v>
      </c>
      <c r="H134" t="n">
        <v>0</v>
      </c>
      <c r="I134" t="n">
        <v>0</v>
      </c>
      <c r="J134" t="n">
        <v>1</v>
      </c>
      <c r="K134" t="n">
        <v>0</v>
      </c>
      <c r="L134" t="n">
        <v>0</v>
      </c>
      <c r="M134" t="n">
        <v>0</v>
      </c>
      <c r="N134" t="n">
        <v>0</v>
      </c>
      <c r="O134" t="n">
        <v>1</v>
      </c>
      <c r="P134" t="n">
        <v>0</v>
      </c>
      <c r="Q134" t="n">
        <v>1</v>
      </c>
      <c r="R134" s="2" t="inlineStr">
        <is>
          <t>Orange taggsvamp</t>
        </is>
      </c>
      <c r="S134">
        <f>HYPERLINK("https://klasma.github.io/Logging_0188/artfynd/A 32111-2022 artfynd.xlsx", "A 32111-2022")</f>
        <v/>
      </c>
      <c r="T134">
        <f>HYPERLINK("https://klasma.github.io/Logging_0188/kartor/A 32111-2022 karta.png", "A 32111-2022")</f>
        <v/>
      </c>
      <c r="V134">
        <f>HYPERLINK("https://klasma.github.io/Logging_0188/klagomål/A 32111-2022 FSC-klagomål.docx", "A 32111-2022")</f>
        <v/>
      </c>
      <c r="W134">
        <f>HYPERLINK("https://klasma.github.io/Logging_0188/klagomålsmail/A 32111-2022 FSC-klagomål mail.docx", "A 32111-2022")</f>
        <v/>
      </c>
      <c r="X134">
        <f>HYPERLINK("https://klasma.github.io/Logging_0188/tillsyn/A 32111-2022 tillsynsbegäran.docx", "A 32111-2022")</f>
        <v/>
      </c>
      <c r="Y134">
        <f>HYPERLINK("https://klasma.github.io/Logging_0188/tillsynsmail/A 32111-2022 tillsynsbegäran mail.docx", "A 32111-2022")</f>
        <v/>
      </c>
    </row>
    <row r="135" ht="15" customHeight="1">
      <c r="A135" t="inlineStr">
        <is>
          <t>A 4385-2023</t>
        </is>
      </c>
      <c r="B135" s="1" t="n">
        <v>44955.71322916666</v>
      </c>
      <c r="C135" s="1" t="n">
        <v>46169</v>
      </c>
      <c r="D135" t="inlineStr">
        <is>
          <t>STOCKHOLMS LÄN</t>
        </is>
      </c>
      <c r="E135" t="inlineStr">
        <is>
          <t>NORRTÄLJE</t>
        </is>
      </c>
      <c r="G135" t="n">
        <v>7.8</v>
      </c>
      <c r="H135" t="n">
        <v>1</v>
      </c>
      <c r="I135" t="n">
        <v>1</v>
      </c>
      <c r="J135" t="n">
        <v>0</v>
      </c>
      <c r="K135" t="n">
        <v>0</v>
      </c>
      <c r="L135" t="n">
        <v>0</v>
      </c>
      <c r="M135" t="n">
        <v>0</v>
      </c>
      <c r="N135" t="n">
        <v>0</v>
      </c>
      <c r="O135" t="n">
        <v>0</v>
      </c>
      <c r="P135" t="n">
        <v>0</v>
      </c>
      <c r="Q135" t="n">
        <v>1</v>
      </c>
      <c r="R135" s="2" t="inlineStr">
        <is>
          <t>Skogsknipprot</t>
        </is>
      </c>
      <c r="S135">
        <f>HYPERLINK("https://klasma.github.io/Logging_0188/artfynd/A 4385-2023 artfynd.xlsx", "A 4385-2023")</f>
        <v/>
      </c>
      <c r="T135">
        <f>HYPERLINK("https://klasma.github.io/Logging_0188/kartor/A 4385-2023 karta.png", "A 4385-2023")</f>
        <v/>
      </c>
      <c r="V135">
        <f>HYPERLINK("https://klasma.github.io/Logging_0188/klagomål/A 4385-2023 FSC-klagomål.docx", "A 4385-2023")</f>
        <v/>
      </c>
      <c r="W135">
        <f>HYPERLINK("https://klasma.github.io/Logging_0188/klagomålsmail/A 4385-2023 FSC-klagomål mail.docx", "A 4385-2023")</f>
        <v/>
      </c>
      <c r="X135">
        <f>HYPERLINK("https://klasma.github.io/Logging_0188/tillsyn/A 4385-2023 tillsynsbegäran.docx", "A 4385-2023")</f>
        <v/>
      </c>
      <c r="Y135">
        <f>HYPERLINK("https://klasma.github.io/Logging_0188/tillsynsmail/A 4385-2023 tillsynsbegäran mail.docx", "A 4385-2023")</f>
        <v/>
      </c>
    </row>
    <row r="136" ht="15" customHeight="1">
      <c r="A136" t="inlineStr">
        <is>
          <t>A 4860-2022</t>
        </is>
      </c>
      <c r="B136" s="1" t="n">
        <v>44592</v>
      </c>
      <c r="C136" s="1" t="n">
        <v>46169</v>
      </c>
      <c r="D136" t="inlineStr">
        <is>
          <t>STOCKHOLMS LÄN</t>
        </is>
      </c>
      <c r="E136" t="inlineStr">
        <is>
          <t>NORRTÄLJE</t>
        </is>
      </c>
      <c r="G136" t="n">
        <v>22.3</v>
      </c>
      <c r="H136" t="n">
        <v>0</v>
      </c>
      <c r="I136" t="n">
        <v>0</v>
      </c>
      <c r="J136" t="n">
        <v>1</v>
      </c>
      <c r="K136" t="n">
        <v>0</v>
      </c>
      <c r="L136" t="n">
        <v>0</v>
      </c>
      <c r="M136" t="n">
        <v>0</v>
      </c>
      <c r="N136" t="n">
        <v>0</v>
      </c>
      <c r="O136" t="n">
        <v>1</v>
      </c>
      <c r="P136" t="n">
        <v>0</v>
      </c>
      <c r="Q136" t="n">
        <v>1</v>
      </c>
      <c r="R136" s="2" t="inlineStr">
        <is>
          <t>Igelkott</t>
        </is>
      </c>
      <c r="S136">
        <f>HYPERLINK("https://klasma.github.io/Logging_0188/artfynd/A 4860-2022 artfynd.xlsx", "A 4860-2022")</f>
        <v/>
      </c>
      <c r="T136">
        <f>HYPERLINK("https://klasma.github.io/Logging_0188/kartor/A 4860-2022 karta.png", "A 4860-2022")</f>
        <v/>
      </c>
      <c r="V136">
        <f>HYPERLINK("https://klasma.github.io/Logging_0188/klagomål/A 4860-2022 FSC-klagomål.docx", "A 4860-2022")</f>
        <v/>
      </c>
      <c r="W136">
        <f>HYPERLINK("https://klasma.github.io/Logging_0188/klagomålsmail/A 4860-2022 FSC-klagomål mail.docx", "A 4860-2022")</f>
        <v/>
      </c>
      <c r="X136">
        <f>HYPERLINK("https://klasma.github.io/Logging_0188/tillsyn/A 4860-2022 tillsynsbegäran.docx", "A 4860-2022")</f>
        <v/>
      </c>
      <c r="Y136">
        <f>HYPERLINK("https://klasma.github.io/Logging_0188/tillsynsmail/A 4860-2022 tillsynsbegäran mail.docx", "A 4860-2022")</f>
        <v/>
      </c>
    </row>
    <row r="137" ht="15" customHeight="1">
      <c r="A137" t="inlineStr">
        <is>
          <t>A 19829-2022</t>
        </is>
      </c>
      <c r="B137" s="1" t="n">
        <v>44695.43527777777</v>
      </c>
      <c r="C137" s="1" t="n">
        <v>46169</v>
      </c>
      <c r="D137" t="inlineStr">
        <is>
          <t>STOCKHOLMS LÄN</t>
        </is>
      </c>
      <c r="E137" t="inlineStr">
        <is>
          <t>NORRTÄLJE</t>
        </is>
      </c>
      <c r="G137" t="n">
        <v>2</v>
      </c>
      <c r="H137" t="n">
        <v>1</v>
      </c>
      <c r="I137" t="n">
        <v>1</v>
      </c>
      <c r="J137" t="n">
        <v>0</v>
      </c>
      <c r="K137" t="n">
        <v>0</v>
      </c>
      <c r="L137" t="n">
        <v>0</v>
      </c>
      <c r="M137" t="n">
        <v>0</v>
      </c>
      <c r="N137" t="n">
        <v>0</v>
      </c>
      <c r="O137" t="n">
        <v>0</v>
      </c>
      <c r="P137" t="n">
        <v>0</v>
      </c>
      <c r="Q137" t="n">
        <v>1</v>
      </c>
      <c r="R137" s="2" t="inlineStr">
        <is>
          <t>Guckusko</t>
        </is>
      </c>
      <c r="S137">
        <f>HYPERLINK("https://klasma.github.io/Logging_0188/artfynd/A 19829-2022 artfynd.xlsx", "A 19829-2022")</f>
        <v/>
      </c>
      <c r="T137">
        <f>HYPERLINK("https://klasma.github.io/Logging_0188/kartor/A 19829-2022 karta.png", "A 19829-2022")</f>
        <v/>
      </c>
      <c r="V137">
        <f>HYPERLINK("https://klasma.github.io/Logging_0188/klagomål/A 19829-2022 FSC-klagomål.docx", "A 19829-2022")</f>
        <v/>
      </c>
      <c r="W137">
        <f>HYPERLINK("https://klasma.github.io/Logging_0188/klagomålsmail/A 19829-2022 FSC-klagomål mail.docx", "A 19829-2022")</f>
        <v/>
      </c>
      <c r="X137">
        <f>HYPERLINK("https://klasma.github.io/Logging_0188/tillsyn/A 19829-2022 tillsynsbegäran.docx", "A 19829-2022")</f>
        <v/>
      </c>
      <c r="Y137">
        <f>HYPERLINK("https://klasma.github.io/Logging_0188/tillsynsmail/A 19829-2022 tillsynsbegäran mail.docx", "A 19829-2022")</f>
        <v/>
      </c>
    </row>
    <row r="138" ht="15" customHeight="1">
      <c r="A138" t="inlineStr">
        <is>
          <t>A 28816-2023</t>
        </is>
      </c>
      <c r="B138" s="1" t="n">
        <v>45104</v>
      </c>
      <c r="C138" s="1" t="n">
        <v>46169</v>
      </c>
      <c r="D138" t="inlineStr">
        <is>
          <t>STOCKHOLMS LÄN</t>
        </is>
      </c>
      <c r="E138" t="inlineStr">
        <is>
          <t>NORRTÄLJE</t>
        </is>
      </c>
      <c r="F138" t="inlineStr">
        <is>
          <t>Kommuner</t>
        </is>
      </c>
      <c r="G138" t="n">
        <v>0.5</v>
      </c>
      <c r="H138" t="n">
        <v>1</v>
      </c>
      <c r="I138" t="n">
        <v>0</v>
      </c>
      <c r="J138" t="n">
        <v>0</v>
      </c>
      <c r="K138" t="n">
        <v>0</v>
      </c>
      <c r="L138" t="n">
        <v>0</v>
      </c>
      <c r="M138" t="n">
        <v>0</v>
      </c>
      <c r="N138" t="n">
        <v>0</v>
      </c>
      <c r="O138" t="n">
        <v>0</v>
      </c>
      <c r="P138" t="n">
        <v>0</v>
      </c>
      <c r="Q138" t="n">
        <v>1</v>
      </c>
      <c r="R138" s="2" t="inlineStr">
        <is>
          <t>Kungsfågel</t>
        </is>
      </c>
      <c r="S138">
        <f>HYPERLINK("https://klasma.github.io/Logging_0188/artfynd/A 28816-2023 artfynd.xlsx", "A 28816-2023")</f>
        <v/>
      </c>
      <c r="T138">
        <f>HYPERLINK("https://klasma.github.io/Logging_0188/kartor/A 28816-2023 karta.png", "A 28816-2023")</f>
        <v/>
      </c>
      <c r="V138">
        <f>HYPERLINK("https://klasma.github.io/Logging_0188/klagomål/A 28816-2023 FSC-klagomål.docx", "A 28816-2023")</f>
        <v/>
      </c>
      <c r="W138">
        <f>HYPERLINK("https://klasma.github.io/Logging_0188/klagomålsmail/A 28816-2023 FSC-klagomål mail.docx", "A 28816-2023")</f>
        <v/>
      </c>
      <c r="X138">
        <f>HYPERLINK("https://klasma.github.io/Logging_0188/tillsyn/A 28816-2023 tillsynsbegäran.docx", "A 28816-2023")</f>
        <v/>
      </c>
      <c r="Y138">
        <f>HYPERLINK("https://klasma.github.io/Logging_0188/tillsynsmail/A 28816-2023 tillsynsbegäran mail.docx", "A 28816-2023")</f>
        <v/>
      </c>
      <c r="Z138">
        <f>HYPERLINK("https://klasma.github.io/Logging_0188/fåglar/A 28816-2023 prioriterade fågelarter.docx", "A 28816-2023")</f>
        <v/>
      </c>
    </row>
    <row r="139" ht="15" customHeight="1">
      <c r="A139" t="inlineStr">
        <is>
          <t>A 19355-2026</t>
        </is>
      </c>
      <c r="B139" s="1" t="n">
        <v>46133.49074074074</v>
      </c>
      <c r="C139" s="1" t="n">
        <v>46169</v>
      </c>
      <c r="D139" t="inlineStr">
        <is>
          <t>STOCKHOLMS LÄN</t>
        </is>
      </c>
      <c r="E139" t="inlineStr">
        <is>
          <t>NORRTÄLJE</t>
        </is>
      </c>
      <c r="G139" t="n">
        <v>22.5</v>
      </c>
      <c r="H139" t="n">
        <v>0</v>
      </c>
      <c r="I139" t="n">
        <v>1</v>
      </c>
      <c r="J139" t="n">
        <v>0</v>
      </c>
      <c r="K139" t="n">
        <v>0</v>
      </c>
      <c r="L139" t="n">
        <v>0</v>
      </c>
      <c r="M139" t="n">
        <v>0</v>
      </c>
      <c r="N139" t="n">
        <v>0</v>
      </c>
      <c r="O139" t="n">
        <v>0</v>
      </c>
      <c r="P139" t="n">
        <v>0</v>
      </c>
      <c r="Q139" t="n">
        <v>1</v>
      </c>
      <c r="R139" s="2" t="inlineStr">
        <is>
          <t>Mönjevaxing</t>
        </is>
      </c>
      <c r="S139">
        <f>HYPERLINK("https://klasma.github.io/Logging_0188/artfynd/A 19355-2026 artfynd.xlsx", "A 19355-2026")</f>
        <v/>
      </c>
      <c r="T139">
        <f>HYPERLINK("https://klasma.github.io/Logging_0188/kartor/A 19355-2026 karta.png", "A 19355-2026")</f>
        <v/>
      </c>
      <c r="V139">
        <f>HYPERLINK("https://klasma.github.io/Logging_0188/klagomål/A 19355-2026 FSC-klagomål.docx", "A 19355-2026")</f>
        <v/>
      </c>
      <c r="W139">
        <f>HYPERLINK("https://klasma.github.io/Logging_0188/klagomålsmail/A 19355-2026 FSC-klagomål mail.docx", "A 19355-2026")</f>
        <v/>
      </c>
      <c r="X139">
        <f>HYPERLINK("https://klasma.github.io/Logging_0188/tillsyn/A 19355-2026 tillsynsbegäran.docx", "A 19355-2026")</f>
        <v/>
      </c>
      <c r="Y139">
        <f>HYPERLINK("https://klasma.github.io/Logging_0188/tillsynsmail/A 19355-2026 tillsynsbegäran mail.docx", "A 19355-2026")</f>
        <v/>
      </c>
    </row>
    <row r="140" ht="15" customHeight="1">
      <c r="A140" t="inlineStr">
        <is>
          <t>A 52508-2023</t>
        </is>
      </c>
      <c r="B140" s="1" t="n">
        <v>45225</v>
      </c>
      <c r="C140" s="1" t="n">
        <v>46169</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15886-2026</t>
        </is>
      </c>
      <c r="B141" s="1" t="n">
        <v>46107</v>
      </c>
      <c r="C141" s="1" t="n">
        <v>46169</v>
      </c>
      <c r="D141" t="inlineStr">
        <is>
          <t>STOCKHOLMS LÄN</t>
        </is>
      </c>
      <c r="E141" t="inlineStr">
        <is>
          <t>NORRTÄLJE</t>
        </is>
      </c>
      <c r="G141" t="n">
        <v>1.3</v>
      </c>
      <c r="H141" t="n">
        <v>1</v>
      </c>
      <c r="I141" t="n">
        <v>0</v>
      </c>
      <c r="J141" t="n">
        <v>0</v>
      </c>
      <c r="K141" t="n">
        <v>0</v>
      </c>
      <c r="L141" t="n">
        <v>1</v>
      </c>
      <c r="M141" t="n">
        <v>0</v>
      </c>
      <c r="N141" t="n">
        <v>0</v>
      </c>
      <c r="O141" t="n">
        <v>1</v>
      </c>
      <c r="P141" t="n">
        <v>1</v>
      </c>
      <c r="Q141" t="n">
        <v>1</v>
      </c>
      <c r="R141" s="2" t="inlineStr">
        <is>
          <t>Grönfink</t>
        </is>
      </c>
      <c r="S141">
        <f>HYPERLINK("https://klasma.github.io/Logging_0188/artfynd/A 15886-2026 artfynd.xlsx", "A 15886-2026")</f>
        <v/>
      </c>
      <c r="T141">
        <f>HYPERLINK("https://klasma.github.io/Logging_0188/kartor/A 15886-2026 karta.png", "A 15886-2026")</f>
        <v/>
      </c>
      <c r="V141">
        <f>HYPERLINK("https://klasma.github.io/Logging_0188/klagomål/A 15886-2026 FSC-klagomål.docx", "A 15886-2026")</f>
        <v/>
      </c>
      <c r="W141">
        <f>HYPERLINK("https://klasma.github.io/Logging_0188/klagomålsmail/A 15886-2026 FSC-klagomål mail.docx", "A 15886-2026")</f>
        <v/>
      </c>
      <c r="X141">
        <f>HYPERLINK("https://klasma.github.io/Logging_0188/tillsyn/A 15886-2026 tillsynsbegäran.docx", "A 15886-2026")</f>
        <v/>
      </c>
      <c r="Y141">
        <f>HYPERLINK("https://klasma.github.io/Logging_0188/tillsynsmail/A 15886-2026 tillsynsbegäran mail.docx", "A 15886-2026")</f>
        <v/>
      </c>
      <c r="Z141">
        <f>HYPERLINK("https://klasma.github.io/Logging_0188/fåglar/A 15886-2026 prioriterade fågelarter.docx", "A 15886-2026")</f>
        <v/>
      </c>
    </row>
    <row r="142" ht="15" customHeight="1">
      <c r="A142" t="inlineStr">
        <is>
          <t>A 21821-2026</t>
        </is>
      </c>
      <c r="B142" s="1" t="n">
        <v>46150.48150462963</v>
      </c>
      <c r="C142" s="1" t="n">
        <v>46169</v>
      </c>
      <c r="D142" t="inlineStr">
        <is>
          <t>STOCKHOLMS LÄN</t>
        </is>
      </c>
      <c r="E142" t="inlineStr">
        <is>
          <t>NORRTÄLJE</t>
        </is>
      </c>
      <c r="G142" t="n">
        <v>2.6</v>
      </c>
      <c r="H142" t="n">
        <v>1</v>
      </c>
      <c r="I142" t="n">
        <v>0</v>
      </c>
      <c r="J142" t="n">
        <v>0</v>
      </c>
      <c r="K142" t="n">
        <v>0</v>
      </c>
      <c r="L142" t="n">
        <v>1</v>
      </c>
      <c r="M142" t="n">
        <v>0</v>
      </c>
      <c r="N142" t="n">
        <v>0</v>
      </c>
      <c r="O142" t="n">
        <v>1</v>
      </c>
      <c r="P142" t="n">
        <v>1</v>
      </c>
      <c r="Q142" t="n">
        <v>1</v>
      </c>
      <c r="R142" s="2" t="inlineStr">
        <is>
          <t>Bredgentiana</t>
        </is>
      </c>
      <c r="S142">
        <f>HYPERLINK("https://klasma.github.io/Logging_0188/artfynd/A 21821-2026 artfynd.xlsx", "A 21821-2026")</f>
        <v/>
      </c>
      <c r="T142">
        <f>HYPERLINK("https://klasma.github.io/Logging_0188/kartor/A 21821-2026 karta.png", "A 21821-2026")</f>
        <v/>
      </c>
      <c r="V142">
        <f>HYPERLINK("https://klasma.github.io/Logging_0188/klagomål/A 21821-2026 FSC-klagomål.docx", "A 21821-2026")</f>
        <v/>
      </c>
      <c r="W142">
        <f>HYPERLINK("https://klasma.github.io/Logging_0188/klagomålsmail/A 21821-2026 FSC-klagomål mail.docx", "A 21821-2026")</f>
        <v/>
      </c>
      <c r="X142">
        <f>HYPERLINK("https://klasma.github.io/Logging_0188/tillsyn/A 21821-2026 tillsynsbegäran.docx", "A 21821-2026")</f>
        <v/>
      </c>
      <c r="Y142">
        <f>HYPERLINK("https://klasma.github.io/Logging_0188/tillsynsmail/A 21821-2026 tillsynsbegäran mail.docx", "A 21821-2026")</f>
        <v/>
      </c>
    </row>
    <row r="143" ht="15" customHeight="1">
      <c r="A143" t="inlineStr">
        <is>
          <t>A 27827-2022</t>
        </is>
      </c>
      <c r="B143" s="1" t="n">
        <v>44743.59504629629</v>
      </c>
      <c r="C143" s="1" t="n">
        <v>46169</v>
      </c>
      <c r="D143" t="inlineStr">
        <is>
          <t>STOCKHOLMS LÄN</t>
        </is>
      </c>
      <c r="E143" t="inlineStr">
        <is>
          <t>NORRTÄLJE</t>
        </is>
      </c>
      <c r="F143" t="inlineStr">
        <is>
          <t>Holmen skog AB</t>
        </is>
      </c>
      <c r="G143" t="n">
        <v>4.7</v>
      </c>
      <c r="H143" t="n">
        <v>1</v>
      </c>
      <c r="I143" t="n">
        <v>0</v>
      </c>
      <c r="J143" t="n">
        <v>1</v>
      </c>
      <c r="K143" t="n">
        <v>0</v>
      </c>
      <c r="L143" t="n">
        <v>0</v>
      </c>
      <c r="M143" t="n">
        <v>0</v>
      </c>
      <c r="N143" t="n">
        <v>0</v>
      </c>
      <c r="O143" t="n">
        <v>1</v>
      </c>
      <c r="P143" t="n">
        <v>0</v>
      </c>
      <c r="Q143" t="n">
        <v>1</v>
      </c>
      <c r="R143" s="2" t="inlineStr">
        <is>
          <t>Nordfladdermus</t>
        </is>
      </c>
      <c r="S143">
        <f>HYPERLINK("https://klasma.github.io/Logging_0188/artfynd/A 27827-2022 artfynd.xlsx", "A 27827-2022")</f>
        <v/>
      </c>
      <c r="T143">
        <f>HYPERLINK("https://klasma.github.io/Logging_0188/kartor/A 27827-2022 karta.png", "A 27827-2022")</f>
        <v/>
      </c>
      <c r="V143">
        <f>HYPERLINK("https://klasma.github.io/Logging_0188/klagomål/A 27827-2022 FSC-klagomål.docx", "A 27827-2022")</f>
        <v/>
      </c>
      <c r="W143">
        <f>HYPERLINK("https://klasma.github.io/Logging_0188/klagomålsmail/A 27827-2022 FSC-klagomål mail.docx", "A 27827-2022")</f>
        <v/>
      </c>
      <c r="X143">
        <f>HYPERLINK("https://klasma.github.io/Logging_0188/tillsyn/A 27827-2022 tillsynsbegäran.docx", "A 27827-2022")</f>
        <v/>
      </c>
      <c r="Y143">
        <f>HYPERLINK("https://klasma.github.io/Logging_0188/tillsynsmail/A 27827-2022 tillsynsbegäran mail.docx", "A 27827-2022")</f>
        <v/>
      </c>
    </row>
    <row r="144" ht="15" customHeight="1">
      <c r="A144" t="inlineStr">
        <is>
          <t>A 23146-2024</t>
        </is>
      </c>
      <c r="B144" s="1" t="n">
        <v>45450.63958333333</v>
      </c>
      <c r="C144" s="1" t="n">
        <v>46169</v>
      </c>
      <c r="D144" t="inlineStr">
        <is>
          <t>STOCKHOLMS LÄN</t>
        </is>
      </c>
      <c r="E144" t="inlineStr">
        <is>
          <t>NORRTÄLJE</t>
        </is>
      </c>
      <c r="F144" t="inlineStr">
        <is>
          <t>Kommuner</t>
        </is>
      </c>
      <c r="G144" t="n">
        <v>6</v>
      </c>
      <c r="H144" t="n">
        <v>0</v>
      </c>
      <c r="I144" t="n">
        <v>0</v>
      </c>
      <c r="J144" t="n">
        <v>1</v>
      </c>
      <c r="K144" t="n">
        <v>0</v>
      </c>
      <c r="L144" t="n">
        <v>0</v>
      </c>
      <c r="M144" t="n">
        <v>0</v>
      </c>
      <c r="N144" t="n">
        <v>0</v>
      </c>
      <c r="O144" t="n">
        <v>1</v>
      </c>
      <c r="P144" t="n">
        <v>0</v>
      </c>
      <c r="Q144" t="n">
        <v>1</v>
      </c>
      <c r="R144" s="2" t="inlineStr">
        <is>
          <t>Motaggsvamp</t>
        </is>
      </c>
      <c r="S144">
        <f>HYPERLINK("https://klasma.github.io/Logging_0188/artfynd/A 23146-2024 artfynd.xlsx", "A 23146-2024")</f>
        <v/>
      </c>
      <c r="T144">
        <f>HYPERLINK("https://klasma.github.io/Logging_0188/kartor/A 23146-2024 karta.png", "A 23146-2024")</f>
        <v/>
      </c>
      <c r="V144">
        <f>HYPERLINK("https://klasma.github.io/Logging_0188/klagomål/A 23146-2024 FSC-klagomål.docx", "A 23146-2024")</f>
        <v/>
      </c>
      <c r="W144">
        <f>HYPERLINK("https://klasma.github.io/Logging_0188/klagomålsmail/A 23146-2024 FSC-klagomål mail.docx", "A 23146-2024")</f>
        <v/>
      </c>
      <c r="X144">
        <f>HYPERLINK("https://klasma.github.io/Logging_0188/tillsyn/A 23146-2024 tillsynsbegäran.docx", "A 23146-2024")</f>
        <v/>
      </c>
      <c r="Y144">
        <f>HYPERLINK("https://klasma.github.io/Logging_0188/tillsynsmail/A 23146-2024 tillsynsbegäran mail.docx", "A 23146-2024")</f>
        <v/>
      </c>
    </row>
    <row r="145" ht="15" customHeight="1">
      <c r="A145" t="inlineStr">
        <is>
          <t>A 27538-2024</t>
        </is>
      </c>
      <c r="B145" s="1" t="n">
        <v>45474</v>
      </c>
      <c r="C145" s="1" t="n">
        <v>46169</v>
      </c>
      <c r="D145" t="inlineStr">
        <is>
          <t>STOCKHOLMS LÄN</t>
        </is>
      </c>
      <c r="E145" t="inlineStr">
        <is>
          <t>NORRTÄLJE</t>
        </is>
      </c>
      <c r="G145" t="n">
        <v>1.5</v>
      </c>
      <c r="H145" t="n">
        <v>1</v>
      </c>
      <c r="I145" t="n">
        <v>1</v>
      </c>
      <c r="J145" t="n">
        <v>0</v>
      </c>
      <c r="K145" t="n">
        <v>0</v>
      </c>
      <c r="L145" t="n">
        <v>0</v>
      </c>
      <c r="M145" t="n">
        <v>0</v>
      </c>
      <c r="N145" t="n">
        <v>0</v>
      </c>
      <c r="O145" t="n">
        <v>0</v>
      </c>
      <c r="P145" t="n">
        <v>0</v>
      </c>
      <c r="Q145" t="n">
        <v>1</v>
      </c>
      <c r="R145" s="2" t="inlineStr">
        <is>
          <t>Skogsknipprot</t>
        </is>
      </c>
      <c r="S145">
        <f>HYPERLINK("https://klasma.github.io/Logging_0188/artfynd/A 27538-2024 artfynd.xlsx", "A 27538-2024")</f>
        <v/>
      </c>
      <c r="T145">
        <f>HYPERLINK("https://klasma.github.io/Logging_0188/kartor/A 27538-2024 karta.png", "A 27538-2024")</f>
        <v/>
      </c>
      <c r="V145">
        <f>HYPERLINK("https://klasma.github.io/Logging_0188/klagomål/A 27538-2024 FSC-klagomål.docx", "A 27538-2024")</f>
        <v/>
      </c>
      <c r="W145">
        <f>HYPERLINK("https://klasma.github.io/Logging_0188/klagomålsmail/A 27538-2024 FSC-klagomål mail.docx", "A 27538-2024")</f>
        <v/>
      </c>
      <c r="X145">
        <f>HYPERLINK("https://klasma.github.io/Logging_0188/tillsyn/A 27538-2024 tillsynsbegäran.docx", "A 27538-2024")</f>
        <v/>
      </c>
      <c r="Y145">
        <f>HYPERLINK("https://klasma.github.io/Logging_0188/tillsynsmail/A 27538-2024 tillsynsbegäran mail.docx", "A 27538-2024")</f>
        <v/>
      </c>
    </row>
    <row r="146" ht="15" customHeight="1">
      <c r="A146" t="inlineStr">
        <is>
          <t>A 48131-2023</t>
        </is>
      </c>
      <c r="B146" s="1" t="n">
        <v>45205</v>
      </c>
      <c r="C146" s="1" t="n">
        <v>46169</v>
      </c>
      <c r="D146" t="inlineStr">
        <is>
          <t>STOCKHOLMS LÄN</t>
        </is>
      </c>
      <c r="E146" t="inlineStr">
        <is>
          <t>NORRTÄLJE</t>
        </is>
      </c>
      <c r="G146" t="n">
        <v>2.3</v>
      </c>
      <c r="H146" t="n">
        <v>0</v>
      </c>
      <c r="I146" t="n">
        <v>0</v>
      </c>
      <c r="J146" t="n">
        <v>1</v>
      </c>
      <c r="K146" t="n">
        <v>0</v>
      </c>
      <c r="L146" t="n">
        <v>0</v>
      </c>
      <c r="M146" t="n">
        <v>0</v>
      </c>
      <c r="N146" t="n">
        <v>0</v>
      </c>
      <c r="O146" t="n">
        <v>1</v>
      </c>
      <c r="P146" t="n">
        <v>0</v>
      </c>
      <c r="Q146" t="n">
        <v>1</v>
      </c>
      <c r="R146" s="2" t="inlineStr">
        <is>
          <t>Slåtterfibbla</t>
        </is>
      </c>
      <c r="S146">
        <f>HYPERLINK("https://klasma.github.io/Logging_0188/artfynd/A 48131-2023 artfynd.xlsx", "A 48131-2023")</f>
        <v/>
      </c>
      <c r="T146">
        <f>HYPERLINK("https://klasma.github.io/Logging_0188/kartor/A 48131-2023 karta.png", "A 48131-2023")</f>
        <v/>
      </c>
      <c r="V146">
        <f>HYPERLINK("https://klasma.github.io/Logging_0188/klagomål/A 48131-2023 FSC-klagomål.docx", "A 48131-2023")</f>
        <v/>
      </c>
      <c r="W146">
        <f>HYPERLINK("https://klasma.github.io/Logging_0188/klagomålsmail/A 48131-2023 FSC-klagomål mail.docx", "A 48131-2023")</f>
        <v/>
      </c>
      <c r="X146">
        <f>HYPERLINK("https://klasma.github.io/Logging_0188/tillsyn/A 48131-2023 tillsynsbegäran.docx", "A 48131-2023")</f>
        <v/>
      </c>
      <c r="Y146">
        <f>HYPERLINK("https://klasma.github.io/Logging_0188/tillsynsmail/A 48131-2023 tillsynsbegäran mail.docx", "A 48131-2023")</f>
        <v/>
      </c>
    </row>
    <row r="147" ht="15" customHeight="1">
      <c r="A147" t="inlineStr">
        <is>
          <t>A 21150-2022</t>
        </is>
      </c>
      <c r="B147" s="1" t="n">
        <v>44704</v>
      </c>
      <c r="C147" s="1" t="n">
        <v>46169</v>
      </c>
      <c r="D147" t="inlineStr">
        <is>
          <t>STOCKHOLMS LÄN</t>
        </is>
      </c>
      <c r="E147" t="inlineStr">
        <is>
          <t>NORRTÄLJE</t>
        </is>
      </c>
      <c r="G147" t="n">
        <v>12.5</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21150-2022 artfynd.xlsx", "A 21150-2022")</f>
        <v/>
      </c>
      <c r="T147">
        <f>HYPERLINK("https://klasma.github.io/Logging_0188/kartor/A 21150-2022 karta.png", "A 21150-2022")</f>
        <v/>
      </c>
      <c r="V147">
        <f>HYPERLINK("https://klasma.github.io/Logging_0188/klagomål/A 21150-2022 FSC-klagomål.docx", "A 21150-2022")</f>
        <v/>
      </c>
      <c r="W147">
        <f>HYPERLINK("https://klasma.github.io/Logging_0188/klagomålsmail/A 21150-2022 FSC-klagomål mail.docx", "A 21150-2022")</f>
        <v/>
      </c>
      <c r="X147">
        <f>HYPERLINK("https://klasma.github.io/Logging_0188/tillsyn/A 21150-2022 tillsynsbegäran.docx", "A 21150-2022")</f>
        <v/>
      </c>
      <c r="Y147">
        <f>HYPERLINK("https://klasma.github.io/Logging_0188/tillsynsmail/A 21150-2022 tillsynsbegäran mail.docx", "A 21150-2022")</f>
        <v/>
      </c>
    </row>
    <row r="148" ht="15" customHeight="1">
      <c r="A148" t="inlineStr">
        <is>
          <t>A 58888-2021</t>
        </is>
      </c>
      <c r="B148" s="1" t="n">
        <v>44489</v>
      </c>
      <c r="C148" s="1" t="n">
        <v>46169</v>
      </c>
      <c r="D148" t="inlineStr">
        <is>
          <t>STOCKHOLMS LÄN</t>
        </is>
      </c>
      <c r="E148" t="inlineStr">
        <is>
          <t>NORRTÄLJE</t>
        </is>
      </c>
      <c r="F148" t="inlineStr">
        <is>
          <t>Holmen skog AB</t>
        </is>
      </c>
      <c r="G148" t="n">
        <v>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58888-2021 artfynd.xlsx", "A 58888-2021")</f>
        <v/>
      </c>
      <c r="T148">
        <f>HYPERLINK("https://klasma.github.io/Logging_0188/kartor/A 58888-2021 karta.png", "A 58888-2021")</f>
        <v/>
      </c>
      <c r="V148">
        <f>HYPERLINK("https://klasma.github.io/Logging_0188/klagomål/A 58888-2021 FSC-klagomål.docx", "A 58888-2021")</f>
        <v/>
      </c>
      <c r="W148">
        <f>HYPERLINK("https://klasma.github.io/Logging_0188/klagomålsmail/A 58888-2021 FSC-klagomål mail.docx", "A 58888-2021")</f>
        <v/>
      </c>
      <c r="X148">
        <f>HYPERLINK("https://klasma.github.io/Logging_0188/tillsyn/A 58888-2021 tillsynsbegäran.docx", "A 58888-2021")</f>
        <v/>
      </c>
      <c r="Y148">
        <f>HYPERLINK("https://klasma.github.io/Logging_0188/tillsynsmail/A 58888-2021 tillsynsbegäran mail.docx", "A 58888-2021")</f>
        <v/>
      </c>
    </row>
    <row r="149" ht="15" customHeight="1">
      <c r="A149" t="inlineStr">
        <is>
          <t>A 12877-2022</t>
        </is>
      </c>
      <c r="B149" s="1" t="n">
        <v>44642</v>
      </c>
      <c r="C149" s="1" t="n">
        <v>46169</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46169</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46169</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43036-2022</t>
        </is>
      </c>
      <c r="B152" s="1" t="n">
        <v>44833</v>
      </c>
      <c r="C152" s="1" t="n">
        <v>46169</v>
      </c>
      <c r="D152" t="inlineStr">
        <is>
          <t>STOCKHOLMS LÄN</t>
        </is>
      </c>
      <c r="E152" t="inlineStr">
        <is>
          <t>NORRTÄLJE</t>
        </is>
      </c>
      <c r="F152" t="inlineStr">
        <is>
          <t>Kyrkan</t>
        </is>
      </c>
      <c r="G152" t="n">
        <v>1.7</v>
      </c>
      <c r="H152" t="n">
        <v>0</v>
      </c>
      <c r="I152" t="n">
        <v>0</v>
      </c>
      <c r="J152" t="n">
        <v>0</v>
      </c>
      <c r="K152" t="n">
        <v>0</v>
      </c>
      <c r="L152" t="n">
        <v>0</v>
      </c>
      <c r="M152" t="n">
        <v>0</v>
      </c>
      <c r="N152" t="n">
        <v>0</v>
      </c>
      <c r="O152" t="n">
        <v>0</v>
      </c>
      <c r="P152" t="n">
        <v>0</v>
      </c>
      <c r="Q152" t="n">
        <v>0</v>
      </c>
      <c r="R152" s="2" t="inlineStr"/>
    </row>
    <row r="153" ht="15" customHeight="1">
      <c r="A153" t="inlineStr">
        <is>
          <t>A 47344-2021</t>
        </is>
      </c>
      <c r="B153" s="1" t="n">
        <v>44447</v>
      </c>
      <c r="C153" s="1" t="n">
        <v>46169</v>
      </c>
      <c r="D153" t="inlineStr">
        <is>
          <t>STOCKHOLMS LÄN</t>
        </is>
      </c>
      <c r="E153" t="inlineStr">
        <is>
          <t>NORRTÄLJE</t>
        </is>
      </c>
      <c r="G153" t="n">
        <v>3.3</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46169</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46169</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46169</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46169</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46169</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46169</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46169</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46169</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73855-2021</t>
        </is>
      </c>
      <c r="B162" s="1" t="n">
        <v>44552</v>
      </c>
      <c r="C162" s="1" t="n">
        <v>46169</v>
      </c>
      <c r="D162" t="inlineStr">
        <is>
          <t>STOCKHOLMS LÄN</t>
        </is>
      </c>
      <c r="E162" t="inlineStr">
        <is>
          <t>NORRTÄLJE</t>
        </is>
      </c>
      <c r="F162" t="inlineStr">
        <is>
          <t>Övriga Aktiebolag</t>
        </is>
      </c>
      <c r="G162" t="n">
        <v>4</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46169</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46169</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46169</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46169</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46169</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46169</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46169</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46169</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46169</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46169</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46169</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46169</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46169</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46169</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46169</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46169</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46169</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46169</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46169</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46169</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46169</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46169</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46169</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46169</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46169</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46169</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46169</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46169</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46169</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46169</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46169</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46169</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46169</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46169</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46169</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46169</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46169</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46169</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46169</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46169</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46169</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46169</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46169</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60813-2021</t>
        </is>
      </c>
      <c r="B206" s="1" t="n">
        <v>44496</v>
      </c>
      <c r="C206" s="1" t="n">
        <v>46169</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46169</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46169</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46169</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46169</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46169</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46169</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46169</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46169</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46169</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46169</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46169</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46169</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46169</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46169</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46169</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46169</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46169</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46169</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46169</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46169</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46169</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46169</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46169</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46169</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46169</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46169</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46169</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46169</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46169</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46169</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46169</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46169</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46169</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46169</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46169</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46169</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46169</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46169</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46169</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46169</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46169</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27214-2021</t>
        </is>
      </c>
      <c r="B249" s="1" t="n">
        <v>44350</v>
      </c>
      <c r="C249" s="1" t="n">
        <v>46169</v>
      </c>
      <c r="D249" t="inlineStr">
        <is>
          <t>STOCKHOLMS LÄN</t>
        </is>
      </c>
      <c r="E249" t="inlineStr">
        <is>
          <t>NORRTÄLJE</t>
        </is>
      </c>
      <c r="G249" t="n">
        <v>1</v>
      </c>
      <c r="H249" t="n">
        <v>0</v>
      </c>
      <c r="I249" t="n">
        <v>0</v>
      </c>
      <c r="J249" t="n">
        <v>0</v>
      </c>
      <c r="K249" t="n">
        <v>0</v>
      </c>
      <c r="L249" t="n">
        <v>0</v>
      </c>
      <c r="M249" t="n">
        <v>0</v>
      </c>
      <c r="N249" t="n">
        <v>0</v>
      </c>
      <c r="O249" t="n">
        <v>0</v>
      </c>
      <c r="P249" t="n">
        <v>0</v>
      </c>
      <c r="Q249" t="n">
        <v>0</v>
      </c>
      <c r="R249" s="2" t="inlineStr"/>
    </row>
    <row r="250" ht="15" customHeight="1">
      <c r="A250" t="inlineStr">
        <is>
          <t>A 12355-2022</t>
        </is>
      </c>
      <c r="B250" s="1" t="n">
        <v>44637</v>
      </c>
      <c r="C250" s="1" t="n">
        <v>46169</v>
      </c>
      <c r="D250" t="inlineStr">
        <is>
          <t>STOCKHOLMS LÄN</t>
        </is>
      </c>
      <c r="E250" t="inlineStr">
        <is>
          <t>NORRTÄLJE</t>
        </is>
      </c>
      <c r="G250" t="n">
        <v>10.4</v>
      </c>
      <c r="H250" t="n">
        <v>0</v>
      </c>
      <c r="I250" t="n">
        <v>0</v>
      </c>
      <c r="J250" t="n">
        <v>0</v>
      </c>
      <c r="K250" t="n">
        <v>0</v>
      </c>
      <c r="L250" t="n">
        <v>0</v>
      </c>
      <c r="M250" t="n">
        <v>0</v>
      </c>
      <c r="N250" t="n">
        <v>0</v>
      </c>
      <c r="O250" t="n">
        <v>0</v>
      </c>
      <c r="P250" t="n">
        <v>0</v>
      </c>
      <c r="Q250" t="n">
        <v>0</v>
      </c>
      <c r="R250" s="2" t="inlineStr"/>
    </row>
    <row r="251" ht="15" customHeight="1">
      <c r="A251" t="inlineStr">
        <is>
          <t>A 7565-2022</t>
        </is>
      </c>
      <c r="B251" s="1" t="n">
        <v>44607</v>
      </c>
      <c r="C251" s="1" t="n">
        <v>46169</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41822-2021</t>
        </is>
      </c>
      <c r="B252" s="1" t="n">
        <v>44425</v>
      </c>
      <c r="C252" s="1" t="n">
        <v>46169</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41823-2021</t>
        </is>
      </c>
      <c r="B253" s="1" t="n">
        <v>44425</v>
      </c>
      <c r="C253" s="1" t="n">
        <v>46169</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46169</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46169</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8160-2022</t>
        </is>
      </c>
      <c r="B256" s="1" t="n">
        <v>44609</v>
      </c>
      <c r="C256" s="1" t="n">
        <v>46169</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30286-2022</t>
        </is>
      </c>
      <c r="B257" s="1" t="n">
        <v>44760</v>
      </c>
      <c r="C257" s="1" t="n">
        <v>46169</v>
      </c>
      <c r="D257" t="inlineStr">
        <is>
          <t>STOCKHOLMS LÄN</t>
        </is>
      </c>
      <c r="E257" t="inlineStr">
        <is>
          <t>NORRTÄLJE</t>
        </is>
      </c>
      <c r="G257" t="n">
        <v>0.3</v>
      </c>
      <c r="H257" t="n">
        <v>0</v>
      </c>
      <c r="I257" t="n">
        <v>0</v>
      </c>
      <c r="J257" t="n">
        <v>0</v>
      </c>
      <c r="K257" t="n">
        <v>0</v>
      </c>
      <c r="L257" t="n">
        <v>0</v>
      </c>
      <c r="M257" t="n">
        <v>0</v>
      </c>
      <c r="N257" t="n">
        <v>0</v>
      </c>
      <c r="O257" t="n">
        <v>0</v>
      </c>
      <c r="P257" t="n">
        <v>0</v>
      </c>
      <c r="Q257" t="n">
        <v>0</v>
      </c>
      <c r="R257" s="2" t="inlineStr"/>
    </row>
    <row r="258" ht="15" customHeight="1">
      <c r="A258" t="inlineStr">
        <is>
          <t>A 39319-2022</t>
        </is>
      </c>
      <c r="B258" s="1" t="n">
        <v>44817.70516203704</v>
      </c>
      <c r="C258" s="1" t="n">
        <v>46169</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56219-2021</t>
        </is>
      </c>
      <c r="B259" s="1" t="n">
        <v>44477</v>
      </c>
      <c r="C259" s="1" t="n">
        <v>46169</v>
      </c>
      <c r="D259" t="inlineStr">
        <is>
          <t>STOCKHOLMS LÄN</t>
        </is>
      </c>
      <c r="E259" t="inlineStr">
        <is>
          <t>NORRTÄLJE</t>
        </is>
      </c>
      <c r="F259" t="inlineStr">
        <is>
          <t>Kommuner</t>
        </is>
      </c>
      <c r="G259" t="n">
        <v>2.3</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46169</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46169</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46169</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46169</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46169</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46169</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46169</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46169</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46169</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71880-2021</t>
        </is>
      </c>
      <c r="B269" s="1" t="n">
        <v>44543</v>
      </c>
      <c r="C269" s="1" t="n">
        <v>46169</v>
      </c>
      <c r="D269" t="inlineStr">
        <is>
          <t>STOCKHOLMS LÄN</t>
        </is>
      </c>
      <c r="E269" t="inlineStr">
        <is>
          <t>NORRTÄLJE</t>
        </is>
      </c>
      <c r="G269" t="n">
        <v>2</v>
      </c>
      <c r="H269" t="n">
        <v>0</v>
      </c>
      <c r="I269" t="n">
        <v>0</v>
      </c>
      <c r="J269" t="n">
        <v>0</v>
      </c>
      <c r="K269" t="n">
        <v>0</v>
      </c>
      <c r="L269" t="n">
        <v>0</v>
      </c>
      <c r="M269" t="n">
        <v>0</v>
      </c>
      <c r="N269" t="n">
        <v>0</v>
      </c>
      <c r="O269" t="n">
        <v>0</v>
      </c>
      <c r="P269" t="n">
        <v>0</v>
      </c>
      <c r="Q269" t="n">
        <v>0</v>
      </c>
      <c r="R269" s="2" t="inlineStr"/>
    </row>
    <row r="270" ht="15" customHeight="1">
      <c r="A270" t="inlineStr">
        <is>
          <t>A 17772-2022</t>
        </is>
      </c>
      <c r="B270" s="1" t="n">
        <v>44682.76528935185</v>
      </c>
      <c r="C270" s="1" t="n">
        <v>46169</v>
      </c>
      <c r="D270" t="inlineStr">
        <is>
          <t>STOCKHOLMS LÄN</t>
        </is>
      </c>
      <c r="E270" t="inlineStr">
        <is>
          <t>NORRTÄLJE</t>
        </is>
      </c>
      <c r="G270" t="n">
        <v>4</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46169</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46169</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67285-2021</t>
        </is>
      </c>
      <c r="B273" s="1" t="n">
        <v>44523.61635416667</v>
      </c>
      <c r="C273" s="1" t="n">
        <v>46169</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5611-2022</t>
        </is>
      </c>
      <c r="B274" s="1" t="n">
        <v>44595</v>
      </c>
      <c r="C274" s="1" t="n">
        <v>46169</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32055-2021</t>
        </is>
      </c>
      <c r="B275" s="1" t="n">
        <v>44370.72197916666</v>
      </c>
      <c r="C275" s="1" t="n">
        <v>46169</v>
      </c>
      <c r="D275" t="inlineStr">
        <is>
          <t>STOCKHOLMS LÄN</t>
        </is>
      </c>
      <c r="E275" t="inlineStr">
        <is>
          <t>NORRTÄLJE</t>
        </is>
      </c>
      <c r="G275" t="n">
        <v>1.2</v>
      </c>
      <c r="H275" t="n">
        <v>0</v>
      </c>
      <c r="I275" t="n">
        <v>0</v>
      </c>
      <c r="J275" t="n">
        <v>0</v>
      </c>
      <c r="K275" t="n">
        <v>0</v>
      </c>
      <c r="L275" t="n">
        <v>0</v>
      </c>
      <c r="M275" t="n">
        <v>0</v>
      </c>
      <c r="N275" t="n">
        <v>0</v>
      </c>
      <c r="O275" t="n">
        <v>0</v>
      </c>
      <c r="P275" t="n">
        <v>0</v>
      </c>
      <c r="Q275" t="n">
        <v>0</v>
      </c>
      <c r="R275" s="2" t="inlineStr"/>
    </row>
    <row r="276" ht="15" customHeight="1">
      <c r="A276" t="inlineStr">
        <is>
          <t>A 38721-2022</t>
        </is>
      </c>
      <c r="B276" s="1" t="n">
        <v>44815</v>
      </c>
      <c r="C276" s="1" t="n">
        <v>46169</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60184-2021</t>
        </is>
      </c>
      <c r="B277" s="1" t="n">
        <v>44495</v>
      </c>
      <c r="C277" s="1" t="n">
        <v>46169</v>
      </c>
      <c r="D277" t="inlineStr">
        <is>
          <t>STOCKHOLMS LÄN</t>
        </is>
      </c>
      <c r="E277" t="inlineStr">
        <is>
          <t>NORRTÄLJE</t>
        </is>
      </c>
      <c r="G277" t="n">
        <v>1.8</v>
      </c>
      <c r="H277" t="n">
        <v>0</v>
      </c>
      <c r="I277" t="n">
        <v>0</v>
      </c>
      <c r="J277" t="n">
        <v>0</v>
      </c>
      <c r="K277" t="n">
        <v>0</v>
      </c>
      <c r="L277" t="n">
        <v>0</v>
      </c>
      <c r="M277" t="n">
        <v>0</v>
      </c>
      <c r="N277" t="n">
        <v>0</v>
      </c>
      <c r="O277" t="n">
        <v>0</v>
      </c>
      <c r="P277" t="n">
        <v>0</v>
      </c>
      <c r="Q277" t="n">
        <v>0</v>
      </c>
      <c r="R277" s="2" t="inlineStr"/>
    </row>
    <row r="278" ht="15" customHeight="1">
      <c r="A278" t="inlineStr">
        <is>
          <t>A 27828-2022</t>
        </is>
      </c>
      <c r="B278" s="1" t="n">
        <v>44743.59765046297</v>
      </c>
      <c r="C278" s="1" t="n">
        <v>46169</v>
      </c>
      <c r="D278" t="inlineStr">
        <is>
          <t>STOCKHOLMS LÄN</t>
        </is>
      </c>
      <c r="E278" t="inlineStr">
        <is>
          <t>NORRTÄLJE</t>
        </is>
      </c>
      <c r="F278" t="inlineStr">
        <is>
          <t>Kommuner</t>
        </is>
      </c>
      <c r="G278" t="n">
        <v>1.6</v>
      </c>
      <c r="H278" t="n">
        <v>0</v>
      </c>
      <c r="I278" t="n">
        <v>0</v>
      </c>
      <c r="J278" t="n">
        <v>0</v>
      </c>
      <c r="K278" t="n">
        <v>0</v>
      </c>
      <c r="L278" t="n">
        <v>0</v>
      </c>
      <c r="M278" t="n">
        <v>0</v>
      </c>
      <c r="N278" t="n">
        <v>0</v>
      </c>
      <c r="O278" t="n">
        <v>0</v>
      </c>
      <c r="P278" t="n">
        <v>0</v>
      </c>
      <c r="Q278" t="n">
        <v>0</v>
      </c>
      <c r="R278" s="2" t="inlineStr"/>
    </row>
    <row r="279" ht="15" customHeight="1">
      <c r="A279" t="inlineStr">
        <is>
          <t>A 16229-2022</t>
        </is>
      </c>
      <c r="B279" s="1" t="n">
        <v>44670.4190162037</v>
      </c>
      <c r="C279" s="1" t="n">
        <v>46169</v>
      </c>
      <c r="D279" t="inlineStr">
        <is>
          <t>STOCKHOLMS LÄN</t>
        </is>
      </c>
      <c r="E279" t="inlineStr">
        <is>
          <t>NORRTÄLJE</t>
        </is>
      </c>
      <c r="G279" t="n">
        <v>7.4</v>
      </c>
      <c r="H279" t="n">
        <v>0</v>
      </c>
      <c r="I279" t="n">
        <v>0</v>
      </c>
      <c r="J279" t="n">
        <v>0</v>
      </c>
      <c r="K279" t="n">
        <v>0</v>
      </c>
      <c r="L279" t="n">
        <v>0</v>
      </c>
      <c r="M279" t="n">
        <v>0</v>
      </c>
      <c r="N279" t="n">
        <v>0</v>
      </c>
      <c r="O279" t="n">
        <v>0</v>
      </c>
      <c r="P279" t="n">
        <v>0</v>
      </c>
      <c r="Q279" t="n">
        <v>0</v>
      </c>
      <c r="R279" s="2" t="inlineStr"/>
    </row>
    <row r="280" ht="15" customHeight="1">
      <c r="A280" t="inlineStr">
        <is>
          <t>A 55243-2023</t>
        </is>
      </c>
      <c r="B280" s="1" t="n">
        <v>45237</v>
      </c>
      <c r="C280" s="1" t="n">
        <v>46169</v>
      </c>
      <c r="D280" t="inlineStr">
        <is>
          <t>STOCKHOLMS LÄN</t>
        </is>
      </c>
      <c r="E280" t="inlineStr">
        <is>
          <t>NORRTÄLJE</t>
        </is>
      </c>
      <c r="G280" t="n">
        <v>6.5</v>
      </c>
      <c r="H280" t="n">
        <v>0</v>
      </c>
      <c r="I280" t="n">
        <v>0</v>
      </c>
      <c r="J280" t="n">
        <v>0</v>
      </c>
      <c r="K280" t="n">
        <v>0</v>
      </c>
      <c r="L280" t="n">
        <v>0</v>
      </c>
      <c r="M280" t="n">
        <v>0</v>
      </c>
      <c r="N280" t="n">
        <v>0</v>
      </c>
      <c r="O280" t="n">
        <v>0</v>
      </c>
      <c r="P280" t="n">
        <v>0</v>
      </c>
      <c r="Q280" t="n">
        <v>0</v>
      </c>
      <c r="R280" s="2" t="inlineStr"/>
    </row>
    <row r="281" ht="15" customHeight="1">
      <c r="A281" t="inlineStr">
        <is>
          <t>A 33226-2024</t>
        </is>
      </c>
      <c r="B281" s="1" t="n">
        <v>45518</v>
      </c>
      <c r="C281" s="1" t="n">
        <v>46169</v>
      </c>
      <c r="D281" t="inlineStr">
        <is>
          <t>STOCKHOLMS LÄN</t>
        </is>
      </c>
      <c r="E281" t="inlineStr">
        <is>
          <t>NORRTÄLJE</t>
        </is>
      </c>
      <c r="G281" t="n">
        <v>13.8</v>
      </c>
      <c r="H281" t="n">
        <v>0</v>
      </c>
      <c r="I281" t="n">
        <v>0</v>
      </c>
      <c r="J281" t="n">
        <v>0</v>
      </c>
      <c r="K281" t="n">
        <v>0</v>
      </c>
      <c r="L281" t="n">
        <v>0</v>
      </c>
      <c r="M281" t="n">
        <v>0</v>
      </c>
      <c r="N281" t="n">
        <v>0</v>
      </c>
      <c r="O281" t="n">
        <v>0</v>
      </c>
      <c r="P281" t="n">
        <v>0</v>
      </c>
      <c r="Q281" t="n">
        <v>0</v>
      </c>
      <c r="R281" s="2" t="inlineStr"/>
    </row>
    <row r="282" ht="15" customHeight="1">
      <c r="A282" t="inlineStr">
        <is>
          <t>A 52260-2022</t>
        </is>
      </c>
      <c r="B282" s="1" t="n">
        <v>44869</v>
      </c>
      <c r="C282" s="1" t="n">
        <v>46169</v>
      </c>
      <c r="D282" t="inlineStr">
        <is>
          <t>STOCKHOLMS LÄN</t>
        </is>
      </c>
      <c r="E282" t="inlineStr">
        <is>
          <t>NORRTÄLJE</t>
        </is>
      </c>
      <c r="G282" t="n">
        <v>3.1</v>
      </c>
      <c r="H282" t="n">
        <v>0</v>
      </c>
      <c r="I282" t="n">
        <v>0</v>
      </c>
      <c r="J282" t="n">
        <v>0</v>
      </c>
      <c r="K282" t="n">
        <v>0</v>
      </c>
      <c r="L282" t="n">
        <v>0</v>
      </c>
      <c r="M282" t="n">
        <v>0</v>
      </c>
      <c r="N282" t="n">
        <v>0</v>
      </c>
      <c r="O282" t="n">
        <v>0</v>
      </c>
      <c r="P282" t="n">
        <v>0</v>
      </c>
      <c r="Q282" t="n">
        <v>0</v>
      </c>
      <c r="R282" s="2" t="inlineStr"/>
    </row>
    <row r="283" ht="15" customHeight="1">
      <c r="A283" t="inlineStr">
        <is>
          <t>A 15915-2023</t>
        </is>
      </c>
      <c r="B283" s="1" t="n">
        <v>45022</v>
      </c>
      <c r="C283" s="1" t="n">
        <v>46169</v>
      </c>
      <c r="D283" t="inlineStr">
        <is>
          <t>STOCKHOLMS LÄN</t>
        </is>
      </c>
      <c r="E283" t="inlineStr">
        <is>
          <t>NORRTÄLJE</t>
        </is>
      </c>
      <c r="G283" t="n">
        <v>2.9</v>
      </c>
      <c r="H283" t="n">
        <v>0</v>
      </c>
      <c r="I283" t="n">
        <v>0</v>
      </c>
      <c r="J283" t="n">
        <v>0</v>
      </c>
      <c r="K283" t="n">
        <v>0</v>
      </c>
      <c r="L283" t="n">
        <v>0</v>
      </c>
      <c r="M283" t="n">
        <v>0</v>
      </c>
      <c r="N283" t="n">
        <v>0</v>
      </c>
      <c r="O283" t="n">
        <v>0</v>
      </c>
      <c r="P283" t="n">
        <v>0</v>
      </c>
      <c r="Q283" t="n">
        <v>0</v>
      </c>
      <c r="R283" s="2" t="inlineStr"/>
    </row>
    <row r="284" ht="15" customHeight="1">
      <c r="A284" t="inlineStr">
        <is>
          <t>A 55696-2022</t>
        </is>
      </c>
      <c r="B284" s="1" t="n">
        <v>44888</v>
      </c>
      <c r="C284" s="1" t="n">
        <v>46169</v>
      </c>
      <c r="D284" t="inlineStr">
        <is>
          <t>STOCKHOLMS LÄN</t>
        </is>
      </c>
      <c r="E284" t="inlineStr">
        <is>
          <t>NORRTÄLJE</t>
        </is>
      </c>
      <c r="G284" t="n">
        <v>2.2</v>
      </c>
      <c r="H284" t="n">
        <v>0</v>
      </c>
      <c r="I284" t="n">
        <v>0</v>
      </c>
      <c r="J284" t="n">
        <v>0</v>
      </c>
      <c r="K284" t="n">
        <v>0</v>
      </c>
      <c r="L284" t="n">
        <v>0</v>
      </c>
      <c r="M284" t="n">
        <v>0</v>
      </c>
      <c r="N284" t="n">
        <v>0</v>
      </c>
      <c r="O284" t="n">
        <v>0</v>
      </c>
      <c r="P284" t="n">
        <v>0</v>
      </c>
      <c r="Q284" t="n">
        <v>0</v>
      </c>
      <c r="R284" s="2" t="inlineStr"/>
    </row>
    <row r="285" ht="15" customHeight="1">
      <c r="A285" t="inlineStr">
        <is>
          <t>A 22008-2024</t>
        </is>
      </c>
      <c r="B285" s="1" t="n">
        <v>45443</v>
      </c>
      <c r="C285" s="1" t="n">
        <v>46169</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25557-2023</t>
        </is>
      </c>
      <c r="B286" s="1" t="n">
        <v>45089</v>
      </c>
      <c r="C286" s="1" t="n">
        <v>46169</v>
      </c>
      <c r="D286" t="inlineStr">
        <is>
          <t>STOCKHOLMS LÄN</t>
        </is>
      </c>
      <c r="E286" t="inlineStr">
        <is>
          <t>NORRTÄLJE</t>
        </is>
      </c>
      <c r="G286" t="n">
        <v>1</v>
      </c>
      <c r="H286" t="n">
        <v>0</v>
      </c>
      <c r="I286" t="n">
        <v>0</v>
      </c>
      <c r="J286" t="n">
        <v>0</v>
      </c>
      <c r="K286" t="n">
        <v>0</v>
      </c>
      <c r="L286" t="n">
        <v>0</v>
      </c>
      <c r="M286" t="n">
        <v>0</v>
      </c>
      <c r="N286" t="n">
        <v>0</v>
      </c>
      <c r="O286" t="n">
        <v>0</v>
      </c>
      <c r="P286" t="n">
        <v>0</v>
      </c>
      <c r="Q286" t="n">
        <v>0</v>
      </c>
      <c r="R286" s="2" t="inlineStr"/>
    </row>
    <row r="287" ht="15" customHeight="1">
      <c r="A287" t="inlineStr">
        <is>
          <t>A 27715-2022</t>
        </is>
      </c>
      <c r="B287" s="1" t="n">
        <v>44743.47407407407</v>
      </c>
      <c r="C287" s="1" t="n">
        <v>46169</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29972-2024</t>
        </is>
      </c>
      <c r="B288" s="1" t="n">
        <v>45485</v>
      </c>
      <c r="C288" s="1" t="n">
        <v>46169</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13053-2022</t>
        </is>
      </c>
      <c r="B289" s="1" t="n">
        <v>44643</v>
      </c>
      <c r="C289" s="1" t="n">
        <v>46169</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46169</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64137-2021</t>
        </is>
      </c>
      <c r="B291" s="1" t="n">
        <v>44510.51422453704</v>
      </c>
      <c r="C291" s="1" t="n">
        <v>46169</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5027-2025</t>
        </is>
      </c>
      <c r="B292" s="1" t="n">
        <v>45691.41101851852</v>
      </c>
      <c r="C292" s="1" t="n">
        <v>46169</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12268-2022</t>
        </is>
      </c>
      <c r="B293" s="1" t="n">
        <v>44637</v>
      </c>
      <c r="C293" s="1" t="n">
        <v>46169</v>
      </c>
      <c r="D293" t="inlineStr">
        <is>
          <t>STOCKHOLMS LÄN</t>
        </is>
      </c>
      <c r="E293" t="inlineStr">
        <is>
          <t>NORRTÄLJE</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20015-2023</t>
        </is>
      </c>
      <c r="B294" s="1" t="n">
        <v>45054</v>
      </c>
      <c r="C294" s="1" t="n">
        <v>46169</v>
      </c>
      <c r="D294" t="inlineStr">
        <is>
          <t>STOCKHOLMS LÄN</t>
        </is>
      </c>
      <c r="E294" t="inlineStr">
        <is>
          <t>NORRTÄLJE</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3273-2025</t>
        </is>
      </c>
      <c r="B295" s="1" t="n">
        <v>45679</v>
      </c>
      <c r="C295" s="1" t="n">
        <v>46169</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13172-2025</t>
        </is>
      </c>
      <c r="B296" s="1" t="n">
        <v>45735.36873842592</v>
      </c>
      <c r="C296" s="1" t="n">
        <v>46169</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24245-2024</t>
        </is>
      </c>
      <c r="B297" s="1" t="n">
        <v>45457</v>
      </c>
      <c r="C297" s="1" t="n">
        <v>46169</v>
      </c>
      <c r="D297" t="inlineStr">
        <is>
          <t>STOCKHOLMS LÄN</t>
        </is>
      </c>
      <c r="E297" t="inlineStr">
        <is>
          <t>NORRTÄLJE</t>
        </is>
      </c>
      <c r="F297" t="inlineStr">
        <is>
          <t>Holmen skog AB</t>
        </is>
      </c>
      <c r="G297" t="n">
        <v>3.4</v>
      </c>
      <c r="H297" t="n">
        <v>0</v>
      </c>
      <c r="I297" t="n">
        <v>0</v>
      </c>
      <c r="J297" t="n">
        <v>0</v>
      </c>
      <c r="K297" t="n">
        <v>0</v>
      </c>
      <c r="L297" t="n">
        <v>0</v>
      </c>
      <c r="M297" t="n">
        <v>0</v>
      </c>
      <c r="N297" t="n">
        <v>0</v>
      </c>
      <c r="O297" t="n">
        <v>0</v>
      </c>
      <c r="P297" t="n">
        <v>0</v>
      </c>
      <c r="Q297" t="n">
        <v>0</v>
      </c>
      <c r="R297" s="2" t="inlineStr"/>
    </row>
    <row r="298" ht="15" customHeight="1">
      <c r="A298" t="inlineStr">
        <is>
          <t>A 15256-2023</t>
        </is>
      </c>
      <c r="B298" s="1" t="n">
        <v>45019.3959837963</v>
      </c>
      <c r="C298" s="1" t="n">
        <v>46169</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20428-2024</t>
        </is>
      </c>
      <c r="B299" s="1" t="n">
        <v>45435</v>
      </c>
      <c r="C299" s="1" t="n">
        <v>46169</v>
      </c>
      <c r="D299" t="inlineStr">
        <is>
          <t>STOCKHOLMS LÄN</t>
        </is>
      </c>
      <c r="E299" t="inlineStr">
        <is>
          <t>NORRTÄLJE</t>
        </is>
      </c>
      <c r="G299" t="n">
        <v>3.7</v>
      </c>
      <c r="H299" t="n">
        <v>0</v>
      </c>
      <c r="I299" t="n">
        <v>0</v>
      </c>
      <c r="J299" t="n">
        <v>0</v>
      </c>
      <c r="K299" t="n">
        <v>0</v>
      </c>
      <c r="L299" t="n">
        <v>0</v>
      </c>
      <c r="M299" t="n">
        <v>0</v>
      </c>
      <c r="N299" t="n">
        <v>0</v>
      </c>
      <c r="O299" t="n">
        <v>0</v>
      </c>
      <c r="P299" t="n">
        <v>0</v>
      </c>
      <c r="Q299" t="n">
        <v>0</v>
      </c>
      <c r="R299" s="2" t="inlineStr"/>
    </row>
    <row r="300" ht="15" customHeight="1">
      <c r="A300" t="inlineStr">
        <is>
          <t>A 64145-2021</t>
        </is>
      </c>
      <c r="B300" s="1" t="n">
        <v>44510</v>
      </c>
      <c r="C300" s="1" t="n">
        <v>46169</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1740-2023</t>
        </is>
      </c>
      <c r="B301" s="1" t="n">
        <v>44938</v>
      </c>
      <c r="C301" s="1" t="n">
        <v>46169</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4596-2023</t>
        </is>
      </c>
      <c r="B302" s="1" t="n">
        <v>44956</v>
      </c>
      <c r="C302" s="1" t="n">
        <v>46169</v>
      </c>
      <c r="D302" t="inlineStr">
        <is>
          <t>STOCKHOLMS LÄN</t>
        </is>
      </c>
      <c r="E302" t="inlineStr">
        <is>
          <t>NORRTÄLJE</t>
        </is>
      </c>
      <c r="G302" t="n">
        <v>1.4</v>
      </c>
      <c r="H302" t="n">
        <v>0</v>
      </c>
      <c r="I302" t="n">
        <v>0</v>
      </c>
      <c r="J302" t="n">
        <v>0</v>
      </c>
      <c r="K302" t="n">
        <v>0</v>
      </c>
      <c r="L302" t="n">
        <v>0</v>
      </c>
      <c r="M302" t="n">
        <v>0</v>
      </c>
      <c r="N302" t="n">
        <v>0</v>
      </c>
      <c r="O302" t="n">
        <v>0</v>
      </c>
      <c r="P302" t="n">
        <v>0</v>
      </c>
      <c r="Q302" t="n">
        <v>0</v>
      </c>
      <c r="R302" s="2" t="inlineStr"/>
    </row>
    <row r="303" ht="15" customHeight="1">
      <c r="A303" t="inlineStr">
        <is>
          <t>A 10676-2025</t>
        </is>
      </c>
      <c r="B303" s="1" t="n">
        <v>45721.88684027778</v>
      </c>
      <c r="C303" s="1" t="n">
        <v>46169</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20852-2023</t>
        </is>
      </c>
      <c r="B304" s="1" t="n">
        <v>45058.78607638889</v>
      </c>
      <c r="C304" s="1" t="n">
        <v>46169</v>
      </c>
      <c r="D304" t="inlineStr">
        <is>
          <t>STOCKHOLMS LÄN</t>
        </is>
      </c>
      <c r="E304" t="inlineStr">
        <is>
          <t>NORRTÄLJE</t>
        </is>
      </c>
      <c r="G304" t="n">
        <v>3.5</v>
      </c>
      <c r="H304" t="n">
        <v>0</v>
      </c>
      <c r="I304" t="n">
        <v>0</v>
      </c>
      <c r="J304" t="n">
        <v>0</v>
      </c>
      <c r="K304" t="n">
        <v>0</v>
      </c>
      <c r="L304" t="n">
        <v>0</v>
      </c>
      <c r="M304" t="n">
        <v>0</v>
      </c>
      <c r="N304" t="n">
        <v>0</v>
      </c>
      <c r="O304" t="n">
        <v>0</v>
      </c>
      <c r="P304" t="n">
        <v>0</v>
      </c>
      <c r="Q304" t="n">
        <v>0</v>
      </c>
      <c r="R304" s="2" t="inlineStr"/>
    </row>
    <row r="305" ht="15" customHeight="1">
      <c r="A305" t="inlineStr">
        <is>
          <t>A 22456-2023</t>
        </is>
      </c>
      <c r="B305" s="1" t="n">
        <v>45070</v>
      </c>
      <c r="C305" s="1" t="n">
        <v>46169</v>
      </c>
      <c r="D305" t="inlineStr">
        <is>
          <t>STOCKHOLMS LÄN</t>
        </is>
      </c>
      <c r="E305" t="inlineStr">
        <is>
          <t>NORRTÄLJE</t>
        </is>
      </c>
      <c r="G305" t="n">
        <v>3.1</v>
      </c>
      <c r="H305" t="n">
        <v>0</v>
      </c>
      <c r="I305" t="n">
        <v>0</v>
      </c>
      <c r="J305" t="n">
        <v>0</v>
      </c>
      <c r="K305" t="n">
        <v>0</v>
      </c>
      <c r="L305" t="n">
        <v>0</v>
      </c>
      <c r="M305" t="n">
        <v>0</v>
      </c>
      <c r="N305" t="n">
        <v>0</v>
      </c>
      <c r="O305" t="n">
        <v>0</v>
      </c>
      <c r="P305" t="n">
        <v>0</v>
      </c>
      <c r="Q305" t="n">
        <v>0</v>
      </c>
      <c r="R305" s="2" t="inlineStr"/>
    </row>
    <row r="306" ht="15" customHeight="1">
      <c r="A306" t="inlineStr">
        <is>
          <t>A 17785-2024</t>
        </is>
      </c>
      <c r="B306" s="1" t="n">
        <v>45418.6968287037</v>
      </c>
      <c r="C306" s="1" t="n">
        <v>46169</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22202-2025</t>
        </is>
      </c>
      <c r="B307" s="1" t="n">
        <v>45785.65300925926</v>
      </c>
      <c r="C307" s="1" t="n">
        <v>46169</v>
      </c>
      <c r="D307" t="inlineStr">
        <is>
          <t>STOCKHOLMS LÄN</t>
        </is>
      </c>
      <c r="E307" t="inlineStr">
        <is>
          <t>NORRTÄLJE</t>
        </is>
      </c>
      <c r="G307" t="n">
        <v>10.2</v>
      </c>
      <c r="H307" t="n">
        <v>0</v>
      </c>
      <c r="I307" t="n">
        <v>0</v>
      </c>
      <c r="J307" t="n">
        <v>0</v>
      </c>
      <c r="K307" t="n">
        <v>0</v>
      </c>
      <c r="L307" t="n">
        <v>0</v>
      </c>
      <c r="M307" t="n">
        <v>0</v>
      </c>
      <c r="N307" t="n">
        <v>0</v>
      </c>
      <c r="O307" t="n">
        <v>0</v>
      </c>
      <c r="P307" t="n">
        <v>0</v>
      </c>
      <c r="Q307" t="n">
        <v>0</v>
      </c>
      <c r="R307" s="2" t="inlineStr"/>
    </row>
    <row r="308" ht="15" customHeight="1">
      <c r="A308" t="inlineStr">
        <is>
          <t>A 51122-2025</t>
        </is>
      </c>
      <c r="B308" s="1" t="n">
        <v>45947.53693287037</v>
      </c>
      <c r="C308" s="1" t="n">
        <v>46169</v>
      </c>
      <c r="D308" t="inlineStr">
        <is>
          <t>STOCKHOLMS LÄN</t>
        </is>
      </c>
      <c r="E308" t="inlineStr">
        <is>
          <t>NORRTÄLJE</t>
        </is>
      </c>
      <c r="G308" t="n">
        <v>3.8</v>
      </c>
      <c r="H308" t="n">
        <v>0</v>
      </c>
      <c r="I308" t="n">
        <v>0</v>
      </c>
      <c r="J308" t="n">
        <v>0</v>
      </c>
      <c r="K308" t="n">
        <v>0</v>
      </c>
      <c r="L308" t="n">
        <v>0</v>
      </c>
      <c r="M308" t="n">
        <v>0</v>
      </c>
      <c r="N308" t="n">
        <v>0</v>
      </c>
      <c r="O308" t="n">
        <v>0</v>
      </c>
      <c r="P308" t="n">
        <v>0</v>
      </c>
      <c r="Q308" t="n">
        <v>0</v>
      </c>
      <c r="R308" s="2" t="inlineStr"/>
    </row>
    <row r="309" ht="15" customHeight="1">
      <c r="A309" t="inlineStr">
        <is>
          <t>A 6678-2025</t>
        </is>
      </c>
      <c r="B309" s="1" t="n">
        <v>45700</v>
      </c>
      <c r="C309" s="1" t="n">
        <v>46169</v>
      </c>
      <c r="D309" t="inlineStr">
        <is>
          <t>STOCKHOLMS LÄN</t>
        </is>
      </c>
      <c r="E309" t="inlineStr">
        <is>
          <t>NORRTÄLJE</t>
        </is>
      </c>
      <c r="F309" t="inlineStr">
        <is>
          <t>Övriga Aktiebolag</t>
        </is>
      </c>
      <c r="G309" t="n">
        <v>6.6</v>
      </c>
      <c r="H309" t="n">
        <v>0</v>
      </c>
      <c r="I309" t="n">
        <v>0</v>
      </c>
      <c r="J309" t="n">
        <v>0</v>
      </c>
      <c r="K309" t="n">
        <v>0</v>
      </c>
      <c r="L309" t="n">
        <v>0</v>
      </c>
      <c r="M309" t="n">
        <v>0</v>
      </c>
      <c r="N309" t="n">
        <v>0</v>
      </c>
      <c r="O309" t="n">
        <v>0</v>
      </c>
      <c r="P309" t="n">
        <v>0</v>
      </c>
      <c r="Q309" t="n">
        <v>0</v>
      </c>
      <c r="R309" s="2" t="inlineStr"/>
    </row>
    <row r="310" ht="15" customHeight="1">
      <c r="A310" t="inlineStr">
        <is>
          <t>A 51233-2025</t>
        </is>
      </c>
      <c r="B310" s="1" t="n">
        <v>45947.68232638889</v>
      </c>
      <c r="C310" s="1" t="n">
        <v>46169</v>
      </c>
      <c r="D310" t="inlineStr">
        <is>
          <t>STOCKHOLMS LÄN</t>
        </is>
      </c>
      <c r="E310" t="inlineStr">
        <is>
          <t>NORRTÄLJE</t>
        </is>
      </c>
      <c r="F310" t="inlineStr">
        <is>
          <t>Naturvårdsverket</t>
        </is>
      </c>
      <c r="G310" t="n">
        <v>8.1</v>
      </c>
      <c r="H310" t="n">
        <v>0</v>
      </c>
      <c r="I310" t="n">
        <v>0</v>
      </c>
      <c r="J310" t="n">
        <v>0</v>
      </c>
      <c r="K310" t="n">
        <v>0</v>
      </c>
      <c r="L310" t="n">
        <v>0</v>
      </c>
      <c r="M310" t="n">
        <v>0</v>
      </c>
      <c r="N310" t="n">
        <v>0</v>
      </c>
      <c r="O310" t="n">
        <v>0</v>
      </c>
      <c r="P310" t="n">
        <v>0</v>
      </c>
      <c r="Q310" t="n">
        <v>0</v>
      </c>
      <c r="R310" s="2" t="inlineStr"/>
    </row>
    <row r="311" ht="15" customHeight="1">
      <c r="A311" t="inlineStr">
        <is>
          <t>A 51236-2025</t>
        </is>
      </c>
      <c r="B311" s="1" t="n">
        <v>45947.69078703703</v>
      </c>
      <c r="C311" s="1" t="n">
        <v>46169</v>
      </c>
      <c r="D311" t="inlineStr">
        <is>
          <t>STOCKHOLMS LÄN</t>
        </is>
      </c>
      <c r="E311" t="inlineStr">
        <is>
          <t>NORRTÄLJE</t>
        </is>
      </c>
      <c r="F311" t="inlineStr">
        <is>
          <t>Naturvårdsverket</t>
        </is>
      </c>
      <c r="G311" t="n">
        <v>6.3</v>
      </c>
      <c r="H311" t="n">
        <v>0</v>
      </c>
      <c r="I311" t="n">
        <v>0</v>
      </c>
      <c r="J311" t="n">
        <v>0</v>
      </c>
      <c r="K311" t="n">
        <v>0</v>
      </c>
      <c r="L311" t="n">
        <v>0</v>
      </c>
      <c r="M311" t="n">
        <v>0</v>
      </c>
      <c r="N311" t="n">
        <v>0</v>
      </c>
      <c r="O311" t="n">
        <v>0</v>
      </c>
      <c r="P311" t="n">
        <v>0</v>
      </c>
      <c r="Q311" t="n">
        <v>0</v>
      </c>
      <c r="R311" s="2" t="inlineStr"/>
    </row>
    <row r="312" ht="15" customHeight="1">
      <c r="A312" t="inlineStr">
        <is>
          <t>A 51241-2025</t>
        </is>
      </c>
      <c r="B312" s="1" t="n">
        <v>45947.71726851852</v>
      </c>
      <c r="C312" s="1" t="n">
        <v>46169</v>
      </c>
      <c r="D312" t="inlineStr">
        <is>
          <t>STOCKHOLMS LÄN</t>
        </is>
      </c>
      <c r="E312" t="inlineStr">
        <is>
          <t>NORRTÄLJE</t>
        </is>
      </c>
      <c r="F312" t="inlineStr">
        <is>
          <t>Naturvårdsverket</t>
        </is>
      </c>
      <c r="G312" t="n">
        <v>6.4</v>
      </c>
      <c r="H312" t="n">
        <v>0</v>
      </c>
      <c r="I312" t="n">
        <v>0</v>
      </c>
      <c r="J312" t="n">
        <v>0</v>
      </c>
      <c r="K312" t="n">
        <v>0</v>
      </c>
      <c r="L312" t="n">
        <v>0</v>
      </c>
      <c r="M312" t="n">
        <v>0</v>
      </c>
      <c r="N312" t="n">
        <v>0</v>
      </c>
      <c r="O312" t="n">
        <v>0</v>
      </c>
      <c r="P312" t="n">
        <v>0</v>
      </c>
      <c r="Q312" t="n">
        <v>0</v>
      </c>
      <c r="R312" s="2" t="inlineStr"/>
    </row>
    <row r="313" ht="15" customHeight="1">
      <c r="A313" t="inlineStr">
        <is>
          <t>A 51240-2025</t>
        </is>
      </c>
      <c r="B313" s="1" t="n">
        <v>45947.70420138889</v>
      </c>
      <c r="C313" s="1" t="n">
        <v>46169</v>
      </c>
      <c r="D313" t="inlineStr">
        <is>
          <t>STOCKHOLMS LÄN</t>
        </is>
      </c>
      <c r="E313" t="inlineStr">
        <is>
          <t>NORRTÄLJE</t>
        </is>
      </c>
      <c r="F313" t="inlineStr">
        <is>
          <t>Naturvårdsverket</t>
        </is>
      </c>
      <c r="G313" t="n">
        <v>3</v>
      </c>
      <c r="H313" t="n">
        <v>0</v>
      </c>
      <c r="I313" t="n">
        <v>0</v>
      </c>
      <c r="J313" t="n">
        <v>0</v>
      </c>
      <c r="K313" t="n">
        <v>0</v>
      </c>
      <c r="L313" t="n">
        <v>0</v>
      </c>
      <c r="M313" t="n">
        <v>0</v>
      </c>
      <c r="N313" t="n">
        <v>0</v>
      </c>
      <c r="O313" t="n">
        <v>0</v>
      </c>
      <c r="P313" t="n">
        <v>0</v>
      </c>
      <c r="Q313" t="n">
        <v>0</v>
      </c>
      <c r="R313" s="2" t="inlineStr"/>
    </row>
    <row r="314" ht="15" customHeight="1">
      <c r="A314" t="inlineStr">
        <is>
          <t>A 16620-2024</t>
        </is>
      </c>
      <c r="B314" s="1" t="n">
        <v>45408.57707175926</v>
      </c>
      <c r="C314" s="1" t="n">
        <v>46169</v>
      </c>
      <c r="D314" t="inlineStr">
        <is>
          <t>STOCKHOLMS LÄN</t>
        </is>
      </c>
      <c r="E314" t="inlineStr">
        <is>
          <t>NORRTÄLJE</t>
        </is>
      </c>
      <c r="G314" t="n">
        <v>2.7</v>
      </c>
      <c r="H314" t="n">
        <v>0</v>
      </c>
      <c r="I314" t="n">
        <v>0</v>
      </c>
      <c r="J314" t="n">
        <v>0</v>
      </c>
      <c r="K314" t="n">
        <v>0</v>
      </c>
      <c r="L314" t="n">
        <v>0</v>
      </c>
      <c r="M314" t="n">
        <v>0</v>
      </c>
      <c r="N314" t="n">
        <v>0</v>
      </c>
      <c r="O314" t="n">
        <v>0</v>
      </c>
      <c r="P314" t="n">
        <v>0</v>
      </c>
      <c r="Q314" t="n">
        <v>0</v>
      </c>
      <c r="R314" s="2" t="inlineStr"/>
    </row>
    <row r="315" ht="15" customHeight="1">
      <c r="A315" t="inlineStr">
        <is>
          <t>A 38720-2025</t>
        </is>
      </c>
      <c r="B315" s="1" t="n">
        <v>45886</v>
      </c>
      <c r="C315" s="1" t="n">
        <v>46169</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19982-2022</t>
        </is>
      </c>
      <c r="B316" s="1" t="n">
        <v>44697</v>
      </c>
      <c r="C316" s="1" t="n">
        <v>46169</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22416-2025</t>
        </is>
      </c>
      <c r="B317" s="1" t="n">
        <v>45786.55645833333</v>
      </c>
      <c r="C317" s="1" t="n">
        <v>46169</v>
      </c>
      <c r="D317" t="inlineStr">
        <is>
          <t>STOCKHOLMS LÄN</t>
        </is>
      </c>
      <c r="E317" t="inlineStr">
        <is>
          <t>NORRTÄLJE</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42075-2023</t>
        </is>
      </c>
      <c r="B318" s="1" t="n">
        <v>45177</v>
      </c>
      <c r="C318" s="1" t="n">
        <v>46169</v>
      </c>
      <c r="D318" t="inlineStr">
        <is>
          <t>STOCKHOLMS LÄN</t>
        </is>
      </c>
      <c r="E318" t="inlineStr">
        <is>
          <t>NORRTÄLJE</t>
        </is>
      </c>
      <c r="G318" t="n">
        <v>2.5</v>
      </c>
      <c r="H318" t="n">
        <v>0</v>
      </c>
      <c r="I318" t="n">
        <v>0</v>
      </c>
      <c r="J318" t="n">
        <v>0</v>
      </c>
      <c r="K318" t="n">
        <v>0</v>
      </c>
      <c r="L318" t="n">
        <v>0</v>
      </c>
      <c r="M318" t="n">
        <v>0</v>
      </c>
      <c r="N318" t="n">
        <v>0</v>
      </c>
      <c r="O318" t="n">
        <v>0</v>
      </c>
      <c r="P318" t="n">
        <v>0</v>
      </c>
      <c r="Q318" t="n">
        <v>0</v>
      </c>
      <c r="R318" s="2" t="inlineStr"/>
    </row>
    <row r="319" ht="15" customHeight="1">
      <c r="A319" t="inlineStr">
        <is>
          <t>A 51121-2025</t>
        </is>
      </c>
      <c r="B319" s="1" t="n">
        <v>45947.53293981482</v>
      </c>
      <c r="C319" s="1" t="n">
        <v>46169</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50108-2021</t>
        </is>
      </c>
      <c r="B320" s="1" t="n">
        <v>44456</v>
      </c>
      <c r="C320" s="1" t="n">
        <v>46169</v>
      </c>
      <c r="D320" t="inlineStr">
        <is>
          <t>STOCKHOLMS LÄN</t>
        </is>
      </c>
      <c r="E320" t="inlineStr">
        <is>
          <t>NORRTÄLJE</t>
        </is>
      </c>
      <c r="G320" t="n">
        <v>0.7</v>
      </c>
      <c r="H320" t="n">
        <v>0</v>
      </c>
      <c r="I320" t="n">
        <v>0</v>
      </c>
      <c r="J320" t="n">
        <v>0</v>
      </c>
      <c r="K320" t="n">
        <v>0</v>
      </c>
      <c r="L320" t="n">
        <v>0</v>
      </c>
      <c r="M320" t="n">
        <v>0</v>
      </c>
      <c r="N320" t="n">
        <v>0</v>
      </c>
      <c r="O320" t="n">
        <v>0</v>
      </c>
      <c r="P320" t="n">
        <v>0</v>
      </c>
      <c r="Q320" t="n">
        <v>0</v>
      </c>
      <c r="R320" s="2" t="inlineStr"/>
    </row>
    <row r="321" ht="15" customHeight="1">
      <c r="A321" t="inlineStr">
        <is>
          <t>A 58785-2024</t>
        </is>
      </c>
      <c r="B321" s="1" t="n">
        <v>45635.88849537037</v>
      </c>
      <c r="C321" s="1" t="n">
        <v>46169</v>
      </c>
      <c r="D321" t="inlineStr">
        <is>
          <t>STOCKHOLMS LÄN</t>
        </is>
      </c>
      <c r="E321" t="inlineStr">
        <is>
          <t>NORRTÄLJE</t>
        </is>
      </c>
      <c r="G321" t="n">
        <v>3.3</v>
      </c>
      <c r="H321" t="n">
        <v>0</v>
      </c>
      <c r="I321" t="n">
        <v>0</v>
      </c>
      <c r="J321" t="n">
        <v>0</v>
      </c>
      <c r="K321" t="n">
        <v>0</v>
      </c>
      <c r="L321" t="n">
        <v>0</v>
      </c>
      <c r="M321" t="n">
        <v>0</v>
      </c>
      <c r="N321" t="n">
        <v>0</v>
      </c>
      <c r="O321" t="n">
        <v>0</v>
      </c>
      <c r="P321" t="n">
        <v>0</v>
      </c>
      <c r="Q321" t="n">
        <v>0</v>
      </c>
      <c r="R321" s="2" t="inlineStr"/>
    </row>
    <row r="322" ht="15" customHeight="1">
      <c r="A322" t="inlineStr">
        <is>
          <t>A 2182-2022</t>
        </is>
      </c>
      <c r="B322" s="1" t="n">
        <v>44578</v>
      </c>
      <c r="C322" s="1" t="n">
        <v>46169</v>
      </c>
      <c r="D322" t="inlineStr">
        <is>
          <t>STOCKHOLMS LÄN</t>
        </is>
      </c>
      <c r="E322" t="inlineStr">
        <is>
          <t>NORRTÄLJE</t>
        </is>
      </c>
      <c r="G322" t="n">
        <v>7.2</v>
      </c>
      <c r="H322" t="n">
        <v>0</v>
      </c>
      <c r="I322" t="n">
        <v>0</v>
      </c>
      <c r="J322" t="n">
        <v>0</v>
      </c>
      <c r="K322" t="n">
        <v>0</v>
      </c>
      <c r="L322" t="n">
        <v>0</v>
      </c>
      <c r="M322" t="n">
        <v>0</v>
      </c>
      <c r="N322" t="n">
        <v>0</v>
      </c>
      <c r="O322" t="n">
        <v>0</v>
      </c>
      <c r="P322" t="n">
        <v>0</v>
      </c>
      <c r="Q322" t="n">
        <v>0</v>
      </c>
      <c r="R322" s="2" t="inlineStr"/>
    </row>
    <row r="323" ht="15" customHeight="1">
      <c r="A323" t="inlineStr">
        <is>
          <t>A 13268-2025</t>
        </is>
      </c>
      <c r="B323" s="1" t="n">
        <v>45735</v>
      </c>
      <c r="C323" s="1" t="n">
        <v>46169</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8414-2025</t>
        </is>
      </c>
      <c r="B324" s="1" t="n">
        <v>45709.39361111111</v>
      </c>
      <c r="C324" s="1" t="n">
        <v>46169</v>
      </c>
      <c r="D324" t="inlineStr">
        <is>
          <t>STOCKHOLMS LÄN</t>
        </is>
      </c>
      <c r="E324" t="inlineStr">
        <is>
          <t>NORRTÄLJE</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36625-2024</t>
        </is>
      </c>
      <c r="B325" s="1" t="n">
        <v>45537</v>
      </c>
      <c r="C325" s="1" t="n">
        <v>46169</v>
      </c>
      <c r="D325" t="inlineStr">
        <is>
          <t>STOCKHOLMS LÄN</t>
        </is>
      </c>
      <c r="E325" t="inlineStr">
        <is>
          <t>NORRTÄLJE</t>
        </is>
      </c>
      <c r="G325" t="n">
        <v>3.8</v>
      </c>
      <c r="H325" t="n">
        <v>0</v>
      </c>
      <c r="I325" t="n">
        <v>0</v>
      </c>
      <c r="J325" t="n">
        <v>0</v>
      </c>
      <c r="K325" t="n">
        <v>0</v>
      </c>
      <c r="L325" t="n">
        <v>0</v>
      </c>
      <c r="M325" t="n">
        <v>0</v>
      </c>
      <c r="N325" t="n">
        <v>0</v>
      </c>
      <c r="O325" t="n">
        <v>0</v>
      </c>
      <c r="P325" t="n">
        <v>0</v>
      </c>
      <c r="Q325" t="n">
        <v>0</v>
      </c>
      <c r="R325" s="2" t="inlineStr"/>
    </row>
    <row r="326" ht="15" customHeight="1">
      <c r="A326" t="inlineStr">
        <is>
          <t>A 44891-2023</t>
        </is>
      </c>
      <c r="B326" s="1" t="n">
        <v>45187</v>
      </c>
      <c r="C326" s="1" t="n">
        <v>46169</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12902-2024</t>
        </is>
      </c>
      <c r="B327" s="1" t="n">
        <v>45385.38146990741</v>
      </c>
      <c r="C327" s="1" t="n">
        <v>46169</v>
      </c>
      <c r="D327" t="inlineStr">
        <is>
          <t>STOCKHOLMS LÄN</t>
        </is>
      </c>
      <c r="E327" t="inlineStr">
        <is>
          <t>NORRTÄLJE</t>
        </is>
      </c>
      <c r="G327" t="n">
        <v>3.7</v>
      </c>
      <c r="H327" t="n">
        <v>0</v>
      </c>
      <c r="I327" t="n">
        <v>0</v>
      </c>
      <c r="J327" t="n">
        <v>0</v>
      </c>
      <c r="K327" t="n">
        <v>0</v>
      </c>
      <c r="L327" t="n">
        <v>0</v>
      </c>
      <c r="M327" t="n">
        <v>0</v>
      </c>
      <c r="N327" t="n">
        <v>0</v>
      </c>
      <c r="O327" t="n">
        <v>0</v>
      </c>
      <c r="P327" t="n">
        <v>0</v>
      </c>
      <c r="Q327" t="n">
        <v>0</v>
      </c>
      <c r="R327" s="2" t="inlineStr"/>
    </row>
    <row r="328" ht="15" customHeight="1">
      <c r="A328" t="inlineStr">
        <is>
          <t>A 44032-2024</t>
        </is>
      </c>
      <c r="B328" s="1" t="n">
        <v>45572.57828703704</v>
      </c>
      <c r="C328" s="1" t="n">
        <v>46169</v>
      </c>
      <c r="D328" t="inlineStr">
        <is>
          <t>STOCKHOLMS LÄN</t>
        </is>
      </c>
      <c r="E328" t="inlineStr">
        <is>
          <t>NORRTÄLJE</t>
        </is>
      </c>
      <c r="G328" t="n">
        <v>8.6</v>
      </c>
      <c r="H328" t="n">
        <v>0</v>
      </c>
      <c r="I328" t="n">
        <v>0</v>
      </c>
      <c r="J328" t="n">
        <v>0</v>
      </c>
      <c r="K328" t="n">
        <v>0</v>
      </c>
      <c r="L328" t="n">
        <v>0</v>
      </c>
      <c r="M328" t="n">
        <v>0</v>
      </c>
      <c r="N328" t="n">
        <v>0</v>
      </c>
      <c r="O328" t="n">
        <v>0</v>
      </c>
      <c r="P328" t="n">
        <v>0</v>
      </c>
      <c r="Q328" t="n">
        <v>0</v>
      </c>
      <c r="R328" s="2" t="inlineStr"/>
    </row>
    <row r="329" ht="15" customHeight="1">
      <c r="A329" t="inlineStr">
        <is>
          <t>A 50355-2024</t>
        </is>
      </c>
      <c r="B329" s="1" t="n">
        <v>45600.86128472222</v>
      </c>
      <c r="C329" s="1" t="n">
        <v>46169</v>
      </c>
      <c r="D329" t="inlineStr">
        <is>
          <t>STOCKHOLMS LÄN</t>
        </is>
      </c>
      <c r="E329" t="inlineStr">
        <is>
          <t>NORRTÄLJE</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24563-2024</t>
        </is>
      </c>
      <c r="B330" s="1" t="n">
        <v>45460.44347222222</v>
      </c>
      <c r="C330" s="1" t="n">
        <v>46169</v>
      </c>
      <c r="D330" t="inlineStr">
        <is>
          <t>STOCKHOLMS LÄN</t>
        </is>
      </c>
      <c r="E330" t="inlineStr">
        <is>
          <t>NORRTÄLJE</t>
        </is>
      </c>
      <c r="G330" t="n">
        <v>1.9</v>
      </c>
      <c r="H330" t="n">
        <v>0</v>
      </c>
      <c r="I330" t="n">
        <v>0</v>
      </c>
      <c r="J330" t="n">
        <v>0</v>
      </c>
      <c r="K330" t="n">
        <v>0</v>
      </c>
      <c r="L330" t="n">
        <v>0</v>
      </c>
      <c r="M330" t="n">
        <v>0</v>
      </c>
      <c r="N330" t="n">
        <v>0</v>
      </c>
      <c r="O330" t="n">
        <v>0</v>
      </c>
      <c r="P330" t="n">
        <v>0</v>
      </c>
      <c r="Q330" t="n">
        <v>0</v>
      </c>
      <c r="R330" s="2" t="inlineStr"/>
    </row>
    <row r="331" ht="15" customHeight="1">
      <c r="A331" t="inlineStr">
        <is>
          <t>A 39237-2024</t>
        </is>
      </c>
      <c r="B331" s="1" t="n">
        <v>45549</v>
      </c>
      <c r="C331" s="1" t="n">
        <v>46169</v>
      </c>
      <c r="D331" t="inlineStr">
        <is>
          <t>STOCKHOLMS LÄN</t>
        </is>
      </c>
      <c r="E331" t="inlineStr">
        <is>
          <t>NORRTÄLJE</t>
        </is>
      </c>
      <c r="G331" t="n">
        <v>13.3</v>
      </c>
      <c r="H331" t="n">
        <v>0</v>
      </c>
      <c r="I331" t="n">
        <v>0</v>
      </c>
      <c r="J331" t="n">
        <v>0</v>
      </c>
      <c r="K331" t="n">
        <v>0</v>
      </c>
      <c r="L331" t="n">
        <v>0</v>
      </c>
      <c r="M331" t="n">
        <v>0</v>
      </c>
      <c r="N331" t="n">
        <v>0</v>
      </c>
      <c r="O331" t="n">
        <v>0</v>
      </c>
      <c r="P331" t="n">
        <v>0</v>
      </c>
      <c r="Q331" t="n">
        <v>0</v>
      </c>
      <c r="R331" s="2" t="inlineStr"/>
    </row>
    <row r="332" ht="15" customHeight="1">
      <c r="A332" t="inlineStr">
        <is>
          <t>A 45746-2024</t>
        </is>
      </c>
      <c r="B332" s="1" t="n">
        <v>45579</v>
      </c>
      <c r="C332" s="1" t="n">
        <v>46169</v>
      </c>
      <c r="D332" t="inlineStr">
        <is>
          <t>STOCKHOLMS LÄN</t>
        </is>
      </c>
      <c r="E332" t="inlineStr">
        <is>
          <t>NORRTÄLJE</t>
        </is>
      </c>
      <c r="G332" t="n">
        <v>3.3</v>
      </c>
      <c r="H332" t="n">
        <v>0</v>
      </c>
      <c r="I332" t="n">
        <v>0</v>
      </c>
      <c r="J332" t="n">
        <v>0</v>
      </c>
      <c r="K332" t="n">
        <v>0</v>
      </c>
      <c r="L332" t="n">
        <v>0</v>
      </c>
      <c r="M332" t="n">
        <v>0</v>
      </c>
      <c r="N332" t="n">
        <v>0</v>
      </c>
      <c r="O332" t="n">
        <v>0</v>
      </c>
      <c r="P332" t="n">
        <v>0</v>
      </c>
      <c r="Q332" t="n">
        <v>0</v>
      </c>
      <c r="R332" s="2" t="inlineStr"/>
    </row>
    <row r="333" ht="15" customHeight="1">
      <c r="A333" t="inlineStr">
        <is>
          <t>A 8400-2024</t>
        </is>
      </c>
      <c r="B333" s="1" t="n">
        <v>45352.74090277778</v>
      </c>
      <c r="C333" s="1" t="n">
        <v>46169</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44917-2022</t>
        </is>
      </c>
      <c r="B334" s="1" t="n">
        <v>44841.52804398148</v>
      </c>
      <c r="C334" s="1" t="n">
        <v>46169</v>
      </c>
      <c r="D334" t="inlineStr">
        <is>
          <t>STOCKHOLMS LÄN</t>
        </is>
      </c>
      <c r="E334" t="inlineStr">
        <is>
          <t>NORRTÄLJE</t>
        </is>
      </c>
      <c r="F334" t="inlineStr">
        <is>
          <t>Holmen skog AB</t>
        </is>
      </c>
      <c r="G334" t="n">
        <v>3.3</v>
      </c>
      <c r="H334" t="n">
        <v>0</v>
      </c>
      <c r="I334" t="n">
        <v>0</v>
      </c>
      <c r="J334" t="n">
        <v>0</v>
      </c>
      <c r="K334" t="n">
        <v>0</v>
      </c>
      <c r="L334" t="n">
        <v>0</v>
      </c>
      <c r="M334" t="n">
        <v>0</v>
      </c>
      <c r="N334" t="n">
        <v>0</v>
      </c>
      <c r="O334" t="n">
        <v>0</v>
      </c>
      <c r="P334" t="n">
        <v>0</v>
      </c>
      <c r="Q334" t="n">
        <v>0</v>
      </c>
      <c r="R334" s="2" t="inlineStr"/>
    </row>
    <row r="335" ht="15" customHeight="1">
      <c r="A335" t="inlineStr">
        <is>
          <t>A 55058-2021</t>
        </is>
      </c>
      <c r="B335" s="1" t="n">
        <v>44474.62141203704</v>
      </c>
      <c r="C335" s="1" t="n">
        <v>46169</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51532-2025</t>
        </is>
      </c>
      <c r="B336" s="1" t="n">
        <v>45950.68297453703</v>
      </c>
      <c r="C336" s="1" t="n">
        <v>46169</v>
      </c>
      <c r="D336" t="inlineStr">
        <is>
          <t>STOCKHOLMS LÄN</t>
        </is>
      </c>
      <c r="E336" t="inlineStr">
        <is>
          <t>NORRTÄLJE</t>
        </is>
      </c>
      <c r="F336" t="inlineStr">
        <is>
          <t>Naturvårdsverket</t>
        </is>
      </c>
      <c r="G336" t="n">
        <v>17.3</v>
      </c>
      <c r="H336" t="n">
        <v>0</v>
      </c>
      <c r="I336" t="n">
        <v>0</v>
      </c>
      <c r="J336" t="n">
        <v>0</v>
      </c>
      <c r="K336" t="n">
        <v>0</v>
      </c>
      <c r="L336" t="n">
        <v>0</v>
      </c>
      <c r="M336" t="n">
        <v>0</v>
      </c>
      <c r="N336" t="n">
        <v>0</v>
      </c>
      <c r="O336" t="n">
        <v>0</v>
      </c>
      <c r="P336" t="n">
        <v>0</v>
      </c>
      <c r="Q336" t="n">
        <v>0</v>
      </c>
      <c r="R336" s="2" t="inlineStr"/>
    </row>
    <row r="337" ht="15" customHeight="1">
      <c r="A337" t="inlineStr">
        <is>
          <t>A 51789-2025</t>
        </is>
      </c>
      <c r="B337" s="1" t="n">
        <v>45951.68046296296</v>
      </c>
      <c r="C337" s="1" t="n">
        <v>46169</v>
      </c>
      <c r="D337" t="inlineStr">
        <is>
          <t>STOCKHOLMS LÄN</t>
        </is>
      </c>
      <c r="E337" t="inlineStr">
        <is>
          <t>NORRTÄLJE</t>
        </is>
      </c>
      <c r="F337" t="inlineStr">
        <is>
          <t>Naturvårdsverket</t>
        </is>
      </c>
      <c r="G337" t="n">
        <v>8.9</v>
      </c>
      <c r="H337" t="n">
        <v>0</v>
      </c>
      <c r="I337" t="n">
        <v>0</v>
      </c>
      <c r="J337" t="n">
        <v>0</v>
      </c>
      <c r="K337" t="n">
        <v>0</v>
      </c>
      <c r="L337" t="n">
        <v>0</v>
      </c>
      <c r="M337" t="n">
        <v>0</v>
      </c>
      <c r="N337" t="n">
        <v>0</v>
      </c>
      <c r="O337" t="n">
        <v>0</v>
      </c>
      <c r="P337" t="n">
        <v>0</v>
      </c>
      <c r="Q337" t="n">
        <v>0</v>
      </c>
      <c r="R337" s="2" t="inlineStr"/>
    </row>
    <row r="338" ht="15" customHeight="1">
      <c r="A338" t="inlineStr">
        <is>
          <t>A 38593-2025</t>
        </is>
      </c>
      <c r="B338" s="1" t="n">
        <v>45884.48696759259</v>
      </c>
      <c r="C338" s="1" t="n">
        <v>46169</v>
      </c>
      <c r="D338" t="inlineStr">
        <is>
          <t>STOCKHOLMS LÄN</t>
        </is>
      </c>
      <c r="E338" t="inlineStr">
        <is>
          <t>NORRTÄLJE</t>
        </is>
      </c>
      <c r="G338" t="n">
        <v>3</v>
      </c>
      <c r="H338" t="n">
        <v>0</v>
      </c>
      <c r="I338" t="n">
        <v>0</v>
      </c>
      <c r="J338" t="n">
        <v>0</v>
      </c>
      <c r="K338" t="n">
        <v>0</v>
      </c>
      <c r="L338" t="n">
        <v>0</v>
      </c>
      <c r="M338" t="n">
        <v>0</v>
      </c>
      <c r="N338" t="n">
        <v>0</v>
      </c>
      <c r="O338" t="n">
        <v>0</v>
      </c>
      <c r="P338" t="n">
        <v>0</v>
      </c>
      <c r="Q338" t="n">
        <v>0</v>
      </c>
      <c r="R338" s="2" t="inlineStr"/>
    </row>
    <row r="339" ht="15" customHeight="1">
      <c r="A339" t="inlineStr">
        <is>
          <t>A 55012-2024</t>
        </is>
      </c>
      <c r="B339" s="1" t="n">
        <v>45621.34813657407</v>
      </c>
      <c r="C339" s="1" t="n">
        <v>46169</v>
      </c>
      <c r="D339" t="inlineStr">
        <is>
          <t>STOCKHOLMS LÄN</t>
        </is>
      </c>
      <c r="E339" t="inlineStr">
        <is>
          <t>NORRTÄLJE</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7413-2024</t>
        </is>
      </c>
      <c r="B340" s="1" t="n">
        <v>45345.6059837963</v>
      </c>
      <c r="C340" s="1" t="n">
        <v>46169</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12251-2025</t>
        </is>
      </c>
      <c r="B341" s="1" t="n">
        <v>45729.60859953704</v>
      </c>
      <c r="C341" s="1" t="n">
        <v>46169</v>
      </c>
      <c r="D341" t="inlineStr">
        <is>
          <t>STOCKHOLMS LÄN</t>
        </is>
      </c>
      <c r="E341" t="inlineStr">
        <is>
          <t>NORRTÄLJE</t>
        </is>
      </c>
      <c r="F341" t="inlineStr">
        <is>
          <t>Holmen skog AB</t>
        </is>
      </c>
      <c r="G341" t="n">
        <v>5.9</v>
      </c>
      <c r="H341" t="n">
        <v>0</v>
      </c>
      <c r="I341" t="n">
        <v>0</v>
      </c>
      <c r="J341" t="n">
        <v>0</v>
      </c>
      <c r="K341" t="n">
        <v>0</v>
      </c>
      <c r="L341" t="n">
        <v>0</v>
      </c>
      <c r="M341" t="n">
        <v>0</v>
      </c>
      <c r="N341" t="n">
        <v>0</v>
      </c>
      <c r="O341" t="n">
        <v>0</v>
      </c>
      <c r="P341" t="n">
        <v>0</v>
      </c>
      <c r="Q341" t="n">
        <v>0</v>
      </c>
      <c r="R341" s="2" t="inlineStr"/>
    </row>
    <row r="342" ht="15" customHeight="1">
      <c r="A342" t="inlineStr">
        <is>
          <t>A 58863-2024</t>
        </is>
      </c>
      <c r="B342" s="1" t="n">
        <v>45636.41572916666</v>
      </c>
      <c r="C342" s="1" t="n">
        <v>46169</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50154-2024</t>
        </is>
      </c>
      <c r="B343" s="1" t="n">
        <v>45600.4558912037</v>
      </c>
      <c r="C343" s="1" t="n">
        <v>46169</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27677-2025</t>
        </is>
      </c>
      <c r="B344" s="1" t="n">
        <v>45813.63650462963</v>
      </c>
      <c r="C344" s="1" t="n">
        <v>46169</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11900-2024</t>
        </is>
      </c>
      <c r="B345" s="1" t="n">
        <v>45376.55484953704</v>
      </c>
      <c r="C345" s="1" t="n">
        <v>46169</v>
      </c>
      <c r="D345" t="inlineStr">
        <is>
          <t>STOCKHOLMS LÄN</t>
        </is>
      </c>
      <c r="E345" t="inlineStr">
        <is>
          <t>NORRTÄLJE</t>
        </is>
      </c>
      <c r="G345" t="n">
        <v>4.2</v>
      </c>
      <c r="H345" t="n">
        <v>0</v>
      </c>
      <c r="I345" t="n">
        <v>0</v>
      </c>
      <c r="J345" t="n">
        <v>0</v>
      </c>
      <c r="K345" t="n">
        <v>0</v>
      </c>
      <c r="L345" t="n">
        <v>0</v>
      </c>
      <c r="M345" t="n">
        <v>0</v>
      </c>
      <c r="N345" t="n">
        <v>0</v>
      </c>
      <c r="O345" t="n">
        <v>0</v>
      </c>
      <c r="P345" t="n">
        <v>0</v>
      </c>
      <c r="Q345" t="n">
        <v>0</v>
      </c>
      <c r="R345" s="2" t="inlineStr"/>
    </row>
    <row r="346" ht="15" customHeight="1">
      <c r="A346" t="inlineStr">
        <is>
          <t>A 39152-2025</t>
        </is>
      </c>
      <c r="B346" s="1" t="n">
        <v>45888</v>
      </c>
      <c r="C346" s="1" t="n">
        <v>46169</v>
      </c>
      <c r="D346" t="inlineStr">
        <is>
          <t>STOCKHOLMS LÄN</t>
        </is>
      </c>
      <c r="E346" t="inlineStr">
        <is>
          <t>NORRTÄLJE</t>
        </is>
      </c>
      <c r="G346" t="n">
        <v>4.6</v>
      </c>
      <c r="H346" t="n">
        <v>0</v>
      </c>
      <c r="I346" t="n">
        <v>0</v>
      </c>
      <c r="J346" t="n">
        <v>0</v>
      </c>
      <c r="K346" t="n">
        <v>0</v>
      </c>
      <c r="L346" t="n">
        <v>0</v>
      </c>
      <c r="M346" t="n">
        <v>0</v>
      </c>
      <c r="N346" t="n">
        <v>0</v>
      </c>
      <c r="O346" t="n">
        <v>0</v>
      </c>
      <c r="P346" t="n">
        <v>0</v>
      </c>
      <c r="Q346" t="n">
        <v>0</v>
      </c>
      <c r="R346" s="2" t="inlineStr"/>
    </row>
    <row r="347" ht="15" customHeight="1">
      <c r="A347" t="inlineStr">
        <is>
          <t>A 51960-2025</t>
        </is>
      </c>
      <c r="B347" s="1" t="n">
        <v>45952.54755787037</v>
      </c>
      <c r="C347" s="1" t="n">
        <v>46169</v>
      </c>
      <c r="D347" t="inlineStr">
        <is>
          <t>STOCKHOLMS LÄN</t>
        </is>
      </c>
      <c r="E347" t="inlineStr">
        <is>
          <t>NORRTÄLJE</t>
        </is>
      </c>
      <c r="G347" t="n">
        <v>2</v>
      </c>
      <c r="H347" t="n">
        <v>0</v>
      </c>
      <c r="I347" t="n">
        <v>0</v>
      </c>
      <c r="J347" t="n">
        <v>0</v>
      </c>
      <c r="K347" t="n">
        <v>0</v>
      </c>
      <c r="L347" t="n">
        <v>0</v>
      </c>
      <c r="M347" t="n">
        <v>0</v>
      </c>
      <c r="N347" t="n">
        <v>0</v>
      </c>
      <c r="O347" t="n">
        <v>0</v>
      </c>
      <c r="P347" t="n">
        <v>0</v>
      </c>
      <c r="Q347" t="n">
        <v>0</v>
      </c>
      <c r="R347" s="2" t="inlineStr"/>
    </row>
    <row r="348" ht="15" customHeight="1">
      <c r="A348" t="inlineStr">
        <is>
          <t>A 42867-2022</t>
        </is>
      </c>
      <c r="B348" s="1" t="n">
        <v>44832</v>
      </c>
      <c r="C348" s="1" t="n">
        <v>46169</v>
      </c>
      <c r="D348" t="inlineStr">
        <is>
          <t>STOCKHOLMS LÄN</t>
        </is>
      </c>
      <c r="E348" t="inlineStr">
        <is>
          <t>NORRTÄLJE</t>
        </is>
      </c>
      <c r="G348" t="n">
        <v>6.4</v>
      </c>
      <c r="H348" t="n">
        <v>0</v>
      </c>
      <c r="I348" t="n">
        <v>0</v>
      </c>
      <c r="J348" t="n">
        <v>0</v>
      </c>
      <c r="K348" t="n">
        <v>0</v>
      </c>
      <c r="L348" t="n">
        <v>0</v>
      </c>
      <c r="M348" t="n">
        <v>0</v>
      </c>
      <c r="N348" t="n">
        <v>0</v>
      </c>
      <c r="O348" t="n">
        <v>0</v>
      </c>
      <c r="P348" t="n">
        <v>0</v>
      </c>
      <c r="Q348" t="n">
        <v>0</v>
      </c>
      <c r="R348" s="2" t="inlineStr"/>
    </row>
    <row r="349" ht="15" customHeight="1">
      <c r="A349" t="inlineStr">
        <is>
          <t>A 62998-2023</t>
        </is>
      </c>
      <c r="B349" s="1" t="n">
        <v>45272.64479166667</v>
      </c>
      <c r="C349" s="1" t="n">
        <v>46169</v>
      </c>
      <c r="D349" t="inlineStr">
        <is>
          <t>STOCKHOLMS LÄN</t>
        </is>
      </c>
      <c r="E349" t="inlineStr">
        <is>
          <t>NORRTÄLJE</t>
        </is>
      </c>
      <c r="G349" t="n">
        <v>16.3</v>
      </c>
      <c r="H349" t="n">
        <v>0</v>
      </c>
      <c r="I349" t="n">
        <v>0</v>
      </c>
      <c r="J349" t="n">
        <v>0</v>
      </c>
      <c r="K349" t="n">
        <v>0</v>
      </c>
      <c r="L349" t="n">
        <v>0</v>
      </c>
      <c r="M349" t="n">
        <v>0</v>
      </c>
      <c r="N349" t="n">
        <v>0</v>
      </c>
      <c r="O349" t="n">
        <v>0</v>
      </c>
      <c r="P349" t="n">
        <v>0</v>
      </c>
      <c r="Q349" t="n">
        <v>0</v>
      </c>
      <c r="R349" s="2" t="inlineStr"/>
    </row>
    <row r="350" ht="15" customHeight="1">
      <c r="A350" t="inlineStr">
        <is>
          <t>A 63015-2023</t>
        </is>
      </c>
      <c r="B350" s="1" t="n">
        <v>45272</v>
      </c>
      <c r="C350" s="1" t="n">
        <v>46169</v>
      </c>
      <c r="D350" t="inlineStr">
        <is>
          <t>STOCKHOLMS LÄN</t>
        </is>
      </c>
      <c r="E350" t="inlineStr">
        <is>
          <t>NORRTÄLJE</t>
        </is>
      </c>
      <c r="G350" t="n">
        <v>13.1</v>
      </c>
      <c r="H350" t="n">
        <v>0</v>
      </c>
      <c r="I350" t="n">
        <v>0</v>
      </c>
      <c r="J350" t="n">
        <v>0</v>
      </c>
      <c r="K350" t="n">
        <v>0</v>
      </c>
      <c r="L350" t="n">
        <v>0</v>
      </c>
      <c r="M350" t="n">
        <v>0</v>
      </c>
      <c r="N350" t="n">
        <v>0</v>
      </c>
      <c r="O350" t="n">
        <v>0</v>
      </c>
      <c r="P350" t="n">
        <v>0</v>
      </c>
      <c r="Q350" t="n">
        <v>0</v>
      </c>
      <c r="R350" s="2" t="inlineStr"/>
    </row>
    <row r="351" ht="15" customHeight="1">
      <c r="A351" t="inlineStr">
        <is>
          <t>A 27831-2024</t>
        </is>
      </c>
      <c r="B351" s="1" t="n">
        <v>45475.61896990741</v>
      </c>
      <c r="C351" s="1" t="n">
        <v>46169</v>
      </c>
      <c r="D351" t="inlineStr">
        <is>
          <t>STOCKHOLMS LÄN</t>
        </is>
      </c>
      <c r="E351" t="inlineStr">
        <is>
          <t>NORRTÄLJE</t>
        </is>
      </c>
      <c r="G351" t="n">
        <v>3.8</v>
      </c>
      <c r="H351" t="n">
        <v>0</v>
      </c>
      <c r="I351" t="n">
        <v>0</v>
      </c>
      <c r="J351" t="n">
        <v>0</v>
      </c>
      <c r="K351" t="n">
        <v>0</v>
      </c>
      <c r="L351" t="n">
        <v>0</v>
      </c>
      <c r="M351" t="n">
        <v>0</v>
      </c>
      <c r="N351" t="n">
        <v>0</v>
      </c>
      <c r="O351" t="n">
        <v>0</v>
      </c>
      <c r="P351" t="n">
        <v>0</v>
      </c>
      <c r="Q351" t="n">
        <v>0</v>
      </c>
      <c r="R351" s="2" t="inlineStr"/>
    </row>
    <row r="352" ht="15" customHeight="1">
      <c r="A352" t="inlineStr">
        <is>
          <t>A 23749-2024</t>
        </is>
      </c>
      <c r="B352" s="1" t="n">
        <v>45455.33037037037</v>
      </c>
      <c r="C352" s="1" t="n">
        <v>46169</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39149-2025</t>
        </is>
      </c>
      <c r="B353" s="1" t="n">
        <v>45888.60714120371</v>
      </c>
      <c r="C353" s="1" t="n">
        <v>46169</v>
      </c>
      <c r="D353" t="inlineStr">
        <is>
          <t>STOCKHOLMS LÄN</t>
        </is>
      </c>
      <c r="E353" t="inlineStr">
        <is>
          <t>NORRTÄLJE</t>
        </is>
      </c>
      <c r="G353" t="n">
        <v>3.5</v>
      </c>
      <c r="H353" t="n">
        <v>0</v>
      </c>
      <c r="I353" t="n">
        <v>0</v>
      </c>
      <c r="J353" t="n">
        <v>0</v>
      </c>
      <c r="K353" t="n">
        <v>0</v>
      </c>
      <c r="L353" t="n">
        <v>0</v>
      </c>
      <c r="M353" t="n">
        <v>0</v>
      </c>
      <c r="N353" t="n">
        <v>0</v>
      </c>
      <c r="O353" t="n">
        <v>0</v>
      </c>
      <c r="P353" t="n">
        <v>0</v>
      </c>
      <c r="Q353" t="n">
        <v>0</v>
      </c>
      <c r="R353" s="2" t="inlineStr"/>
    </row>
    <row r="354" ht="15" customHeight="1">
      <c r="A354" t="inlineStr">
        <is>
          <t>A 33175-2024</t>
        </is>
      </c>
      <c r="B354" s="1" t="n">
        <v>45518</v>
      </c>
      <c r="C354" s="1" t="n">
        <v>46169</v>
      </c>
      <c r="D354" t="inlineStr">
        <is>
          <t>STOCKHOLMS LÄN</t>
        </is>
      </c>
      <c r="E354" t="inlineStr">
        <is>
          <t>NORRTÄLJE</t>
        </is>
      </c>
      <c r="G354" t="n">
        <v>2.1</v>
      </c>
      <c r="H354" t="n">
        <v>0</v>
      </c>
      <c r="I354" t="n">
        <v>0</v>
      </c>
      <c r="J354" t="n">
        <v>0</v>
      </c>
      <c r="K354" t="n">
        <v>0</v>
      </c>
      <c r="L354" t="n">
        <v>0</v>
      </c>
      <c r="M354" t="n">
        <v>0</v>
      </c>
      <c r="N354" t="n">
        <v>0</v>
      </c>
      <c r="O354" t="n">
        <v>0</v>
      </c>
      <c r="P354" t="n">
        <v>0</v>
      </c>
      <c r="Q354" t="n">
        <v>0</v>
      </c>
      <c r="R354" s="2" t="inlineStr"/>
    </row>
    <row r="355" ht="15" customHeight="1">
      <c r="A355" t="inlineStr">
        <is>
          <t>A 58277-2023</t>
        </is>
      </c>
      <c r="B355" s="1" t="n">
        <v>45245</v>
      </c>
      <c r="C355" s="1" t="n">
        <v>46169</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21803-2022</t>
        </is>
      </c>
      <c r="B356" s="1" t="n">
        <v>44708.67822916667</v>
      </c>
      <c r="C356" s="1" t="n">
        <v>46169</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20730-2024</t>
        </is>
      </c>
      <c r="B357" s="1" t="n">
        <v>45436</v>
      </c>
      <c r="C357" s="1" t="n">
        <v>46169</v>
      </c>
      <c r="D357" t="inlineStr">
        <is>
          <t>STOCKHOLMS LÄN</t>
        </is>
      </c>
      <c r="E357" t="inlineStr">
        <is>
          <t>NORRTÄLJE</t>
        </is>
      </c>
      <c r="G357" t="n">
        <v>7.3</v>
      </c>
      <c r="H357" t="n">
        <v>0</v>
      </c>
      <c r="I357" t="n">
        <v>0</v>
      </c>
      <c r="J357" t="n">
        <v>0</v>
      </c>
      <c r="K357" t="n">
        <v>0</v>
      </c>
      <c r="L357" t="n">
        <v>0</v>
      </c>
      <c r="M357" t="n">
        <v>0</v>
      </c>
      <c r="N357" t="n">
        <v>0</v>
      </c>
      <c r="O357" t="n">
        <v>0</v>
      </c>
      <c r="P357" t="n">
        <v>0</v>
      </c>
      <c r="Q357" t="n">
        <v>0</v>
      </c>
      <c r="R357" s="2" t="inlineStr"/>
    </row>
    <row r="358" ht="15" customHeight="1">
      <c r="A358" t="inlineStr">
        <is>
          <t>A 32705-2022</t>
        </is>
      </c>
      <c r="B358" s="1" t="n">
        <v>44783</v>
      </c>
      <c r="C358" s="1" t="n">
        <v>46169</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47481-2024</t>
        </is>
      </c>
      <c r="B359" s="1" t="n">
        <v>45587</v>
      </c>
      <c r="C359" s="1" t="n">
        <v>46169</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12901-2024</t>
        </is>
      </c>
      <c r="B360" s="1" t="n">
        <v>45385.37922453704</v>
      </c>
      <c r="C360" s="1" t="n">
        <v>46169</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8950-2025</t>
        </is>
      </c>
      <c r="B361" s="1" t="n">
        <v>45713</v>
      </c>
      <c r="C361" s="1" t="n">
        <v>46169</v>
      </c>
      <c r="D361" t="inlineStr">
        <is>
          <t>STOCKHOLMS LÄN</t>
        </is>
      </c>
      <c r="E361" t="inlineStr">
        <is>
          <t>NORRTÄLJE</t>
        </is>
      </c>
      <c r="F361" t="inlineStr">
        <is>
          <t>Övriga Aktiebolag</t>
        </is>
      </c>
      <c r="G361" t="n">
        <v>3.6</v>
      </c>
      <c r="H361" t="n">
        <v>0</v>
      </c>
      <c r="I361" t="n">
        <v>0</v>
      </c>
      <c r="J361" t="n">
        <v>0</v>
      </c>
      <c r="K361" t="n">
        <v>0</v>
      </c>
      <c r="L361" t="n">
        <v>0</v>
      </c>
      <c r="M361" t="n">
        <v>0</v>
      </c>
      <c r="N361" t="n">
        <v>0</v>
      </c>
      <c r="O361" t="n">
        <v>0</v>
      </c>
      <c r="P361" t="n">
        <v>0</v>
      </c>
      <c r="Q361" t="n">
        <v>0</v>
      </c>
      <c r="R361" s="2" t="inlineStr"/>
    </row>
    <row r="362" ht="15" customHeight="1">
      <c r="A362" t="inlineStr">
        <is>
          <t>A 57037-2022</t>
        </is>
      </c>
      <c r="B362" s="1" t="n">
        <v>44895</v>
      </c>
      <c r="C362" s="1" t="n">
        <v>46169</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39692-2025</t>
        </is>
      </c>
      <c r="B363" s="1" t="n">
        <v>45890.68083333333</v>
      </c>
      <c r="C363" s="1" t="n">
        <v>46169</v>
      </c>
      <c r="D363" t="inlineStr">
        <is>
          <t>STOCKHOLMS LÄN</t>
        </is>
      </c>
      <c r="E363" t="inlineStr">
        <is>
          <t>NORRTÄLJE</t>
        </is>
      </c>
      <c r="G363" t="n">
        <v>10.5</v>
      </c>
      <c r="H363" t="n">
        <v>0</v>
      </c>
      <c r="I363" t="n">
        <v>0</v>
      </c>
      <c r="J363" t="n">
        <v>0</v>
      </c>
      <c r="K363" t="n">
        <v>0</v>
      </c>
      <c r="L363" t="n">
        <v>0</v>
      </c>
      <c r="M363" t="n">
        <v>0</v>
      </c>
      <c r="N363" t="n">
        <v>0</v>
      </c>
      <c r="O363" t="n">
        <v>0</v>
      </c>
      <c r="P363" t="n">
        <v>0</v>
      </c>
      <c r="Q363" t="n">
        <v>0</v>
      </c>
      <c r="R363" s="2" t="inlineStr"/>
    </row>
    <row r="364" ht="15" customHeight="1">
      <c r="A364" t="inlineStr">
        <is>
          <t>A 11940-2023</t>
        </is>
      </c>
      <c r="B364" s="1" t="n">
        <v>44995</v>
      </c>
      <c r="C364" s="1" t="n">
        <v>46169</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12301-2025</t>
        </is>
      </c>
      <c r="B365" s="1" t="n">
        <v>45729.7271875</v>
      </c>
      <c r="C365" s="1" t="n">
        <v>46169</v>
      </c>
      <c r="D365" t="inlineStr">
        <is>
          <t>STOCKHOLMS LÄN</t>
        </is>
      </c>
      <c r="E365" t="inlineStr">
        <is>
          <t>NORRTÄLJE</t>
        </is>
      </c>
      <c r="G365" t="n">
        <v>3.2</v>
      </c>
      <c r="H365" t="n">
        <v>0</v>
      </c>
      <c r="I365" t="n">
        <v>0</v>
      </c>
      <c r="J365" t="n">
        <v>0</v>
      </c>
      <c r="K365" t="n">
        <v>0</v>
      </c>
      <c r="L365" t="n">
        <v>0</v>
      </c>
      <c r="M365" t="n">
        <v>0</v>
      </c>
      <c r="N365" t="n">
        <v>0</v>
      </c>
      <c r="O365" t="n">
        <v>0</v>
      </c>
      <c r="P365" t="n">
        <v>0</v>
      </c>
      <c r="Q365" t="n">
        <v>0</v>
      </c>
      <c r="R365" s="2" t="inlineStr"/>
    </row>
    <row r="366" ht="15" customHeight="1">
      <c r="A366" t="inlineStr">
        <is>
          <t>A 24351-2025</t>
        </is>
      </c>
      <c r="B366" s="1" t="n">
        <v>45797.58399305555</v>
      </c>
      <c r="C366" s="1" t="n">
        <v>46169</v>
      </c>
      <c r="D366" t="inlineStr">
        <is>
          <t>STOCKHOLMS LÄN</t>
        </is>
      </c>
      <c r="E366" t="inlineStr">
        <is>
          <t>NORRTÄLJE</t>
        </is>
      </c>
      <c r="G366" t="n">
        <v>1.5</v>
      </c>
      <c r="H366" t="n">
        <v>0</v>
      </c>
      <c r="I366" t="n">
        <v>0</v>
      </c>
      <c r="J366" t="n">
        <v>0</v>
      </c>
      <c r="K366" t="n">
        <v>0</v>
      </c>
      <c r="L366" t="n">
        <v>0</v>
      </c>
      <c r="M366" t="n">
        <v>0</v>
      </c>
      <c r="N366" t="n">
        <v>0</v>
      </c>
      <c r="O366" t="n">
        <v>0</v>
      </c>
      <c r="P366" t="n">
        <v>0</v>
      </c>
      <c r="Q366" t="n">
        <v>0</v>
      </c>
      <c r="R366" s="2" t="inlineStr"/>
    </row>
    <row r="367" ht="15" customHeight="1">
      <c r="A367" t="inlineStr">
        <is>
          <t>A 13283-2025</t>
        </is>
      </c>
      <c r="B367" s="1" t="n">
        <v>45735</v>
      </c>
      <c r="C367" s="1" t="n">
        <v>46169</v>
      </c>
      <c r="D367" t="inlineStr">
        <is>
          <t>STOCKHOLMS LÄN</t>
        </is>
      </c>
      <c r="E367" t="inlineStr">
        <is>
          <t>NORRTÄLJE</t>
        </is>
      </c>
      <c r="G367" t="n">
        <v>4.9</v>
      </c>
      <c r="H367" t="n">
        <v>0</v>
      </c>
      <c r="I367" t="n">
        <v>0</v>
      </c>
      <c r="J367" t="n">
        <v>0</v>
      </c>
      <c r="K367" t="n">
        <v>0</v>
      </c>
      <c r="L367" t="n">
        <v>0</v>
      </c>
      <c r="M367" t="n">
        <v>0</v>
      </c>
      <c r="N367" t="n">
        <v>0</v>
      </c>
      <c r="O367" t="n">
        <v>0</v>
      </c>
      <c r="P367" t="n">
        <v>0</v>
      </c>
      <c r="Q367" t="n">
        <v>0</v>
      </c>
      <c r="R367" s="2" t="inlineStr"/>
    </row>
    <row r="368" ht="15" customHeight="1">
      <c r="A368" t="inlineStr">
        <is>
          <t>A 35639-2025</t>
        </is>
      </c>
      <c r="B368" s="1" t="n">
        <v>45859</v>
      </c>
      <c r="C368" s="1" t="n">
        <v>46169</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2281-2024</t>
        </is>
      </c>
      <c r="B369" s="1" t="n">
        <v>45310.40628472222</v>
      </c>
      <c r="C369" s="1" t="n">
        <v>46169</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60525-2022</t>
        </is>
      </c>
      <c r="B370" s="1" t="n">
        <v>44904</v>
      </c>
      <c r="C370" s="1" t="n">
        <v>46169</v>
      </c>
      <c r="D370" t="inlineStr">
        <is>
          <t>STOCKHOLMS LÄN</t>
        </is>
      </c>
      <c r="E370" t="inlineStr">
        <is>
          <t>NORRTÄLJE</t>
        </is>
      </c>
      <c r="G370" t="n">
        <v>13.4</v>
      </c>
      <c r="H370" t="n">
        <v>0</v>
      </c>
      <c r="I370" t="n">
        <v>0</v>
      </c>
      <c r="J370" t="n">
        <v>0</v>
      </c>
      <c r="K370" t="n">
        <v>0</v>
      </c>
      <c r="L370" t="n">
        <v>0</v>
      </c>
      <c r="M370" t="n">
        <v>0</v>
      </c>
      <c r="N370" t="n">
        <v>0</v>
      </c>
      <c r="O370" t="n">
        <v>0</v>
      </c>
      <c r="P370" t="n">
        <v>0</v>
      </c>
      <c r="Q370" t="n">
        <v>0</v>
      </c>
      <c r="R370" s="2" t="inlineStr"/>
    </row>
    <row r="371" ht="15" customHeight="1">
      <c r="A371" t="inlineStr">
        <is>
          <t>A 24687-2025</t>
        </is>
      </c>
      <c r="B371" s="1" t="n">
        <v>45798.66767361111</v>
      </c>
      <c r="C371" s="1" t="n">
        <v>46169</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35636-2025</t>
        </is>
      </c>
      <c r="B372" s="1" t="n">
        <v>45859</v>
      </c>
      <c r="C372" s="1" t="n">
        <v>46169</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51941-2025</t>
        </is>
      </c>
      <c r="B373" s="1" t="n">
        <v>45952.52261574074</v>
      </c>
      <c r="C373" s="1" t="n">
        <v>46169</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39213-2022</t>
        </is>
      </c>
      <c r="B374" s="1" t="n">
        <v>44817.56120370371</v>
      </c>
      <c r="C374" s="1" t="n">
        <v>46169</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40172-2025</t>
        </is>
      </c>
      <c r="B375" s="1" t="n">
        <v>45894.6353125</v>
      </c>
      <c r="C375" s="1" t="n">
        <v>46169</v>
      </c>
      <c r="D375" t="inlineStr">
        <is>
          <t>STOCKHOLMS LÄN</t>
        </is>
      </c>
      <c r="E375" t="inlineStr">
        <is>
          <t>NORRTÄLJE</t>
        </is>
      </c>
      <c r="G375" t="n">
        <v>6</v>
      </c>
      <c r="H375" t="n">
        <v>0</v>
      </c>
      <c r="I375" t="n">
        <v>0</v>
      </c>
      <c r="J375" t="n">
        <v>0</v>
      </c>
      <c r="K375" t="n">
        <v>0</v>
      </c>
      <c r="L375" t="n">
        <v>0</v>
      </c>
      <c r="M375" t="n">
        <v>0</v>
      </c>
      <c r="N375" t="n">
        <v>0</v>
      </c>
      <c r="O375" t="n">
        <v>0</v>
      </c>
      <c r="P375" t="n">
        <v>0</v>
      </c>
      <c r="Q375" t="n">
        <v>0</v>
      </c>
      <c r="R375" s="2" t="inlineStr"/>
    </row>
    <row r="376" ht="15" customHeight="1">
      <c r="A376" t="inlineStr">
        <is>
          <t>A 40033-2025</t>
        </is>
      </c>
      <c r="B376" s="1" t="n">
        <v>45893</v>
      </c>
      <c r="C376" s="1" t="n">
        <v>46169</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40032-2025</t>
        </is>
      </c>
      <c r="B377" s="1" t="n">
        <v>45893</v>
      </c>
      <c r="C377" s="1" t="n">
        <v>46169</v>
      </c>
      <c r="D377" t="inlineStr">
        <is>
          <t>STOCKHOLMS LÄN</t>
        </is>
      </c>
      <c r="E377" t="inlineStr">
        <is>
          <t>NORRTÄLJE</t>
        </is>
      </c>
      <c r="G377" t="n">
        <v>2.6</v>
      </c>
      <c r="H377" t="n">
        <v>0</v>
      </c>
      <c r="I377" t="n">
        <v>0</v>
      </c>
      <c r="J377" t="n">
        <v>0</v>
      </c>
      <c r="K377" t="n">
        <v>0</v>
      </c>
      <c r="L377" t="n">
        <v>0</v>
      </c>
      <c r="M377" t="n">
        <v>0</v>
      </c>
      <c r="N377" t="n">
        <v>0</v>
      </c>
      <c r="O377" t="n">
        <v>0</v>
      </c>
      <c r="P377" t="n">
        <v>0</v>
      </c>
      <c r="Q377" t="n">
        <v>0</v>
      </c>
      <c r="R377" s="2" t="inlineStr"/>
    </row>
    <row r="378" ht="15" customHeight="1">
      <c r="A378" t="inlineStr">
        <is>
          <t>A 24638-2025</t>
        </is>
      </c>
      <c r="B378" s="1" t="n">
        <v>45798</v>
      </c>
      <c r="C378" s="1" t="n">
        <v>46169</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40292-2025</t>
        </is>
      </c>
      <c r="B379" s="1" t="n">
        <v>45895.3867824074</v>
      </c>
      <c r="C379" s="1" t="n">
        <v>46169</v>
      </c>
      <c r="D379" t="inlineStr">
        <is>
          <t>STOCKHOLMS LÄN</t>
        </is>
      </c>
      <c r="E379" t="inlineStr">
        <is>
          <t>NORRTÄLJE</t>
        </is>
      </c>
      <c r="G379" t="n">
        <v>3.5</v>
      </c>
      <c r="H379" t="n">
        <v>0</v>
      </c>
      <c r="I379" t="n">
        <v>0</v>
      </c>
      <c r="J379" t="n">
        <v>0</v>
      </c>
      <c r="K379" t="n">
        <v>0</v>
      </c>
      <c r="L379" t="n">
        <v>0</v>
      </c>
      <c r="M379" t="n">
        <v>0</v>
      </c>
      <c r="N379" t="n">
        <v>0</v>
      </c>
      <c r="O379" t="n">
        <v>0</v>
      </c>
      <c r="P379" t="n">
        <v>0</v>
      </c>
      <c r="Q379" t="n">
        <v>0</v>
      </c>
      <c r="R379" s="2" t="inlineStr"/>
    </row>
    <row r="380" ht="15" customHeight="1">
      <c r="A380" t="inlineStr">
        <is>
          <t>A 40294-2025</t>
        </is>
      </c>
      <c r="B380" s="1" t="n">
        <v>45895.38778935185</v>
      </c>
      <c r="C380" s="1" t="n">
        <v>46169</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40228-2025</t>
        </is>
      </c>
      <c r="B381" s="1" t="n">
        <v>45894.70854166667</v>
      </c>
      <c r="C381" s="1" t="n">
        <v>46169</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41976-2024</t>
        </is>
      </c>
      <c r="B382" s="1" t="n">
        <v>45561.62141203704</v>
      </c>
      <c r="C382" s="1" t="n">
        <v>46169</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51325-2023</t>
        </is>
      </c>
      <c r="B383" s="1" t="n">
        <v>45219</v>
      </c>
      <c r="C383" s="1" t="n">
        <v>46169</v>
      </c>
      <c r="D383" t="inlineStr">
        <is>
          <t>STOCKHOLMS LÄN</t>
        </is>
      </c>
      <c r="E383" t="inlineStr">
        <is>
          <t>NORRTÄLJE</t>
        </is>
      </c>
      <c r="G383" t="n">
        <v>2.2</v>
      </c>
      <c r="H383" t="n">
        <v>0</v>
      </c>
      <c r="I383" t="n">
        <v>0</v>
      </c>
      <c r="J383" t="n">
        <v>0</v>
      </c>
      <c r="K383" t="n">
        <v>0</v>
      </c>
      <c r="L383" t="n">
        <v>0</v>
      </c>
      <c r="M383" t="n">
        <v>0</v>
      </c>
      <c r="N383" t="n">
        <v>0</v>
      </c>
      <c r="O383" t="n">
        <v>0</v>
      </c>
      <c r="P383" t="n">
        <v>0</v>
      </c>
      <c r="Q383" t="n">
        <v>0</v>
      </c>
      <c r="R383" s="2" t="inlineStr"/>
    </row>
    <row r="384" ht="15" customHeight="1">
      <c r="A384" t="inlineStr">
        <is>
          <t>A 59534-2024</t>
        </is>
      </c>
      <c r="B384" s="1" t="n">
        <v>45638.5987037037</v>
      </c>
      <c r="C384" s="1" t="n">
        <v>46169</v>
      </c>
      <c r="D384" t="inlineStr">
        <is>
          <t>STOCKHOLMS LÄN</t>
        </is>
      </c>
      <c r="E384" t="inlineStr">
        <is>
          <t>NORRTÄLJE</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31107-2022</t>
        </is>
      </c>
      <c r="B385" s="1" t="n">
        <v>44769.66864583334</v>
      </c>
      <c r="C385" s="1" t="n">
        <v>46169</v>
      </c>
      <c r="D385" t="inlineStr">
        <is>
          <t>STOCKHOLMS LÄN</t>
        </is>
      </c>
      <c r="E385" t="inlineStr">
        <is>
          <t>NORRTÄLJE</t>
        </is>
      </c>
      <c r="G385" t="n">
        <v>3.8</v>
      </c>
      <c r="H385" t="n">
        <v>0</v>
      </c>
      <c r="I385" t="n">
        <v>0</v>
      </c>
      <c r="J385" t="n">
        <v>0</v>
      </c>
      <c r="K385" t="n">
        <v>0</v>
      </c>
      <c r="L385" t="n">
        <v>0</v>
      </c>
      <c r="M385" t="n">
        <v>0</v>
      </c>
      <c r="N385" t="n">
        <v>0</v>
      </c>
      <c r="O385" t="n">
        <v>0</v>
      </c>
      <c r="P385" t="n">
        <v>0</v>
      </c>
      <c r="Q385" t="n">
        <v>0</v>
      </c>
      <c r="R385" s="2" t="inlineStr"/>
    </row>
    <row r="386" ht="15" customHeight="1">
      <c r="A386" t="inlineStr">
        <is>
          <t>A 13860-2023</t>
        </is>
      </c>
      <c r="B386" s="1" t="n">
        <v>45007</v>
      </c>
      <c r="C386" s="1" t="n">
        <v>46169</v>
      </c>
      <c r="D386" t="inlineStr">
        <is>
          <t>STOCKHOLMS LÄN</t>
        </is>
      </c>
      <c r="E386" t="inlineStr">
        <is>
          <t>NORRTÄLJE</t>
        </is>
      </c>
      <c r="G386" t="n">
        <v>1.6</v>
      </c>
      <c r="H386" t="n">
        <v>0</v>
      </c>
      <c r="I386" t="n">
        <v>0</v>
      </c>
      <c r="J386" t="n">
        <v>0</v>
      </c>
      <c r="K386" t="n">
        <v>0</v>
      </c>
      <c r="L386" t="n">
        <v>0</v>
      </c>
      <c r="M386" t="n">
        <v>0</v>
      </c>
      <c r="N386" t="n">
        <v>0</v>
      </c>
      <c r="O386" t="n">
        <v>0</v>
      </c>
      <c r="P386" t="n">
        <v>0</v>
      </c>
      <c r="Q386" t="n">
        <v>0</v>
      </c>
      <c r="R386" s="2" t="inlineStr"/>
    </row>
    <row r="387" ht="15" customHeight="1">
      <c r="A387" t="inlineStr">
        <is>
          <t>A 28603-2024</t>
        </is>
      </c>
      <c r="B387" s="1" t="n">
        <v>45478.42887731481</v>
      </c>
      <c r="C387" s="1" t="n">
        <v>46169</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6855-2025</t>
        </is>
      </c>
      <c r="B388" s="1" t="n">
        <v>45700</v>
      </c>
      <c r="C388" s="1" t="n">
        <v>46169</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40230-2025</t>
        </is>
      </c>
      <c r="B389" s="1" t="n">
        <v>45894.71101851852</v>
      </c>
      <c r="C389" s="1" t="n">
        <v>46169</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40217-2025</t>
        </is>
      </c>
      <c r="B390" s="1" t="n">
        <v>45894.68864583333</v>
      </c>
      <c r="C390" s="1" t="n">
        <v>46169</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52061-2025</t>
        </is>
      </c>
      <c r="B391" s="1" t="n">
        <v>45952.63679398148</v>
      </c>
      <c r="C391" s="1" t="n">
        <v>46169</v>
      </c>
      <c r="D391" t="inlineStr">
        <is>
          <t>STOCKHOLMS LÄN</t>
        </is>
      </c>
      <c r="E391" t="inlineStr">
        <is>
          <t>NORRTÄLJE</t>
        </is>
      </c>
      <c r="G391" t="n">
        <v>9.5</v>
      </c>
      <c r="H391" t="n">
        <v>0</v>
      </c>
      <c r="I391" t="n">
        <v>0</v>
      </c>
      <c r="J391" t="n">
        <v>0</v>
      </c>
      <c r="K391" t="n">
        <v>0</v>
      </c>
      <c r="L391" t="n">
        <v>0</v>
      </c>
      <c r="M391" t="n">
        <v>0</v>
      </c>
      <c r="N391" t="n">
        <v>0</v>
      </c>
      <c r="O391" t="n">
        <v>0</v>
      </c>
      <c r="P391" t="n">
        <v>0</v>
      </c>
      <c r="Q391" t="n">
        <v>0</v>
      </c>
      <c r="R391" s="2" t="inlineStr"/>
    </row>
    <row r="392" ht="15" customHeight="1">
      <c r="A392" t="inlineStr">
        <is>
          <t>A 51945-2025</t>
        </is>
      </c>
      <c r="B392" s="1" t="n">
        <v>45952.52679398148</v>
      </c>
      <c r="C392" s="1" t="n">
        <v>46169</v>
      </c>
      <c r="D392" t="inlineStr">
        <is>
          <t>STOCKHOLMS LÄN</t>
        </is>
      </c>
      <c r="E392" t="inlineStr">
        <is>
          <t>NORRTÄLJE</t>
        </is>
      </c>
      <c r="G392" t="n">
        <v>7</v>
      </c>
      <c r="H392" t="n">
        <v>0</v>
      </c>
      <c r="I392" t="n">
        <v>0</v>
      </c>
      <c r="J392" t="n">
        <v>0</v>
      </c>
      <c r="K392" t="n">
        <v>0</v>
      </c>
      <c r="L392" t="n">
        <v>0</v>
      </c>
      <c r="M392" t="n">
        <v>0</v>
      </c>
      <c r="N392" t="n">
        <v>0</v>
      </c>
      <c r="O392" t="n">
        <v>0</v>
      </c>
      <c r="P392" t="n">
        <v>0</v>
      </c>
      <c r="Q392" t="n">
        <v>0</v>
      </c>
      <c r="R392" s="2" t="inlineStr"/>
    </row>
    <row r="393" ht="15" customHeight="1">
      <c r="A393" t="inlineStr">
        <is>
          <t>A 13314-2025</t>
        </is>
      </c>
      <c r="B393" s="1" t="n">
        <v>45735.59287037037</v>
      </c>
      <c r="C393" s="1" t="n">
        <v>46169</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40097-2025</t>
        </is>
      </c>
      <c r="B394" s="1" t="n">
        <v>45894.48322916667</v>
      </c>
      <c r="C394" s="1" t="n">
        <v>46169</v>
      </c>
      <c r="D394" t="inlineStr">
        <is>
          <t>STOCKHOLMS LÄN</t>
        </is>
      </c>
      <c r="E394" t="inlineStr">
        <is>
          <t>NORRTÄLJE</t>
        </is>
      </c>
      <c r="G394" t="n">
        <v>3</v>
      </c>
      <c r="H394" t="n">
        <v>0</v>
      </c>
      <c r="I394" t="n">
        <v>0</v>
      </c>
      <c r="J394" t="n">
        <v>0</v>
      </c>
      <c r="K394" t="n">
        <v>0</v>
      </c>
      <c r="L394" t="n">
        <v>0</v>
      </c>
      <c r="M394" t="n">
        <v>0</v>
      </c>
      <c r="N394" t="n">
        <v>0</v>
      </c>
      <c r="O394" t="n">
        <v>0</v>
      </c>
      <c r="P394" t="n">
        <v>0</v>
      </c>
      <c r="Q394" t="n">
        <v>0</v>
      </c>
      <c r="R394" s="2" t="inlineStr"/>
    </row>
    <row r="395" ht="15" customHeight="1">
      <c r="A395" t="inlineStr">
        <is>
          <t>A 40829-2025</t>
        </is>
      </c>
      <c r="B395" s="1" t="n">
        <v>45897.50802083333</v>
      </c>
      <c r="C395" s="1" t="n">
        <v>46169</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40837-2025</t>
        </is>
      </c>
      <c r="B396" s="1" t="n">
        <v>45897.51328703704</v>
      </c>
      <c r="C396" s="1" t="n">
        <v>46169</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24690-2025</t>
        </is>
      </c>
      <c r="B397" s="1" t="n">
        <v>45798.67082175926</v>
      </c>
      <c r="C397" s="1" t="n">
        <v>46169</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40529-2025</t>
        </is>
      </c>
      <c r="B398" s="1" t="n">
        <v>45896.38466435186</v>
      </c>
      <c r="C398" s="1" t="n">
        <v>46169</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40831-2025</t>
        </is>
      </c>
      <c r="B399" s="1" t="n">
        <v>45897.51077546296</v>
      </c>
      <c r="C399" s="1" t="n">
        <v>46169</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47259-2024</t>
        </is>
      </c>
      <c r="B400" s="1" t="n">
        <v>45586</v>
      </c>
      <c r="C400" s="1" t="n">
        <v>46169</v>
      </c>
      <c r="D400" t="inlineStr">
        <is>
          <t>STOCKHOLMS LÄN</t>
        </is>
      </c>
      <c r="E400" t="inlineStr">
        <is>
          <t>NORRTÄLJE</t>
        </is>
      </c>
      <c r="G400" t="n">
        <v>1.8</v>
      </c>
      <c r="H400" t="n">
        <v>0</v>
      </c>
      <c r="I400" t="n">
        <v>0</v>
      </c>
      <c r="J400" t="n">
        <v>0</v>
      </c>
      <c r="K400" t="n">
        <v>0</v>
      </c>
      <c r="L400" t="n">
        <v>0</v>
      </c>
      <c r="M400" t="n">
        <v>0</v>
      </c>
      <c r="N400" t="n">
        <v>0</v>
      </c>
      <c r="O400" t="n">
        <v>0</v>
      </c>
      <c r="P400" t="n">
        <v>0</v>
      </c>
      <c r="Q400" t="n">
        <v>0</v>
      </c>
      <c r="R400" s="2" t="inlineStr"/>
    </row>
    <row r="401" ht="15" customHeight="1">
      <c r="A401" t="inlineStr">
        <is>
          <t>A 34432-2021</t>
        </is>
      </c>
      <c r="B401" s="1" t="n">
        <v>44380.77346064815</v>
      </c>
      <c r="C401" s="1" t="n">
        <v>46169</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25702-2025</t>
        </is>
      </c>
      <c r="B402" s="1" t="n">
        <v>45800</v>
      </c>
      <c r="C402" s="1" t="n">
        <v>46169</v>
      </c>
      <c r="D402" t="inlineStr">
        <is>
          <t>STOCKHOLMS LÄN</t>
        </is>
      </c>
      <c r="E402" t="inlineStr">
        <is>
          <t>NORRTÄLJE</t>
        </is>
      </c>
      <c r="G402" t="n">
        <v>5.3</v>
      </c>
      <c r="H402" t="n">
        <v>0</v>
      </c>
      <c r="I402" t="n">
        <v>0</v>
      </c>
      <c r="J402" t="n">
        <v>0</v>
      </c>
      <c r="K402" t="n">
        <v>0</v>
      </c>
      <c r="L402" t="n">
        <v>0</v>
      </c>
      <c r="M402" t="n">
        <v>0</v>
      </c>
      <c r="N402" t="n">
        <v>0</v>
      </c>
      <c r="O402" t="n">
        <v>0</v>
      </c>
      <c r="P402" t="n">
        <v>0</v>
      </c>
      <c r="Q402" t="n">
        <v>0</v>
      </c>
      <c r="R402" s="2" t="inlineStr"/>
    </row>
    <row r="403" ht="15" customHeight="1">
      <c r="A403" t="inlineStr">
        <is>
          <t>A 25712-2025</t>
        </is>
      </c>
      <c r="B403" s="1" t="n">
        <v>45803.69228009259</v>
      </c>
      <c r="C403" s="1" t="n">
        <v>46169</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25733-2025</t>
        </is>
      </c>
      <c r="B404" s="1" t="n">
        <v>45800</v>
      </c>
      <c r="C404" s="1" t="n">
        <v>46169</v>
      </c>
      <c r="D404" t="inlineStr">
        <is>
          <t>STOCKHOLMS LÄN</t>
        </is>
      </c>
      <c r="E404" t="inlineStr">
        <is>
          <t>NORRTÄLJE</t>
        </is>
      </c>
      <c r="G404" t="n">
        <v>2.2</v>
      </c>
      <c r="H404" t="n">
        <v>0</v>
      </c>
      <c r="I404" t="n">
        <v>0</v>
      </c>
      <c r="J404" t="n">
        <v>0</v>
      </c>
      <c r="K404" t="n">
        <v>0</v>
      </c>
      <c r="L404" t="n">
        <v>0</v>
      </c>
      <c r="M404" t="n">
        <v>0</v>
      </c>
      <c r="N404" t="n">
        <v>0</v>
      </c>
      <c r="O404" t="n">
        <v>0</v>
      </c>
      <c r="P404" t="n">
        <v>0</v>
      </c>
      <c r="Q404" t="n">
        <v>0</v>
      </c>
      <c r="R404" s="2" t="inlineStr"/>
    </row>
    <row r="405" ht="15" customHeight="1">
      <c r="A405" t="inlineStr">
        <is>
          <t>A 39238-2024</t>
        </is>
      </c>
      <c r="B405" s="1" t="n">
        <v>45549</v>
      </c>
      <c r="C405" s="1" t="n">
        <v>46169</v>
      </c>
      <c r="D405" t="inlineStr">
        <is>
          <t>STOCKHOLMS LÄN</t>
        </is>
      </c>
      <c r="E405" t="inlineStr">
        <is>
          <t>NORRTÄLJE</t>
        </is>
      </c>
      <c r="G405" t="n">
        <v>3.6</v>
      </c>
      <c r="H405" t="n">
        <v>0</v>
      </c>
      <c r="I405" t="n">
        <v>0</v>
      </c>
      <c r="J405" t="n">
        <v>0</v>
      </c>
      <c r="K405" t="n">
        <v>0</v>
      </c>
      <c r="L405" t="n">
        <v>0</v>
      </c>
      <c r="M405" t="n">
        <v>0</v>
      </c>
      <c r="N405" t="n">
        <v>0</v>
      </c>
      <c r="O405" t="n">
        <v>0</v>
      </c>
      <c r="P405" t="n">
        <v>0</v>
      </c>
      <c r="Q405" t="n">
        <v>0</v>
      </c>
      <c r="R405" s="2" t="inlineStr"/>
    </row>
    <row r="406" ht="15" customHeight="1">
      <c r="A406" t="inlineStr">
        <is>
          <t>A 25571-2025</t>
        </is>
      </c>
      <c r="B406" s="1" t="n">
        <v>45803.4675</v>
      </c>
      <c r="C406" s="1" t="n">
        <v>46169</v>
      </c>
      <c r="D406" t="inlineStr">
        <is>
          <t>STOCKHOLMS LÄN</t>
        </is>
      </c>
      <c r="E406" t="inlineStr">
        <is>
          <t>NORRTÄLJE</t>
        </is>
      </c>
      <c r="G406" t="n">
        <v>5.4</v>
      </c>
      <c r="H406" t="n">
        <v>0</v>
      </c>
      <c r="I406" t="n">
        <v>0</v>
      </c>
      <c r="J406" t="n">
        <v>0</v>
      </c>
      <c r="K406" t="n">
        <v>0</v>
      </c>
      <c r="L406" t="n">
        <v>0</v>
      </c>
      <c r="M406" t="n">
        <v>0</v>
      </c>
      <c r="N406" t="n">
        <v>0</v>
      </c>
      <c r="O406" t="n">
        <v>0</v>
      </c>
      <c r="P406" t="n">
        <v>0</v>
      </c>
      <c r="Q406" t="n">
        <v>0</v>
      </c>
      <c r="R406" s="2" t="inlineStr"/>
    </row>
    <row r="407" ht="15" customHeight="1">
      <c r="A407" t="inlineStr">
        <is>
          <t>A 25721-2025</t>
        </is>
      </c>
      <c r="B407" s="1" t="n">
        <v>45800</v>
      </c>
      <c r="C407" s="1" t="n">
        <v>46169</v>
      </c>
      <c r="D407" t="inlineStr">
        <is>
          <t>STOCKHOLMS LÄN</t>
        </is>
      </c>
      <c r="E407" t="inlineStr">
        <is>
          <t>NORRTÄLJE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41158-2025</t>
        </is>
      </c>
      <c r="B408" s="1" t="n">
        <v>45898.5315625</v>
      </c>
      <c r="C408" s="1" t="n">
        <v>46169</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25697-2025</t>
        </is>
      </c>
      <c r="B409" s="1" t="n">
        <v>45803.66587962963</v>
      </c>
      <c r="C409" s="1" t="n">
        <v>46169</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41218-2024</t>
        </is>
      </c>
      <c r="B410" s="1" t="n">
        <v>45559.54706018518</v>
      </c>
      <c r="C410" s="1" t="n">
        <v>46169</v>
      </c>
      <c r="D410" t="inlineStr">
        <is>
          <t>STOCKHOLMS LÄN</t>
        </is>
      </c>
      <c r="E410" t="inlineStr">
        <is>
          <t>NORRTÄLJE</t>
        </is>
      </c>
      <c r="G410" t="n">
        <v>6</v>
      </c>
      <c r="H410" t="n">
        <v>0</v>
      </c>
      <c r="I410" t="n">
        <v>0</v>
      </c>
      <c r="J410" t="n">
        <v>0</v>
      </c>
      <c r="K410" t="n">
        <v>0</v>
      </c>
      <c r="L410" t="n">
        <v>0</v>
      </c>
      <c r="M410" t="n">
        <v>0</v>
      </c>
      <c r="N410" t="n">
        <v>0</v>
      </c>
      <c r="O410" t="n">
        <v>0</v>
      </c>
      <c r="P410" t="n">
        <v>0</v>
      </c>
      <c r="Q410" t="n">
        <v>0</v>
      </c>
      <c r="R410" s="2" t="inlineStr"/>
    </row>
    <row r="411" ht="15" customHeight="1">
      <c r="A411" t="inlineStr">
        <is>
          <t>A 15733-2025</t>
        </is>
      </c>
      <c r="B411" s="1" t="n">
        <v>45748</v>
      </c>
      <c r="C411" s="1" t="n">
        <v>46169</v>
      </c>
      <c r="D411" t="inlineStr">
        <is>
          <t>STOCKHOLMS LÄN</t>
        </is>
      </c>
      <c r="E411" t="inlineStr">
        <is>
          <t>NORRTÄLJE</t>
        </is>
      </c>
      <c r="G411" t="n">
        <v>13.3</v>
      </c>
      <c r="H411" t="n">
        <v>0</v>
      </c>
      <c r="I411" t="n">
        <v>0</v>
      </c>
      <c r="J411" t="n">
        <v>0</v>
      </c>
      <c r="K411" t="n">
        <v>0</v>
      </c>
      <c r="L411" t="n">
        <v>0</v>
      </c>
      <c r="M411" t="n">
        <v>0</v>
      </c>
      <c r="N411" t="n">
        <v>0</v>
      </c>
      <c r="O411" t="n">
        <v>0</v>
      </c>
      <c r="P411" t="n">
        <v>0</v>
      </c>
      <c r="Q411" t="n">
        <v>0</v>
      </c>
      <c r="R411" s="2" t="inlineStr"/>
    </row>
    <row r="412" ht="15" customHeight="1">
      <c r="A412" t="inlineStr">
        <is>
          <t>A 19058-2024</t>
        </is>
      </c>
      <c r="B412" s="1" t="n">
        <v>45427.89121527778</v>
      </c>
      <c r="C412" s="1" t="n">
        <v>46169</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23149-2024</t>
        </is>
      </c>
      <c r="B413" s="1" t="n">
        <v>45450.64208333333</v>
      </c>
      <c r="C413" s="1" t="n">
        <v>46169</v>
      </c>
      <c r="D413" t="inlineStr">
        <is>
          <t>STOCKHOLMS LÄN</t>
        </is>
      </c>
      <c r="E413" t="inlineStr">
        <is>
          <t>NORRTÄLJE</t>
        </is>
      </c>
      <c r="F413" t="inlineStr">
        <is>
          <t>Kommuner</t>
        </is>
      </c>
      <c r="G413" t="n">
        <v>1.3</v>
      </c>
      <c r="H413" t="n">
        <v>0</v>
      </c>
      <c r="I413" t="n">
        <v>0</v>
      </c>
      <c r="J413" t="n">
        <v>0</v>
      </c>
      <c r="K413" t="n">
        <v>0</v>
      </c>
      <c r="L413" t="n">
        <v>0</v>
      </c>
      <c r="M413" t="n">
        <v>0</v>
      </c>
      <c r="N413" t="n">
        <v>0</v>
      </c>
      <c r="O413" t="n">
        <v>0</v>
      </c>
      <c r="P413" t="n">
        <v>0</v>
      </c>
      <c r="Q413" t="n">
        <v>0</v>
      </c>
      <c r="R413" s="2" t="inlineStr"/>
    </row>
    <row r="414" ht="15" customHeight="1">
      <c r="A414" t="inlineStr">
        <is>
          <t>A 23151-2024</t>
        </is>
      </c>
      <c r="B414" s="1" t="n">
        <v>45450</v>
      </c>
      <c r="C414" s="1" t="n">
        <v>46169</v>
      </c>
      <c r="D414" t="inlineStr">
        <is>
          <t>STOCKHOLMS LÄN</t>
        </is>
      </c>
      <c r="E414" t="inlineStr">
        <is>
          <t>NORRTÄLJE</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41053-2025</t>
        </is>
      </c>
      <c r="B415" s="1" t="n">
        <v>45898.40480324074</v>
      </c>
      <c r="C415" s="1" t="n">
        <v>46169</v>
      </c>
      <c r="D415" t="inlineStr">
        <is>
          <t>STOCKHOLMS LÄN</t>
        </is>
      </c>
      <c r="E415" t="inlineStr">
        <is>
          <t>NORRTÄLJE</t>
        </is>
      </c>
      <c r="F415" t="inlineStr">
        <is>
          <t>Holmen skog AB</t>
        </is>
      </c>
      <c r="G415" t="n">
        <v>2.5</v>
      </c>
      <c r="H415" t="n">
        <v>0</v>
      </c>
      <c r="I415" t="n">
        <v>0</v>
      </c>
      <c r="J415" t="n">
        <v>0</v>
      </c>
      <c r="K415" t="n">
        <v>0</v>
      </c>
      <c r="L415" t="n">
        <v>0</v>
      </c>
      <c r="M415" t="n">
        <v>0</v>
      </c>
      <c r="N415" t="n">
        <v>0</v>
      </c>
      <c r="O415" t="n">
        <v>0</v>
      </c>
      <c r="P415" t="n">
        <v>0</v>
      </c>
      <c r="Q415" t="n">
        <v>0</v>
      </c>
      <c r="R415" s="2" t="inlineStr"/>
    </row>
    <row r="416" ht="15" customHeight="1">
      <c r="A416" t="inlineStr">
        <is>
          <t>A 41275-2025</t>
        </is>
      </c>
      <c r="B416" s="1" t="n">
        <v>45898.62625</v>
      </c>
      <c r="C416" s="1" t="n">
        <v>46169</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41272-2025</t>
        </is>
      </c>
      <c r="B417" s="1" t="n">
        <v>45898.62373842593</v>
      </c>
      <c r="C417" s="1" t="n">
        <v>46169</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38449-2022</t>
        </is>
      </c>
      <c r="B418" s="1" t="n">
        <v>44813</v>
      </c>
      <c r="C418" s="1" t="n">
        <v>46169</v>
      </c>
      <c r="D418" t="inlineStr">
        <is>
          <t>STOCKHOLMS LÄN</t>
        </is>
      </c>
      <c r="E418" t="inlineStr">
        <is>
          <t>NORRTÄLJE</t>
        </is>
      </c>
      <c r="G418" t="n">
        <v>4.2</v>
      </c>
      <c r="H418" t="n">
        <v>0</v>
      </c>
      <c r="I418" t="n">
        <v>0</v>
      </c>
      <c r="J418" t="n">
        <v>0</v>
      </c>
      <c r="K418" t="n">
        <v>0</v>
      </c>
      <c r="L418" t="n">
        <v>0</v>
      </c>
      <c r="M418" t="n">
        <v>0</v>
      </c>
      <c r="N418" t="n">
        <v>0</v>
      </c>
      <c r="O418" t="n">
        <v>0</v>
      </c>
      <c r="P418" t="n">
        <v>0</v>
      </c>
      <c r="Q418" t="n">
        <v>0</v>
      </c>
      <c r="R418" s="2" t="inlineStr"/>
    </row>
    <row r="419" ht="15" customHeight="1">
      <c r="A419" t="inlineStr">
        <is>
          <t>A 41301-2025</t>
        </is>
      </c>
      <c r="B419" s="1" t="n">
        <v>45898.68826388889</v>
      </c>
      <c r="C419" s="1" t="n">
        <v>46169</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52001-2023</t>
        </is>
      </c>
      <c r="B420" s="1" t="n">
        <v>45223</v>
      </c>
      <c r="C420" s="1" t="n">
        <v>46169</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41174-2025</t>
        </is>
      </c>
      <c r="B421" s="1" t="n">
        <v>45898.54921296296</v>
      </c>
      <c r="C421" s="1" t="n">
        <v>46169</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60185-2024</t>
        </is>
      </c>
      <c r="B422" s="1" t="n">
        <v>45642.64634259259</v>
      </c>
      <c r="C422" s="1" t="n">
        <v>46169</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41030-2025</t>
        </is>
      </c>
      <c r="B423" s="1" t="n">
        <v>45898.37636574074</v>
      </c>
      <c r="C423" s="1" t="n">
        <v>46169</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53561-2023</t>
        </is>
      </c>
      <c r="B424" s="1" t="n">
        <v>45224</v>
      </c>
      <c r="C424" s="1" t="n">
        <v>46169</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48686-2023</t>
        </is>
      </c>
      <c r="B425" s="1" t="n">
        <v>45208</v>
      </c>
      <c r="C425" s="1" t="n">
        <v>46169</v>
      </c>
      <c r="D425" t="inlineStr">
        <is>
          <t>STOCKHOLMS LÄN</t>
        </is>
      </c>
      <c r="E425" t="inlineStr">
        <is>
          <t>NORRTÄLJE</t>
        </is>
      </c>
      <c r="G425" t="n">
        <v>6</v>
      </c>
      <c r="H425" t="n">
        <v>0</v>
      </c>
      <c r="I425" t="n">
        <v>0</v>
      </c>
      <c r="J425" t="n">
        <v>0</v>
      </c>
      <c r="K425" t="n">
        <v>0</v>
      </c>
      <c r="L425" t="n">
        <v>0</v>
      </c>
      <c r="M425" t="n">
        <v>0</v>
      </c>
      <c r="N425" t="n">
        <v>0</v>
      </c>
      <c r="O425" t="n">
        <v>0</v>
      </c>
      <c r="P425" t="n">
        <v>0</v>
      </c>
      <c r="Q425" t="n">
        <v>0</v>
      </c>
      <c r="R425" s="2" t="inlineStr"/>
    </row>
    <row r="426" ht="15" customHeight="1">
      <c r="A426" t="inlineStr">
        <is>
          <t>A 48691-2023</t>
        </is>
      </c>
      <c r="B426" s="1" t="n">
        <v>45208</v>
      </c>
      <c r="C426" s="1" t="n">
        <v>46169</v>
      </c>
      <c r="D426" t="inlineStr">
        <is>
          <t>STOCKHOLMS LÄN</t>
        </is>
      </c>
      <c r="E426" t="inlineStr">
        <is>
          <t>NORRTÄLJE</t>
        </is>
      </c>
      <c r="G426" t="n">
        <v>5.8</v>
      </c>
      <c r="H426" t="n">
        <v>0</v>
      </c>
      <c r="I426" t="n">
        <v>0</v>
      </c>
      <c r="J426" t="n">
        <v>0</v>
      </c>
      <c r="K426" t="n">
        <v>0</v>
      </c>
      <c r="L426" t="n">
        <v>0</v>
      </c>
      <c r="M426" t="n">
        <v>0</v>
      </c>
      <c r="N426" t="n">
        <v>0</v>
      </c>
      <c r="O426" t="n">
        <v>0</v>
      </c>
      <c r="P426" t="n">
        <v>0</v>
      </c>
      <c r="Q426" t="n">
        <v>0</v>
      </c>
      <c r="R426" s="2" t="inlineStr"/>
    </row>
    <row r="427" ht="15" customHeight="1">
      <c r="A427" t="inlineStr">
        <is>
          <t>A 41036-2025</t>
        </is>
      </c>
      <c r="B427" s="1" t="n">
        <v>45898.38552083333</v>
      </c>
      <c r="C427" s="1" t="n">
        <v>46169</v>
      </c>
      <c r="D427" t="inlineStr">
        <is>
          <t>STOCKHOLMS LÄN</t>
        </is>
      </c>
      <c r="E427" t="inlineStr">
        <is>
          <t>NORRTÄLJE</t>
        </is>
      </c>
      <c r="F427" t="inlineStr">
        <is>
          <t>Holmen skog AB</t>
        </is>
      </c>
      <c r="G427" t="n">
        <v>2.7</v>
      </c>
      <c r="H427" t="n">
        <v>0</v>
      </c>
      <c r="I427" t="n">
        <v>0</v>
      </c>
      <c r="J427" t="n">
        <v>0</v>
      </c>
      <c r="K427" t="n">
        <v>0</v>
      </c>
      <c r="L427" t="n">
        <v>0</v>
      </c>
      <c r="M427" t="n">
        <v>0</v>
      </c>
      <c r="N427" t="n">
        <v>0</v>
      </c>
      <c r="O427" t="n">
        <v>0</v>
      </c>
      <c r="P427" t="n">
        <v>0</v>
      </c>
      <c r="Q427" t="n">
        <v>0</v>
      </c>
      <c r="R427" s="2" t="inlineStr"/>
    </row>
    <row r="428" ht="15" customHeight="1">
      <c r="A428" t="inlineStr">
        <is>
          <t>A 41106-2025</t>
        </is>
      </c>
      <c r="B428" s="1" t="n">
        <v>45898.45636574074</v>
      </c>
      <c r="C428" s="1" t="n">
        <v>46169</v>
      </c>
      <c r="D428" t="inlineStr">
        <is>
          <t>STOCKHOLMS LÄN</t>
        </is>
      </c>
      <c r="E428" t="inlineStr">
        <is>
          <t>NORRTÄLJE</t>
        </is>
      </c>
      <c r="G428" t="n">
        <v>2.6</v>
      </c>
      <c r="H428" t="n">
        <v>0</v>
      </c>
      <c r="I428" t="n">
        <v>0</v>
      </c>
      <c r="J428" t="n">
        <v>0</v>
      </c>
      <c r="K428" t="n">
        <v>0</v>
      </c>
      <c r="L428" t="n">
        <v>0</v>
      </c>
      <c r="M428" t="n">
        <v>0</v>
      </c>
      <c r="N428" t="n">
        <v>0</v>
      </c>
      <c r="O428" t="n">
        <v>0</v>
      </c>
      <c r="P428" t="n">
        <v>0</v>
      </c>
      <c r="Q428" t="n">
        <v>0</v>
      </c>
      <c r="R428" s="2" t="inlineStr"/>
    </row>
    <row r="429" ht="15" customHeight="1">
      <c r="A429" t="inlineStr">
        <is>
          <t>A 41110-2025</t>
        </is>
      </c>
      <c r="B429" s="1" t="n">
        <v>45898.45976851852</v>
      </c>
      <c r="C429" s="1" t="n">
        <v>46169</v>
      </c>
      <c r="D429" t="inlineStr">
        <is>
          <t>STOCKHOLMS LÄN</t>
        </is>
      </c>
      <c r="E429" t="inlineStr">
        <is>
          <t>NORRTÄLJE</t>
        </is>
      </c>
      <c r="F429" t="inlineStr">
        <is>
          <t>Holmen skog AB</t>
        </is>
      </c>
      <c r="G429" t="n">
        <v>6.7</v>
      </c>
      <c r="H429" t="n">
        <v>0</v>
      </c>
      <c r="I429" t="n">
        <v>0</v>
      </c>
      <c r="J429" t="n">
        <v>0</v>
      </c>
      <c r="K429" t="n">
        <v>0</v>
      </c>
      <c r="L429" t="n">
        <v>0</v>
      </c>
      <c r="M429" t="n">
        <v>0</v>
      </c>
      <c r="N429" t="n">
        <v>0</v>
      </c>
      <c r="O429" t="n">
        <v>0</v>
      </c>
      <c r="P429" t="n">
        <v>0</v>
      </c>
      <c r="Q429" t="n">
        <v>0</v>
      </c>
      <c r="R429" s="2" t="inlineStr"/>
    </row>
    <row r="430" ht="15" customHeight="1">
      <c r="A430" t="inlineStr">
        <is>
          <t>A 41259-2025</t>
        </is>
      </c>
      <c r="B430" s="1" t="n">
        <v>45898.61054398148</v>
      </c>
      <c r="C430" s="1" t="n">
        <v>46169</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52251-2025</t>
        </is>
      </c>
      <c r="B431" s="1" t="n">
        <v>45953.49185185185</v>
      </c>
      <c r="C431" s="1" t="n">
        <v>46169</v>
      </c>
      <c r="D431" t="inlineStr">
        <is>
          <t>STOCKHOLMS LÄN</t>
        </is>
      </c>
      <c r="E431" t="inlineStr">
        <is>
          <t>NORRTÄLJE</t>
        </is>
      </c>
      <c r="G431" t="n">
        <v>6.2</v>
      </c>
      <c r="H431" t="n">
        <v>0</v>
      </c>
      <c r="I431" t="n">
        <v>0</v>
      </c>
      <c r="J431" t="n">
        <v>0</v>
      </c>
      <c r="K431" t="n">
        <v>0</v>
      </c>
      <c r="L431" t="n">
        <v>0</v>
      </c>
      <c r="M431" t="n">
        <v>0</v>
      </c>
      <c r="N431" t="n">
        <v>0</v>
      </c>
      <c r="O431" t="n">
        <v>0</v>
      </c>
      <c r="P431" t="n">
        <v>0</v>
      </c>
      <c r="Q431" t="n">
        <v>0</v>
      </c>
      <c r="R431" s="2" t="inlineStr"/>
    </row>
    <row r="432" ht="15" customHeight="1">
      <c r="A432" t="inlineStr">
        <is>
          <t>A 52254-2025</t>
        </is>
      </c>
      <c r="B432" s="1" t="n">
        <v>45953.49519675926</v>
      </c>
      <c r="C432" s="1" t="n">
        <v>46169</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10511-2025</t>
        </is>
      </c>
      <c r="B433" s="1" t="n">
        <v>45721.40780092592</v>
      </c>
      <c r="C433" s="1" t="n">
        <v>46169</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26051-2025</t>
        </is>
      </c>
      <c r="B434" s="1" t="n">
        <v>45804.74479166666</v>
      </c>
      <c r="C434" s="1" t="n">
        <v>46169</v>
      </c>
      <c r="D434" t="inlineStr">
        <is>
          <t>STOCKHOLMS LÄN</t>
        </is>
      </c>
      <c r="E434" t="inlineStr">
        <is>
          <t>NORRTÄLJE</t>
        </is>
      </c>
      <c r="G434" t="n">
        <v>3.2</v>
      </c>
      <c r="H434" t="n">
        <v>0</v>
      </c>
      <c r="I434" t="n">
        <v>0</v>
      </c>
      <c r="J434" t="n">
        <v>0</v>
      </c>
      <c r="K434" t="n">
        <v>0</v>
      </c>
      <c r="L434" t="n">
        <v>0</v>
      </c>
      <c r="M434" t="n">
        <v>0</v>
      </c>
      <c r="N434" t="n">
        <v>0</v>
      </c>
      <c r="O434" t="n">
        <v>0</v>
      </c>
      <c r="P434" t="n">
        <v>0</v>
      </c>
      <c r="Q434" t="n">
        <v>0</v>
      </c>
      <c r="R434" s="2" t="inlineStr"/>
    </row>
    <row r="435" ht="15" customHeight="1">
      <c r="A435" t="inlineStr">
        <is>
          <t>A 19057-2024</t>
        </is>
      </c>
      <c r="B435" s="1" t="n">
        <v>45427.88731481481</v>
      </c>
      <c r="C435" s="1" t="n">
        <v>46169</v>
      </c>
      <c r="D435" t="inlineStr">
        <is>
          <t>STOCKHOLMS LÄN</t>
        </is>
      </c>
      <c r="E435" t="inlineStr">
        <is>
          <t>NORRTÄLJE</t>
        </is>
      </c>
      <c r="G435" t="n">
        <v>3</v>
      </c>
      <c r="H435" t="n">
        <v>0</v>
      </c>
      <c r="I435" t="n">
        <v>0</v>
      </c>
      <c r="J435" t="n">
        <v>0</v>
      </c>
      <c r="K435" t="n">
        <v>0</v>
      </c>
      <c r="L435" t="n">
        <v>0</v>
      </c>
      <c r="M435" t="n">
        <v>0</v>
      </c>
      <c r="N435" t="n">
        <v>0</v>
      </c>
      <c r="O435" t="n">
        <v>0</v>
      </c>
      <c r="P435" t="n">
        <v>0</v>
      </c>
      <c r="Q435" t="n">
        <v>0</v>
      </c>
      <c r="R435" s="2" t="inlineStr"/>
    </row>
    <row r="436" ht="15" customHeight="1">
      <c r="A436" t="inlineStr">
        <is>
          <t>A 21726-2022</t>
        </is>
      </c>
      <c r="B436" s="1" t="n">
        <v>44708</v>
      </c>
      <c r="C436" s="1" t="n">
        <v>46169</v>
      </c>
      <c r="D436" t="inlineStr">
        <is>
          <t>STOCKHOLMS LÄN</t>
        </is>
      </c>
      <c r="E436" t="inlineStr">
        <is>
          <t>NORRTÄLJE</t>
        </is>
      </c>
      <c r="G436" t="n">
        <v>0.2</v>
      </c>
      <c r="H436" t="n">
        <v>0</v>
      </c>
      <c r="I436" t="n">
        <v>0</v>
      </c>
      <c r="J436" t="n">
        <v>0</v>
      </c>
      <c r="K436" t="n">
        <v>0</v>
      </c>
      <c r="L436" t="n">
        <v>0</v>
      </c>
      <c r="M436" t="n">
        <v>0</v>
      </c>
      <c r="N436" t="n">
        <v>0</v>
      </c>
      <c r="O436" t="n">
        <v>0</v>
      </c>
      <c r="P436" t="n">
        <v>0</v>
      </c>
      <c r="Q436" t="n">
        <v>0</v>
      </c>
      <c r="R436" s="2" t="inlineStr"/>
    </row>
    <row r="437" ht="15" customHeight="1">
      <c r="A437" t="inlineStr">
        <is>
          <t>A 21739-2022</t>
        </is>
      </c>
      <c r="B437" s="1" t="n">
        <v>44708.36708333333</v>
      </c>
      <c r="C437" s="1" t="n">
        <v>46169</v>
      </c>
      <c r="D437" t="inlineStr">
        <is>
          <t>STOCKHOLMS LÄN</t>
        </is>
      </c>
      <c r="E437" t="inlineStr">
        <is>
          <t>NORRTÄLJE</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35210-2023</t>
        </is>
      </c>
      <c r="B438" s="1" t="n">
        <v>45145.63584490741</v>
      </c>
      <c r="C438" s="1" t="n">
        <v>46169</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52773-2025</t>
        </is>
      </c>
      <c r="B439" s="1" t="n">
        <v>45957.41457175926</v>
      </c>
      <c r="C439" s="1" t="n">
        <v>46169</v>
      </c>
      <c r="D439" t="inlineStr">
        <is>
          <t>STOCKHOLMS LÄN</t>
        </is>
      </c>
      <c r="E439" t="inlineStr">
        <is>
          <t>NORRTÄLJE</t>
        </is>
      </c>
      <c r="F439" t="inlineStr">
        <is>
          <t>Sveaskog</t>
        </is>
      </c>
      <c r="G439" t="n">
        <v>10.5</v>
      </c>
      <c r="H439" t="n">
        <v>0</v>
      </c>
      <c r="I439" t="n">
        <v>0</v>
      </c>
      <c r="J439" t="n">
        <v>0</v>
      </c>
      <c r="K439" t="n">
        <v>0</v>
      </c>
      <c r="L439" t="n">
        <v>0</v>
      </c>
      <c r="M439" t="n">
        <v>0</v>
      </c>
      <c r="N439" t="n">
        <v>0</v>
      </c>
      <c r="O439" t="n">
        <v>0</v>
      </c>
      <c r="P439" t="n">
        <v>0</v>
      </c>
      <c r="Q439" t="n">
        <v>0</v>
      </c>
      <c r="R439" s="2" t="inlineStr"/>
    </row>
    <row r="440" ht="15" customHeight="1">
      <c r="A440" t="inlineStr">
        <is>
          <t>A 41966-2025</t>
        </is>
      </c>
      <c r="B440" s="1" t="n">
        <v>45903.47456018518</v>
      </c>
      <c r="C440" s="1" t="n">
        <v>46169</v>
      </c>
      <c r="D440" t="inlineStr">
        <is>
          <t>STOCKHOLMS LÄN</t>
        </is>
      </c>
      <c r="E440" t="inlineStr">
        <is>
          <t>NORRTÄLJE</t>
        </is>
      </c>
      <c r="F440" t="inlineStr">
        <is>
          <t>Sveaskog</t>
        </is>
      </c>
      <c r="G440" t="n">
        <v>3.7</v>
      </c>
      <c r="H440" t="n">
        <v>0</v>
      </c>
      <c r="I440" t="n">
        <v>0</v>
      </c>
      <c r="J440" t="n">
        <v>0</v>
      </c>
      <c r="K440" t="n">
        <v>0</v>
      </c>
      <c r="L440" t="n">
        <v>0</v>
      </c>
      <c r="M440" t="n">
        <v>0</v>
      </c>
      <c r="N440" t="n">
        <v>0</v>
      </c>
      <c r="O440" t="n">
        <v>0</v>
      </c>
      <c r="P440" t="n">
        <v>0</v>
      </c>
      <c r="Q440" t="n">
        <v>0</v>
      </c>
      <c r="R440" s="2" t="inlineStr"/>
    </row>
    <row r="441" ht="15" customHeight="1">
      <c r="A441" t="inlineStr">
        <is>
          <t>A 42038-2025</t>
        </is>
      </c>
      <c r="B441" s="1" t="n">
        <v>45903.61431712963</v>
      </c>
      <c r="C441" s="1" t="n">
        <v>46169</v>
      </c>
      <c r="D441" t="inlineStr">
        <is>
          <t>STOCKHOLMS LÄN</t>
        </is>
      </c>
      <c r="E441" t="inlineStr">
        <is>
          <t>NORRTÄLJE</t>
        </is>
      </c>
      <c r="F441" t="inlineStr">
        <is>
          <t>Sveaskog</t>
        </is>
      </c>
      <c r="G441" t="n">
        <v>6.4</v>
      </c>
      <c r="H441" t="n">
        <v>0</v>
      </c>
      <c r="I441" t="n">
        <v>0</v>
      </c>
      <c r="J441" t="n">
        <v>0</v>
      </c>
      <c r="K441" t="n">
        <v>0</v>
      </c>
      <c r="L441" t="n">
        <v>0</v>
      </c>
      <c r="M441" t="n">
        <v>0</v>
      </c>
      <c r="N441" t="n">
        <v>0</v>
      </c>
      <c r="O441" t="n">
        <v>0</v>
      </c>
      <c r="P441" t="n">
        <v>0</v>
      </c>
      <c r="Q441" t="n">
        <v>0</v>
      </c>
      <c r="R441" s="2" t="inlineStr"/>
    </row>
    <row r="442" ht="15" customHeight="1">
      <c r="A442" t="inlineStr">
        <is>
          <t>A 59767-2022</t>
        </is>
      </c>
      <c r="B442" s="1" t="n">
        <v>44900</v>
      </c>
      <c r="C442" s="1" t="n">
        <v>46169</v>
      </c>
      <c r="D442" t="inlineStr">
        <is>
          <t>STOCKHOLMS LÄN</t>
        </is>
      </c>
      <c r="E442" t="inlineStr">
        <is>
          <t>NORRTÄLJE</t>
        </is>
      </c>
      <c r="G442" t="n">
        <v>2.2</v>
      </c>
      <c r="H442" t="n">
        <v>0</v>
      </c>
      <c r="I442" t="n">
        <v>0</v>
      </c>
      <c r="J442" t="n">
        <v>0</v>
      </c>
      <c r="K442" t="n">
        <v>0</v>
      </c>
      <c r="L442" t="n">
        <v>0</v>
      </c>
      <c r="M442" t="n">
        <v>0</v>
      </c>
      <c r="N442" t="n">
        <v>0</v>
      </c>
      <c r="O442" t="n">
        <v>0</v>
      </c>
      <c r="P442" t="n">
        <v>0</v>
      </c>
      <c r="Q442" t="n">
        <v>0</v>
      </c>
      <c r="R442" s="2" t="inlineStr"/>
    </row>
    <row r="443" ht="15" customHeight="1">
      <c r="A443" t="inlineStr">
        <is>
          <t>A 5823-2023</t>
        </is>
      </c>
      <c r="B443" s="1" t="n">
        <v>44963</v>
      </c>
      <c r="C443" s="1" t="n">
        <v>46169</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19915-2024</t>
        </is>
      </c>
      <c r="B444" s="1" t="n">
        <v>45433.58431712963</v>
      </c>
      <c r="C444" s="1" t="n">
        <v>46169</v>
      </c>
      <c r="D444" t="inlineStr">
        <is>
          <t>STOCKHOLMS LÄN</t>
        </is>
      </c>
      <c r="E444" t="inlineStr">
        <is>
          <t>NORRTÄLJE</t>
        </is>
      </c>
      <c r="G444" t="n">
        <v>2</v>
      </c>
      <c r="H444" t="n">
        <v>0</v>
      </c>
      <c r="I444" t="n">
        <v>0</v>
      </c>
      <c r="J444" t="n">
        <v>0</v>
      </c>
      <c r="K444" t="n">
        <v>0</v>
      </c>
      <c r="L444" t="n">
        <v>0</v>
      </c>
      <c r="M444" t="n">
        <v>0</v>
      </c>
      <c r="N444" t="n">
        <v>0</v>
      </c>
      <c r="O444" t="n">
        <v>0</v>
      </c>
      <c r="P444" t="n">
        <v>0</v>
      </c>
      <c r="Q444" t="n">
        <v>0</v>
      </c>
      <c r="R444" s="2" t="inlineStr"/>
    </row>
    <row r="445" ht="15" customHeight="1">
      <c r="A445" t="inlineStr">
        <is>
          <t>A 15217-2023</t>
        </is>
      </c>
      <c r="B445" s="1" t="n">
        <v>45019.28847222222</v>
      </c>
      <c r="C445" s="1" t="n">
        <v>46169</v>
      </c>
      <c r="D445" t="inlineStr">
        <is>
          <t>STOCKHOLMS LÄN</t>
        </is>
      </c>
      <c r="E445" t="inlineStr">
        <is>
          <t>NORRTÄLJE</t>
        </is>
      </c>
      <c r="G445" t="n">
        <v>3.6</v>
      </c>
      <c r="H445" t="n">
        <v>0</v>
      </c>
      <c r="I445" t="n">
        <v>0</v>
      </c>
      <c r="J445" t="n">
        <v>0</v>
      </c>
      <c r="K445" t="n">
        <v>0</v>
      </c>
      <c r="L445" t="n">
        <v>0</v>
      </c>
      <c r="M445" t="n">
        <v>0</v>
      </c>
      <c r="N445" t="n">
        <v>0</v>
      </c>
      <c r="O445" t="n">
        <v>0</v>
      </c>
      <c r="P445" t="n">
        <v>0</v>
      </c>
      <c r="Q445" t="n">
        <v>0</v>
      </c>
      <c r="R445" s="2" t="inlineStr"/>
    </row>
    <row r="446" ht="15" customHeight="1">
      <c r="A446" t="inlineStr">
        <is>
          <t>A 52777-2025</t>
        </is>
      </c>
      <c r="B446" s="1" t="n">
        <v>45957.41832175926</v>
      </c>
      <c r="C446" s="1" t="n">
        <v>46169</v>
      </c>
      <c r="D446" t="inlineStr">
        <is>
          <t>STOCKHOLMS LÄN</t>
        </is>
      </c>
      <c r="E446" t="inlineStr">
        <is>
          <t>NORRTÄLJE</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26708-2025</t>
        </is>
      </c>
      <c r="B447" s="1" t="n">
        <v>45810.45633101852</v>
      </c>
      <c r="C447" s="1" t="n">
        <v>46169</v>
      </c>
      <c r="D447" t="inlineStr">
        <is>
          <t>STOCKHOLMS LÄN</t>
        </is>
      </c>
      <c r="E447" t="inlineStr">
        <is>
          <t>NORRTÄLJE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41964-2025</t>
        </is>
      </c>
      <c r="B448" s="1" t="n">
        <v>45903.47270833333</v>
      </c>
      <c r="C448" s="1" t="n">
        <v>46169</v>
      </c>
      <c r="D448" t="inlineStr">
        <is>
          <t>STOCKHOLMS LÄN</t>
        </is>
      </c>
      <c r="E448" t="inlineStr">
        <is>
          <t>NORRTÄLJE</t>
        </is>
      </c>
      <c r="F448" t="inlineStr">
        <is>
          <t>Sveaskog</t>
        </is>
      </c>
      <c r="G448" t="n">
        <v>4</v>
      </c>
      <c r="H448" t="n">
        <v>0</v>
      </c>
      <c r="I448" t="n">
        <v>0</v>
      </c>
      <c r="J448" t="n">
        <v>0</v>
      </c>
      <c r="K448" t="n">
        <v>0</v>
      </c>
      <c r="L448" t="n">
        <v>0</v>
      </c>
      <c r="M448" t="n">
        <v>0</v>
      </c>
      <c r="N448" t="n">
        <v>0</v>
      </c>
      <c r="O448" t="n">
        <v>0</v>
      </c>
      <c r="P448" t="n">
        <v>0</v>
      </c>
      <c r="Q448" t="n">
        <v>0</v>
      </c>
      <c r="R448" s="2" t="inlineStr"/>
    </row>
    <row r="449" ht="15" customHeight="1">
      <c r="A449" t="inlineStr">
        <is>
          <t>A 50143-2023</t>
        </is>
      </c>
      <c r="B449" s="1" t="n">
        <v>45215</v>
      </c>
      <c r="C449" s="1" t="n">
        <v>46169</v>
      </c>
      <c r="D449" t="inlineStr">
        <is>
          <t>STOCKHOLMS LÄN</t>
        </is>
      </c>
      <c r="E449" t="inlineStr">
        <is>
          <t>NORRTÄLJE</t>
        </is>
      </c>
      <c r="G449" t="n">
        <v>10.3</v>
      </c>
      <c r="H449" t="n">
        <v>0</v>
      </c>
      <c r="I449" t="n">
        <v>0</v>
      </c>
      <c r="J449" t="n">
        <v>0</v>
      </c>
      <c r="K449" t="n">
        <v>0</v>
      </c>
      <c r="L449" t="n">
        <v>0</v>
      </c>
      <c r="M449" t="n">
        <v>0</v>
      </c>
      <c r="N449" t="n">
        <v>0</v>
      </c>
      <c r="O449" t="n">
        <v>0</v>
      </c>
      <c r="P449" t="n">
        <v>0</v>
      </c>
      <c r="Q449" t="n">
        <v>0</v>
      </c>
      <c r="R449" s="2" t="inlineStr"/>
    </row>
    <row r="450" ht="15" customHeight="1">
      <c r="A450" t="inlineStr">
        <is>
          <t>A 26702-2025</t>
        </is>
      </c>
      <c r="B450" s="1" t="n">
        <v>45810.45236111111</v>
      </c>
      <c r="C450" s="1" t="n">
        <v>46169</v>
      </c>
      <c r="D450" t="inlineStr">
        <is>
          <t>STOCKHOLMS LÄN</t>
        </is>
      </c>
      <c r="E450" t="inlineStr">
        <is>
          <t>NORRTÄLJE</t>
        </is>
      </c>
      <c r="G450" t="n">
        <v>7.3</v>
      </c>
      <c r="H450" t="n">
        <v>0</v>
      </c>
      <c r="I450" t="n">
        <v>0</v>
      </c>
      <c r="J450" t="n">
        <v>0</v>
      </c>
      <c r="K450" t="n">
        <v>0</v>
      </c>
      <c r="L450" t="n">
        <v>0</v>
      </c>
      <c r="M450" t="n">
        <v>0</v>
      </c>
      <c r="N450" t="n">
        <v>0</v>
      </c>
      <c r="O450" t="n">
        <v>0</v>
      </c>
      <c r="P450" t="n">
        <v>0</v>
      </c>
      <c r="Q450" t="n">
        <v>0</v>
      </c>
      <c r="R450" s="2" t="inlineStr"/>
    </row>
    <row r="451" ht="15" customHeight="1">
      <c r="A451" t="inlineStr">
        <is>
          <t>A 29176-2024</t>
        </is>
      </c>
      <c r="B451" s="1" t="n">
        <v>45482.53388888889</v>
      </c>
      <c r="C451" s="1" t="n">
        <v>46169</v>
      </c>
      <c r="D451" t="inlineStr">
        <is>
          <t>STOCKHOLMS LÄN</t>
        </is>
      </c>
      <c r="E451" t="inlineStr">
        <is>
          <t>NORRTÄLJE</t>
        </is>
      </c>
      <c r="G451" t="n">
        <v>1.1</v>
      </c>
      <c r="H451" t="n">
        <v>0</v>
      </c>
      <c r="I451" t="n">
        <v>0</v>
      </c>
      <c r="J451" t="n">
        <v>0</v>
      </c>
      <c r="K451" t="n">
        <v>0</v>
      </c>
      <c r="L451" t="n">
        <v>0</v>
      </c>
      <c r="M451" t="n">
        <v>0</v>
      </c>
      <c r="N451" t="n">
        <v>0</v>
      </c>
      <c r="O451" t="n">
        <v>0</v>
      </c>
      <c r="P451" t="n">
        <v>0</v>
      </c>
      <c r="Q451" t="n">
        <v>0</v>
      </c>
      <c r="R451" s="2" t="inlineStr"/>
    </row>
    <row r="452" ht="15" customHeight="1">
      <c r="A452" t="inlineStr">
        <is>
          <t>A 36430-2024</t>
        </is>
      </c>
      <c r="B452" s="1" t="n">
        <v>45536</v>
      </c>
      <c r="C452" s="1" t="n">
        <v>46169</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51312-2023</t>
        </is>
      </c>
      <c r="B453" s="1" t="n">
        <v>45219.56697916667</v>
      </c>
      <c r="C453" s="1" t="n">
        <v>46169</v>
      </c>
      <c r="D453" t="inlineStr">
        <is>
          <t>STOCKHOLMS LÄN</t>
        </is>
      </c>
      <c r="E453" t="inlineStr">
        <is>
          <t>NORRTÄLJE</t>
        </is>
      </c>
      <c r="G453" t="n">
        <v>1.9</v>
      </c>
      <c r="H453" t="n">
        <v>0</v>
      </c>
      <c r="I453" t="n">
        <v>0</v>
      </c>
      <c r="J453" t="n">
        <v>0</v>
      </c>
      <c r="K453" t="n">
        <v>0</v>
      </c>
      <c r="L453" t="n">
        <v>0</v>
      </c>
      <c r="M453" t="n">
        <v>0</v>
      </c>
      <c r="N453" t="n">
        <v>0</v>
      </c>
      <c r="O453" t="n">
        <v>0</v>
      </c>
      <c r="P453" t="n">
        <v>0</v>
      </c>
      <c r="Q453" t="n">
        <v>0</v>
      </c>
      <c r="R453" s="2" t="inlineStr"/>
    </row>
    <row r="454" ht="15" customHeight="1">
      <c r="A454" t="inlineStr">
        <is>
          <t>A 23061-2025</t>
        </is>
      </c>
      <c r="B454" s="1" t="n">
        <v>45790.81410879629</v>
      </c>
      <c r="C454" s="1" t="n">
        <v>46169</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35640-2024</t>
        </is>
      </c>
      <c r="B455" s="1" t="n">
        <v>45531</v>
      </c>
      <c r="C455" s="1" t="n">
        <v>46169</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52526-2025</t>
        </is>
      </c>
      <c r="B456" s="1" t="n">
        <v>45954.53061342592</v>
      </c>
      <c r="C456" s="1" t="n">
        <v>46169</v>
      </c>
      <c r="D456" t="inlineStr">
        <is>
          <t>STOCKHOLMS LÄN</t>
        </is>
      </c>
      <c r="E456" t="inlineStr">
        <is>
          <t>NORRTÄLJE</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30699-2025</t>
        </is>
      </c>
      <c r="B457" s="1" t="n">
        <v>45831.54618055555</v>
      </c>
      <c r="C457" s="1" t="n">
        <v>46169</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53000-2025</t>
        </is>
      </c>
      <c r="B458" s="1" t="n">
        <v>45957.74357638889</v>
      </c>
      <c r="C458" s="1" t="n">
        <v>46169</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27040-2025</t>
        </is>
      </c>
      <c r="B459" s="1" t="n">
        <v>45811.60451388889</v>
      </c>
      <c r="C459" s="1" t="n">
        <v>46169</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26747-2025</t>
        </is>
      </c>
      <c r="B460" s="1" t="n">
        <v>45810.5333912037</v>
      </c>
      <c r="C460" s="1" t="n">
        <v>46169</v>
      </c>
      <c r="D460" t="inlineStr">
        <is>
          <t>STOCKHOLMS LÄN</t>
        </is>
      </c>
      <c r="E460" t="inlineStr">
        <is>
          <t>NORRTÄLJE</t>
        </is>
      </c>
      <c r="G460" t="n">
        <v>1.9</v>
      </c>
      <c r="H460" t="n">
        <v>0</v>
      </c>
      <c r="I460" t="n">
        <v>0</v>
      </c>
      <c r="J460" t="n">
        <v>0</v>
      </c>
      <c r="K460" t="n">
        <v>0</v>
      </c>
      <c r="L460" t="n">
        <v>0</v>
      </c>
      <c r="M460" t="n">
        <v>0</v>
      </c>
      <c r="N460" t="n">
        <v>0</v>
      </c>
      <c r="O460" t="n">
        <v>0</v>
      </c>
      <c r="P460" t="n">
        <v>0</v>
      </c>
      <c r="Q460" t="n">
        <v>0</v>
      </c>
      <c r="R460" s="2" t="inlineStr"/>
    </row>
    <row r="461" ht="15" customHeight="1">
      <c r="A461" t="inlineStr">
        <is>
          <t>A 52703-2025</t>
        </is>
      </c>
      <c r="B461" s="1" t="n">
        <v>45956.88643518519</v>
      </c>
      <c r="C461" s="1" t="n">
        <v>46169</v>
      </c>
      <c r="D461" t="inlineStr">
        <is>
          <t>STOCKHOLMS LÄN</t>
        </is>
      </c>
      <c r="E461" t="inlineStr">
        <is>
          <t>NORRTÄLJE</t>
        </is>
      </c>
      <c r="G461" t="n">
        <v>4.7</v>
      </c>
      <c r="H461" t="n">
        <v>0</v>
      </c>
      <c r="I461" t="n">
        <v>0</v>
      </c>
      <c r="J461" t="n">
        <v>0</v>
      </c>
      <c r="K461" t="n">
        <v>0</v>
      </c>
      <c r="L461" t="n">
        <v>0</v>
      </c>
      <c r="M461" t="n">
        <v>0</v>
      </c>
      <c r="N461" t="n">
        <v>0</v>
      </c>
      <c r="O461" t="n">
        <v>0</v>
      </c>
      <c r="P461" t="n">
        <v>0</v>
      </c>
      <c r="Q461" t="n">
        <v>0</v>
      </c>
      <c r="R461" s="2" t="inlineStr"/>
    </row>
    <row r="462" ht="15" customHeight="1">
      <c r="A462" t="inlineStr">
        <is>
          <t>A 52729-2025</t>
        </is>
      </c>
      <c r="B462" s="1" t="n">
        <v>45957.3636574074</v>
      </c>
      <c r="C462" s="1" t="n">
        <v>46169</v>
      </c>
      <c r="D462" t="inlineStr">
        <is>
          <t>STOCKHOLMS LÄN</t>
        </is>
      </c>
      <c r="E462" t="inlineStr">
        <is>
          <t>NORRTÄLJE</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52734-2025</t>
        </is>
      </c>
      <c r="B463" s="1" t="n">
        <v>45957.3710300926</v>
      </c>
      <c r="C463" s="1" t="n">
        <v>46169</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52776-2025</t>
        </is>
      </c>
      <c r="B464" s="1" t="n">
        <v>45957.41724537037</v>
      </c>
      <c r="C464" s="1" t="n">
        <v>46169</v>
      </c>
      <c r="D464" t="inlineStr">
        <is>
          <t>STOCKHOLMS LÄN</t>
        </is>
      </c>
      <c r="E464" t="inlineStr">
        <is>
          <t>NORRTÄLJE</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52529-2025</t>
        </is>
      </c>
      <c r="B465" s="1" t="n">
        <v>45954.53229166667</v>
      </c>
      <c r="C465" s="1" t="n">
        <v>46169</v>
      </c>
      <c r="D465" t="inlineStr">
        <is>
          <t>STOCKHOLMS LÄN</t>
        </is>
      </c>
      <c r="E465" t="inlineStr">
        <is>
          <t>NORRTÄLJE</t>
        </is>
      </c>
      <c r="F465" t="inlineStr">
        <is>
          <t>Sveaskog</t>
        </is>
      </c>
      <c r="G465" t="n">
        <v>7.8</v>
      </c>
      <c r="H465" t="n">
        <v>0</v>
      </c>
      <c r="I465" t="n">
        <v>0</v>
      </c>
      <c r="J465" t="n">
        <v>0</v>
      </c>
      <c r="K465" t="n">
        <v>0</v>
      </c>
      <c r="L465" t="n">
        <v>0</v>
      </c>
      <c r="M465" t="n">
        <v>0</v>
      </c>
      <c r="N465" t="n">
        <v>0</v>
      </c>
      <c r="O465" t="n">
        <v>0</v>
      </c>
      <c r="P465" t="n">
        <v>0</v>
      </c>
      <c r="Q465" t="n">
        <v>0</v>
      </c>
      <c r="R465" s="2" t="inlineStr"/>
    </row>
    <row r="466" ht="15" customHeight="1">
      <c r="A466" t="inlineStr">
        <is>
          <t>A 43212-2022</t>
        </is>
      </c>
      <c r="B466" s="1" t="n">
        <v>44834.38636574074</v>
      </c>
      <c r="C466" s="1" t="n">
        <v>46169</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52704-2025</t>
        </is>
      </c>
      <c r="B467" s="1" t="n">
        <v>45956.89097222222</v>
      </c>
      <c r="C467" s="1" t="n">
        <v>46169</v>
      </c>
      <c r="D467" t="inlineStr">
        <is>
          <t>STOCKHOLMS LÄN</t>
        </is>
      </c>
      <c r="E467" t="inlineStr">
        <is>
          <t>NORRTÄLJE</t>
        </is>
      </c>
      <c r="G467" t="n">
        <v>2.3</v>
      </c>
      <c r="H467" t="n">
        <v>0</v>
      </c>
      <c r="I467" t="n">
        <v>0</v>
      </c>
      <c r="J467" t="n">
        <v>0</v>
      </c>
      <c r="K467" t="n">
        <v>0</v>
      </c>
      <c r="L467" t="n">
        <v>0</v>
      </c>
      <c r="M467" t="n">
        <v>0</v>
      </c>
      <c r="N467" t="n">
        <v>0</v>
      </c>
      <c r="O467" t="n">
        <v>0</v>
      </c>
      <c r="P467" t="n">
        <v>0</v>
      </c>
      <c r="Q467" t="n">
        <v>0</v>
      </c>
      <c r="R467" s="2" t="inlineStr"/>
    </row>
    <row r="468" ht="15" customHeight="1">
      <c r="A468" t="inlineStr">
        <is>
          <t>A 52553-2025</t>
        </is>
      </c>
      <c r="B468" s="1" t="n">
        <v>45954.5624537037</v>
      </c>
      <c r="C468" s="1" t="n">
        <v>46169</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51653-2022</t>
        </is>
      </c>
      <c r="B469" s="1" t="n">
        <v>44867</v>
      </c>
      <c r="C469" s="1" t="n">
        <v>46169</v>
      </c>
      <c r="D469" t="inlineStr">
        <is>
          <t>STOCKHOLMS LÄN</t>
        </is>
      </c>
      <c r="E469" t="inlineStr">
        <is>
          <t>NORRTÄLJE</t>
        </is>
      </c>
      <c r="G469" t="n">
        <v>6.6</v>
      </c>
      <c r="H469" t="n">
        <v>0</v>
      </c>
      <c r="I469" t="n">
        <v>0</v>
      </c>
      <c r="J469" t="n">
        <v>0</v>
      </c>
      <c r="K469" t="n">
        <v>0</v>
      </c>
      <c r="L469" t="n">
        <v>0</v>
      </c>
      <c r="M469" t="n">
        <v>0</v>
      </c>
      <c r="N469" t="n">
        <v>0</v>
      </c>
      <c r="O469" t="n">
        <v>0</v>
      </c>
      <c r="P469" t="n">
        <v>0</v>
      </c>
      <c r="Q469" t="n">
        <v>0</v>
      </c>
      <c r="R469" s="2" t="inlineStr"/>
    </row>
    <row r="470" ht="15" customHeight="1">
      <c r="A470" t="inlineStr">
        <is>
          <t>A 20011-2025</t>
        </is>
      </c>
      <c r="B470" s="1" t="n">
        <v>45772.29622685185</v>
      </c>
      <c r="C470" s="1" t="n">
        <v>46169</v>
      </c>
      <c r="D470" t="inlineStr">
        <is>
          <t>STOCKHOLMS LÄN</t>
        </is>
      </c>
      <c r="E470" t="inlineStr">
        <is>
          <t>NORRTÄLJE</t>
        </is>
      </c>
      <c r="G470" t="n">
        <v>3.5</v>
      </c>
      <c r="H470" t="n">
        <v>0</v>
      </c>
      <c r="I470" t="n">
        <v>0</v>
      </c>
      <c r="J470" t="n">
        <v>0</v>
      </c>
      <c r="K470" t="n">
        <v>0</v>
      </c>
      <c r="L470" t="n">
        <v>0</v>
      </c>
      <c r="M470" t="n">
        <v>0</v>
      </c>
      <c r="N470" t="n">
        <v>0</v>
      </c>
      <c r="O470" t="n">
        <v>0</v>
      </c>
      <c r="P470" t="n">
        <v>0</v>
      </c>
      <c r="Q470" t="n">
        <v>0</v>
      </c>
      <c r="R470" s="2" t="inlineStr"/>
    </row>
    <row r="471" ht="15" customHeight="1">
      <c r="A471" t="inlineStr">
        <is>
          <t>A 26675-2025</t>
        </is>
      </c>
      <c r="B471" s="1" t="n">
        <v>45810.42393518519</v>
      </c>
      <c r="C471" s="1" t="n">
        <v>46169</v>
      </c>
      <c r="D471" t="inlineStr">
        <is>
          <t>STOCKHOLMS LÄN</t>
        </is>
      </c>
      <c r="E471" t="inlineStr">
        <is>
          <t>NORRTÄLJE</t>
        </is>
      </c>
      <c r="G471" t="n">
        <v>2.7</v>
      </c>
      <c r="H471" t="n">
        <v>0</v>
      </c>
      <c r="I471" t="n">
        <v>0</v>
      </c>
      <c r="J471" t="n">
        <v>0</v>
      </c>
      <c r="K471" t="n">
        <v>0</v>
      </c>
      <c r="L471" t="n">
        <v>0</v>
      </c>
      <c r="M471" t="n">
        <v>0</v>
      </c>
      <c r="N471" t="n">
        <v>0</v>
      </c>
      <c r="O471" t="n">
        <v>0</v>
      </c>
      <c r="P471" t="n">
        <v>0</v>
      </c>
      <c r="Q471" t="n">
        <v>0</v>
      </c>
      <c r="R471" s="2" t="inlineStr"/>
    </row>
    <row r="472" ht="15" customHeight="1">
      <c r="A472" t="inlineStr">
        <is>
          <t>A 42856-2025</t>
        </is>
      </c>
      <c r="B472" s="1" t="n">
        <v>45908</v>
      </c>
      <c r="C472" s="1" t="n">
        <v>46169</v>
      </c>
      <c r="D472" t="inlineStr">
        <is>
          <t>STOCKHOLMS LÄN</t>
        </is>
      </c>
      <c r="E472" t="inlineStr">
        <is>
          <t>NORRTÄLJE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4322-2023</t>
        </is>
      </c>
      <c r="B473" s="1" t="n">
        <v>44953.69298611111</v>
      </c>
      <c r="C473" s="1" t="n">
        <v>46169</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53299-2025</t>
        </is>
      </c>
      <c r="B474" s="1" t="n">
        <v>45959.31901620371</v>
      </c>
      <c r="C474" s="1" t="n">
        <v>46169</v>
      </c>
      <c r="D474" t="inlineStr">
        <is>
          <t>STOCKHOLMS LÄN</t>
        </is>
      </c>
      <c r="E474" t="inlineStr">
        <is>
          <t>NORRTÄLJE</t>
        </is>
      </c>
      <c r="G474" t="n">
        <v>4.8</v>
      </c>
      <c r="H474" t="n">
        <v>0</v>
      </c>
      <c r="I474" t="n">
        <v>0</v>
      </c>
      <c r="J474" t="n">
        <v>0</v>
      </c>
      <c r="K474" t="n">
        <v>0</v>
      </c>
      <c r="L474" t="n">
        <v>0</v>
      </c>
      <c r="M474" t="n">
        <v>0</v>
      </c>
      <c r="N474" t="n">
        <v>0</v>
      </c>
      <c r="O474" t="n">
        <v>0</v>
      </c>
      <c r="P474" t="n">
        <v>0</v>
      </c>
      <c r="Q474" t="n">
        <v>0</v>
      </c>
      <c r="R474" s="2" t="inlineStr"/>
    </row>
    <row r="475" ht="15" customHeight="1">
      <c r="A475" t="inlineStr">
        <is>
          <t>A 53087-2025</t>
        </is>
      </c>
      <c r="B475" s="1" t="n">
        <v>45958.41065972222</v>
      </c>
      <c r="C475" s="1" t="n">
        <v>46169</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53115-2025</t>
        </is>
      </c>
      <c r="B476" s="1" t="n">
        <v>45958.44614583333</v>
      </c>
      <c r="C476" s="1" t="n">
        <v>46169</v>
      </c>
      <c r="D476" t="inlineStr">
        <is>
          <t>STOCKHOLMS LÄN</t>
        </is>
      </c>
      <c r="E476" t="inlineStr">
        <is>
          <t>NORRTÄLJE</t>
        </is>
      </c>
      <c r="F476" t="inlineStr">
        <is>
          <t>Kyrkan</t>
        </is>
      </c>
      <c r="G476" t="n">
        <v>2.5</v>
      </c>
      <c r="H476" t="n">
        <v>0</v>
      </c>
      <c r="I476" t="n">
        <v>0</v>
      </c>
      <c r="J476" t="n">
        <v>0</v>
      </c>
      <c r="K476" t="n">
        <v>0</v>
      </c>
      <c r="L476" t="n">
        <v>0</v>
      </c>
      <c r="M476" t="n">
        <v>0</v>
      </c>
      <c r="N476" t="n">
        <v>0</v>
      </c>
      <c r="O476" t="n">
        <v>0</v>
      </c>
      <c r="P476" t="n">
        <v>0</v>
      </c>
      <c r="Q476" t="n">
        <v>0</v>
      </c>
      <c r="R476" s="2" t="inlineStr"/>
    </row>
    <row r="477" ht="15" customHeight="1">
      <c r="A477" t="inlineStr">
        <is>
          <t>A 27554-2025</t>
        </is>
      </c>
      <c r="B477" s="1" t="n">
        <v>45813.4709375</v>
      </c>
      <c r="C477" s="1" t="n">
        <v>46169</v>
      </c>
      <c r="D477" t="inlineStr">
        <is>
          <t>STOCKHOLMS LÄN</t>
        </is>
      </c>
      <c r="E477" t="inlineStr">
        <is>
          <t>NORRTÄLJE</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53629-2025</t>
        </is>
      </c>
      <c r="B478" s="1" t="n">
        <v>45960.49570601852</v>
      </c>
      <c r="C478" s="1" t="n">
        <v>46169</v>
      </c>
      <c r="D478" t="inlineStr">
        <is>
          <t>STOCKHOLMS LÄN</t>
        </is>
      </c>
      <c r="E478" t="inlineStr">
        <is>
          <t>NORRTÄLJE</t>
        </is>
      </c>
      <c r="F478" t="inlineStr">
        <is>
          <t>Naturvårdsverket</t>
        </is>
      </c>
      <c r="G478" t="n">
        <v>7.9</v>
      </c>
      <c r="H478" t="n">
        <v>0</v>
      </c>
      <c r="I478" t="n">
        <v>0</v>
      </c>
      <c r="J478" t="n">
        <v>0</v>
      </c>
      <c r="K478" t="n">
        <v>0</v>
      </c>
      <c r="L478" t="n">
        <v>0</v>
      </c>
      <c r="M478" t="n">
        <v>0</v>
      </c>
      <c r="N478" t="n">
        <v>0</v>
      </c>
      <c r="O478" t="n">
        <v>0</v>
      </c>
      <c r="P478" t="n">
        <v>0</v>
      </c>
      <c r="Q478" t="n">
        <v>0</v>
      </c>
      <c r="R478" s="2" t="inlineStr"/>
    </row>
    <row r="479" ht="15" customHeight="1">
      <c r="A479" t="inlineStr">
        <is>
          <t>A 38990-2022</t>
        </is>
      </c>
      <c r="B479" s="1" t="n">
        <v>44816</v>
      </c>
      <c r="C479" s="1" t="n">
        <v>46169</v>
      </c>
      <c r="D479" t="inlineStr">
        <is>
          <t>STOCKHOLMS LÄN</t>
        </is>
      </c>
      <c r="E479" t="inlineStr">
        <is>
          <t>NORRTÄLJE</t>
        </is>
      </c>
      <c r="G479" t="n">
        <v>5.7</v>
      </c>
      <c r="H479" t="n">
        <v>0</v>
      </c>
      <c r="I479" t="n">
        <v>0</v>
      </c>
      <c r="J479" t="n">
        <v>0</v>
      </c>
      <c r="K479" t="n">
        <v>0</v>
      </c>
      <c r="L479" t="n">
        <v>0</v>
      </c>
      <c r="M479" t="n">
        <v>0</v>
      </c>
      <c r="N479" t="n">
        <v>0</v>
      </c>
      <c r="O479" t="n">
        <v>0</v>
      </c>
      <c r="P479" t="n">
        <v>0</v>
      </c>
      <c r="Q479" t="n">
        <v>0</v>
      </c>
      <c r="R479" s="2" t="inlineStr"/>
    </row>
    <row r="480" ht="15" customHeight="1">
      <c r="A480" t="inlineStr">
        <is>
          <t>A 53747-2025</t>
        </is>
      </c>
      <c r="B480" s="1" t="n">
        <v>45960.65415509259</v>
      </c>
      <c r="C480" s="1" t="n">
        <v>46169</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17956-2025</t>
        </is>
      </c>
      <c r="B481" s="1" t="n">
        <v>45760.91174768518</v>
      </c>
      <c r="C481" s="1" t="n">
        <v>46169</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875-2023</t>
        </is>
      </c>
      <c r="B482" s="1" t="n">
        <v>44931.65626157408</v>
      </c>
      <c r="C482" s="1" t="n">
        <v>46169</v>
      </c>
      <c r="D482" t="inlineStr">
        <is>
          <t>STOCKHOLMS LÄN</t>
        </is>
      </c>
      <c r="E482" t="inlineStr">
        <is>
          <t>NORRTÄLJE</t>
        </is>
      </c>
      <c r="G482" t="n">
        <v>2.2</v>
      </c>
      <c r="H482" t="n">
        <v>0</v>
      </c>
      <c r="I482" t="n">
        <v>0</v>
      </c>
      <c r="J482" t="n">
        <v>0</v>
      </c>
      <c r="K482" t="n">
        <v>0</v>
      </c>
      <c r="L482" t="n">
        <v>0</v>
      </c>
      <c r="M482" t="n">
        <v>0</v>
      </c>
      <c r="N482" t="n">
        <v>0</v>
      </c>
      <c r="O482" t="n">
        <v>0</v>
      </c>
      <c r="P482" t="n">
        <v>0</v>
      </c>
      <c r="Q482" t="n">
        <v>0</v>
      </c>
      <c r="R482" s="2" t="inlineStr"/>
    </row>
    <row r="483" ht="15" customHeight="1">
      <c r="A483" t="inlineStr">
        <is>
          <t>A 31236-2022</t>
        </is>
      </c>
      <c r="B483" s="1" t="n">
        <v>44771</v>
      </c>
      <c r="C483" s="1" t="n">
        <v>46169</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8315-2025</t>
        </is>
      </c>
      <c r="B484" s="1" t="n">
        <v>45708.61761574074</v>
      </c>
      <c r="C484" s="1" t="n">
        <v>46169</v>
      </c>
      <c r="D484" t="inlineStr">
        <is>
          <t>STOCKHOLMS LÄN</t>
        </is>
      </c>
      <c r="E484" t="inlineStr">
        <is>
          <t>NORRTÄLJE</t>
        </is>
      </c>
      <c r="G484" t="n">
        <v>3.9</v>
      </c>
      <c r="H484" t="n">
        <v>0</v>
      </c>
      <c r="I484" t="n">
        <v>0</v>
      </c>
      <c r="J484" t="n">
        <v>0</v>
      </c>
      <c r="K484" t="n">
        <v>0</v>
      </c>
      <c r="L484" t="n">
        <v>0</v>
      </c>
      <c r="M484" t="n">
        <v>0</v>
      </c>
      <c r="N484" t="n">
        <v>0</v>
      </c>
      <c r="O484" t="n">
        <v>0</v>
      </c>
      <c r="P484" t="n">
        <v>0</v>
      </c>
      <c r="Q484" t="n">
        <v>0</v>
      </c>
      <c r="R484" s="2" t="inlineStr"/>
    </row>
    <row r="485" ht="15" customHeight="1">
      <c r="A485" t="inlineStr">
        <is>
          <t>A 27700-2025</t>
        </is>
      </c>
      <c r="B485" s="1" t="n">
        <v>45813.6799537037</v>
      </c>
      <c r="C485" s="1" t="n">
        <v>46169</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24835-2025</t>
        </is>
      </c>
      <c r="B486" s="1" t="n">
        <v>45799</v>
      </c>
      <c r="C486" s="1" t="n">
        <v>46169</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27697-2025</t>
        </is>
      </c>
      <c r="B487" s="1" t="n">
        <v>45813.66961805556</v>
      </c>
      <c r="C487" s="1" t="n">
        <v>46169</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27802-2025</t>
        </is>
      </c>
      <c r="B488" s="1" t="n">
        <v>45817.2565625</v>
      </c>
      <c r="C488" s="1" t="n">
        <v>46169</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27806-2025</t>
        </is>
      </c>
      <c r="B489" s="1" t="n">
        <v>45817.30329861111</v>
      </c>
      <c r="C489" s="1" t="n">
        <v>46169</v>
      </c>
      <c r="D489" t="inlineStr">
        <is>
          <t>STOCKHOLMS LÄN</t>
        </is>
      </c>
      <c r="E489" t="inlineStr">
        <is>
          <t>NORRTÄLJE</t>
        </is>
      </c>
      <c r="G489" t="n">
        <v>3</v>
      </c>
      <c r="H489" t="n">
        <v>0</v>
      </c>
      <c r="I489" t="n">
        <v>0</v>
      </c>
      <c r="J489" t="n">
        <v>0</v>
      </c>
      <c r="K489" t="n">
        <v>0</v>
      </c>
      <c r="L489" t="n">
        <v>0</v>
      </c>
      <c r="M489" t="n">
        <v>0</v>
      </c>
      <c r="N489" t="n">
        <v>0</v>
      </c>
      <c r="O489" t="n">
        <v>0</v>
      </c>
      <c r="P489" t="n">
        <v>0</v>
      </c>
      <c r="Q489" t="n">
        <v>0</v>
      </c>
      <c r="R489" s="2" t="inlineStr"/>
    </row>
    <row r="490" ht="15" customHeight="1">
      <c r="A490" t="inlineStr">
        <is>
          <t>A 27808-2025</t>
        </is>
      </c>
      <c r="B490" s="1" t="n">
        <v>45817.31085648148</v>
      </c>
      <c r="C490" s="1" t="n">
        <v>46169</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27810-2025</t>
        </is>
      </c>
      <c r="B491" s="1" t="n">
        <v>45817.31708333334</v>
      </c>
      <c r="C491" s="1" t="n">
        <v>46169</v>
      </c>
      <c r="D491" t="inlineStr">
        <is>
          <t>STOCKHOLMS LÄN</t>
        </is>
      </c>
      <c r="E491" t="inlineStr">
        <is>
          <t>NORRTÄLJE</t>
        </is>
      </c>
      <c r="G491" t="n">
        <v>3.9</v>
      </c>
      <c r="H491" t="n">
        <v>0</v>
      </c>
      <c r="I491" t="n">
        <v>0</v>
      </c>
      <c r="J491" t="n">
        <v>0</v>
      </c>
      <c r="K491" t="n">
        <v>0</v>
      </c>
      <c r="L491" t="n">
        <v>0</v>
      </c>
      <c r="M491" t="n">
        <v>0</v>
      </c>
      <c r="N491" t="n">
        <v>0</v>
      </c>
      <c r="O491" t="n">
        <v>0</v>
      </c>
      <c r="P491" t="n">
        <v>0</v>
      </c>
      <c r="Q491" t="n">
        <v>0</v>
      </c>
      <c r="R491" s="2" t="inlineStr"/>
    </row>
    <row r="492" ht="15" customHeight="1">
      <c r="A492" t="inlineStr">
        <is>
          <t>A 27811-2025</t>
        </is>
      </c>
      <c r="B492" s="1" t="n">
        <v>45817.31986111111</v>
      </c>
      <c r="C492" s="1" t="n">
        <v>46169</v>
      </c>
      <c r="D492" t="inlineStr">
        <is>
          <t>STOCKHOLMS LÄN</t>
        </is>
      </c>
      <c r="E492" t="inlineStr">
        <is>
          <t>NORRTÄLJE</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27818-2025</t>
        </is>
      </c>
      <c r="B493" s="1" t="n">
        <v>45817.33503472222</v>
      </c>
      <c r="C493" s="1" t="n">
        <v>46169</v>
      </c>
      <c r="D493" t="inlineStr">
        <is>
          <t>STOCKHOLMS LÄN</t>
        </is>
      </c>
      <c r="E493" t="inlineStr">
        <is>
          <t>NORRTÄLJE</t>
        </is>
      </c>
      <c r="F493" t="inlineStr">
        <is>
          <t>Sveaskog</t>
        </is>
      </c>
      <c r="G493" t="n">
        <v>0.3</v>
      </c>
      <c r="H493" t="n">
        <v>0</v>
      </c>
      <c r="I493" t="n">
        <v>0</v>
      </c>
      <c r="J493" t="n">
        <v>0</v>
      </c>
      <c r="K493" t="n">
        <v>0</v>
      </c>
      <c r="L493" t="n">
        <v>0</v>
      </c>
      <c r="M493" t="n">
        <v>0</v>
      </c>
      <c r="N493" t="n">
        <v>0</v>
      </c>
      <c r="O493" t="n">
        <v>0</v>
      </c>
      <c r="P493" t="n">
        <v>0</v>
      </c>
      <c r="Q493" t="n">
        <v>0</v>
      </c>
      <c r="R493" s="2" t="inlineStr"/>
    </row>
    <row r="494" ht="15" customHeight="1">
      <c r="A494" t="inlineStr">
        <is>
          <t>A 27801-2025</t>
        </is>
      </c>
      <c r="B494" s="1" t="n">
        <v>45817.25471064815</v>
      </c>
      <c r="C494" s="1" t="n">
        <v>46169</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43169-2025</t>
        </is>
      </c>
      <c r="B495" s="1" t="n">
        <v>45910</v>
      </c>
      <c r="C495" s="1" t="n">
        <v>46169</v>
      </c>
      <c r="D495" t="inlineStr">
        <is>
          <t>STOCKHOLMS LÄN</t>
        </is>
      </c>
      <c r="E495" t="inlineStr">
        <is>
          <t>NORRTÄLJE</t>
        </is>
      </c>
      <c r="G495" t="n">
        <v>6.9</v>
      </c>
      <c r="H495" t="n">
        <v>0</v>
      </c>
      <c r="I495" t="n">
        <v>0</v>
      </c>
      <c r="J495" t="n">
        <v>0</v>
      </c>
      <c r="K495" t="n">
        <v>0</v>
      </c>
      <c r="L495" t="n">
        <v>0</v>
      </c>
      <c r="M495" t="n">
        <v>0</v>
      </c>
      <c r="N495" t="n">
        <v>0</v>
      </c>
      <c r="O495" t="n">
        <v>0</v>
      </c>
      <c r="P495" t="n">
        <v>0</v>
      </c>
      <c r="Q495" t="n">
        <v>0</v>
      </c>
      <c r="R495" s="2" t="inlineStr"/>
    </row>
    <row r="496" ht="15" customHeight="1">
      <c r="A496" t="inlineStr">
        <is>
          <t>A 18665-2022</t>
        </is>
      </c>
      <c r="B496" s="1" t="n">
        <v>44687</v>
      </c>
      <c r="C496" s="1" t="n">
        <v>46169</v>
      </c>
      <c r="D496" t="inlineStr">
        <is>
          <t>STOCKHOLMS LÄN</t>
        </is>
      </c>
      <c r="E496" t="inlineStr">
        <is>
          <t>NORRTÄLJE</t>
        </is>
      </c>
      <c r="F496" t="inlineStr">
        <is>
          <t>Kyrkan</t>
        </is>
      </c>
      <c r="G496" t="n">
        <v>1.1</v>
      </c>
      <c r="H496" t="n">
        <v>0</v>
      </c>
      <c r="I496" t="n">
        <v>0</v>
      </c>
      <c r="J496" t="n">
        <v>0</v>
      </c>
      <c r="K496" t="n">
        <v>0</v>
      </c>
      <c r="L496" t="n">
        <v>0</v>
      </c>
      <c r="M496" t="n">
        <v>0</v>
      </c>
      <c r="N496" t="n">
        <v>0</v>
      </c>
      <c r="O496" t="n">
        <v>0</v>
      </c>
      <c r="P496" t="n">
        <v>0</v>
      </c>
      <c r="Q496" t="n">
        <v>0</v>
      </c>
      <c r="R496" s="2" t="inlineStr"/>
    </row>
    <row r="497" ht="15" customHeight="1">
      <c r="A497" t="inlineStr">
        <is>
          <t>A 27803-2025</t>
        </is>
      </c>
      <c r="B497" s="1" t="n">
        <v>45817.291875</v>
      </c>
      <c r="C497" s="1" t="n">
        <v>46169</v>
      </c>
      <c r="D497" t="inlineStr">
        <is>
          <t>STOCKHOLMS LÄN</t>
        </is>
      </c>
      <c r="E497" t="inlineStr">
        <is>
          <t>NORRTÄLJE</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27813-2025</t>
        </is>
      </c>
      <c r="B498" s="1" t="n">
        <v>45817.32538194444</v>
      </c>
      <c r="C498" s="1" t="n">
        <v>46169</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27821-2025</t>
        </is>
      </c>
      <c r="B499" s="1" t="n">
        <v>45817.34083333334</v>
      </c>
      <c r="C499" s="1" t="n">
        <v>46169</v>
      </c>
      <c r="D499" t="inlineStr">
        <is>
          <t>STOCKHOLMS LÄN</t>
        </is>
      </c>
      <c r="E499" t="inlineStr">
        <is>
          <t>NORRTÄLJE</t>
        </is>
      </c>
      <c r="G499" t="n">
        <v>3.2</v>
      </c>
      <c r="H499" t="n">
        <v>0</v>
      </c>
      <c r="I499" t="n">
        <v>0</v>
      </c>
      <c r="J499" t="n">
        <v>0</v>
      </c>
      <c r="K499" t="n">
        <v>0</v>
      </c>
      <c r="L499" t="n">
        <v>0</v>
      </c>
      <c r="M499" t="n">
        <v>0</v>
      </c>
      <c r="N499" t="n">
        <v>0</v>
      </c>
      <c r="O499" t="n">
        <v>0</v>
      </c>
      <c r="P499" t="n">
        <v>0</v>
      </c>
      <c r="Q499" t="n">
        <v>0</v>
      </c>
      <c r="R499" s="2" t="inlineStr"/>
    </row>
    <row r="500" ht="15" customHeight="1">
      <c r="A500" t="inlineStr">
        <is>
          <t>A 30719-2025</t>
        </is>
      </c>
      <c r="B500" s="1" t="n">
        <v>45831</v>
      </c>
      <c r="C500" s="1" t="n">
        <v>46169</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43269-2025</t>
        </is>
      </c>
      <c r="B501" s="1" t="n">
        <v>45910.5819212963</v>
      </c>
      <c r="C501" s="1" t="n">
        <v>46169</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58302-2022</t>
        </is>
      </c>
      <c r="B502" s="1" t="n">
        <v>44901</v>
      </c>
      <c r="C502" s="1" t="n">
        <v>46169</v>
      </c>
      <c r="D502" t="inlineStr">
        <is>
          <t>STOCKHOLMS LÄN</t>
        </is>
      </c>
      <c r="E502" t="inlineStr">
        <is>
          <t>NORRTÄLJE</t>
        </is>
      </c>
      <c r="G502" t="n">
        <v>3.9</v>
      </c>
      <c r="H502" t="n">
        <v>0</v>
      </c>
      <c r="I502" t="n">
        <v>0</v>
      </c>
      <c r="J502" t="n">
        <v>0</v>
      </c>
      <c r="K502" t="n">
        <v>0</v>
      </c>
      <c r="L502" t="n">
        <v>0</v>
      </c>
      <c r="M502" t="n">
        <v>0</v>
      </c>
      <c r="N502" t="n">
        <v>0</v>
      </c>
      <c r="O502" t="n">
        <v>0</v>
      </c>
      <c r="P502" t="n">
        <v>0</v>
      </c>
      <c r="Q502" t="n">
        <v>0</v>
      </c>
      <c r="R502" s="2" t="inlineStr"/>
    </row>
    <row r="503" ht="15" customHeight="1">
      <c r="A503" t="inlineStr">
        <is>
          <t>A 15528-2025</t>
        </is>
      </c>
      <c r="B503" s="1" t="n">
        <v>45747.63471064815</v>
      </c>
      <c r="C503" s="1" t="n">
        <v>46169</v>
      </c>
      <c r="D503" t="inlineStr">
        <is>
          <t>STOCKHOLMS LÄN</t>
        </is>
      </c>
      <c r="E503" t="inlineStr">
        <is>
          <t>NORRTÄLJE</t>
        </is>
      </c>
      <c r="G503" t="n">
        <v>10</v>
      </c>
      <c r="H503" t="n">
        <v>0</v>
      </c>
      <c r="I503" t="n">
        <v>0</v>
      </c>
      <c r="J503" t="n">
        <v>0</v>
      </c>
      <c r="K503" t="n">
        <v>0</v>
      </c>
      <c r="L503" t="n">
        <v>0</v>
      </c>
      <c r="M503" t="n">
        <v>0</v>
      </c>
      <c r="N503" t="n">
        <v>0</v>
      </c>
      <c r="O503" t="n">
        <v>0</v>
      </c>
      <c r="P503" t="n">
        <v>0</v>
      </c>
      <c r="Q503" t="n">
        <v>0</v>
      </c>
      <c r="R503" s="2" t="inlineStr"/>
    </row>
    <row r="504" ht="15" customHeight="1">
      <c r="A504" t="inlineStr">
        <is>
          <t>A 11901-2024</t>
        </is>
      </c>
      <c r="B504" s="1" t="n">
        <v>45376.55638888889</v>
      </c>
      <c r="C504" s="1" t="n">
        <v>46169</v>
      </c>
      <c r="D504" t="inlineStr">
        <is>
          <t>STOCKHOLMS LÄN</t>
        </is>
      </c>
      <c r="E504" t="inlineStr">
        <is>
          <t>NORRTÄLJE</t>
        </is>
      </c>
      <c r="F504" t="inlineStr">
        <is>
          <t>Holmen skog AB</t>
        </is>
      </c>
      <c r="G504" t="n">
        <v>3.5</v>
      </c>
      <c r="H504" t="n">
        <v>0</v>
      </c>
      <c r="I504" t="n">
        <v>0</v>
      </c>
      <c r="J504" t="n">
        <v>0</v>
      </c>
      <c r="K504" t="n">
        <v>0</v>
      </c>
      <c r="L504" t="n">
        <v>0</v>
      </c>
      <c r="M504" t="n">
        <v>0</v>
      </c>
      <c r="N504" t="n">
        <v>0</v>
      </c>
      <c r="O504" t="n">
        <v>0</v>
      </c>
      <c r="P504" t="n">
        <v>0</v>
      </c>
      <c r="Q504" t="n">
        <v>0</v>
      </c>
      <c r="R504" s="2" t="inlineStr"/>
    </row>
    <row r="505" ht="15" customHeight="1">
      <c r="A505" t="inlineStr">
        <is>
          <t>A 43916-2025</t>
        </is>
      </c>
      <c r="B505" s="1" t="n">
        <v>45914.78884259259</v>
      </c>
      <c r="C505" s="1" t="n">
        <v>46169</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38591-2023</t>
        </is>
      </c>
      <c r="B506" s="1" t="n">
        <v>45162</v>
      </c>
      <c r="C506" s="1" t="n">
        <v>46169</v>
      </c>
      <c r="D506" t="inlineStr">
        <is>
          <t>STOCKHOLMS LÄN</t>
        </is>
      </c>
      <c r="E506" t="inlineStr">
        <is>
          <t>NORRTÄLJE</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30338-2022</t>
        </is>
      </c>
      <c r="B507" s="1" t="n">
        <v>44760</v>
      </c>
      <c r="C507" s="1" t="n">
        <v>46169</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2888-2022</t>
        </is>
      </c>
      <c r="B508" s="1" t="n">
        <v>44581</v>
      </c>
      <c r="C508" s="1" t="n">
        <v>46169</v>
      </c>
      <c r="D508" t="inlineStr">
        <is>
          <t>STOCKHOLMS LÄN</t>
        </is>
      </c>
      <c r="E508" t="inlineStr">
        <is>
          <t>NORRTÄLJE</t>
        </is>
      </c>
      <c r="G508" t="n">
        <v>2.4</v>
      </c>
      <c r="H508" t="n">
        <v>0</v>
      </c>
      <c r="I508" t="n">
        <v>0</v>
      </c>
      <c r="J508" t="n">
        <v>0</v>
      </c>
      <c r="K508" t="n">
        <v>0</v>
      </c>
      <c r="L508" t="n">
        <v>0</v>
      </c>
      <c r="M508" t="n">
        <v>0</v>
      </c>
      <c r="N508" t="n">
        <v>0</v>
      </c>
      <c r="O508" t="n">
        <v>0</v>
      </c>
      <c r="P508" t="n">
        <v>0</v>
      </c>
      <c r="Q508" t="n">
        <v>0</v>
      </c>
      <c r="R508" s="2" t="inlineStr"/>
    </row>
    <row r="509" ht="15" customHeight="1">
      <c r="A509" t="inlineStr">
        <is>
          <t>A 44075-2023</t>
        </is>
      </c>
      <c r="B509" s="1" t="n">
        <v>45188.41637731482</v>
      </c>
      <c r="C509" s="1" t="n">
        <v>46169</v>
      </c>
      <c r="D509" t="inlineStr">
        <is>
          <t>STOCKHOLMS LÄN</t>
        </is>
      </c>
      <c r="E509" t="inlineStr">
        <is>
          <t>NORRTÄLJE</t>
        </is>
      </c>
      <c r="F509" t="inlineStr">
        <is>
          <t>Holmen skog AB</t>
        </is>
      </c>
      <c r="G509" t="n">
        <v>2.4</v>
      </c>
      <c r="H509" t="n">
        <v>0</v>
      </c>
      <c r="I509" t="n">
        <v>0</v>
      </c>
      <c r="J509" t="n">
        <v>0</v>
      </c>
      <c r="K509" t="n">
        <v>0</v>
      </c>
      <c r="L509" t="n">
        <v>0</v>
      </c>
      <c r="M509" t="n">
        <v>0</v>
      </c>
      <c r="N509" t="n">
        <v>0</v>
      </c>
      <c r="O509" t="n">
        <v>0</v>
      </c>
      <c r="P509" t="n">
        <v>0</v>
      </c>
      <c r="Q509" t="n">
        <v>0</v>
      </c>
      <c r="R509" s="2" t="inlineStr"/>
    </row>
    <row r="510" ht="15" customHeight="1">
      <c r="A510" t="inlineStr">
        <is>
          <t>A 52686-2024</t>
        </is>
      </c>
      <c r="B510" s="1" t="n">
        <v>45610.39271990741</v>
      </c>
      <c r="C510" s="1" t="n">
        <v>46169</v>
      </c>
      <c r="D510" t="inlineStr">
        <is>
          <t>STOCKHOLMS LÄN</t>
        </is>
      </c>
      <c r="E510" t="inlineStr">
        <is>
          <t>NORRTÄLJE</t>
        </is>
      </c>
      <c r="G510" t="n">
        <v>5.7</v>
      </c>
      <c r="H510" t="n">
        <v>0</v>
      </c>
      <c r="I510" t="n">
        <v>0</v>
      </c>
      <c r="J510" t="n">
        <v>0</v>
      </c>
      <c r="K510" t="n">
        <v>0</v>
      </c>
      <c r="L510" t="n">
        <v>0</v>
      </c>
      <c r="M510" t="n">
        <v>0</v>
      </c>
      <c r="N510" t="n">
        <v>0</v>
      </c>
      <c r="O510" t="n">
        <v>0</v>
      </c>
      <c r="P510" t="n">
        <v>0</v>
      </c>
      <c r="Q510" t="n">
        <v>0</v>
      </c>
      <c r="R510" s="2" t="inlineStr"/>
    </row>
    <row r="511" ht="15" customHeight="1">
      <c r="A511" t="inlineStr">
        <is>
          <t>A 20343-2024</t>
        </is>
      </c>
      <c r="B511" s="1" t="n">
        <v>45435.43466435185</v>
      </c>
      <c r="C511" s="1" t="n">
        <v>46169</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20345-2024</t>
        </is>
      </c>
      <c r="B512" s="1" t="n">
        <v>45435.43820601852</v>
      </c>
      <c r="C512" s="1" t="n">
        <v>46169</v>
      </c>
      <c r="D512" t="inlineStr">
        <is>
          <t>STOCKHOLMS LÄN</t>
        </is>
      </c>
      <c r="E512" t="inlineStr">
        <is>
          <t>NORRTÄLJE</t>
        </is>
      </c>
      <c r="G512" t="n">
        <v>3.8</v>
      </c>
      <c r="H512" t="n">
        <v>0</v>
      </c>
      <c r="I512" t="n">
        <v>0</v>
      </c>
      <c r="J512" t="n">
        <v>0</v>
      </c>
      <c r="K512" t="n">
        <v>0</v>
      </c>
      <c r="L512" t="n">
        <v>0</v>
      </c>
      <c r="M512" t="n">
        <v>0</v>
      </c>
      <c r="N512" t="n">
        <v>0</v>
      </c>
      <c r="O512" t="n">
        <v>0</v>
      </c>
      <c r="P512" t="n">
        <v>0</v>
      </c>
      <c r="Q512" t="n">
        <v>0</v>
      </c>
      <c r="R512" s="2" t="inlineStr"/>
    </row>
    <row r="513" ht="15" customHeight="1">
      <c r="A513" t="inlineStr">
        <is>
          <t>A 9765-2024</t>
        </is>
      </c>
      <c r="B513" s="1" t="n">
        <v>45362.62811342593</v>
      </c>
      <c r="C513" s="1" t="n">
        <v>46169</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44354-2025</t>
        </is>
      </c>
      <c r="B514" s="1" t="n">
        <v>45916.44655092592</v>
      </c>
      <c r="C514" s="1" t="n">
        <v>46169</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59875-2024</t>
        </is>
      </c>
      <c r="B515" s="1" t="n">
        <v>45640.58716435185</v>
      </c>
      <c r="C515" s="1" t="n">
        <v>46169</v>
      </c>
      <c r="D515" t="inlineStr">
        <is>
          <t>STOCKHOLMS LÄN</t>
        </is>
      </c>
      <c r="E515" t="inlineStr">
        <is>
          <t>NORRTÄLJE</t>
        </is>
      </c>
      <c r="G515" t="n">
        <v>0.3</v>
      </c>
      <c r="H515" t="n">
        <v>0</v>
      </c>
      <c r="I515" t="n">
        <v>0</v>
      </c>
      <c r="J515" t="n">
        <v>0</v>
      </c>
      <c r="K515" t="n">
        <v>0</v>
      </c>
      <c r="L515" t="n">
        <v>0</v>
      </c>
      <c r="M515" t="n">
        <v>0</v>
      </c>
      <c r="N515" t="n">
        <v>0</v>
      </c>
      <c r="O515" t="n">
        <v>0</v>
      </c>
      <c r="P515" t="n">
        <v>0</v>
      </c>
      <c r="Q515" t="n">
        <v>0</v>
      </c>
      <c r="R515" s="2" t="inlineStr"/>
    </row>
    <row r="516" ht="15" customHeight="1">
      <c r="A516" t="inlineStr">
        <is>
          <t>A 11-2024</t>
        </is>
      </c>
      <c r="B516" s="1" t="n">
        <v>45293</v>
      </c>
      <c r="C516" s="1" t="n">
        <v>46169</v>
      </c>
      <c r="D516" t="inlineStr">
        <is>
          <t>STOCKHOLMS LÄN</t>
        </is>
      </c>
      <c r="E516" t="inlineStr">
        <is>
          <t>NORRTÄLJE</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14559-2024</t>
        </is>
      </c>
      <c r="B517" s="1" t="n">
        <v>45394.72869212963</v>
      </c>
      <c r="C517" s="1" t="n">
        <v>46169</v>
      </c>
      <c r="D517" t="inlineStr">
        <is>
          <t>STOCKHOLMS LÄN</t>
        </is>
      </c>
      <c r="E517" t="inlineStr">
        <is>
          <t>NORRTÄLJE</t>
        </is>
      </c>
      <c r="G517" t="n">
        <v>4.2</v>
      </c>
      <c r="H517" t="n">
        <v>0</v>
      </c>
      <c r="I517" t="n">
        <v>0</v>
      </c>
      <c r="J517" t="n">
        <v>0</v>
      </c>
      <c r="K517" t="n">
        <v>0</v>
      </c>
      <c r="L517" t="n">
        <v>0</v>
      </c>
      <c r="M517" t="n">
        <v>0</v>
      </c>
      <c r="N517" t="n">
        <v>0</v>
      </c>
      <c r="O517" t="n">
        <v>0</v>
      </c>
      <c r="P517" t="n">
        <v>0</v>
      </c>
      <c r="Q517" t="n">
        <v>0</v>
      </c>
      <c r="R517" s="2" t="inlineStr"/>
    </row>
    <row r="518" ht="15" customHeight="1">
      <c r="A518" t="inlineStr">
        <is>
          <t>A 8433-2022</t>
        </is>
      </c>
      <c r="B518" s="1" t="n">
        <v>44611</v>
      </c>
      <c r="C518" s="1" t="n">
        <v>46169</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44306-2025</t>
        </is>
      </c>
      <c r="B519" s="1" t="n">
        <v>45916.37736111111</v>
      </c>
      <c r="C519" s="1" t="n">
        <v>46169</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44343-2025</t>
        </is>
      </c>
      <c r="B520" s="1" t="n">
        <v>45916.43378472222</v>
      </c>
      <c r="C520" s="1" t="n">
        <v>46169</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44349-2025</t>
        </is>
      </c>
      <c r="B521" s="1" t="n">
        <v>45916.43929398148</v>
      </c>
      <c r="C521" s="1" t="n">
        <v>46169</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44311-2025</t>
        </is>
      </c>
      <c r="B522" s="1" t="n">
        <v>45916.38394675926</v>
      </c>
      <c r="C522" s="1" t="n">
        <v>46169</v>
      </c>
      <c r="D522" t="inlineStr">
        <is>
          <t>STOCKHOLMS LÄN</t>
        </is>
      </c>
      <c r="E522" t="inlineStr">
        <is>
          <t>NORRTÄLJE</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25525-2022</t>
        </is>
      </c>
      <c r="B523" s="1" t="n">
        <v>44732</v>
      </c>
      <c r="C523" s="1" t="n">
        <v>46169</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12302-2025</t>
        </is>
      </c>
      <c r="B524" s="1" t="n">
        <v>45729.72851851852</v>
      </c>
      <c r="C524" s="1" t="n">
        <v>46169</v>
      </c>
      <c r="D524" t="inlineStr">
        <is>
          <t>STOCKHOLMS LÄN</t>
        </is>
      </c>
      <c r="E524" t="inlineStr">
        <is>
          <t>NORRTÄLJE</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44333-2025</t>
        </is>
      </c>
      <c r="B525" s="1" t="n">
        <v>45916.42293981482</v>
      </c>
      <c r="C525" s="1" t="n">
        <v>46169</v>
      </c>
      <c r="D525" t="inlineStr">
        <is>
          <t>STOCKHOLMS LÄN</t>
        </is>
      </c>
      <c r="E525" t="inlineStr">
        <is>
          <t>NORRTÄLJE</t>
        </is>
      </c>
      <c r="G525" t="n">
        <v>1.5</v>
      </c>
      <c r="H525" t="n">
        <v>0</v>
      </c>
      <c r="I525" t="n">
        <v>0</v>
      </c>
      <c r="J525" t="n">
        <v>0</v>
      </c>
      <c r="K525" t="n">
        <v>0</v>
      </c>
      <c r="L525" t="n">
        <v>0</v>
      </c>
      <c r="M525" t="n">
        <v>0</v>
      </c>
      <c r="N525" t="n">
        <v>0</v>
      </c>
      <c r="O525" t="n">
        <v>0</v>
      </c>
      <c r="P525" t="n">
        <v>0</v>
      </c>
      <c r="Q525" t="n">
        <v>0</v>
      </c>
      <c r="R525" s="2" t="inlineStr"/>
    </row>
    <row r="526" ht="15" customHeight="1">
      <c r="A526" t="inlineStr">
        <is>
          <t>A 38889-2024</t>
        </is>
      </c>
      <c r="B526" s="1" t="n">
        <v>45547</v>
      </c>
      <c r="C526" s="1" t="n">
        <v>46169</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45451-2024</t>
        </is>
      </c>
      <c r="B527" s="1" t="n">
        <v>45576</v>
      </c>
      <c r="C527" s="1" t="n">
        <v>46169</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29250-2025</t>
        </is>
      </c>
      <c r="B528" s="1" t="n">
        <v>45824.37275462963</v>
      </c>
      <c r="C528" s="1" t="n">
        <v>46169</v>
      </c>
      <c r="D528" t="inlineStr">
        <is>
          <t>STOCKHOLMS LÄN</t>
        </is>
      </c>
      <c r="E528" t="inlineStr">
        <is>
          <t>NORRTÄLJE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44937-2025</t>
        </is>
      </c>
      <c r="B529" s="1" t="n">
        <v>45918</v>
      </c>
      <c r="C529" s="1" t="n">
        <v>46169</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26644-2024</t>
        </is>
      </c>
      <c r="B530" s="1" t="n">
        <v>45469</v>
      </c>
      <c r="C530" s="1" t="n">
        <v>46169</v>
      </c>
      <c r="D530" t="inlineStr">
        <is>
          <t>STOCKHOLMS LÄN</t>
        </is>
      </c>
      <c r="E530" t="inlineStr">
        <is>
          <t>NORRTÄLJE</t>
        </is>
      </c>
      <c r="G530" t="n">
        <v>4.3</v>
      </c>
      <c r="H530" t="n">
        <v>0</v>
      </c>
      <c r="I530" t="n">
        <v>0</v>
      </c>
      <c r="J530" t="n">
        <v>0</v>
      </c>
      <c r="K530" t="n">
        <v>0</v>
      </c>
      <c r="L530" t="n">
        <v>0</v>
      </c>
      <c r="M530" t="n">
        <v>0</v>
      </c>
      <c r="N530" t="n">
        <v>0</v>
      </c>
      <c r="O530" t="n">
        <v>0</v>
      </c>
      <c r="P530" t="n">
        <v>0</v>
      </c>
      <c r="Q530" t="n">
        <v>0</v>
      </c>
      <c r="R530" s="2" t="inlineStr"/>
    </row>
    <row r="531" ht="15" customHeight="1">
      <c r="A531" t="inlineStr">
        <is>
          <t>A 22359-2025</t>
        </is>
      </c>
      <c r="B531" s="1" t="n">
        <v>45786</v>
      </c>
      <c r="C531" s="1" t="n">
        <v>46169</v>
      </c>
      <c r="D531" t="inlineStr">
        <is>
          <t>STOCKHOLMS LÄN</t>
        </is>
      </c>
      <c r="E531" t="inlineStr">
        <is>
          <t>NORRTÄLJE</t>
        </is>
      </c>
      <c r="G531" t="n">
        <v>5</v>
      </c>
      <c r="H531" t="n">
        <v>0</v>
      </c>
      <c r="I531" t="n">
        <v>0</v>
      </c>
      <c r="J531" t="n">
        <v>0</v>
      </c>
      <c r="K531" t="n">
        <v>0</v>
      </c>
      <c r="L531" t="n">
        <v>0</v>
      </c>
      <c r="M531" t="n">
        <v>0</v>
      </c>
      <c r="N531" t="n">
        <v>0</v>
      </c>
      <c r="O531" t="n">
        <v>0</v>
      </c>
      <c r="P531" t="n">
        <v>0</v>
      </c>
      <c r="Q531" t="n">
        <v>0</v>
      </c>
      <c r="R531" s="2" t="inlineStr"/>
    </row>
    <row r="532" ht="15" customHeight="1">
      <c r="A532" t="inlineStr">
        <is>
          <t>A 2982-2023</t>
        </is>
      </c>
      <c r="B532" s="1" t="n">
        <v>44945.67409722223</v>
      </c>
      <c r="C532" s="1" t="n">
        <v>46169</v>
      </c>
      <c r="D532" t="inlineStr">
        <is>
          <t>STOCKHOLMS LÄN</t>
        </is>
      </c>
      <c r="E532" t="inlineStr">
        <is>
          <t>NORRTÄLJE</t>
        </is>
      </c>
      <c r="G532" t="n">
        <v>3.3</v>
      </c>
      <c r="H532" t="n">
        <v>0</v>
      </c>
      <c r="I532" t="n">
        <v>0</v>
      </c>
      <c r="J532" t="n">
        <v>0</v>
      </c>
      <c r="K532" t="n">
        <v>0</v>
      </c>
      <c r="L532" t="n">
        <v>0</v>
      </c>
      <c r="M532" t="n">
        <v>0</v>
      </c>
      <c r="N532" t="n">
        <v>0</v>
      </c>
      <c r="O532" t="n">
        <v>0</v>
      </c>
      <c r="P532" t="n">
        <v>0</v>
      </c>
      <c r="Q532" t="n">
        <v>0</v>
      </c>
      <c r="R532" s="2" t="inlineStr"/>
    </row>
    <row r="533" ht="15" customHeight="1">
      <c r="A533" t="inlineStr">
        <is>
          <t>A 12535-2025</t>
        </is>
      </c>
      <c r="B533" s="1" t="n">
        <v>45730.69502314815</v>
      </c>
      <c r="C533" s="1" t="n">
        <v>46169</v>
      </c>
      <c r="D533" t="inlineStr">
        <is>
          <t>STOCKHOLMS LÄN</t>
        </is>
      </c>
      <c r="E533" t="inlineStr">
        <is>
          <t>NORRTÄLJE</t>
        </is>
      </c>
      <c r="G533" t="n">
        <v>7.1</v>
      </c>
      <c r="H533" t="n">
        <v>0</v>
      </c>
      <c r="I533" t="n">
        <v>0</v>
      </c>
      <c r="J533" t="n">
        <v>0</v>
      </c>
      <c r="K533" t="n">
        <v>0</v>
      </c>
      <c r="L533" t="n">
        <v>0</v>
      </c>
      <c r="M533" t="n">
        <v>0</v>
      </c>
      <c r="N533" t="n">
        <v>0</v>
      </c>
      <c r="O533" t="n">
        <v>0</v>
      </c>
      <c r="P533" t="n">
        <v>0</v>
      </c>
      <c r="Q533" t="n">
        <v>0</v>
      </c>
      <c r="R533" s="2" t="inlineStr"/>
    </row>
    <row r="534" ht="15" customHeight="1">
      <c r="A534" t="inlineStr">
        <is>
          <t>A 37136-2023</t>
        </is>
      </c>
      <c r="B534" s="1" t="n">
        <v>45155</v>
      </c>
      <c r="C534" s="1" t="n">
        <v>46169</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45697-2025</t>
        </is>
      </c>
      <c r="B535" s="1" t="n">
        <v>45923.39877314815</v>
      </c>
      <c r="C535" s="1" t="n">
        <v>46169</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18787-2022</t>
        </is>
      </c>
      <c r="B536" s="1" t="n">
        <v>44687</v>
      </c>
      <c r="C536" s="1" t="n">
        <v>46169</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13718-2022</t>
        </is>
      </c>
      <c r="B537" s="1" t="n">
        <v>44649</v>
      </c>
      <c r="C537" s="1" t="n">
        <v>46169</v>
      </c>
      <c r="D537" t="inlineStr">
        <is>
          <t>STOCKHOLMS LÄN</t>
        </is>
      </c>
      <c r="E537" t="inlineStr">
        <is>
          <t>NORRTÄLJE</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25621-2022</t>
        </is>
      </c>
      <c r="B538" s="1" t="n">
        <v>44732</v>
      </c>
      <c r="C538" s="1" t="n">
        <v>46169</v>
      </c>
      <c r="D538" t="inlineStr">
        <is>
          <t>STOCKHOLMS LÄN</t>
        </is>
      </c>
      <c r="E538" t="inlineStr">
        <is>
          <t>NORRTÄLJE</t>
        </is>
      </c>
      <c r="G538" t="n">
        <v>3.1</v>
      </c>
      <c r="H538" t="n">
        <v>0</v>
      </c>
      <c r="I538" t="n">
        <v>0</v>
      </c>
      <c r="J538" t="n">
        <v>0</v>
      </c>
      <c r="K538" t="n">
        <v>0</v>
      </c>
      <c r="L538" t="n">
        <v>0</v>
      </c>
      <c r="M538" t="n">
        <v>0</v>
      </c>
      <c r="N538" t="n">
        <v>0</v>
      </c>
      <c r="O538" t="n">
        <v>0</v>
      </c>
      <c r="P538" t="n">
        <v>0</v>
      </c>
      <c r="Q538" t="n">
        <v>0</v>
      </c>
      <c r="R538" s="2" t="inlineStr"/>
    </row>
    <row r="539" ht="15" customHeight="1">
      <c r="A539" t="inlineStr">
        <is>
          <t>A 30639-2025</t>
        </is>
      </c>
      <c r="B539" s="1" t="n">
        <v>45831.4844212963</v>
      </c>
      <c r="C539" s="1" t="n">
        <v>46169</v>
      </c>
      <c r="D539" t="inlineStr">
        <is>
          <t>STOCKHOLMS LÄN</t>
        </is>
      </c>
      <c r="E539" t="inlineStr">
        <is>
          <t>NORRTÄLJE</t>
        </is>
      </c>
      <c r="G539" t="n">
        <v>2</v>
      </c>
      <c r="H539" t="n">
        <v>0</v>
      </c>
      <c r="I539" t="n">
        <v>0</v>
      </c>
      <c r="J539" t="n">
        <v>0</v>
      </c>
      <c r="K539" t="n">
        <v>0</v>
      </c>
      <c r="L539" t="n">
        <v>0</v>
      </c>
      <c r="M539" t="n">
        <v>0</v>
      </c>
      <c r="N539" t="n">
        <v>0</v>
      </c>
      <c r="O539" t="n">
        <v>0</v>
      </c>
      <c r="P539" t="n">
        <v>0</v>
      </c>
      <c r="Q539" t="n">
        <v>0</v>
      </c>
      <c r="R539" s="2" t="inlineStr"/>
    </row>
    <row r="540" ht="15" customHeight="1">
      <c r="A540" t="inlineStr">
        <is>
          <t>A 30668-2025</t>
        </is>
      </c>
      <c r="B540" s="1" t="n">
        <v>45831.51659722222</v>
      </c>
      <c r="C540" s="1" t="n">
        <v>46169</v>
      </c>
      <c r="D540" t="inlineStr">
        <is>
          <t>STOCKHOLMS LÄN</t>
        </is>
      </c>
      <c r="E540" t="inlineStr">
        <is>
          <t>NORRTÄLJE</t>
        </is>
      </c>
      <c r="G540" t="n">
        <v>4.9</v>
      </c>
      <c r="H540" t="n">
        <v>0</v>
      </c>
      <c r="I540" t="n">
        <v>0</v>
      </c>
      <c r="J540" t="n">
        <v>0</v>
      </c>
      <c r="K540" t="n">
        <v>0</v>
      </c>
      <c r="L540" t="n">
        <v>0</v>
      </c>
      <c r="M540" t="n">
        <v>0</v>
      </c>
      <c r="N540" t="n">
        <v>0</v>
      </c>
      <c r="O540" t="n">
        <v>0</v>
      </c>
      <c r="P540" t="n">
        <v>0</v>
      </c>
      <c r="Q540" t="n">
        <v>0</v>
      </c>
      <c r="R540" s="2" t="inlineStr"/>
    </row>
    <row r="541" ht="15" customHeight="1">
      <c r="A541" t="inlineStr">
        <is>
          <t>A 36269-2022</t>
        </is>
      </c>
      <c r="B541" s="1" t="n">
        <v>44803</v>
      </c>
      <c r="C541" s="1" t="n">
        <v>46169</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36308-2022</t>
        </is>
      </c>
      <c r="B542" s="1" t="n">
        <v>44803</v>
      </c>
      <c r="C542" s="1" t="n">
        <v>46169</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46415-2025</t>
        </is>
      </c>
      <c r="B543" s="1" t="n">
        <v>45925.58636574074</v>
      </c>
      <c r="C543" s="1" t="n">
        <v>46169</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54907-2025</t>
        </is>
      </c>
      <c r="B544" s="1" t="n">
        <v>45967.37137731481</v>
      </c>
      <c r="C544" s="1" t="n">
        <v>46169</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6919-2025</t>
        </is>
      </c>
      <c r="B545" s="1" t="n">
        <v>45701.44372685185</v>
      </c>
      <c r="C545" s="1" t="n">
        <v>46169</v>
      </c>
      <c r="D545" t="inlineStr">
        <is>
          <t>STOCKHOLMS LÄN</t>
        </is>
      </c>
      <c r="E545" t="inlineStr">
        <is>
          <t>NORRTÄLJE</t>
        </is>
      </c>
      <c r="G545" t="n">
        <v>3.5</v>
      </c>
      <c r="H545" t="n">
        <v>0</v>
      </c>
      <c r="I545" t="n">
        <v>0</v>
      </c>
      <c r="J545" t="n">
        <v>0</v>
      </c>
      <c r="K545" t="n">
        <v>0</v>
      </c>
      <c r="L545" t="n">
        <v>0</v>
      </c>
      <c r="M545" t="n">
        <v>0</v>
      </c>
      <c r="N545" t="n">
        <v>0</v>
      </c>
      <c r="O545" t="n">
        <v>0</v>
      </c>
      <c r="P545" t="n">
        <v>0</v>
      </c>
      <c r="Q545" t="n">
        <v>0</v>
      </c>
      <c r="R545" s="2" t="inlineStr"/>
    </row>
    <row r="546" ht="15" customHeight="1">
      <c r="A546" t="inlineStr">
        <is>
          <t>A 32100-2022</t>
        </is>
      </c>
      <c r="B546" s="1" t="n">
        <v>44778</v>
      </c>
      <c r="C546" s="1" t="n">
        <v>46169</v>
      </c>
      <c r="D546" t="inlineStr">
        <is>
          <t>STOCKHOLMS LÄN</t>
        </is>
      </c>
      <c r="E546" t="inlineStr">
        <is>
          <t>NORRTÄLJE</t>
        </is>
      </c>
      <c r="G546" t="n">
        <v>3.3</v>
      </c>
      <c r="H546" t="n">
        <v>0</v>
      </c>
      <c r="I546" t="n">
        <v>0</v>
      </c>
      <c r="J546" t="n">
        <v>0</v>
      </c>
      <c r="K546" t="n">
        <v>0</v>
      </c>
      <c r="L546" t="n">
        <v>0</v>
      </c>
      <c r="M546" t="n">
        <v>0</v>
      </c>
      <c r="N546" t="n">
        <v>0</v>
      </c>
      <c r="O546" t="n">
        <v>0</v>
      </c>
      <c r="P546" t="n">
        <v>0</v>
      </c>
      <c r="Q546" t="n">
        <v>0</v>
      </c>
      <c r="R546" s="2" t="inlineStr"/>
    </row>
    <row r="547" ht="15" customHeight="1">
      <c r="A547" t="inlineStr">
        <is>
          <t>A 11332-2025</t>
        </is>
      </c>
      <c r="B547" s="1" t="n">
        <v>45726.48152777777</v>
      </c>
      <c r="C547" s="1" t="n">
        <v>46169</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37444-2021</t>
        </is>
      </c>
      <c r="B548" s="1" t="n">
        <v>44398</v>
      </c>
      <c r="C548" s="1" t="n">
        <v>46169</v>
      </c>
      <c r="D548" t="inlineStr">
        <is>
          <t>STOCKHOLMS LÄN</t>
        </is>
      </c>
      <c r="E548" t="inlineStr">
        <is>
          <t>NORRTÄLJE</t>
        </is>
      </c>
      <c r="F548" t="inlineStr">
        <is>
          <t>Holmen skog AB</t>
        </is>
      </c>
      <c r="G548" t="n">
        <v>3.2</v>
      </c>
      <c r="H548" t="n">
        <v>0</v>
      </c>
      <c r="I548" t="n">
        <v>0</v>
      </c>
      <c r="J548" t="n">
        <v>0</v>
      </c>
      <c r="K548" t="n">
        <v>0</v>
      </c>
      <c r="L548" t="n">
        <v>0</v>
      </c>
      <c r="M548" t="n">
        <v>0</v>
      </c>
      <c r="N548" t="n">
        <v>0</v>
      </c>
      <c r="O548" t="n">
        <v>0</v>
      </c>
      <c r="P548" t="n">
        <v>0</v>
      </c>
      <c r="Q548" t="n">
        <v>0</v>
      </c>
      <c r="R548" s="2" t="inlineStr"/>
    </row>
    <row r="549" ht="15" customHeight="1">
      <c r="A549" t="inlineStr">
        <is>
          <t>A 30886-2022</t>
        </is>
      </c>
      <c r="B549" s="1" t="n">
        <v>44767.60601851852</v>
      </c>
      <c r="C549" s="1" t="n">
        <v>46169</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9654-2022</t>
        </is>
      </c>
      <c r="B550" s="1" t="n">
        <v>44617</v>
      </c>
      <c r="C550" s="1" t="n">
        <v>46169</v>
      </c>
      <c r="D550" t="inlineStr">
        <is>
          <t>STOCKHOLMS LÄN</t>
        </is>
      </c>
      <c r="E550" t="inlineStr">
        <is>
          <t>NORRTÄLJE</t>
        </is>
      </c>
      <c r="G550" t="n">
        <v>6.4</v>
      </c>
      <c r="H550" t="n">
        <v>0</v>
      </c>
      <c r="I550" t="n">
        <v>0</v>
      </c>
      <c r="J550" t="n">
        <v>0</v>
      </c>
      <c r="K550" t="n">
        <v>0</v>
      </c>
      <c r="L550" t="n">
        <v>0</v>
      </c>
      <c r="M550" t="n">
        <v>0</v>
      </c>
      <c r="N550" t="n">
        <v>0</v>
      </c>
      <c r="O550" t="n">
        <v>0</v>
      </c>
      <c r="P550" t="n">
        <v>0</v>
      </c>
      <c r="Q550" t="n">
        <v>0</v>
      </c>
      <c r="R550" s="2" t="inlineStr"/>
    </row>
    <row r="551" ht="15" customHeight="1">
      <c r="A551" t="inlineStr">
        <is>
          <t>A 46900-2025</t>
        </is>
      </c>
      <c r="B551" s="1" t="n">
        <v>45929.38712962963</v>
      </c>
      <c r="C551" s="1" t="n">
        <v>46169</v>
      </c>
      <c r="D551" t="inlineStr">
        <is>
          <t>STOCKHOLMS LÄN</t>
        </is>
      </c>
      <c r="E551" t="inlineStr">
        <is>
          <t>NORRTÄLJE</t>
        </is>
      </c>
      <c r="F551" t="inlineStr">
        <is>
          <t>Holmen skog AB</t>
        </is>
      </c>
      <c r="G551" t="n">
        <v>6.2</v>
      </c>
      <c r="H551" t="n">
        <v>0</v>
      </c>
      <c r="I551" t="n">
        <v>0</v>
      </c>
      <c r="J551" t="n">
        <v>0</v>
      </c>
      <c r="K551" t="n">
        <v>0</v>
      </c>
      <c r="L551" t="n">
        <v>0</v>
      </c>
      <c r="M551" t="n">
        <v>0</v>
      </c>
      <c r="N551" t="n">
        <v>0</v>
      </c>
      <c r="O551" t="n">
        <v>0</v>
      </c>
      <c r="P551" t="n">
        <v>0</v>
      </c>
      <c r="Q551" t="n">
        <v>0</v>
      </c>
      <c r="R551" s="2" t="inlineStr"/>
    </row>
    <row r="552" ht="15" customHeight="1">
      <c r="A552" t="inlineStr">
        <is>
          <t>A 1453-2025</t>
        </is>
      </c>
      <c r="B552" s="1" t="n">
        <v>45670.3079050926</v>
      </c>
      <c r="C552" s="1" t="n">
        <v>46169</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31170-2025</t>
        </is>
      </c>
      <c r="B553" s="1" t="n">
        <v>45832.66385416667</v>
      </c>
      <c r="C553" s="1" t="n">
        <v>46169</v>
      </c>
      <c r="D553" t="inlineStr">
        <is>
          <t>STOCKHOLMS LÄN</t>
        </is>
      </c>
      <c r="E553" t="inlineStr">
        <is>
          <t>NORRTÄLJE</t>
        </is>
      </c>
      <c r="G553" t="n">
        <v>2.7</v>
      </c>
      <c r="H553" t="n">
        <v>0</v>
      </c>
      <c r="I553" t="n">
        <v>0</v>
      </c>
      <c r="J553" t="n">
        <v>0</v>
      </c>
      <c r="K553" t="n">
        <v>0</v>
      </c>
      <c r="L553" t="n">
        <v>0</v>
      </c>
      <c r="M553" t="n">
        <v>0</v>
      </c>
      <c r="N553" t="n">
        <v>0</v>
      </c>
      <c r="O553" t="n">
        <v>0</v>
      </c>
      <c r="P553" t="n">
        <v>0</v>
      </c>
      <c r="Q553" t="n">
        <v>0</v>
      </c>
      <c r="R553" s="2" t="inlineStr"/>
    </row>
    <row r="554" ht="15" customHeight="1">
      <c r="A554" t="inlineStr">
        <is>
          <t>A 5804-2025</t>
        </is>
      </c>
      <c r="B554" s="1" t="n">
        <v>45694.68207175926</v>
      </c>
      <c r="C554" s="1" t="n">
        <v>46169</v>
      </c>
      <c r="D554" t="inlineStr">
        <is>
          <t>STOCKHOLMS LÄN</t>
        </is>
      </c>
      <c r="E554" t="inlineStr">
        <is>
          <t>NORRTÄLJE</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50907-2022</t>
        </is>
      </c>
      <c r="B555" s="1" t="n">
        <v>44867.62090277778</v>
      </c>
      <c r="C555" s="1" t="n">
        <v>46169</v>
      </c>
      <c r="D555" t="inlineStr">
        <is>
          <t>STOCKHOLMS LÄN</t>
        </is>
      </c>
      <c r="E555" t="inlineStr">
        <is>
          <t>NORRTÄLJE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55503-2025</t>
        </is>
      </c>
      <c r="B556" s="1" t="n">
        <v>45971</v>
      </c>
      <c r="C556" s="1" t="n">
        <v>46169</v>
      </c>
      <c r="D556" t="inlineStr">
        <is>
          <t>STOCKHOLMS LÄN</t>
        </is>
      </c>
      <c r="E556" t="inlineStr">
        <is>
          <t>NORRTÄLJE</t>
        </is>
      </c>
      <c r="G556" t="n">
        <v>3</v>
      </c>
      <c r="H556" t="n">
        <v>0</v>
      </c>
      <c r="I556" t="n">
        <v>0</v>
      </c>
      <c r="J556" t="n">
        <v>0</v>
      </c>
      <c r="K556" t="n">
        <v>0</v>
      </c>
      <c r="L556" t="n">
        <v>0</v>
      </c>
      <c r="M556" t="n">
        <v>0</v>
      </c>
      <c r="N556" t="n">
        <v>0</v>
      </c>
      <c r="O556" t="n">
        <v>0</v>
      </c>
      <c r="P556" t="n">
        <v>0</v>
      </c>
      <c r="Q556" t="n">
        <v>0</v>
      </c>
      <c r="R556" s="2" t="inlineStr"/>
    </row>
    <row r="557" ht="15" customHeight="1">
      <c r="A557" t="inlineStr">
        <is>
          <t>A 29003-2023</t>
        </is>
      </c>
      <c r="B557" s="1" t="n">
        <v>45104</v>
      </c>
      <c r="C557" s="1" t="n">
        <v>46169</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33295-2023</t>
        </is>
      </c>
      <c r="B558" s="1" t="n">
        <v>45127.69371527778</v>
      </c>
      <c r="C558" s="1" t="n">
        <v>46169</v>
      </c>
      <c r="D558" t="inlineStr">
        <is>
          <t>STOCKHOLMS LÄN</t>
        </is>
      </c>
      <c r="E558" t="inlineStr">
        <is>
          <t>NORRTÄLJE</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14127-2025</t>
        </is>
      </c>
      <c r="B559" s="1" t="n">
        <v>45740.47055555556</v>
      </c>
      <c r="C559" s="1" t="n">
        <v>46169</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16980-2023</t>
        </is>
      </c>
      <c r="B560" s="1" t="n">
        <v>45033</v>
      </c>
      <c r="C560" s="1" t="n">
        <v>46169</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35256-2025</t>
        </is>
      </c>
      <c r="B561" s="1" t="n">
        <v>45853</v>
      </c>
      <c r="C561" s="1" t="n">
        <v>46169</v>
      </c>
      <c r="D561" t="inlineStr">
        <is>
          <t>STOCKHOLMS LÄN</t>
        </is>
      </c>
      <c r="E561" t="inlineStr">
        <is>
          <t>NORRTÄLJE</t>
        </is>
      </c>
      <c r="G561" t="n">
        <v>6.4</v>
      </c>
      <c r="H561" t="n">
        <v>0</v>
      </c>
      <c r="I561" t="n">
        <v>0</v>
      </c>
      <c r="J561" t="n">
        <v>0</v>
      </c>
      <c r="K561" t="n">
        <v>0</v>
      </c>
      <c r="L561" t="n">
        <v>0</v>
      </c>
      <c r="M561" t="n">
        <v>0</v>
      </c>
      <c r="N561" t="n">
        <v>0</v>
      </c>
      <c r="O561" t="n">
        <v>0</v>
      </c>
      <c r="P561" t="n">
        <v>0</v>
      </c>
      <c r="Q561" t="n">
        <v>0</v>
      </c>
      <c r="R561" s="2" t="inlineStr"/>
    </row>
    <row r="562" ht="15" customHeight="1">
      <c r="A562" t="inlineStr">
        <is>
          <t>A 31880-2025</t>
        </is>
      </c>
      <c r="B562" s="1" t="n">
        <v>45834.65538194445</v>
      </c>
      <c r="C562" s="1" t="n">
        <v>46169</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32595-2023</t>
        </is>
      </c>
      <c r="B563" s="1" t="n">
        <v>45121</v>
      </c>
      <c r="C563" s="1" t="n">
        <v>46169</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32122-2025</t>
        </is>
      </c>
      <c r="B564" s="1" t="n">
        <v>45835.4928125</v>
      </c>
      <c r="C564" s="1" t="n">
        <v>46169</v>
      </c>
      <c r="D564" t="inlineStr">
        <is>
          <t>STOCKHOLMS LÄN</t>
        </is>
      </c>
      <c r="E564" t="inlineStr">
        <is>
          <t>NORRTÄLJE</t>
        </is>
      </c>
      <c r="F564" t="inlineStr">
        <is>
          <t>Holmen skog AB</t>
        </is>
      </c>
      <c r="G564" t="n">
        <v>1.9</v>
      </c>
      <c r="H564" t="n">
        <v>0</v>
      </c>
      <c r="I564" t="n">
        <v>0</v>
      </c>
      <c r="J564" t="n">
        <v>0</v>
      </c>
      <c r="K564" t="n">
        <v>0</v>
      </c>
      <c r="L564" t="n">
        <v>0</v>
      </c>
      <c r="M564" t="n">
        <v>0</v>
      </c>
      <c r="N564" t="n">
        <v>0</v>
      </c>
      <c r="O564" t="n">
        <v>0</v>
      </c>
      <c r="P564" t="n">
        <v>0</v>
      </c>
      <c r="Q564" t="n">
        <v>0</v>
      </c>
      <c r="R564" s="2" t="inlineStr"/>
    </row>
    <row r="565" ht="15" customHeight="1">
      <c r="A565" t="inlineStr">
        <is>
          <t>A 31868-2025</t>
        </is>
      </c>
      <c r="B565" s="1" t="n">
        <v>45834.6447337963</v>
      </c>
      <c r="C565" s="1" t="n">
        <v>46169</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6413-2025</t>
        </is>
      </c>
      <c r="B566" s="1" t="n">
        <v>45699.46283564815</v>
      </c>
      <c r="C566" s="1" t="n">
        <v>46169</v>
      </c>
      <c r="D566" t="inlineStr">
        <is>
          <t>STOCKHOLMS LÄN</t>
        </is>
      </c>
      <c r="E566" t="inlineStr">
        <is>
          <t>NORRTÄLJE</t>
        </is>
      </c>
      <c r="G566" t="n">
        <v>3.6</v>
      </c>
      <c r="H566" t="n">
        <v>0</v>
      </c>
      <c r="I566" t="n">
        <v>0</v>
      </c>
      <c r="J566" t="n">
        <v>0</v>
      </c>
      <c r="K566" t="n">
        <v>0</v>
      </c>
      <c r="L566" t="n">
        <v>0</v>
      </c>
      <c r="M566" t="n">
        <v>0</v>
      </c>
      <c r="N566" t="n">
        <v>0</v>
      </c>
      <c r="O566" t="n">
        <v>0</v>
      </c>
      <c r="P566" t="n">
        <v>0</v>
      </c>
      <c r="Q566" t="n">
        <v>0</v>
      </c>
      <c r="R566" s="2" t="inlineStr"/>
    </row>
    <row r="567" ht="15" customHeight="1">
      <c r="A567" t="inlineStr">
        <is>
          <t>A 37550-2022</t>
        </is>
      </c>
      <c r="B567" s="1" t="n">
        <v>44809</v>
      </c>
      <c r="C567" s="1" t="n">
        <v>46169</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32016-2025</t>
        </is>
      </c>
      <c r="B568" s="1" t="n">
        <v>45835</v>
      </c>
      <c r="C568" s="1" t="n">
        <v>46169</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32283-2025</t>
        </is>
      </c>
      <c r="B569" s="1" t="n">
        <v>45835.68076388889</v>
      </c>
      <c r="C569" s="1" t="n">
        <v>46169</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31874-2025</t>
        </is>
      </c>
      <c r="B570" s="1" t="n">
        <v>45834</v>
      </c>
      <c r="C570" s="1" t="n">
        <v>46169</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32094-2025</t>
        </is>
      </c>
      <c r="B571" s="1" t="n">
        <v>45835.46034722222</v>
      </c>
      <c r="C571" s="1" t="n">
        <v>46169</v>
      </c>
      <c r="D571" t="inlineStr">
        <is>
          <t>STOCKHOLMS LÄN</t>
        </is>
      </c>
      <c r="E571" t="inlineStr">
        <is>
          <t>NORRTÄLJE</t>
        </is>
      </c>
      <c r="F571" t="inlineStr">
        <is>
          <t>Holmen skog AB</t>
        </is>
      </c>
      <c r="G571" t="n">
        <v>2.9</v>
      </c>
      <c r="H571" t="n">
        <v>0</v>
      </c>
      <c r="I571" t="n">
        <v>0</v>
      </c>
      <c r="J571" t="n">
        <v>0</v>
      </c>
      <c r="K571" t="n">
        <v>0</v>
      </c>
      <c r="L571" t="n">
        <v>0</v>
      </c>
      <c r="M571" t="n">
        <v>0</v>
      </c>
      <c r="N571" t="n">
        <v>0</v>
      </c>
      <c r="O571" t="n">
        <v>0</v>
      </c>
      <c r="P571" t="n">
        <v>0</v>
      </c>
      <c r="Q571" t="n">
        <v>0</v>
      </c>
      <c r="R571" s="2" t="inlineStr"/>
    </row>
    <row r="572" ht="15" customHeight="1">
      <c r="A572" t="inlineStr">
        <is>
          <t>A 48161-2022</t>
        </is>
      </c>
      <c r="B572" s="1" t="n">
        <v>44858</v>
      </c>
      <c r="C572" s="1" t="n">
        <v>46169</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48798-2021</t>
        </is>
      </c>
      <c r="B573" s="1" t="n">
        <v>44452</v>
      </c>
      <c r="C573" s="1" t="n">
        <v>46169</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32480-2025</t>
        </is>
      </c>
      <c r="B574" s="1" t="n">
        <v>45838.43261574074</v>
      </c>
      <c r="C574" s="1" t="n">
        <v>46169</v>
      </c>
      <c r="D574" t="inlineStr">
        <is>
          <t>STOCKHOLMS LÄN</t>
        </is>
      </c>
      <c r="E574" t="inlineStr">
        <is>
          <t>NORRTÄLJE</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47498-2025</t>
        </is>
      </c>
      <c r="B575" s="1" t="n">
        <v>45930.8134375</v>
      </c>
      <c r="C575" s="1" t="n">
        <v>46169</v>
      </c>
      <c r="D575" t="inlineStr">
        <is>
          <t>STOCKHOLMS LÄN</t>
        </is>
      </c>
      <c r="E575" t="inlineStr">
        <is>
          <t>NORRTÄLJE</t>
        </is>
      </c>
      <c r="F575" t="inlineStr">
        <is>
          <t>Holmen skog AB</t>
        </is>
      </c>
      <c r="G575" t="n">
        <v>1.7</v>
      </c>
      <c r="H575" t="n">
        <v>0</v>
      </c>
      <c r="I575" t="n">
        <v>0</v>
      </c>
      <c r="J575" t="n">
        <v>0</v>
      </c>
      <c r="K575" t="n">
        <v>0</v>
      </c>
      <c r="L575" t="n">
        <v>0</v>
      </c>
      <c r="M575" t="n">
        <v>0</v>
      </c>
      <c r="N575" t="n">
        <v>0</v>
      </c>
      <c r="O575" t="n">
        <v>0</v>
      </c>
      <c r="P575" t="n">
        <v>0</v>
      </c>
      <c r="Q575" t="n">
        <v>0</v>
      </c>
      <c r="R575" s="2" t="inlineStr"/>
    </row>
    <row r="576" ht="15" customHeight="1">
      <c r="A576" t="inlineStr">
        <is>
          <t>A 47460-2025</t>
        </is>
      </c>
      <c r="B576" s="1" t="n">
        <v>45930.66012731481</v>
      </c>
      <c r="C576" s="1" t="n">
        <v>46169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47496-2025</t>
        </is>
      </c>
      <c r="B577" s="1" t="n">
        <v>45930.79252314815</v>
      </c>
      <c r="C577" s="1" t="n">
        <v>46169</v>
      </c>
      <c r="D577" t="inlineStr">
        <is>
          <t>STOCKHOLMS LÄN</t>
        </is>
      </c>
      <c r="E577" t="inlineStr">
        <is>
          <t>NORRTÄLJE</t>
        </is>
      </c>
      <c r="F577" t="inlineStr">
        <is>
          <t>Holmen skog AB</t>
        </is>
      </c>
      <c r="G577" t="n">
        <v>0.9</v>
      </c>
      <c r="H577" t="n">
        <v>0</v>
      </c>
      <c r="I577" t="n">
        <v>0</v>
      </c>
      <c r="J577" t="n">
        <v>0</v>
      </c>
      <c r="K577" t="n">
        <v>0</v>
      </c>
      <c r="L577" t="n">
        <v>0</v>
      </c>
      <c r="M577" t="n">
        <v>0</v>
      </c>
      <c r="N577" t="n">
        <v>0</v>
      </c>
      <c r="O577" t="n">
        <v>0</v>
      </c>
      <c r="P577" t="n">
        <v>0</v>
      </c>
      <c r="Q577" t="n">
        <v>0</v>
      </c>
      <c r="R577" s="2" t="inlineStr"/>
    </row>
    <row r="578" ht="15" customHeight="1">
      <c r="A578" t="inlineStr">
        <is>
          <t>A 47497-2025</t>
        </is>
      </c>
      <c r="B578" s="1" t="n">
        <v>45930.80217592593</v>
      </c>
      <c r="C578" s="1" t="n">
        <v>46169</v>
      </c>
      <c r="D578" t="inlineStr">
        <is>
          <t>STOCKHOLMS LÄN</t>
        </is>
      </c>
      <c r="E578" t="inlineStr">
        <is>
          <t>NORRTÄLJE</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54776-2023</t>
        </is>
      </c>
      <c r="B579" s="1" t="n">
        <v>45236.46369212963</v>
      </c>
      <c r="C579" s="1" t="n">
        <v>46169</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55599-2025</t>
        </is>
      </c>
      <c r="B580" s="1" t="n">
        <v>45971.76810185185</v>
      </c>
      <c r="C580" s="1" t="n">
        <v>46169</v>
      </c>
      <c r="D580" t="inlineStr">
        <is>
          <t>STOCKHOLMS LÄN</t>
        </is>
      </c>
      <c r="E580" t="inlineStr">
        <is>
          <t>NORRTÄLJE</t>
        </is>
      </c>
      <c r="F580" t="inlineStr">
        <is>
          <t>Holmen skog AB</t>
        </is>
      </c>
      <c r="G580" t="n">
        <v>6.4</v>
      </c>
      <c r="H580" t="n">
        <v>0</v>
      </c>
      <c r="I580" t="n">
        <v>0</v>
      </c>
      <c r="J580" t="n">
        <v>0</v>
      </c>
      <c r="K580" t="n">
        <v>0</v>
      </c>
      <c r="L580" t="n">
        <v>0</v>
      </c>
      <c r="M580" t="n">
        <v>0</v>
      </c>
      <c r="N580" t="n">
        <v>0</v>
      </c>
      <c r="O580" t="n">
        <v>0</v>
      </c>
      <c r="P580" t="n">
        <v>0</v>
      </c>
      <c r="Q580" t="n">
        <v>0</v>
      </c>
      <c r="R580" s="2" t="inlineStr"/>
    </row>
    <row r="581" ht="15" customHeight="1">
      <c r="A581" t="inlineStr">
        <is>
          <t>A 32872-2025</t>
        </is>
      </c>
      <c r="B581" s="1" t="n">
        <v>45839</v>
      </c>
      <c r="C581" s="1" t="n">
        <v>46169</v>
      </c>
      <c r="D581" t="inlineStr">
        <is>
          <t>STOCKHOLMS LÄN</t>
        </is>
      </c>
      <c r="E581" t="inlineStr">
        <is>
          <t>NORRTÄLJE</t>
        </is>
      </c>
      <c r="G581" t="n">
        <v>0.6</v>
      </c>
      <c r="H581" t="n">
        <v>0</v>
      </c>
      <c r="I581" t="n">
        <v>0</v>
      </c>
      <c r="J581" t="n">
        <v>0</v>
      </c>
      <c r="K581" t="n">
        <v>0</v>
      </c>
      <c r="L581" t="n">
        <v>0</v>
      </c>
      <c r="M581" t="n">
        <v>0</v>
      </c>
      <c r="N581" t="n">
        <v>0</v>
      </c>
      <c r="O581" t="n">
        <v>0</v>
      </c>
      <c r="P581" t="n">
        <v>0</v>
      </c>
      <c r="Q581" t="n">
        <v>0</v>
      </c>
      <c r="R581" s="2" t="inlineStr"/>
    </row>
    <row r="582" ht="15" customHeight="1">
      <c r="A582" t="inlineStr">
        <is>
          <t>A 32903-2025</t>
        </is>
      </c>
      <c r="B582" s="1" t="n">
        <v>45839.62398148148</v>
      </c>
      <c r="C582" s="1" t="n">
        <v>46169</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32395-2025</t>
        </is>
      </c>
      <c r="B583" s="1" t="n">
        <v>45837.93730324074</v>
      </c>
      <c r="C583" s="1" t="n">
        <v>46169</v>
      </c>
      <c r="D583" t="inlineStr">
        <is>
          <t>STOCKHOLMS LÄN</t>
        </is>
      </c>
      <c r="E583" t="inlineStr">
        <is>
          <t>NORRTÄLJE</t>
        </is>
      </c>
      <c r="G583" t="n">
        <v>2.2</v>
      </c>
      <c r="H583" t="n">
        <v>0</v>
      </c>
      <c r="I583" t="n">
        <v>0</v>
      </c>
      <c r="J583" t="n">
        <v>0</v>
      </c>
      <c r="K583" t="n">
        <v>0</v>
      </c>
      <c r="L583" t="n">
        <v>0</v>
      </c>
      <c r="M583" t="n">
        <v>0</v>
      </c>
      <c r="N583" t="n">
        <v>0</v>
      </c>
      <c r="O583" t="n">
        <v>0</v>
      </c>
      <c r="P583" t="n">
        <v>0</v>
      </c>
      <c r="Q583" t="n">
        <v>0</v>
      </c>
      <c r="R583" s="2" t="inlineStr"/>
    </row>
    <row r="584" ht="15" customHeight="1">
      <c r="A584" t="inlineStr">
        <is>
          <t>A 32396-2025</t>
        </is>
      </c>
      <c r="B584" s="1" t="n">
        <v>45837</v>
      </c>
      <c r="C584" s="1" t="n">
        <v>46169</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32397-2025</t>
        </is>
      </c>
      <c r="B585" s="1" t="n">
        <v>45837.94081018519</v>
      </c>
      <c r="C585" s="1" t="n">
        <v>46169</v>
      </c>
      <c r="D585" t="inlineStr">
        <is>
          <t>STOCKHOLMS LÄN</t>
        </is>
      </c>
      <c r="E585" t="inlineStr">
        <is>
          <t>NORRTÄLJE</t>
        </is>
      </c>
      <c r="G585" t="n">
        <v>5.9</v>
      </c>
      <c r="H585" t="n">
        <v>0</v>
      </c>
      <c r="I585" t="n">
        <v>0</v>
      </c>
      <c r="J585" t="n">
        <v>0</v>
      </c>
      <c r="K585" t="n">
        <v>0</v>
      </c>
      <c r="L585" t="n">
        <v>0</v>
      </c>
      <c r="M585" t="n">
        <v>0</v>
      </c>
      <c r="N585" t="n">
        <v>0</v>
      </c>
      <c r="O585" t="n">
        <v>0</v>
      </c>
      <c r="P585" t="n">
        <v>0</v>
      </c>
      <c r="Q585" t="n">
        <v>0</v>
      </c>
      <c r="R585" s="2" t="inlineStr"/>
    </row>
    <row r="586" ht="15" customHeight="1">
      <c r="A586" t="inlineStr">
        <is>
          <t>A 56114-2025</t>
        </is>
      </c>
      <c r="B586" s="1" t="n">
        <v>45973.74474537037</v>
      </c>
      <c r="C586" s="1" t="n">
        <v>46169</v>
      </c>
      <c r="D586" t="inlineStr">
        <is>
          <t>STOCKHOLMS LÄN</t>
        </is>
      </c>
      <c r="E586" t="inlineStr">
        <is>
          <t>NORRTÄLJE</t>
        </is>
      </c>
      <c r="G586" t="n">
        <v>0.8</v>
      </c>
      <c r="H586" t="n">
        <v>0</v>
      </c>
      <c r="I586" t="n">
        <v>0</v>
      </c>
      <c r="J586" t="n">
        <v>0</v>
      </c>
      <c r="K586" t="n">
        <v>0</v>
      </c>
      <c r="L586" t="n">
        <v>0</v>
      </c>
      <c r="M586" t="n">
        <v>0</v>
      </c>
      <c r="N586" t="n">
        <v>0</v>
      </c>
      <c r="O586" t="n">
        <v>0</v>
      </c>
      <c r="P586" t="n">
        <v>0</v>
      </c>
      <c r="Q586" t="n">
        <v>0</v>
      </c>
      <c r="R586" s="2" t="inlineStr"/>
    </row>
    <row r="587" ht="15" customHeight="1">
      <c r="A587" t="inlineStr">
        <is>
          <t>A 57442-2021</t>
        </is>
      </c>
      <c r="B587" s="1" t="n">
        <v>44483</v>
      </c>
      <c r="C587" s="1" t="n">
        <v>46169</v>
      </c>
      <c r="D587" t="inlineStr">
        <is>
          <t>STOCKHOLMS LÄN</t>
        </is>
      </c>
      <c r="E587" t="inlineStr">
        <is>
          <t>NORRTÄLJE</t>
        </is>
      </c>
      <c r="G587" t="n">
        <v>3.3</v>
      </c>
      <c r="H587" t="n">
        <v>0</v>
      </c>
      <c r="I587" t="n">
        <v>0</v>
      </c>
      <c r="J587" t="n">
        <v>0</v>
      </c>
      <c r="K587" t="n">
        <v>0</v>
      </c>
      <c r="L587" t="n">
        <v>0</v>
      </c>
      <c r="M587" t="n">
        <v>0</v>
      </c>
      <c r="N587" t="n">
        <v>0</v>
      </c>
      <c r="O587" t="n">
        <v>0</v>
      </c>
      <c r="P587" t="n">
        <v>0</v>
      </c>
      <c r="Q587" t="n">
        <v>0</v>
      </c>
      <c r="R587" s="2" t="inlineStr"/>
    </row>
    <row r="588" ht="15" customHeight="1">
      <c r="A588" t="inlineStr">
        <is>
          <t>A 48360-2025</t>
        </is>
      </c>
      <c r="B588" s="1" t="n">
        <v>45933.66253472222</v>
      </c>
      <c r="C588" s="1" t="n">
        <v>46169</v>
      </c>
      <c r="D588" t="inlineStr">
        <is>
          <t>STOCKHOLMS LÄN</t>
        </is>
      </c>
      <c r="E588" t="inlineStr">
        <is>
          <t>NORRTÄLJE</t>
        </is>
      </c>
      <c r="G588" t="n">
        <v>4.1</v>
      </c>
      <c r="H588" t="n">
        <v>0</v>
      </c>
      <c r="I588" t="n">
        <v>0</v>
      </c>
      <c r="J588" t="n">
        <v>0</v>
      </c>
      <c r="K588" t="n">
        <v>0</v>
      </c>
      <c r="L588" t="n">
        <v>0</v>
      </c>
      <c r="M588" t="n">
        <v>0</v>
      </c>
      <c r="N588" t="n">
        <v>0</v>
      </c>
      <c r="O588" t="n">
        <v>0</v>
      </c>
      <c r="P588" t="n">
        <v>0</v>
      </c>
      <c r="Q588" t="n">
        <v>0</v>
      </c>
      <c r="R588" s="2" t="inlineStr"/>
    </row>
    <row r="589" ht="15" customHeight="1">
      <c r="A589" t="inlineStr">
        <is>
          <t>A 48370-2025</t>
        </is>
      </c>
      <c r="B589" s="1" t="n">
        <v>45933.67854166667</v>
      </c>
      <c r="C589" s="1" t="n">
        <v>46169</v>
      </c>
      <c r="D589" t="inlineStr">
        <is>
          <t>STOCKHOLMS LÄN</t>
        </is>
      </c>
      <c r="E589" t="inlineStr">
        <is>
          <t>NORRTÄLJE</t>
        </is>
      </c>
      <c r="G589" t="n">
        <v>4.5</v>
      </c>
      <c r="H589" t="n">
        <v>0</v>
      </c>
      <c r="I589" t="n">
        <v>0</v>
      </c>
      <c r="J589" t="n">
        <v>0</v>
      </c>
      <c r="K589" t="n">
        <v>0</v>
      </c>
      <c r="L589" t="n">
        <v>0</v>
      </c>
      <c r="M589" t="n">
        <v>0</v>
      </c>
      <c r="N589" t="n">
        <v>0</v>
      </c>
      <c r="O589" t="n">
        <v>0</v>
      </c>
      <c r="P589" t="n">
        <v>0</v>
      </c>
      <c r="Q589" t="n">
        <v>0</v>
      </c>
      <c r="R589" s="2" t="inlineStr"/>
    </row>
    <row r="590" ht="15" customHeight="1">
      <c r="A590" t="inlineStr">
        <is>
          <t>A 48364-2025</t>
        </is>
      </c>
      <c r="B590" s="1" t="n">
        <v>45933.66796296297</v>
      </c>
      <c r="C590" s="1" t="n">
        <v>46169</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55952-2024</t>
        </is>
      </c>
      <c r="B591" s="1" t="n">
        <v>45623.62563657408</v>
      </c>
      <c r="C591" s="1" t="n">
        <v>46169</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8135-2025</t>
        </is>
      </c>
      <c r="B592" s="1" t="n">
        <v>45707.84997685185</v>
      </c>
      <c r="C592" s="1" t="n">
        <v>46169</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3383-2023</t>
        </is>
      </c>
      <c r="B593" s="1" t="n">
        <v>44949</v>
      </c>
      <c r="C593" s="1" t="n">
        <v>46169</v>
      </c>
      <c r="D593" t="inlineStr">
        <is>
          <t>STOCKHOLMS LÄN</t>
        </is>
      </c>
      <c r="E593" t="inlineStr">
        <is>
          <t>NORRTÄLJE</t>
        </is>
      </c>
      <c r="G593" t="n">
        <v>14.6</v>
      </c>
      <c r="H593" t="n">
        <v>0</v>
      </c>
      <c r="I593" t="n">
        <v>0</v>
      </c>
      <c r="J593" t="n">
        <v>0</v>
      </c>
      <c r="K593" t="n">
        <v>0</v>
      </c>
      <c r="L593" t="n">
        <v>0</v>
      </c>
      <c r="M593" t="n">
        <v>0</v>
      </c>
      <c r="N593" t="n">
        <v>0</v>
      </c>
      <c r="O593" t="n">
        <v>0</v>
      </c>
      <c r="P593" t="n">
        <v>0</v>
      </c>
      <c r="Q593" t="n">
        <v>0</v>
      </c>
      <c r="R593" s="2" t="inlineStr"/>
    </row>
    <row r="594" ht="15" customHeight="1">
      <c r="A594" t="inlineStr">
        <is>
          <t>A 21732-2023</t>
        </is>
      </c>
      <c r="B594" s="1" t="n">
        <v>45063</v>
      </c>
      <c r="C594" s="1" t="n">
        <v>46169</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23307-2024</t>
        </is>
      </c>
      <c r="B595" s="1" t="n">
        <v>45453</v>
      </c>
      <c r="C595" s="1" t="n">
        <v>46169</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48174-2025</t>
        </is>
      </c>
      <c r="B596" s="1" t="n">
        <v>45933.44230324074</v>
      </c>
      <c r="C596" s="1" t="n">
        <v>46169</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48127-2025</t>
        </is>
      </c>
      <c r="B597" s="1" t="n">
        <v>45933.36621527778</v>
      </c>
      <c r="C597" s="1" t="n">
        <v>46169</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48179-2025</t>
        </is>
      </c>
      <c r="B598" s="1" t="n">
        <v>45933.44907407407</v>
      </c>
      <c r="C598" s="1" t="n">
        <v>46169</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33702-2025</t>
        </is>
      </c>
      <c r="B599" s="1" t="n">
        <v>45841.74596064815</v>
      </c>
      <c r="C599" s="1" t="n">
        <v>46169</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48718-2025</t>
        </is>
      </c>
      <c r="B600" s="1" t="n">
        <v>45936</v>
      </c>
      <c r="C600" s="1" t="n">
        <v>46169</v>
      </c>
      <c r="D600" t="inlineStr">
        <is>
          <t>STOCKHOLMS LÄN</t>
        </is>
      </c>
      <c r="E600" t="inlineStr">
        <is>
          <t>NORRTÄLJE</t>
        </is>
      </c>
      <c r="G600" t="n">
        <v>2.1</v>
      </c>
      <c r="H600" t="n">
        <v>0</v>
      </c>
      <c r="I600" t="n">
        <v>0</v>
      </c>
      <c r="J600" t="n">
        <v>0</v>
      </c>
      <c r="K600" t="n">
        <v>0</v>
      </c>
      <c r="L600" t="n">
        <v>0</v>
      </c>
      <c r="M600" t="n">
        <v>0</v>
      </c>
      <c r="N600" t="n">
        <v>0</v>
      </c>
      <c r="O600" t="n">
        <v>0</v>
      </c>
      <c r="P600" t="n">
        <v>0</v>
      </c>
      <c r="Q600" t="n">
        <v>0</v>
      </c>
      <c r="R600" s="2" t="inlineStr"/>
    </row>
    <row r="601" ht="15" customHeight="1">
      <c r="A601" t="inlineStr">
        <is>
          <t>A 33211-2025</t>
        </is>
      </c>
      <c r="B601" s="1" t="n">
        <v>45840.62755787037</v>
      </c>
      <c r="C601" s="1" t="n">
        <v>46169</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48593-2025</t>
        </is>
      </c>
      <c r="B602" s="1" t="n">
        <v>45936.4627662037</v>
      </c>
      <c r="C602" s="1" t="n">
        <v>46169</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33265-2025</t>
        </is>
      </c>
      <c r="B603" s="1" t="n">
        <v>45840.67829861111</v>
      </c>
      <c r="C603" s="1" t="n">
        <v>46169</v>
      </c>
      <c r="D603" t="inlineStr">
        <is>
          <t>STOCKHOLMS LÄN</t>
        </is>
      </c>
      <c r="E603" t="inlineStr">
        <is>
          <t>NORRTÄLJE</t>
        </is>
      </c>
      <c r="G603" t="n">
        <v>5.5</v>
      </c>
      <c r="H603" t="n">
        <v>0</v>
      </c>
      <c r="I603" t="n">
        <v>0</v>
      </c>
      <c r="J603" t="n">
        <v>0</v>
      </c>
      <c r="K603" t="n">
        <v>0</v>
      </c>
      <c r="L603" t="n">
        <v>0</v>
      </c>
      <c r="M603" t="n">
        <v>0</v>
      </c>
      <c r="N603" t="n">
        <v>0</v>
      </c>
      <c r="O603" t="n">
        <v>0</v>
      </c>
      <c r="P603" t="n">
        <v>0</v>
      </c>
      <c r="Q603" t="n">
        <v>0</v>
      </c>
      <c r="R603" s="2" t="inlineStr"/>
    </row>
    <row r="604" ht="15" customHeight="1">
      <c r="A604" t="inlineStr">
        <is>
          <t>A 48443-2025</t>
        </is>
      </c>
      <c r="B604" s="1" t="n">
        <v>45935.55326388889</v>
      </c>
      <c r="C604" s="1" t="n">
        <v>46169</v>
      </c>
      <c r="D604" t="inlineStr">
        <is>
          <t>STOCKHOLMS LÄN</t>
        </is>
      </c>
      <c r="E604" t="inlineStr">
        <is>
          <t>NORRTÄLJE</t>
        </is>
      </c>
      <c r="G604" t="n">
        <v>1</v>
      </c>
      <c r="H604" t="n">
        <v>0</v>
      </c>
      <c r="I604" t="n">
        <v>0</v>
      </c>
      <c r="J604" t="n">
        <v>0</v>
      </c>
      <c r="K604" t="n">
        <v>0</v>
      </c>
      <c r="L604" t="n">
        <v>0</v>
      </c>
      <c r="M604" t="n">
        <v>0</v>
      </c>
      <c r="N604" t="n">
        <v>0</v>
      </c>
      <c r="O604" t="n">
        <v>0</v>
      </c>
      <c r="P604" t="n">
        <v>0</v>
      </c>
      <c r="Q604" t="n">
        <v>0</v>
      </c>
      <c r="R604" s="2" t="inlineStr"/>
    </row>
    <row r="605" ht="15" customHeight="1">
      <c r="A605" t="inlineStr">
        <is>
          <t>A 37085-2021</t>
        </is>
      </c>
      <c r="B605" s="1" t="n">
        <v>44395</v>
      </c>
      <c r="C605" s="1" t="n">
        <v>46169</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33552-2025</t>
        </is>
      </c>
      <c r="B606" s="1" t="n">
        <v>45841.5737962963</v>
      </c>
      <c r="C606" s="1" t="n">
        <v>46169</v>
      </c>
      <c r="D606" t="inlineStr">
        <is>
          <t>STOCKHOLMS LÄN</t>
        </is>
      </c>
      <c r="E606" t="inlineStr">
        <is>
          <t>NORRTÄLJE</t>
        </is>
      </c>
      <c r="G606" t="n">
        <v>8.9</v>
      </c>
      <c r="H606" t="n">
        <v>0</v>
      </c>
      <c r="I606" t="n">
        <v>0</v>
      </c>
      <c r="J606" t="n">
        <v>0</v>
      </c>
      <c r="K606" t="n">
        <v>0</v>
      </c>
      <c r="L606" t="n">
        <v>0</v>
      </c>
      <c r="M606" t="n">
        <v>0</v>
      </c>
      <c r="N606" t="n">
        <v>0</v>
      </c>
      <c r="O606" t="n">
        <v>0</v>
      </c>
      <c r="P606" t="n">
        <v>0</v>
      </c>
      <c r="Q606" t="n">
        <v>0</v>
      </c>
      <c r="R606" s="2" t="inlineStr"/>
    </row>
    <row r="607" ht="15" customHeight="1">
      <c r="A607" t="inlineStr">
        <is>
          <t>A 33336-2025</t>
        </is>
      </c>
      <c r="B607" s="1" t="n">
        <v>45841.35611111111</v>
      </c>
      <c r="C607" s="1" t="n">
        <v>46169</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56428-2023</t>
        </is>
      </c>
      <c r="B608" s="1" t="n">
        <v>45243.45289351852</v>
      </c>
      <c r="C608" s="1" t="n">
        <v>46169</v>
      </c>
      <c r="D608" t="inlineStr">
        <is>
          <t>STOCKHOLMS LÄN</t>
        </is>
      </c>
      <c r="E608" t="inlineStr">
        <is>
          <t>NORRTÄLJE</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33824-2025</t>
        </is>
      </c>
      <c r="B609" s="1" t="n">
        <v>45842.46885416667</v>
      </c>
      <c r="C609" s="1" t="n">
        <v>46169</v>
      </c>
      <c r="D609" t="inlineStr">
        <is>
          <t>STOCKHOLMS LÄN</t>
        </is>
      </c>
      <c r="E609" t="inlineStr">
        <is>
          <t>NORRTÄLJE</t>
        </is>
      </c>
      <c r="G609" t="n">
        <v>1.9</v>
      </c>
      <c r="H609" t="n">
        <v>0</v>
      </c>
      <c r="I609" t="n">
        <v>0</v>
      </c>
      <c r="J609" t="n">
        <v>0</v>
      </c>
      <c r="K609" t="n">
        <v>0</v>
      </c>
      <c r="L609" t="n">
        <v>0</v>
      </c>
      <c r="M609" t="n">
        <v>0</v>
      </c>
      <c r="N609" t="n">
        <v>0</v>
      </c>
      <c r="O609" t="n">
        <v>0</v>
      </c>
      <c r="P609" t="n">
        <v>0</v>
      </c>
      <c r="Q609" t="n">
        <v>0</v>
      </c>
      <c r="R609" s="2" t="inlineStr"/>
    </row>
    <row r="610" ht="15" customHeight="1">
      <c r="A610" t="inlineStr">
        <is>
          <t>A 17556-2025</t>
        </is>
      </c>
      <c r="B610" s="1" t="n">
        <v>45757.62482638889</v>
      </c>
      <c r="C610" s="1" t="n">
        <v>46169</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34006-2025</t>
        </is>
      </c>
      <c r="B611" s="1" t="n">
        <v>45844.62609953704</v>
      </c>
      <c r="C611" s="1" t="n">
        <v>46169</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34139-2025</t>
        </is>
      </c>
      <c r="B612" s="1" t="n">
        <v>45845</v>
      </c>
      <c r="C612" s="1" t="n">
        <v>46169</v>
      </c>
      <c r="D612" t="inlineStr">
        <is>
          <t>STOCKHOLMS LÄN</t>
        </is>
      </c>
      <c r="E612" t="inlineStr">
        <is>
          <t>NORRTÄLJE</t>
        </is>
      </c>
      <c r="G612" t="n">
        <v>5.5</v>
      </c>
      <c r="H612" t="n">
        <v>0</v>
      </c>
      <c r="I612" t="n">
        <v>0</v>
      </c>
      <c r="J612" t="n">
        <v>0</v>
      </c>
      <c r="K612" t="n">
        <v>0</v>
      </c>
      <c r="L612" t="n">
        <v>0</v>
      </c>
      <c r="M612" t="n">
        <v>0</v>
      </c>
      <c r="N612" t="n">
        <v>0</v>
      </c>
      <c r="O612" t="n">
        <v>0</v>
      </c>
      <c r="P612" t="n">
        <v>0</v>
      </c>
      <c r="Q612" t="n">
        <v>0</v>
      </c>
      <c r="R612" s="2" t="inlineStr"/>
    </row>
    <row r="613" ht="15" customHeight="1">
      <c r="A613" t="inlineStr">
        <is>
          <t>A 34010-2025</t>
        </is>
      </c>
      <c r="B613" s="1" t="n">
        <v>45844.91234953704</v>
      </c>
      <c r="C613" s="1" t="n">
        <v>46169</v>
      </c>
      <c r="D613" t="inlineStr">
        <is>
          <t>STOCKHOLMS LÄN</t>
        </is>
      </c>
      <c r="E613" t="inlineStr">
        <is>
          <t>NORRTÄLJE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48780-2025</t>
        </is>
      </c>
      <c r="B614" s="1" t="n">
        <v>45937.30377314815</v>
      </c>
      <c r="C614" s="1" t="n">
        <v>46169</v>
      </c>
      <c r="D614" t="inlineStr">
        <is>
          <t>STOCKHOLMS LÄN</t>
        </is>
      </c>
      <c r="E614" t="inlineStr">
        <is>
          <t>NORRTÄLJE</t>
        </is>
      </c>
      <c r="G614" t="n">
        <v>7.7</v>
      </c>
      <c r="H614" t="n">
        <v>0</v>
      </c>
      <c r="I614" t="n">
        <v>0</v>
      </c>
      <c r="J614" t="n">
        <v>0</v>
      </c>
      <c r="K614" t="n">
        <v>0</v>
      </c>
      <c r="L614" t="n">
        <v>0</v>
      </c>
      <c r="M614" t="n">
        <v>0</v>
      </c>
      <c r="N614" t="n">
        <v>0</v>
      </c>
      <c r="O614" t="n">
        <v>0</v>
      </c>
      <c r="P614" t="n">
        <v>0</v>
      </c>
      <c r="Q614" t="n">
        <v>0</v>
      </c>
      <c r="R614" s="2" t="inlineStr"/>
    </row>
    <row r="615" ht="15" customHeight="1">
      <c r="A615" t="inlineStr">
        <is>
          <t>A 42094-2023</t>
        </is>
      </c>
      <c r="B615" s="1" t="n">
        <v>45177.61498842593</v>
      </c>
      <c r="C615" s="1" t="n">
        <v>46169</v>
      </c>
      <c r="D615" t="inlineStr">
        <is>
          <t>STOCKHOLMS LÄN</t>
        </is>
      </c>
      <c r="E615" t="inlineStr">
        <is>
          <t>NORRTÄLJE</t>
        </is>
      </c>
      <c r="G615" t="n">
        <v>0.3</v>
      </c>
      <c r="H615" t="n">
        <v>0</v>
      </c>
      <c r="I615" t="n">
        <v>0</v>
      </c>
      <c r="J615" t="n">
        <v>0</v>
      </c>
      <c r="K615" t="n">
        <v>0</v>
      </c>
      <c r="L615" t="n">
        <v>0</v>
      </c>
      <c r="M615" t="n">
        <v>0</v>
      </c>
      <c r="N615" t="n">
        <v>0</v>
      </c>
      <c r="O615" t="n">
        <v>0</v>
      </c>
      <c r="P615" t="n">
        <v>0</v>
      </c>
      <c r="Q615" t="n">
        <v>0</v>
      </c>
      <c r="R615" s="2" t="inlineStr"/>
    </row>
    <row r="616" ht="15" customHeight="1">
      <c r="A616" t="inlineStr">
        <is>
          <t>A 36689-2023</t>
        </is>
      </c>
      <c r="B616" s="1" t="n">
        <v>45152</v>
      </c>
      <c r="C616" s="1" t="n">
        <v>46169</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46073-2024</t>
        </is>
      </c>
      <c r="B617" s="1" t="n">
        <v>45581</v>
      </c>
      <c r="C617" s="1" t="n">
        <v>46169</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8370-2025</t>
        </is>
      </c>
      <c r="B618" s="1" t="n">
        <v>45708</v>
      </c>
      <c r="C618" s="1" t="n">
        <v>46169</v>
      </c>
      <c r="D618" t="inlineStr">
        <is>
          <t>STOCKHOLMS LÄN</t>
        </is>
      </c>
      <c r="E618" t="inlineStr">
        <is>
          <t>NORRTÄLJE</t>
        </is>
      </c>
      <c r="F618" t="inlineStr">
        <is>
          <t>Övriga Aktiebolag</t>
        </is>
      </c>
      <c r="G618" t="n">
        <v>5.6</v>
      </c>
      <c r="H618" t="n">
        <v>0</v>
      </c>
      <c r="I618" t="n">
        <v>0</v>
      </c>
      <c r="J618" t="n">
        <v>0</v>
      </c>
      <c r="K618" t="n">
        <v>0</v>
      </c>
      <c r="L618" t="n">
        <v>0</v>
      </c>
      <c r="M618" t="n">
        <v>0</v>
      </c>
      <c r="N618" t="n">
        <v>0</v>
      </c>
      <c r="O618" t="n">
        <v>0</v>
      </c>
      <c r="P618" t="n">
        <v>0</v>
      </c>
      <c r="Q618" t="n">
        <v>0</v>
      </c>
      <c r="R618" s="2" t="inlineStr"/>
    </row>
    <row r="619" ht="15" customHeight="1">
      <c r="A619" t="inlineStr">
        <is>
          <t>A 3299-2022</t>
        </is>
      </c>
      <c r="B619" s="1" t="n">
        <v>44584.91001157407</v>
      </c>
      <c r="C619" s="1" t="n">
        <v>46169</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49129-2025</t>
        </is>
      </c>
      <c r="B620" s="1" t="n">
        <v>45937.89517361111</v>
      </c>
      <c r="C620" s="1" t="n">
        <v>46169</v>
      </c>
      <c r="D620" t="inlineStr">
        <is>
          <t>STOCKHOLMS LÄN</t>
        </is>
      </c>
      <c r="E620" t="inlineStr">
        <is>
          <t>NORRTÄLJE</t>
        </is>
      </c>
      <c r="G620" t="n">
        <v>0.5</v>
      </c>
      <c r="H620" t="n">
        <v>0</v>
      </c>
      <c r="I620" t="n">
        <v>0</v>
      </c>
      <c r="J620" t="n">
        <v>0</v>
      </c>
      <c r="K620" t="n">
        <v>0</v>
      </c>
      <c r="L620" t="n">
        <v>0</v>
      </c>
      <c r="M620" t="n">
        <v>0</v>
      </c>
      <c r="N620" t="n">
        <v>0</v>
      </c>
      <c r="O620" t="n">
        <v>0</v>
      </c>
      <c r="P620" t="n">
        <v>0</v>
      </c>
      <c r="Q620" t="n">
        <v>0</v>
      </c>
      <c r="R620" s="2" t="inlineStr"/>
    </row>
    <row r="621" ht="15" customHeight="1">
      <c r="A621" t="inlineStr">
        <is>
          <t>A 12348-2025</t>
        </is>
      </c>
      <c r="B621" s="1" t="n">
        <v>45730.35026620371</v>
      </c>
      <c r="C621" s="1" t="n">
        <v>46169</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17545-2025</t>
        </is>
      </c>
      <c r="B622" s="1" t="n">
        <v>45757.60658564815</v>
      </c>
      <c r="C622" s="1" t="n">
        <v>46169</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25094-2023</t>
        </is>
      </c>
      <c r="B623" s="1" t="n">
        <v>45086.3629050926</v>
      </c>
      <c r="C623" s="1" t="n">
        <v>46169</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36157-2024</t>
        </is>
      </c>
      <c r="B624" s="1" t="n">
        <v>45534.38240740741</v>
      </c>
      <c r="C624" s="1" t="n">
        <v>46169</v>
      </c>
      <c r="D624" t="inlineStr">
        <is>
          <t>STOCKHOLMS LÄN</t>
        </is>
      </c>
      <c r="E624" t="inlineStr">
        <is>
          <t>NORRTÄLJE</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47694-2023</t>
        </is>
      </c>
      <c r="B625" s="1" t="n">
        <v>45203.63303240741</v>
      </c>
      <c r="C625" s="1" t="n">
        <v>46169</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35532-2024</t>
        </is>
      </c>
      <c r="B626" s="1" t="n">
        <v>45531</v>
      </c>
      <c r="C626" s="1" t="n">
        <v>46169</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35110-2025</t>
        </is>
      </c>
      <c r="B627" s="1" t="n">
        <v>45852.58030092593</v>
      </c>
      <c r="C627" s="1" t="n">
        <v>46169</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1654-2025</t>
        </is>
      </c>
      <c r="B628" s="1" t="n">
        <v>45670.65921296296</v>
      </c>
      <c r="C628" s="1" t="n">
        <v>46169</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62644-2023</t>
        </is>
      </c>
      <c r="B629" s="1" t="n">
        <v>45271</v>
      </c>
      <c r="C629" s="1" t="n">
        <v>46169</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50097-2025</t>
        </is>
      </c>
      <c r="B630" s="1" t="n">
        <v>45943.50207175926</v>
      </c>
      <c r="C630" s="1" t="n">
        <v>46169</v>
      </c>
      <c r="D630" t="inlineStr">
        <is>
          <t>STOCKHOLMS LÄN</t>
        </is>
      </c>
      <c r="E630" t="inlineStr">
        <is>
          <t>NORRTÄLJE</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35254-2025</t>
        </is>
      </c>
      <c r="B631" s="1" t="n">
        <v>45853</v>
      </c>
      <c r="C631" s="1" t="n">
        <v>46169</v>
      </c>
      <c r="D631" t="inlineStr">
        <is>
          <t>STOCKHOLMS LÄN</t>
        </is>
      </c>
      <c r="E631" t="inlineStr">
        <is>
          <t>NORRTÄLJE</t>
        </is>
      </c>
      <c r="G631" t="n">
        <v>6.5</v>
      </c>
      <c r="H631" t="n">
        <v>0</v>
      </c>
      <c r="I631" t="n">
        <v>0</v>
      </c>
      <c r="J631" t="n">
        <v>0</v>
      </c>
      <c r="K631" t="n">
        <v>0</v>
      </c>
      <c r="L631" t="n">
        <v>0</v>
      </c>
      <c r="M631" t="n">
        <v>0</v>
      </c>
      <c r="N631" t="n">
        <v>0</v>
      </c>
      <c r="O631" t="n">
        <v>0</v>
      </c>
      <c r="P631" t="n">
        <v>0</v>
      </c>
      <c r="Q631" t="n">
        <v>0</v>
      </c>
      <c r="R631" s="2" t="inlineStr"/>
    </row>
    <row r="632" ht="15" customHeight="1">
      <c r="A632" t="inlineStr">
        <is>
          <t>A 49836-2025</t>
        </is>
      </c>
      <c r="B632" s="1" t="n">
        <v>45940.46862268518</v>
      </c>
      <c r="C632" s="1" t="n">
        <v>46169</v>
      </c>
      <c r="D632" t="inlineStr">
        <is>
          <t>STOCKHOLMS LÄN</t>
        </is>
      </c>
      <c r="E632" t="inlineStr">
        <is>
          <t>NORRTÄLJE</t>
        </is>
      </c>
      <c r="G632" t="n">
        <v>3.5</v>
      </c>
      <c r="H632" t="n">
        <v>0</v>
      </c>
      <c r="I632" t="n">
        <v>0</v>
      </c>
      <c r="J632" t="n">
        <v>0</v>
      </c>
      <c r="K632" t="n">
        <v>0</v>
      </c>
      <c r="L632" t="n">
        <v>0</v>
      </c>
      <c r="M632" t="n">
        <v>0</v>
      </c>
      <c r="N632" t="n">
        <v>0</v>
      </c>
      <c r="O632" t="n">
        <v>0</v>
      </c>
      <c r="P632" t="n">
        <v>0</v>
      </c>
      <c r="Q632" t="n">
        <v>0</v>
      </c>
      <c r="R632" s="2" t="inlineStr"/>
    </row>
    <row r="633" ht="15" customHeight="1">
      <c r="A633" t="inlineStr">
        <is>
          <t>A 11229-2022</t>
        </is>
      </c>
      <c r="B633" s="1" t="n">
        <v>44629</v>
      </c>
      <c r="C633" s="1" t="n">
        <v>46169</v>
      </c>
      <c r="D633" t="inlineStr">
        <is>
          <t>STOCKHOLMS LÄN</t>
        </is>
      </c>
      <c r="E633" t="inlineStr">
        <is>
          <t>NORRTÄLJE</t>
        </is>
      </c>
      <c r="F633" t="inlineStr">
        <is>
          <t>Övriga Aktiebolag</t>
        </is>
      </c>
      <c r="G633" t="n">
        <v>4.1</v>
      </c>
      <c r="H633" t="n">
        <v>0</v>
      </c>
      <c r="I633" t="n">
        <v>0</v>
      </c>
      <c r="J633" t="n">
        <v>0</v>
      </c>
      <c r="K633" t="n">
        <v>0</v>
      </c>
      <c r="L633" t="n">
        <v>0</v>
      </c>
      <c r="M633" t="n">
        <v>0</v>
      </c>
      <c r="N633" t="n">
        <v>0</v>
      </c>
      <c r="O633" t="n">
        <v>0</v>
      </c>
      <c r="P633" t="n">
        <v>0</v>
      </c>
      <c r="Q633" t="n">
        <v>0</v>
      </c>
      <c r="R633" s="2" t="inlineStr"/>
    </row>
    <row r="634" ht="15" customHeight="1">
      <c r="A634" t="inlineStr">
        <is>
          <t>A 35479-2025</t>
        </is>
      </c>
      <c r="B634" s="1" t="n">
        <v>45855.69387731481</v>
      </c>
      <c r="C634" s="1" t="n">
        <v>46169</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35451-2025</t>
        </is>
      </c>
      <c r="B635" s="1" t="n">
        <v>45855.57033564815</v>
      </c>
      <c r="C635" s="1" t="n">
        <v>46169</v>
      </c>
      <c r="D635" t="inlineStr">
        <is>
          <t>STOCKHOLMS LÄN</t>
        </is>
      </c>
      <c r="E635" t="inlineStr">
        <is>
          <t>NORRTÄLJE</t>
        </is>
      </c>
      <c r="F635" t="inlineStr">
        <is>
          <t>Holmen skog AB</t>
        </is>
      </c>
      <c r="G635" t="n">
        <v>7.4</v>
      </c>
      <c r="H635" t="n">
        <v>0</v>
      </c>
      <c r="I635" t="n">
        <v>0</v>
      </c>
      <c r="J635" t="n">
        <v>0</v>
      </c>
      <c r="K635" t="n">
        <v>0</v>
      </c>
      <c r="L635" t="n">
        <v>0</v>
      </c>
      <c r="M635" t="n">
        <v>0</v>
      </c>
      <c r="N635" t="n">
        <v>0</v>
      </c>
      <c r="O635" t="n">
        <v>0</v>
      </c>
      <c r="P635" t="n">
        <v>0</v>
      </c>
      <c r="Q635" t="n">
        <v>0</v>
      </c>
      <c r="R635" s="2" t="inlineStr"/>
    </row>
    <row r="636" ht="15" customHeight="1">
      <c r="A636" t="inlineStr">
        <is>
          <t>A 35478-2025</t>
        </is>
      </c>
      <c r="B636" s="1" t="n">
        <v>45855.68413194444</v>
      </c>
      <c r="C636" s="1" t="n">
        <v>46169</v>
      </c>
      <c r="D636" t="inlineStr">
        <is>
          <t>STOCKHOLMS LÄN</t>
        </is>
      </c>
      <c r="E636" t="inlineStr">
        <is>
          <t>NORRTÄLJE</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50327-2025</t>
        </is>
      </c>
      <c r="B637" s="1" t="n">
        <v>45944.46387731482</v>
      </c>
      <c r="C637" s="1" t="n">
        <v>46169</v>
      </c>
      <c r="D637" t="inlineStr">
        <is>
          <t>STOCKHOLMS LÄN</t>
        </is>
      </c>
      <c r="E637" t="inlineStr">
        <is>
          <t>NORRTÄLJE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57353-2024</t>
        </is>
      </c>
      <c r="B638" s="1" t="n">
        <v>45629.65143518519</v>
      </c>
      <c r="C638" s="1" t="n">
        <v>46169</v>
      </c>
      <c r="D638" t="inlineStr">
        <is>
          <t>STOCKHOLMS LÄN</t>
        </is>
      </c>
      <c r="E638" t="inlineStr">
        <is>
          <t>NORRTÄLJE</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48587-2023</t>
        </is>
      </c>
      <c r="B639" s="1" t="n">
        <v>45208</v>
      </c>
      <c r="C639" s="1" t="n">
        <v>46169</v>
      </c>
      <c r="D639" t="inlineStr">
        <is>
          <t>STOCKHOLMS LÄN</t>
        </is>
      </c>
      <c r="E639" t="inlineStr">
        <is>
          <t>NORRTÄLJE</t>
        </is>
      </c>
      <c r="G639" t="n">
        <v>7</v>
      </c>
      <c r="H639" t="n">
        <v>0</v>
      </c>
      <c r="I639" t="n">
        <v>0</v>
      </c>
      <c r="J639" t="n">
        <v>0</v>
      </c>
      <c r="K639" t="n">
        <v>0</v>
      </c>
      <c r="L639" t="n">
        <v>0</v>
      </c>
      <c r="M639" t="n">
        <v>0</v>
      </c>
      <c r="N639" t="n">
        <v>0</v>
      </c>
      <c r="O639" t="n">
        <v>0</v>
      </c>
      <c r="P639" t="n">
        <v>0</v>
      </c>
      <c r="Q639" t="n">
        <v>0</v>
      </c>
      <c r="R639" s="2" t="inlineStr"/>
    </row>
    <row r="640" ht="15" customHeight="1">
      <c r="A640" t="inlineStr">
        <is>
          <t>A 50563-2025</t>
        </is>
      </c>
      <c r="B640" s="1" t="n">
        <v>45944</v>
      </c>
      <c r="C640" s="1" t="n">
        <v>46169</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50333-2025</t>
        </is>
      </c>
      <c r="B641" s="1" t="n">
        <v>45944.47178240741</v>
      </c>
      <c r="C641" s="1" t="n">
        <v>46169</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2549-2022</t>
        </is>
      </c>
      <c r="B642" s="1" t="n">
        <v>44580</v>
      </c>
      <c r="C642" s="1" t="n">
        <v>46169</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4438-2023</t>
        </is>
      </c>
      <c r="B643" s="1" t="n">
        <v>44956</v>
      </c>
      <c r="C643" s="1" t="n">
        <v>46169</v>
      </c>
      <c r="D643" t="inlineStr">
        <is>
          <t>STOCKHOLMS LÄN</t>
        </is>
      </c>
      <c r="E643" t="inlineStr">
        <is>
          <t>NORRTÄLJE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47758-2023</t>
        </is>
      </c>
      <c r="B644" s="1" t="n">
        <v>45203.83891203703</v>
      </c>
      <c r="C644" s="1" t="n">
        <v>46169</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51061-2023</t>
        </is>
      </c>
      <c r="B645" s="1" t="n">
        <v>45218.65849537037</v>
      </c>
      <c r="C645" s="1" t="n">
        <v>46169</v>
      </c>
      <c r="D645" t="inlineStr">
        <is>
          <t>STOCKHOLMS LÄN</t>
        </is>
      </c>
      <c r="E645" t="inlineStr">
        <is>
          <t>NORRTÄLJE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22697-2022</t>
        </is>
      </c>
      <c r="B646" s="1" t="n">
        <v>44714.56040509259</v>
      </c>
      <c r="C646" s="1" t="n">
        <v>46169</v>
      </c>
      <c r="D646" t="inlineStr">
        <is>
          <t>STOCKHOLMS LÄN</t>
        </is>
      </c>
      <c r="E646" t="inlineStr">
        <is>
          <t>NORRTÄLJE</t>
        </is>
      </c>
      <c r="G646" t="n">
        <v>5.6</v>
      </c>
      <c r="H646" t="n">
        <v>0</v>
      </c>
      <c r="I646" t="n">
        <v>0</v>
      </c>
      <c r="J646" t="n">
        <v>0</v>
      </c>
      <c r="K646" t="n">
        <v>0</v>
      </c>
      <c r="L646" t="n">
        <v>0</v>
      </c>
      <c r="M646" t="n">
        <v>0</v>
      </c>
      <c r="N646" t="n">
        <v>0</v>
      </c>
      <c r="O646" t="n">
        <v>0</v>
      </c>
      <c r="P646" t="n">
        <v>0</v>
      </c>
      <c r="Q646" t="n">
        <v>0</v>
      </c>
      <c r="R646" s="2" t="inlineStr"/>
    </row>
    <row r="647" ht="15" customHeight="1">
      <c r="A647" t="inlineStr">
        <is>
          <t>A 45549-2022</t>
        </is>
      </c>
      <c r="B647" s="1" t="n">
        <v>44845.48064814815</v>
      </c>
      <c r="C647" s="1" t="n">
        <v>46169</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54396-2021</t>
        </is>
      </c>
      <c r="B648" s="1" t="n">
        <v>44472</v>
      </c>
      <c r="C648" s="1" t="n">
        <v>46169</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24727-2023</t>
        </is>
      </c>
      <c r="B649" s="1" t="n">
        <v>45084.57695601852</v>
      </c>
      <c r="C649" s="1" t="n">
        <v>46169</v>
      </c>
      <c r="D649" t="inlineStr">
        <is>
          <t>STOCKHOLMS LÄN</t>
        </is>
      </c>
      <c r="E649" t="inlineStr">
        <is>
          <t>NORRTÄLJE</t>
        </is>
      </c>
      <c r="F649" t="inlineStr">
        <is>
          <t>Holmen skog AB</t>
        </is>
      </c>
      <c r="G649" t="n">
        <v>2.2</v>
      </c>
      <c r="H649" t="n">
        <v>0</v>
      </c>
      <c r="I649" t="n">
        <v>0</v>
      </c>
      <c r="J649" t="n">
        <v>0</v>
      </c>
      <c r="K649" t="n">
        <v>0</v>
      </c>
      <c r="L649" t="n">
        <v>0</v>
      </c>
      <c r="M649" t="n">
        <v>0</v>
      </c>
      <c r="N649" t="n">
        <v>0</v>
      </c>
      <c r="O649" t="n">
        <v>0</v>
      </c>
      <c r="P649" t="n">
        <v>0</v>
      </c>
      <c r="Q649" t="n">
        <v>0</v>
      </c>
      <c r="R649" s="2" t="inlineStr"/>
    </row>
    <row r="650" ht="15" customHeight="1">
      <c r="A650" t="inlineStr">
        <is>
          <t>A 34444-2024</t>
        </is>
      </c>
      <c r="B650" s="1" t="n">
        <v>45525</v>
      </c>
      <c r="C650" s="1" t="n">
        <v>46169</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20698-2025</t>
        </is>
      </c>
      <c r="B651" s="1" t="n">
        <v>45776.47122685185</v>
      </c>
      <c r="C651" s="1" t="n">
        <v>46169</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48722-2023</t>
        </is>
      </c>
      <c r="B652" s="1" t="n">
        <v>45208.70996527778</v>
      </c>
      <c r="C652" s="1" t="n">
        <v>46169</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35235-2024</t>
        </is>
      </c>
      <c r="B653" s="1" t="n">
        <v>45530</v>
      </c>
      <c r="C653" s="1" t="n">
        <v>46169</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1448-2023</t>
        </is>
      </c>
      <c r="B654" s="1" t="n">
        <v>44937</v>
      </c>
      <c r="C654" s="1" t="n">
        <v>46169</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8736-2024</t>
        </is>
      </c>
      <c r="B655" s="1" t="n">
        <v>45356.4722800926</v>
      </c>
      <c r="C655" s="1" t="n">
        <v>46169</v>
      </c>
      <c r="D655" t="inlineStr">
        <is>
          <t>STOCKHOLMS LÄN</t>
        </is>
      </c>
      <c r="E655" t="inlineStr">
        <is>
          <t>NORRTÄLJE</t>
        </is>
      </c>
      <c r="G655" t="n">
        <v>8.9</v>
      </c>
      <c r="H655" t="n">
        <v>0</v>
      </c>
      <c r="I655" t="n">
        <v>0</v>
      </c>
      <c r="J655" t="n">
        <v>0</v>
      </c>
      <c r="K655" t="n">
        <v>0</v>
      </c>
      <c r="L655" t="n">
        <v>0</v>
      </c>
      <c r="M655" t="n">
        <v>0</v>
      </c>
      <c r="N655" t="n">
        <v>0</v>
      </c>
      <c r="O655" t="n">
        <v>0</v>
      </c>
      <c r="P655" t="n">
        <v>0</v>
      </c>
      <c r="Q655" t="n">
        <v>0</v>
      </c>
      <c r="R655" s="2" t="inlineStr"/>
    </row>
    <row r="656" ht="15" customHeight="1">
      <c r="A656" t="inlineStr">
        <is>
          <t>A 22232-2024</t>
        </is>
      </c>
      <c r="B656" s="1" t="n">
        <v>45446.4287962963</v>
      </c>
      <c r="C656" s="1" t="n">
        <v>46169</v>
      </c>
      <c r="D656" t="inlineStr">
        <is>
          <t>STOCKHOLMS LÄN</t>
        </is>
      </c>
      <c r="E656" t="inlineStr">
        <is>
          <t>NORRTÄLJE</t>
        </is>
      </c>
      <c r="G656" t="n">
        <v>12.8</v>
      </c>
      <c r="H656" t="n">
        <v>0</v>
      </c>
      <c r="I656" t="n">
        <v>0</v>
      </c>
      <c r="J656" t="n">
        <v>0</v>
      </c>
      <c r="K656" t="n">
        <v>0</v>
      </c>
      <c r="L656" t="n">
        <v>0</v>
      </c>
      <c r="M656" t="n">
        <v>0</v>
      </c>
      <c r="N656" t="n">
        <v>0</v>
      </c>
      <c r="O656" t="n">
        <v>0</v>
      </c>
      <c r="P656" t="n">
        <v>0</v>
      </c>
      <c r="Q656" t="n">
        <v>0</v>
      </c>
      <c r="R656" s="2" t="inlineStr"/>
    </row>
    <row r="657" ht="15" customHeight="1">
      <c r="A657" t="inlineStr">
        <is>
          <t>A 56207-2025</t>
        </is>
      </c>
      <c r="B657" s="1" t="n">
        <v>45974.47329861111</v>
      </c>
      <c r="C657" s="1" t="n">
        <v>46169</v>
      </c>
      <c r="D657" t="inlineStr">
        <is>
          <t>STOCKHOLMS LÄN</t>
        </is>
      </c>
      <c r="E657" t="inlineStr">
        <is>
          <t>NORRTÄLJE</t>
        </is>
      </c>
      <c r="G657" t="n">
        <v>3.2</v>
      </c>
      <c r="H657" t="n">
        <v>0</v>
      </c>
      <c r="I657" t="n">
        <v>0</v>
      </c>
      <c r="J657" t="n">
        <v>0</v>
      </c>
      <c r="K657" t="n">
        <v>0</v>
      </c>
      <c r="L657" t="n">
        <v>0</v>
      </c>
      <c r="M657" t="n">
        <v>0</v>
      </c>
      <c r="N657" t="n">
        <v>0</v>
      </c>
      <c r="O657" t="n">
        <v>0</v>
      </c>
      <c r="P657" t="n">
        <v>0</v>
      </c>
      <c r="Q657" t="n">
        <v>0</v>
      </c>
      <c r="R657" s="2" t="inlineStr"/>
    </row>
    <row r="658" ht="15" customHeight="1">
      <c r="A658" t="inlineStr">
        <is>
          <t>A 33149-2022</t>
        </is>
      </c>
      <c r="B658" s="1" t="n">
        <v>44785</v>
      </c>
      <c r="C658" s="1" t="n">
        <v>46169</v>
      </c>
      <c r="D658" t="inlineStr">
        <is>
          <t>STOCKHOLMS LÄN</t>
        </is>
      </c>
      <c r="E658" t="inlineStr">
        <is>
          <t>NORRTÄLJE</t>
        </is>
      </c>
      <c r="F658" t="inlineStr">
        <is>
          <t>Holmen skog AB</t>
        </is>
      </c>
      <c r="G658" t="n">
        <v>4.4</v>
      </c>
      <c r="H658" t="n">
        <v>0</v>
      </c>
      <c r="I658" t="n">
        <v>0</v>
      </c>
      <c r="J658" t="n">
        <v>0</v>
      </c>
      <c r="K658" t="n">
        <v>0</v>
      </c>
      <c r="L658" t="n">
        <v>0</v>
      </c>
      <c r="M658" t="n">
        <v>0</v>
      </c>
      <c r="N658" t="n">
        <v>0</v>
      </c>
      <c r="O658" t="n">
        <v>0</v>
      </c>
      <c r="P658" t="n">
        <v>0</v>
      </c>
      <c r="Q658" t="n">
        <v>0</v>
      </c>
      <c r="R658" s="2" t="inlineStr"/>
    </row>
    <row r="659" ht="15" customHeight="1">
      <c r="A659" t="inlineStr">
        <is>
          <t>A 36396-2025</t>
        </is>
      </c>
      <c r="B659" s="1" t="n">
        <v>45868.62267361111</v>
      </c>
      <c r="C659" s="1" t="n">
        <v>46169</v>
      </c>
      <c r="D659" t="inlineStr">
        <is>
          <t>STOCKHOLMS LÄN</t>
        </is>
      </c>
      <c r="E659" t="inlineStr">
        <is>
          <t>NORRTÄLJE</t>
        </is>
      </c>
      <c r="G659" t="n">
        <v>4.1</v>
      </c>
      <c r="H659" t="n">
        <v>0</v>
      </c>
      <c r="I659" t="n">
        <v>0</v>
      </c>
      <c r="J659" t="n">
        <v>0</v>
      </c>
      <c r="K659" t="n">
        <v>0</v>
      </c>
      <c r="L659" t="n">
        <v>0</v>
      </c>
      <c r="M659" t="n">
        <v>0</v>
      </c>
      <c r="N659" t="n">
        <v>0</v>
      </c>
      <c r="O659" t="n">
        <v>0</v>
      </c>
      <c r="P659" t="n">
        <v>0</v>
      </c>
      <c r="Q659" t="n">
        <v>0</v>
      </c>
      <c r="R659" s="2" t="inlineStr"/>
    </row>
    <row r="660" ht="15" customHeight="1">
      <c r="A660" t="inlineStr">
        <is>
          <t>A 6537-2024</t>
        </is>
      </c>
      <c r="B660" s="1" t="n">
        <v>45341.39853009259</v>
      </c>
      <c r="C660" s="1" t="n">
        <v>46169</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40175-2024</t>
        </is>
      </c>
      <c r="B661" s="1" t="n">
        <v>45554.55707175926</v>
      </c>
      <c r="C661" s="1" t="n">
        <v>46169</v>
      </c>
      <c r="D661" t="inlineStr">
        <is>
          <t>STOCKHOLMS LÄN</t>
        </is>
      </c>
      <c r="E661" t="inlineStr">
        <is>
          <t>NORRTÄLJE</t>
        </is>
      </c>
      <c r="G661" t="n">
        <v>7.7</v>
      </c>
      <c r="H661" t="n">
        <v>0</v>
      </c>
      <c r="I661" t="n">
        <v>0</v>
      </c>
      <c r="J661" t="n">
        <v>0</v>
      </c>
      <c r="K661" t="n">
        <v>0</v>
      </c>
      <c r="L661" t="n">
        <v>0</v>
      </c>
      <c r="M661" t="n">
        <v>0</v>
      </c>
      <c r="N661" t="n">
        <v>0</v>
      </c>
      <c r="O661" t="n">
        <v>0</v>
      </c>
      <c r="P661" t="n">
        <v>0</v>
      </c>
      <c r="Q661" t="n">
        <v>0</v>
      </c>
      <c r="R661" s="2" t="inlineStr"/>
    </row>
    <row r="662" ht="15" customHeight="1">
      <c r="A662" t="inlineStr">
        <is>
          <t>A 54558-2024</t>
        </is>
      </c>
      <c r="B662" s="1" t="n">
        <v>45617.62358796296</v>
      </c>
      <c r="C662" s="1" t="n">
        <v>46169</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23056-2023</t>
        </is>
      </c>
      <c r="B663" s="1" t="n">
        <v>45075</v>
      </c>
      <c r="C663" s="1" t="n">
        <v>46169</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47431-2023</t>
        </is>
      </c>
      <c r="B664" s="1" t="n">
        <v>45202</v>
      </c>
      <c r="C664" s="1" t="n">
        <v>46169</v>
      </c>
      <c r="D664" t="inlineStr">
        <is>
          <t>STOCKHOLMS LÄN</t>
        </is>
      </c>
      <c r="E664" t="inlineStr">
        <is>
          <t>NORRTÄLJE</t>
        </is>
      </c>
      <c r="F664" t="inlineStr">
        <is>
          <t>Naturvårdsverket</t>
        </is>
      </c>
      <c r="G664" t="n">
        <v>1.2</v>
      </c>
      <c r="H664" t="n">
        <v>0</v>
      </c>
      <c r="I664" t="n">
        <v>0</v>
      </c>
      <c r="J664" t="n">
        <v>0</v>
      </c>
      <c r="K664" t="n">
        <v>0</v>
      </c>
      <c r="L664" t="n">
        <v>0</v>
      </c>
      <c r="M664" t="n">
        <v>0</v>
      </c>
      <c r="N664" t="n">
        <v>0</v>
      </c>
      <c r="O664" t="n">
        <v>0</v>
      </c>
      <c r="P664" t="n">
        <v>0</v>
      </c>
      <c r="Q664" t="n">
        <v>0</v>
      </c>
      <c r="R664" s="2" t="inlineStr"/>
    </row>
    <row r="665" ht="15" customHeight="1">
      <c r="A665" t="inlineStr">
        <is>
          <t>A 59499-2023</t>
        </is>
      </c>
      <c r="B665" s="1" t="n">
        <v>45254</v>
      </c>
      <c r="C665" s="1" t="n">
        <v>46169</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59468-2023</t>
        </is>
      </c>
      <c r="B666" s="1" t="n">
        <v>45254.41509259259</v>
      </c>
      <c r="C666" s="1" t="n">
        <v>46169</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37261-2025</t>
        </is>
      </c>
      <c r="B667" s="1" t="n">
        <v>45876.45253472222</v>
      </c>
      <c r="C667" s="1" t="n">
        <v>46169</v>
      </c>
      <c r="D667" t="inlineStr">
        <is>
          <t>STOCKHOLMS LÄN</t>
        </is>
      </c>
      <c r="E667" t="inlineStr">
        <is>
          <t>NORRTÄLJE</t>
        </is>
      </c>
      <c r="F667" t="inlineStr">
        <is>
          <t>Kommuner</t>
        </is>
      </c>
      <c r="G667" t="n">
        <v>2.2</v>
      </c>
      <c r="H667" t="n">
        <v>0</v>
      </c>
      <c r="I667" t="n">
        <v>0</v>
      </c>
      <c r="J667" t="n">
        <v>0</v>
      </c>
      <c r="K667" t="n">
        <v>0</v>
      </c>
      <c r="L667" t="n">
        <v>0</v>
      </c>
      <c r="M667" t="n">
        <v>0</v>
      </c>
      <c r="N667" t="n">
        <v>0</v>
      </c>
      <c r="O667" t="n">
        <v>0</v>
      </c>
      <c r="P667" t="n">
        <v>0</v>
      </c>
      <c r="Q667" t="n">
        <v>0</v>
      </c>
      <c r="R667" s="2" t="inlineStr"/>
    </row>
    <row r="668" ht="15" customHeight="1">
      <c r="A668" t="inlineStr">
        <is>
          <t>A 12532-2025</t>
        </is>
      </c>
      <c r="B668" s="1" t="n">
        <v>45730.69143518519</v>
      </c>
      <c r="C668" s="1" t="n">
        <v>46169</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5732-2023</t>
        </is>
      </c>
      <c r="B669" s="1" t="n">
        <v>44962</v>
      </c>
      <c r="C669" s="1" t="n">
        <v>46169</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10653-2022</t>
        </is>
      </c>
      <c r="B670" s="1" t="n">
        <v>44624.59434027778</v>
      </c>
      <c r="C670" s="1" t="n">
        <v>46169</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21729-2024</t>
        </is>
      </c>
      <c r="B671" s="1" t="n">
        <v>45442</v>
      </c>
      <c r="C671" s="1" t="n">
        <v>46169</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11854-2025</t>
        </is>
      </c>
      <c r="B672" s="1" t="n">
        <v>45728.38924768518</v>
      </c>
      <c r="C672" s="1" t="n">
        <v>46169</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14762-2024</t>
        </is>
      </c>
      <c r="B673" s="1" t="n">
        <v>45397</v>
      </c>
      <c r="C673" s="1" t="n">
        <v>46169</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37628-2025</t>
        </is>
      </c>
      <c r="B674" s="1" t="n">
        <v>45880.46189814815</v>
      </c>
      <c r="C674" s="1" t="n">
        <v>46169</v>
      </c>
      <c r="D674" t="inlineStr">
        <is>
          <t>STOCKHOLMS LÄN</t>
        </is>
      </c>
      <c r="E674" t="inlineStr">
        <is>
          <t>NORRTÄLJE</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29369-2024</t>
        </is>
      </c>
      <c r="B675" s="1" t="n">
        <v>45483.57244212963</v>
      </c>
      <c r="C675" s="1" t="n">
        <v>46169</v>
      </c>
      <c r="D675" t="inlineStr">
        <is>
          <t>STOCKHOLMS LÄN</t>
        </is>
      </c>
      <c r="E675" t="inlineStr">
        <is>
          <t>NORRTÄLJE</t>
        </is>
      </c>
      <c r="G675" t="n">
        <v>15.9</v>
      </c>
      <c r="H675" t="n">
        <v>0</v>
      </c>
      <c r="I675" t="n">
        <v>0</v>
      </c>
      <c r="J675" t="n">
        <v>0</v>
      </c>
      <c r="K675" t="n">
        <v>0</v>
      </c>
      <c r="L675" t="n">
        <v>0</v>
      </c>
      <c r="M675" t="n">
        <v>0</v>
      </c>
      <c r="N675" t="n">
        <v>0</v>
      </c>
      <c r="O675" t="n">
        <v>0</v>
      </c>
      <c r="P675" t="n">
        <v>0</v>
      </c>
      <c r="Q675" t="n">
        <v>0</v>
      </c>
      <c r="R675" s="2" t="inlineStr"/>
    </row>
    <row r="676" ht="15" customHeight="1">
      <c r="A676" t="inlineStr">
        <is>
          <t>A 37632-2025</t>
        </is>
      </c>
      <c r="B676" s="1" t="n">
        <v>45880.46524305556</v>
      </c>
      <c r="C676" s="1" t="n">
        <v>46169</v>
      </c>
      <c r="D676" t="inlineStr">
        <is>
          <t>STOCKHOLMS LÄN</t>
        </is>
      </c>
      <c r="E676" t="inlineStr">
        <is>
          <t>NORRTÄLJE</t>
        </is>
      </c>
      <c r="F676" t="inlineStr">
        <is>
          <t>Sveaskog</t>
        </is>
      </c>
      <c r="G676" t="n">
        <v>6.4</v>
      </c>
      <c r="H676" t="n">
        <v>0</v>
      </c>
      <c r="I676" t="n">
        <v>0</v>
      </c>
      <c r="J676" t="n">
        <v>0</v>
      </c>
      <c r="K676" t="n">
        <v>0</v>
      </c>
      <c r="L676" t="n">
        <v>0</v>
      </c>
      <c r="M676" t="n">
        <v>0</v>
      </c>
      <c r="N676" t="n">
        <v>0</v>
      </c>
      <c r="O676" t="n">
        <v>0</v>
      </c>
      <c r="P676" t="n">
        <v>0</v>
      </c>
      <c r="Q676" t="n">
        <v>0</v>
      </c>
      <c r="R676" s="2" t="inlineStr"/>
    </row>
    <row r="677" ht="15" customHeight="1">
      <c r="A677" t="inlineStr">
        <is>
          <t>A 29841-2024</t>
        </is>
      </c>
      <c r="B677" s="1" t="n">
        <v>45485.60261574074</v>
      </c>
      <c r="C677" s="1" t="n">
        <v>46169</v>
      </c>
      <c r="D677" t="inlineStr">
        <is>
          <t>STOCKHOLMS LÄN</t>
        </is>
      </c>
      <c r="E677" t="inlineStr">
        <is>
          <t>NORRTÄLJE</t>
        </is>
      </c>
      <c r="G677" t="n">
        <v>15.9</v>
      </c>
      <c r="H677" t="n">
        <v>0</v>
      </c>
      <c r="I677" t="n">
        <v>0</v>
      </c>
      <c r="J677" t="n">
        <v>0</v>
      </c>
      <c r="K677" t="n">
        <v>0</v>
      </c>
      <c r="L677" t="n">
        <v>0</v>
      </c>
      <c r="M677" t="n">
        <v>0</v>
      </c>
      <c r="N677" t="n">
        <v>0</v>
      </c>
      <c r="O677" t="n">
        <v>0</v>
      </c>
      <c r="P677" t="n">
        <v>0</v>
      </c>
      <c r="Q677" t="n">
        <v>0</v>
      </c>
      <c r="R677" s="2" t="inlineStr"/>
    </row>
    <row r="678" ht="15" customHeight="1">
      <c r="A678" t="inlineStr">
        <is>
          <t>A 20692-2025</t>
        </is>
      </c>
      <c r="B678" s="1" t="n">
        <v>45776.46369212963</v>
      </c>
      <c r="C678" s="1" t="n">
        <v>46169</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37630-2025</t>
        </is>
      </c>
      <c r="B679" s="1" t="n">
        <v>45880.46372685185</v>
      </c>
      <c r="C679" s="1" t="n">
        <v>46169</v>
      </c>
      <c r="D679" t="inlineStr">
        <is>
          <t>STOCKHOLMS LÄN</t>
        </is>
      </c>
      <c r="E679" t="inlineStr">
        <is>
          <t>NORRTÄLJE</t>
        </is>
      </c>
      <c r="F679" t="inlineStr">
        <is>
          <t>Sveaskog</t>
        </is>
      </c>
      <c r="G679" t="n">
        <v>12.9</v>
      </c>
      <c r="H679" t="n">
        <v>0</v>
      </c>
      <c r="I679" t="n">
        <v>0</v>
      </c>
      <c r="J679" t="n">
        <v>0</v>
      </c>
      <c r="K679" t="n">
        <v>0</v>
      </c>
      <c r="L679" t="n">
        <v>0</v>
      </c>
      <c r="M679" t="n">
        <v>0</v>
      </c>
      <c r="N679" t="n">
        <v>0</v>
      </c>
      <c r="O679" t="n">
        <v>0</v>
      </c>
      <c r="P679" t="n">
        <v>0</v>
      </c>
      <c r="Q679" t="n">
        <v>0</v>
      </c>
      <c r="R679" s="2" t="inlineStr"/>
    </row>
    <row r="680" ht="15" customHeight="1">
      <c r="A680" t="inlineStr">
        <is>
          <t>A 59712-2024</t>
        </is>
      </c>
      <c r="B680" s="1" t="n">
        <v>45639.45166666667</v>
      </c>
      <c r="C680" s="1" t="n">
        <v>46169</v>
      </c>
      <c r="D680" t="inlineStr">
        <is>
          <t>STOCKHOLMS LÄN</t>
        </is>
      </c>
      <c r="E680" t="inlineStr">
        <is>
          <t>NORRTÄLJE</t>
        </is>
      </c>
      <c r="G680" t="n">
        <v>4.4</v>
      </c>
      <c r="H680" t="n">
        <v>0</v>
      </c>
      <c r="I680" t="n">
        <v>0</v>
      </c>
      <c r="J680" t="n">
        <v>0</v>
      </c>
      <c r="K680" t="n">
        <v>0</v>
      </c>
      <c r="L680" t="n">
        <v>0</v>
      </c>
      <c r="M680" t="n">
        <v>0</v>
      </c>
      <c r="N680" t="n">
        <v>0</v>
      </c>
      <c r="O680" t="n">
        <v>0</v>
      </c>
      <c r="P680" t="n">
        <v>0</v>
      </c>
      <c r="Q680" t="n">
        <v>0</v>
      </c>
      <c r="R680" s="2" t="inlineStr"/>
    </row>
    <row r="681" ht="15" customHeight="1">
      <c r="A681" t="inlineStr">
        <is>
          <t>A 46071-2024</t>
        </is>
      </c>
      <c r="B681" s="1" t="n">
        <v>45581</v>
      </c>
      <c r="C681" s="1" t="n">
        <v>46169</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35127-2023</t>
        </is>
      </c>
      <c r="B682" s="1" t="n">
        <v>45145.51</v>
      </c>
      <c r="C682" s="1" t="n">
        <v>46169</v>
      </c>
      <c r="D682" t="inlineStr">
        <is>
          <t>STOCKHOLMS LÄN</t>
        </is>
      </c>
      <c r="E682" t="inlineStr">
        <is>
          <t>NORRTÄLJE</t>
        </is>
      </c>
      <c r="G682" t="n">
        <v>4.7</v>
      </c>
      <c r="H682" t="n">
        <v>0</v>
      </c>
      <c r="I682" t="n">
        <v>0</v>
      </c>
      <c r="J682" t="n">
        <v>0</v>
      </c>
      <c r="K682" t="n">
        <v>0</v>
      </c>
      <c r="L682" t="n">
        <v>0</v>
      </c>
      <c r="M682" t="n">
        <v>0</v>
      </c>
      <c r="N682" t="n">
        <v>0</v>
      </c>
      <c r="O682" t="n">
        <v>0</v>
      </c>
      <c r="P682" t="n">
        <v>0</v>
      </c>
      <c r="Q682" t="n">
        <v>0</v>
      </c>
      <c r="R682" s="2" t="inlineStr"/>
    </row>
    <row r="683" ht="15" customHeight="1">
      <c r="A683" t="inlineStr">
        <is>
          <t>A 13137-2024</t>
        </is>
      </c>
      <c r="B683" s="1" t="n">
        <v>45386.34175925926</v>
      </c>
      <c r="C683" s="1" t="n">
        <v>46169</v>
      </c>
      <c r="D683" t="inlineStr">
        <is>
          <t>STOCKHOLMS LÄN</t>
        </is>
      </c>
      <c r="E683" t="inlineStr">
        <is>
          <t>NORRTÄLJE</t>
        </is>
      </c>
      <c r="G683" t="n">
        <v>5</v>
      </c>
      <c r="H683" t="n">
        <v>0</v>
      </c>
      <c r="I683" t="n">
        <v>0</v>
      </c>
      <c r="J683" t="n">
        <v>0</v>
      </c>
      <c r="K683" t="n">
        <v>0</v>
      </c>
      <c r="L683" t="n">
        <v>0</v>
      </c>
      <c r="M683" t="n">
        <v>0</v>
      </c>
      <c r="N683" t="n">
        <v>0</v>
      </c>
      <c r="O683" t="n">
        <v>0</v>
      </c>
      <c r="P683" t="n">
        <v>0</v>
      </c>
      <c r="Q683" t="n">
        <v>0</v>
      </c>
      <c r="R683" s="2" t="inlineStr"/>
    </row>
    <row r="684" ht="15" customHeight="1">
      <c r="A684" t="inlineStr">
        <is>
          <t>A 45255-2022</t>
        </is>
      </c>
      <c r="B684" s="1" t="n">
        <v>44840</v>
      </c>
      <c r="C684" s="1" t="n">
        <v>46169</v>
      </c>
      <c r="D684" t="inlineStr">
        <is>
          <t>STOCKHOLMS LÄN</t>
        </is>
      </c>
      <c r="E684" t="inlineStr">
        <is>
          <t>NORRTÄLJE</t>
        </is>
      </c>
      <c r="G684" t="n">
        <v>4.1</v>
      </c>
      <c r="H684" t="n">
        <v>0</v>
      </c>
      <c r="I684" t="n">
        <v>0</v>
      </c>
      <c r="J684" t="n">
        <v>0</v>
      </c>
      <c r="K684" t="n">
        <v>0</v>
      </c>
      <c r="L684" t="n">
        <v>0</v>
      </c>
      <c r="M684" t="n">
        <v>0</v>
      </c>
      <c r="N684" t="n">
        <v>0</v>
      </c>
      <c r="O684" t="n">
        <v>0</v>
      </c>
      <c r="P684" t="n">
        <v>0</v>
      </c>
      <c r="Q684" t="n">
        <v>0</v>
      </c>
      <c r="R684" s="2" t="inlineStr"/>
    </row>
    <row r="685" ht="15" customHeight="1">
      <c r="A685" t="inlineStr">
        <is>
          <t>A 24350-2025</t>
        </is>
      </c>
      <c r="B685" s="1" t="n">
        <v>45797.58350694444</v>
      </c>
      <c r="C685" s="1" t="n">
        <v>46169</v>
      </c>
      <c r="D685" t="inlineStr">
        <is>
          <t>STOCKHOLMS LÄN</t>
        </is>
      </c>
      <c r="E685" t="inlineStr">
        <is>
          <t>NORRTÄLJE</t>
        </is>
      </c>
      <c r="G685" t="n">
        <v>4.5</v>
      </c>
      <c r="H685" t="n">
        <v>0</v>
      </c>
      <c r="I685" t="n">
        <v>0</v>
      </c>
      <c r="J685" t="n">
        <v>0</v>
      </c>
      <c r="K685" t="n">
        <v>0</v>
      </c>
      <c r="L685" t="n">
        <v>0</v>
      </c>
      <c r="M685" t="n">
        <v>0</v>
      </c>
      <c r="N685" t="n">
        <v>0</v>
      </c>
      <c r="O685" t="n">
        <v>0</v>
      </c>
      <c r="P685" t="n">
        <v>0</v>
      </c>
      <c r="Q685" t="n">
        <v>0</v>
      </c>
      <c r="R685" s="2" t="inlineStr"/>
    </row>
    <row r="686" ht="15" customHeight="1">
      <c r="A686" t="inlineStr">
        <is>
          <t>A 26703-2025</t>
        </is>
      </c>
      <c r="B686" s="1" t="n">
        <v>45810.45263888889</v>
      </c>
      <c r="C686" s="1" t="n">
        <v>46169</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59893-2022</t>
        </is>
      </c>
      <c r="B687" s="1" t="n">
        <v>44908.77368055555</v>
      </c>
      <c r="C687" s="1" t="n">
        <v>46169</v>
      </c>
      <c r="D687" t="inlineStr">
        <is>
          <t>STOCKHOLMS LÄN</t>
        </is>
      </c>
      <c r="E687" t="inlineStr">
        <is>
          <t>NORRTÄLJE</t>
        </is>
      </c>
      <c r="G687" t="n">
        <v>3</v>
      </c>
      <c r="H687" t="n">
        <v>0</v>
      </c>
      <c r="I687" t="n">
        <v>0</v>
      </c>
      <c r="J687" t="n">
        <v>0</v>
      </c>
      <c r="K687" t="n">
        <v>0</v>
      </c>
      <c r="L687" t="n">
        <v>0</v>
      </c>
      <c r="M687" t="n">
        <v>0</v>
      </c>
      <c r="N687" t="n">
        <v>0</v>
      </c>
      <c r="O687" t="n">
        <v>0</v>
      </c>
      <c r="P687" t="n">
        <v>0</v>
      </c>
      <c r="Q687" t="n">
        <v>0</v>
      </c>
      <c r="R687" s="2" t="inlineStr"/>
    </row>
    <row r="688" ht="15" customHeight="1">
      <c r="A688" t="inlineStr">
        <is>
          <t>A 39905-2023</t>
        </is>
      </c>
      <c r="B688" s="1" t="n">
        <v>45168.44489583333</v>
      </c>
      <c r="C688" s="1" t="n">
        <v>46169</v>
      </c>
      <c r="D688" t="inlineStr">
        <is>
          <t>STOCKHOLMS LÄN</t>
        </is>
      </c>
      <c r="E688" t="inlineStr">
        <is>
          <t>NORRTÄLJE</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5645-2023</t>
        </is>
      </c>
      <c r="B689" s="1" t="n">
        <v>44960.60469907407</v>
      </c>
      <c r="C689" s="1" t="n">
        <v>46169</v>
      </c>
      <c r="D689" t="inlineStr">
        <is>
          <t>STOCKHOLMS LÄN</t>
        </is>
      </c>
      <c r="E689" t="inlineStr">
        <is>
          <t>NORRTÄLJE</t>
        </is>
      </c>
      <c r="G689" t="n">
        <v>1.7</v>
      </c>
      <c r="H689" t="n">
        <v>0</v>
      </c>
      <c r="I689" t="n">
        <v>0</v>
      </c>
      <c r="J689" t="n">
        <v>0</v>
      </c>
      <c r="K689" t="n">
        <v>0</v>
      </c>
      <c r="L689" t="n">
        <v>0</v>
      </c>
      <c r="M689" t="n">
        <v>0</v>
      </c>
      <c r="N689" t="n">
        <v>0</v>
      </c>
      <c r="O689" t="n">
        <v>0</v>
      </c>
      <c r="P689" t="n">
        <v>0</v>
      </c>
      <c r="Q689" t="n">
        <v>0</v>
      </c>
      <c r="R689" s="2" t="inlineStr"/>
    </row>
    <row r="690" ht="15" customHeight="1">
      <c r="A690" t="inlineStr">
        <is>
          <t>A 68361-2021</t>
        </is>
      </c>
      <c r="B690" s="1" t="n">
        <v>44528.91494212963</v>
      </c>
      <c r="C690" s="1" t="n">
        <v>46169</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38153-2025</t>
        </is>
      </c>
      <c r="B691" s="1" t="n">
        <v>45882.59722222222</v>
      </c>
      <c r="C691" s="1" t="n">
        <v>46169</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60529-2023</t>
        </is>
      </c>
      <c r="B692" s="1" t="n">
        <v>45259</v>
      </c>
      <c r="C692" s="1" t="n">
        <v>46169</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58403-2025</t>
        </is>
      </c>
      <c r="B693" s="1" t="n">
        <v>45985.56777777777</v>
      </c>
      <c r="C693" s="1" t="n">
        <v>46169</v>
      </c>
      <c r="D693" t="inlineStr">
        <is>
          <t>STOCKHOLMS LÄN</t>
        </is>
      </c>
      <c r="E693" t="inlineStr">
        <is>
          <t>NORRTÄLJE</t>
        </is>
      </c>
      <c r="F693" t="inlineStr">
        <is>
          <t>Naturvårdsverket</t>
        </is>
      </c>
      <c r="G693" t="n">
        <v>13.5</v>
      </c>
      <c r="H693" t="n">
        <v>0</v>
      </c>
      <c r="I693" t="n">
        <v>0</v>
      </c>
      <c r="J693" t="n">
        <v>0</v>
      </c>
      <c r="K693" t="n">
        <v>0</v>
      </c>
      <c r="L693" t="n">
        <v>0</v>
      </c>
      <c r="M693" t="n">
        <v>0</v>
      </c>
      <c r="N693" t="n">
        <v>0</v>
      </c>
      <c r="O693" t="n">
        <v>0</v>
      </c>
      <c r="P693" t="n">
        <v>0</v>
      </c>
      <c r="Q693" t="n">
        <v>0</v>
      </c>
      <c r="R693" s="2" t="inlineStr"/>
    </row>
    <row r="694" ht="15" customHeight="1">
      <c r="A694" t="inlineStr">
        <is>
          <t>A 19706-2023</t>
        </is>
      </c>
      <c r="B694" s="1" t="n">
        <v>45051.455</v>
      </c>
      <c r="C694" s="1" t="n">
        <v>46169</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17612-2022</t>
        </is>
      </c>
      <c r="B695" s="1" t="n">
        <v>44680</v>
      </c>
      <c r="C695" s="1" t="n">
        <v>46169</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58142-2025</t>
        </is>
      </c>
      <c r="B696" s="1" t="n">
        <v>45982.63791666667</v>
      </c>
      <c r="C696" s="1" t="n">
        <v>46169</v>
      </c>
      <c r="D696" t="inlineStr">
        <is>
          <t>STOCKHOLMS LÄN</t>
        </is>
      </c>
      <c r="E696" t="inlineStr">
        <is>
          <t>NORRTÄLJE</t>
        </is>
      </c>
      <c r="G696" t="n">
        <v>3.3</v>
      </c>
      <c r="H696" t="n">
        <v>0</v>
      </c>
      <c r="I696" t="n">
        <v>0</v>
      </c>
      <c r="J696" t="n">
        <v>0</v>
      </c>
      <c r="K696" t="n">
        <v>0</v>
      </c>
      <c r="L696" t="n">
        <v>0</v>
      </c>
      <c r="M696" t="n">
        <v>0</v>
      </c>
      <c r="N696" t="n">
        <v>0</v>
      </c>
      <c r="O696" t="n">
        <v>0</v>
      </c>
      <c r="P696" t="n">
        <v>0</v>
      </c>
      <c r="Q696" t="n">
        <v>0</v>
      </c>
      <c r="R696" s="2" t="inlineStr"/>
    </row>
    <row r="697" ht="15" customHeight="1">
      <c r="A697" t="inlineStr">
        <is>
          <t>A 57953-2025</t>
        </is>
      </c>
      <c r="B697" s="1" t="n">
        <v>45982.35016203704</v>
      </c>
      <c r="C697" s="1" t="n">
        <v>46169</v>
      </c>
      <c r="D697" t="inlineStr">
        <is>
          <t>STOCKHOLMS LÄN</t>
        </is>
      </c>
      <c r="E697" t="inlineStr">
        <is>
          <t>NORRTÄLJE</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16835-2022</t>
        </is>
      </c>
      <c r="B698" s="1" t="n">
        <v>44673</v>
      </c>
      <c r="C698" s="1" t="n">
        <v>46169</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62765-2022</t>
        </is>
      </c>
      <c r="B699" s="1" t="n">
        <v>44637</v>
      </c>
      <c r="C699" s="1" t="n">
        <v>46169</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58404-2023</t>
        </is>
      </c>
      <c r="B700" s="1" t="n">
        <v>45245</v>
      </c>
      <c r="C700" s="1" t="n">
        <v>46169</v>
      </c>
      <c r="D700" t="inlineStr">
        <is>
          <t>STOCKHOLMS LÄN</t>
        </is>
      </c>
      <c r="E700" t="inlineStr">
        <is>
          <t>NORRTÄLJE</t>
        </is>
      </c>
      <c r="G700" t="n">
        <v>53.5</v>
      </c>
      <c r="H700" t="n">
        <v>0</v>
      </c>
      <c r="I700" t="n">
        <v>0</v>
      </c>
      <c r="J700" t="n">
        <v>0</v>
      </c>
      <c r="K700" t="n">
        <v>0</v>
      </c>
      <c r="L700" t="n">
        <v>0</v>
      </c>
      <c r="M700" t="n">
        <v>0</v>
      </c>
      <c r="N700" t="n">
        <v>0</v>
      </c>
      <c r="O700" t="n">
        <v>0</v>
      </c>
      <c r="P700" t="n">
        <v>0</v>
      </c>
      <c r="Q700" t="n">
        <v>0</v>
      </c>
      <c r="R700" s="2" t="inlineStr"/>
    </row>
    <row r="701" ht="15" customHeight="1">
      <c r="A701" t="inlineStr">
        <is>
          <t>A 8586-2023</t>
        </is>
      </c>
      <c r="B701" s="1" t="n">
        <v>44977</v>
      </c>
      <c r="C701" s="1" t="n">
        <v>46169</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16202-2022</t>
        </is>
      </c>
      <c r="B702" s="1" t="n">
        <v>44670</v>
      </c>
      <c r="C702" s="1" t="n">
        <v>46169</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58939-2025</t>
        </is>
      </c>
      <c r="B703" s="1" t="n">
        <v>45987.5681712963</v>
      </c>
      <c r="C703" s="1" t="n">
        <v>46169</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55018-2024</t>
        </is>
      </c>
      <c r="B704" s="1" t="n">
        <v>45621.35712962963</v>
      </c>
      <c r="C704" s="1" t="n">
        <v>46169</v>
      </c>
      <c r="D704" t="inlineStr">
        <is>
          <t>STOCKHOLMS LÄN</t>
        </is>
      </c>
      <c r="E704" t="inlineStr">
        <is>
          <t>NORRTÄLJE</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50136-2023</t>
        </is>
      </c>
      <c r="B705" s="1" t="n">
        <v>45215</v>
      </c>
      <c r="C705" s="1" t="n">
        <v>46169</v>
      </c>
      <c r="D705" t="inlineStr">
        <is>
          <t>STOCKHOLMS LÄN</t>
        </is>
      </c>
      <c r="E705" t="inlineStr">
        <is>
          <t>NORRTÄLJE</t>
        </is>
      </c>
      <c r="G705" t="n">
        <v>5.2</v>
      </c>
      <c r="H705" t="n">
        <v>0</v>
      </c>
      <c r="I705" t="n">
        <v>0</v>
      </c>
      <c r="J705" t="n">
        <v>0</v>
      </c>
      <c r="K705" t="n">
        <v>0</v>
      </c>
      <c r="L705" t="n">
        <v>0</v>
      </c>
      <c r="M705" t="n">
        <v>0</v>
      </c>
      <c r="N705" t="n">
        <v>0</v>
      </c>
      <c r="O705" t="n">
        <v>0</v>
      </c>
      <c r="P705" t="n">
        <v>0</v>
      </c>
      <c r="Q705" t="n">
        <v>0</v>
      </c>
      <c r="R705" s="2" t="inlineStr"/>
    </row>
    <row r="706" ht="15" customHeight="1">
      <c r="A706" t="inlineStr">
        <is>
          <t>A 25656-2023</t>
        </is>
      </c>
      <c r="B706" s="1" t="n">
        <v>45089</v>
      </c>
      <c r="C706" s="1" t="n">
        <v>46169</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6003-2025</t>
        </is>
      </c>
      <c r="B707" s="1" t="n">
        <v>45695.57881944445</v>
      </c>
      <c r="C707" s="1" t="n">
        <v>46169</v>
      </c>
      <c r="D707" t="inlineStr">
        <is>
          <t>STOCKHOLMS LÄN</t>
        </is>
      </c>
      <c r="E707" t="inlineStr">
        <is>
          <t>NORRTÄLJE</t>
        </is>
      </c>
      <c r="F707" t="inlineStr">
        <is>
          <t>Holmen skog AB</t>
        </is>
      </c>
      <c r="G707" t="n">
        <v>2.3</v>
      </c>
      <c r="H707" t="n">
        <v>0</v>
      </c>
      <c r="I707" t="n">
        <v>0</v>
      </c>
      <c r="J707" t="n">
        <v>0</v>
      </c>
      <c r="K707" t="n">
        <v>0</v>
      </c>
      <c r="L707" t="n">
        <v>0</v>
      </c>
      <c r="M707" t="n">
        <v>0</v>
      </c>
      <c r="N707" t="n">
        <v>0</v>
      </c>
      <c r="O707" t="n">
        <v>0</v>
      </c>
      <c r="P707" t="n">
        <v>0</v>
      </c>
      <c r="Q707" t="n">
        <v>0</v>
      </c>
      <c r="R707" s="2" t="inlineStr"/>
    </row>
    <row r="708" ht="15" customHeight="1">
      <c r="A708" t="inlineStr">
        <is>
          <t>A 67921-2021</t>
        </is>
      </c>
      <c r="B708" s="1" t="n">
        <v>44525</v>
      </c>
      <c r="C708" s="1" t="n">
        <v>46169</v>
      </c>
      <c r="D708" t="inlineStr">
        <is>
          <t>STOCKHOLMS LÄN</t>
        </is>
      </c>
      <c r="E708" t="inlineStr">
        <is>
          <t>NORRTÄLJE</t>
        </is>
      </c>
      <c r="G708" t="n">
        <v>6.3</v>
      </c>
      <c r="H708" t="n">
        <v>0</v>
      </c>
      <c r="I708" t="n">
        <v>0</v>
      </c>
      <c r="J708" t="n">
        <v>0</v>
      </c>
      <c r="K708" t="n">
        <v>0</v>
      </c>
      <c r="L708" t="n">
        <v>0</v>
      </c>
      <c r="M708" t="n">
        <v>0</v>
      </c>
      <c r="N708" t="n">
        <v>0</v>
      </c>
      <c r="O708" t="n">
        <v>0</v>
      </c>
      <c r="P708" t="n">
        <v>0</v>
      </c>
      <c r="Q708" t="n">
        <v>0</v>
      </c>
      <c r="R708" s="2" t="inlineStr"/>
    </row>
    <row r="709" ht="15" customHeight="1">
      <c r="A709" t="inlineStr">
        <is>
          <t>A 11902-2024</t>
        </is>
      </c>
      <c r="B709" s="1" t="n">
        <v>45376.55704861111</v>
      </c>
      <c r="C709" s="1" t="n">
        <v>46169</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38049-2023</t>
        </is>
      </c>
      <c r="B710" s="1" t="n">
        <v>45159</v>
      </c>
      <c r="C710" s="1" t="n">
        <v>46169</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59535-2024</t>
        </is>
      </c>
      <c r="B711" s="1" t="n">
        <v>45638.59979166667</v>
      </c>
      <c r="C711" s="1" t="n">
        <v>46169</v>
      </c>
      <c r="D711" t="inlineStr">
        <is>
          <t>STOCKHOLMS LÄN</t>
        </is>
      </c>
      <c r="E711" t="inlineStr">
        <is>
          <t>NORRTÄLJE</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65499-2021</t>
        </is>
      </c>
      <c r="B712" s="1" t="n">
        <v>44516</v>
      </c>
      <c r="C712" s="1" t="n">
        <v>46169</v>
      </c>
      <c r="D712" t="inlineStr">
        <is>
          <t>STOCKHOLMS LÄN</t>
        </is>
      </c>
      <c r="E712" t="inlineStr">
        <is>
          <t>NORRTÄLJE</t>
        </is>
      </c>
      <c r="F712" t="inlineStr">
        <is>
          <t>Kommuner</t>
        </is>
      </c>
      <c r="G712" t="n">
        <v>5.2</v>
      </c>
      <c r="H712" t="n">
        <v>0</v>
      </c>
      <c r="I712" t="n">
        <v>0</v>
      </c>
      <c r="J712" t="n">
        <v>0</v>
      </c>
      <c r="K712" t="n">
        <v>0</v>
      </c>
      <c r="L712" t="n">
        <v>0</v>
      </c>
      <c r="M712" t="n">
        <v>0</v>
      </c>
      <c r="N712" t="n">
        <v>0</v>
      </c>
      <c r="O712" t="n">
        <v>0</v>
      </c>
      <c r="P712" t="n">
        <v>0</v>
      </c>
      <c r="Q712" t="n">
        <v>0</v>
      </c>
      <c r="R712" s="2" t="inlineStr"/>
    </row>
    <row r="713" ht="15" customHeight="1">
      <c r="A713" t="inlineStr">
        <is>
          <t>A 4183-2025</t>
        </is>
      </c>
      <c r="B713" s="1" t="n">
        <v>45685.44592592592</v>
      </c>
      <c r="C713" s="1" t="n">
        <v>46169</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9480-2025</t>
        </is>
      </c>
      <c r="B714" s="1" t="n">
        <v>45715</v>
      </c>
      <c r="C714" s="1" t="n">
        <v>46169</v>
      </c>
      <c r="D714" t="inlineStr">
        <is>
          <t>STOCKHOLMS LÄN</t>
        </is>
      </c>
      <c r="E714" t="inlineStr">
        <is>
          <t>NORRTÄLJE</t>
        </is>
      </c>
      <c r="F714" t="inlineStr">
        <is>
          <t>Övriga Aktiebolag</t>
        </is>
      </c>
      <c r="G714" t="n">
        <v>3.9</v>
      </c>
      <c r="H714" t="n">
        <v>0</v>
      </c>
      <c r="I714" t="n">
        <v>0</v>
      </c>
      <c r="J714" t="n">
        <v>0</v>
      </c>
      <c r="K714" t="n">
        <v>0</v>
      </c>
      <c r="L714" t="n">
        <v>0</v>
      </c>
      <c r="M714" t="n">
        <v>0</v>
      </c>
      <c r="N714" t="n">
        <v>0</v>
      </c>
      <c r="O714" t="n">
        <v>0</v>
      </c>
      <c r="P714" t="n">
        <v>0</v>
      </c>
      <c r="Q714" t="n">
        <v>0</v>
      </c>
      <c r="R714" s="2" t="inlineStr"/>
    </row>
    <row r="715" ht="15" customHeight="1">
      <c r="A715" t="inlineStr">
        <is>
          <t>A 24522-2023</t>
        </is>
      </c>
      <c r="B715" s="1" t="n">
        <v>45082.69179398148</v>
      </c>
      <c r="C715" s="1" t="n">
        <v>46169</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25625-2023</t>
        </is>
      </c>
      <c r="B716" s="1" t="n">
        <v>45089</v>
      </c>
      <c r="C716" s="1" t="n">
        <v>46169</v>
      </c>
      <c r="D716" t="inlineStr">
        <is>
          <t>STOCKHOLMS LÄN</t>
        </is>
      </c>
      <c r="E716" t="inlineStr">
        <is>
          <t>NORRTÄLJE</t>
        </is>
      </c>
      <c r="G716" t="n">
        <v>5.5</v>
      </c>
      <c r="H716" t="n">
        <v>0</v>
      </c>
      <c r="I716" t="n">
        <v>0</v>
      </c>
      <c r="J716" t="n">
        <v>0</v>
      </c>
      <c r="K716" t="n">
        <v>0</v>
      </c>
      <c r="L716" t="n">
        <v>0</v>
      </c>
      <c r="M716" t="n">
        <v>0</v>
      </c>
      <c r="N716" t="n">
        <v>0</v>
      </c>
      <c r="O716" t="n">
        <v>0</v>
      </c>
      <c r="P716" t="n">
        <v>0</v>
      </c>
      <c r="Q716" t="n">
        <v>0</v>
      </c>
      <c r="R716" s="2" t="inlineStr"/>
    </row>
    <row r="717" ht="15" customHeight="1">
      <c r="A717" t="inlineStr">
        <is>
          <t>A 59041-2025</t>
        </is>
      </c>
      <c r="B717" s="1" t="n">
        <v>45988</v>
      </c>
      <c r="C717" s="1" t="n">
        <v>46169</v>
      </c>
      <c r="D717" t="inlineStr">
        <is>
          <t>STOCKHOLMS LÄN</t>
        </is>
      </c>
      <c r="E717" t="inlineStr">
        <is>
          <t>NORRTÄLJE</t>
        </is>
      </c>
      <c r="G717" t="n">
        <v>6.6</v>
      </c>
      <c r="H717" t="n">
        <v>0</v>
      </c>
      <c r="I717" t="n">
        <v>0</v>
      </c>
      <c r="J717" t="n">
        <v>0</v>
      </c>
      <c r="K717" t="n">
        <v>0</v>
      </c>
      <c r="L717" t="n">
        <v>0</v>
      </c>
      <c r="M717" t="n">
        <v>0</v>
      </c>
      <c r="N717" t="n">
        <v>0</v>
      </c>
      <c r="O717" t="n">
        <v>0</v>
      </c>
      <c r="P717" t="n">
        <v>0</v>
      </c>
      <c r="Q717" t="n">
        <v>0</v>
      </c>
      <c r="R717" s="2" t="inlineStr"/>
    </row>
    <row r="718" ht="15" customHeight="1">
      <c r="A718" t="inlineStr">
        <is>
          <t>A 37147-2023</t>
        </is>
      </c>
      <c r="B718" s="1" t="n">
        <v>45155</v>
      </c>
      <c r="C718" s="1" t="n">
        <v>46169</v>
      </c>
      <c r="D718" t="inlineStr">
        <is>
          <t>STOCKHOLMS LÄN</t>
        </is>
      </c>
      <c r="E718" t="inlineStr">
        <is>
          <t>NORRTÄLJE</t>
        </is>
      </c>
      <c r="G718" t="n">
        <v>8</v>
      </c>
      <c r="H718" t="n">
        <v>0</v>
      </c>
      <c r="I718" t="n">
        <v>0</v>
      </c>
      <c r="J718" t="n">
        <v>0</v>
      </c>
      <c r="K718" t="n">
        <v>0</v>
      </c>
      <c r="L718" t="n">
        <v>0</v>
      </c>
      <c r="M718" t="n">
        <v>0</v>
      </c>
      <c r="N718" t="n">
        <v>0</v>
      </c>
      <c r="O718" t="n">
        <v>0</v>
      </c>
      <c r="P718" t="n">
        <v>0</v>
      </c>
      <c r="Q718" t="n">
        <v>0</v>
      </c>
      <c r="R718" s="2" t="inlineStr"/>
    </row>
    <row r="719" ht="15" customHeight="1">
      <c r="A719" t="inlineStr">
        <is>
          <t>A 7186-2024</t>
        </is>
      </c>
      <c r="B719" s="1" t="n">
        <v>45344</v>
      </c>
      <c r="C719" s="1" t="n">
        <v>46169</v>
      </c>
      <c r="D719" t="inlineStr">
        <is>
          <t>STOCKHOLMS LÄN</t>
        </is>
      </c>
      <c r="E719" t="inlineStr">
        <is>
          <t>NORRTÄLJE</t>
        </is>
      </c>
      <c r="G719" t="n">
        <v>4.9</v>
      </c>
      <c r="H719" t="n">
        <v>0</v>
      </c>
      <c r="I719" t="n">
        <v>0</v>
      </c>
      <c r="J719" t="n">
        <v>0</v>
      </c>
      <c r="K719" t="n">
        <v>0</v>
      </c>
      <c r="L719" t="n">
        <v>0</v>
      </c>
      <c r="M719" t="n">
        <v>0</v>
      </c>
      <c r="N719" t="n">
        <v>0</v>
      </c>
      <c r="O719" t="n">
        <v>0</v>
      </c>
      <c r="P719" t="n">
        <v>0</v>
      </c>
      <c r="Q719" t="n">
        <v>0</v>
      </c>
      <c r="R719" s="2" t="inlineStr"/>
    </row>
    <row r="720" ht="15" customHeight="1">
      <c r="A720" t="inlineStr">
        <is>
          <t>A 59914-2025</t>
        </is>
      </c>
      <c r="B720" s="1" t="n">
        <v>45993.37056712963</v>
      </c>
      <c r="C720" s="1" t="n">
        <v>46169</v>
      </c>
      <c r="D720" t="inlineStr">
        <is>
          <t>STOCKHOLMS LÄN</t>
        </is>
      </c>
      <c r="E720" t="inlineStr">
        <is>
          <t>NORRTÄLJE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59672-2025</t>
        </is>
      </c>
      <c r="B721" s="1" t="n">
        <v>45992.45884259259</v>
      </c>
      <c r="C721" s="1" t="n">
        <v>46169</v>
      </c>
      <c r="D721" t="inlineStr">
        <is>
          <t>STOCKHOLMS LÄN</t>
        </is>
      </c>
      <c r="E721" t="inlineStr">
        <is>
          <t>NORRTÄLJE</t>
        </is>
      </c>
      <c r="G721" t="n">
        <v>4</v>
      </c>
      <c r="H721" t="n">
        <v>0</v>
      </c>
      <c r="I721" t="n">
        <v>0</v>
      </c>
      <c r="J721" t="n">
        <v>0</v>
      </c>
      <c r="K721" t="n">
        <v>0</v>
      </c>
      <c r="L721" t="n">
        <v>0</v>
      </c>
      <c r="M721" t="n">
        <v>0</v>
      </c>
      <c r="N721" t="n">
        <v>0</v>
      </c>
      <c r="O721" t="n">
        <v>0</v>
      </c>
      <c r="P721" t="n">
        <v>0</v>
      </c>
      <c r="Q721" t="n">
        <v>0</v>
      </c>
      <c r="R721" s="2" t="inlineStr"/>
    </row>
    <row r="722" ht="15" customHeight="1">
      <c r="A722" t="inlineStr">
        <is>
          <t>A 57602-2024</t>
        </is>
      </c>
      <c r="B722" s="1" t="n">
        <v>45630.52866898148</v>
      </c>
      <c r="C722" s="1" t="n">
        <v>46169</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57788-2025</t>
        </is>
      </c>
      <c r="B723" s="1" t="n">
        <v>45981.5778125</v>
      </c>
      <c r="C723" s="1" t="n">
        <v>46169</v>
      </c>
      <c r="D723" t="inlineStr">
        <is>
          <t>STOCKHOLMS LÄN</t>
        </is>
      </c>
      <c r="E723" t="inlineStr">
        <is>
          <t>NORRTÄLJE</t>
        </is>
      </c>
      <c r="G723" t="n">
        <v>1.6</v>
      </c>
      <c r="H723" t="n">
        <v>0</v>
      </c>
      <c r="I723" t="n">
        <v>0</v>
      </c>
      <c r="J723" t="n">
        <v>0</v>
      </c>
      <c r="K723" t="n">
        <v>0</v>
      </c>
      <c r="L723" t="n">
        <v>0</v>
      </c>
      <c r="M723" t="n">
        <v>0</v>
      </c>
      <c r="N723" t="n">
        <v>0</v>
      </c>
      <c r="O723" t="n">
        <v>0</v>
      </c>
      <c r="P723" t="n">
        <v>0</v>
      </c>
      <c r="Q723" t="n">
        <v>0</v>
      </c>
      <c r="R723" s="2" t="inlineStr"/>
    </row>
    <row r="724" ht="15" customHeight="1">
      <c r="A724" t="inlineStr">
        <is>
          <t>A 64600-2021</t>
        </is>
      </c>
      <c r="B724" s="1" t="n">
        <v>44511.70518518519</v>
      </c>
      <c r="C724" s="1" t="n">
        <v>46169</v>
      </c>
      <c r="D724" t="inlineStr">
        <is>
          <t>STOCKHOLMS LÄN</t>
        </is>
      </c>
      <c r="E724" t="inlineStr">
        <is>
          <t>NORRTÄLJE</t>
        </is>
      </c>
      <c r="G724" t="n">
        <v>6.2</v>
      </c>
      <c r="H724" t="n">
        <v>0</v>
      </c>
      <c r="I724" t="n">
        <v>0</v>
      </c>
      <c r="J724" t="n">
        <v>0</v>
      </c>
      <c r="K724" t="n">
        <v>0</v>
      </c>
      <c r="L724" t="n">
        <v>0</v>
      </c>
      <c r="M724" t="n">
        <v>0</v>
      </c>
      <c r="N724" t="n">
        <v>0</v>
      </c>
      <c r="O724" t="n">
        <v>0</v>
      </c>
      <c r="P724" t="n">
        <v>0</v>
      </c>
      <c r="Q724" t="n">
        <v>0</v>
      </c>
      <c r="R724" s="2" t="inlineStr"/>
    </row>
    <row r="725" ht="15" customHeight="1">
      <c r="A725" t="inlineStr">
        <is>
          <t>A 59907-2025</t>
        </is>
      </c>
      <c r="B725" s="1" t="n">
        <v>45993.35350694445</v>
      </c>
      <c r="C725" s="1" t="n">
        <v>46169</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50602-2021</t>
        </is>
      </c>
      <c r="B726" s="1" t="n">
        <v>44459</v>
      </c>
      <c r="C726" s="1" t="n">
        <v>46169</v>
      </c>
      <c r="D726" t="inlineStr">
        <is>
          <t>STOCKHOLMS LÄN</t>
        </is>
      </c>
      <c r="E726" t="inlineStr">
        <is>
          <t>NORRTÄLJE</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26365-2024</t>
        </is>
      </c>
      <c r="B727" s="1" t="n">
        <v>45469</v>
      </c>
      <c r="C727" s="1" t="n">
        <v>46169</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59924-2025</t>
        </is>
      </c>
      <c r="B728" s="1" t="n">
        <v>45993.38928240741</v>
      </c>
      <c r="C728" s="1" t="n">
        <v>46169</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26640-2023</t>
        </is>
      </c>
      <c r="B729" s="1" t="n">
        <v>45092</v>
      </c>
      <c r="C729" s="1" t="n">
        <v>46169</v>
      </c>
      <c r="D729" t="inlineStr">
        <is>
          <t>STOCKHOLMS LÄN</t>
        </is>
      </c>
      <c r="E729" t="inlineStr">
        <is>
          <t>NORRTÄLJE</t>
        </is>
      </c>
      <c r="G729" t="n">
        <v>5.7</v>
      </c>
      <c r="H729" t="n">
        <v>0</v>
      </c>
      <c r="I729" t="n">
        <v>0</v>
      </c>
      <c r="J729" t="n">
        <v>0</v>
      </c>
      <c r="K729" t="n">
        <v>0</v>
      </c>
      <c r="L729" t="n">
        <v>0</v>
      </c>
      <c r="M729" t="n">
        <v>0</v>
      </c>
      <c r="N729" t="n">
        <v>0</v>
      </c>
      <c r="O729" t="n">
        <v>0</v>
      </c>
      <c r="P729" t="n">
        <v>0</v>
      </c>
      <c r="Q729" t="n">
        <v>0</v>
      </c>
      <c r="R729" s="2" t="inlineStr"/>
    </row>
    <row r="730" ht="15" customHeight="1">
      <c r="A730" t="inlineStr">
        <is>
          <t>A 31827-2023</t>
        </is>
      </c>
      <c r="B730" s="1" t="n">
        <v>45118</v>
      </c>
      <c r="C730" s="1" t="n">
        <v>46169</v>
      </c>
      <c r="D730" t="inlineStr">
        <is>
          <t>STOCKHOLMS LÄN</t>
        </is>
      </c>
      <c r="E730" t="inlineStr">
        <is>
          <t>NORRTÄLJE</t>
        </is>
      </c>
      <c r="F730" t="inlineStr">
        <is>
          <t>Kyrkan</t>
        </is>
      </c>
      <c r="G730" t="n">
        <v>4.9</v>
      </c>
      <c r="H730" t="n">
        <v>0</v>
      </c>
      <c r="I730" t="n">
        <v>0</v>
      </c>
      <c r="J730" t="n">
        <v>0</v>
      </c>
      <c r="K730" t="n">
        <v>0</v>
      </c>
      <c r="L730" t="n">
        <v>0</v>
      </c>
      <c r="M730" t="n">
        <v>0</v>
      </c>
      <c r="N730" t="n">
        <v>0</v>
      </c>
      <c r="O730" t="n">
        <v>0</v>
      </c>
      <c r="P730" t="n">
        <v>0</v>
      </c>
      <c r="Q730" t="n">
        <v>0</v>
      </c>
      <c r="R730" s="2" t="inlineStr"/>
    </row>
    <row r="731" ht="15" customHeight="1">
      <c r="A731" t="inlineStr">
        <is>
          <t>A 58993-2022</t>
        </is>
      </c>
      <c r="B731" s="1" t="n">
        <v>44903</v>
      </c>
      <c r="C731" s="1" t="n">
        <v>46169</v>
      </c>
      <c r="D731" t="inlineStr">
        <is>
          <t>STOCKHOLMS LÄN</t>
        </is>
      </c>
      <c r="E731" t="inlineStr">
        <is>
          <t>NORRTÄLJE</t>
        </is>
      </c>
      <c r="G731" t="n">
        <v>2.3</v>
      </c>
      <c r="H731" t="n">
        <v>0</v>
      </c>
      <c r="I731" t="n">
        <v>0</v>
      </c>
      <c r="J731" t="n">
        <v>0</v>
      </c>
      <c r="K731" t="n">
        <v>0</v>
      </c>
      <c r="L731" t="n">
        <v>0</v>
      </c>
      <c r="M731" t="n">
        <v>0</v>
      </c>
      <c r="N731" t="n">
        <v>0</v>
      </c>
      <c r="O731" t="n">
        <v>0</v>
      </c>
      <c r="P731" t="n">
        <v>0</v>
      </c>
      <c r="Q731" t="n">
        <v>0</v>
      </c>
      <c r="R731" s="2" t="inlineStr"/>
    </row>
    <row r="732" ht="15" customHeight="1">
      <c r="A732" t="inlineStr">
        <is>
          <t>A 28900-2022</t>
        </is>
      </c>
      <c r="B732" s="1" t="n">
        <v>44749.55258101852</v>
      </c>
      <c r="C732" s="1" t="n">
        <v>46169</v>
      </c>
      <c r="D732" t="inlineStr">
        <is>
          <t>STOCKHOLMS LÄN</t>
        </is>
      </c>
      <c r="E732" t="inlineStr">
        <is>
          <t>NORRTÄLJE</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17574-2025</t>
        </is>
      </c>
      <c r="B733" s="1" t="n">
        <v>45757.65178240741</v>
      </c>
      <c r="C733" s="1" t="n">
        <v>46169</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60253-2025</t>
        </is>
      </c>
      <c r="B734" s="1" t="n">
        <v>45994.59827546297</v>
      </c>
      <c r="C734" s="1" t="n">
        <v>46169</v>
      </c>
      <c r="D734" t="inlineStr">
        <is>
          <t>STOCKHOLMS LÄN</t>
        </is>
      </c>
      <c r="E734" t="inlineStr">
        <is>
          <t>NORRTÄLJE</t>
        </is>
      </c>
      <c r="F734" t="inlineStr">
        <is>
          <t>Holmen skog AB</t>
        </is>
      </c>
      <c r="G734" t="n">
        <v>3.6</v>
      </c>
      <c r="H734" t="n">
        <v>0</v>
      </c>
      <c r="I734" t="n">
        <v>0</v>
      </c>
      <c r="J734" t="n">
        <v>0</v>
      </c>
      <c r="K734" t="n">
        <v>0</v>
      </c>
      <c r="L734" t="n">
        <v>0</v>
      </c>
      <c r="M734" t="n">
        <v>0</v>
      </c>
      <c r="N734" t="n">
        <v>0</v>
      </c>
      <c r="O734" t="n">
        <v>0</v>
      </c>
      <c r="P734" t="n">
        <v>0</v>
      </c>
      <c r="Q734" t="n">
        <v>0</v>
      </c>
      <c r="R734" s="2" t="inlineStr"/>
    </row>
    <row r="735" ht="15" customHeight="1">
      <c r="A735" t="inlineStr">
        <is>
          <t>A 58297-2023</t>
        </is>
      </c>
      <c r="B735" s="1" t="n">
        <v>45245</v>
      </c>
      <c r="C735" s="1" t="n">
        <v>46169</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60214-2025</t>
        </is>
      </c>
      <c r="B736" s="1" t="n">
        <v>45994.53761574074</v>
      </c>
      <c r="C736" s="1" t="n">
        <v>46169</v>
      </c>
      <c r="D736" t="inlineStr">
        <is>
          <t>STOCKHOLMS LÄN</t>
        </is>
      </c>
      <c r="E736" t="inlineStr">
        <is>
          <t>NORRTÄLJE</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20304-2023</t>
        </is>
      </c>
      <c r="B737" s="1" t="n">
        <v>45056</v>
      </c>
      <c r="C737" s="1" t="n">
        <v>46169</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12299-2025</t>
        </is>
      </c>
      <c r="B738" s="1" t="n">
        <v>45729.71065972222</v>
      </c>
      <c r="C738" s="1" t="n">
        <v>46169</v>
      </c>
      <c r="D738" t="inlineStr">
        <is>
          <t>STOCKHOLMS LÄN</t>
        </is>
      </c>
      <c r="E738" t="inlineStr">
        <is>
          <t>NORRTÄLJE</t>
        </is>
      </c>
      <c r="F738" t="inlineStr">
        <is>
          <t>Holmen skog AB</t>
        </is>
      </c>
      <c r="G738" t="n">
        <v>6.9</v>
      </c>
      <c r="H738" t="n">
        <v>0</v>
      </c>
      <c r="I738" t="n">
        <v>0</v>
      </c>
      <c r="J738" t="n">
        <v>0</v>
      </c>
      <c r="K738" t="n">
        <v>0</v>
      </c>
      <c r="L738" t="n">
        <v>0</v>
      </c>
      <c r="M738" t="n">
        <v>0</v>
      </c>
      <c r="N738" t="n">
        <v>0</v>
      </c>
      <c r="O738" t="n">
        <v>0</v>
      </c>
      <c r="P738" t="n">
        <v>0</v>
      </c>
      <c r="Q738" t="n">
        <v>0</v>
      </c>
      <c r="R738" s="2" t="inlineStr"/>
    </row>
    <row r="739" ht="15" customHeight="1">
      <c r="A739" t="inlineStr">
        <is>
          <t>A 22157-2023</t>
        </is>
      </c>
      <c r="B739" s="1" t="n">
        <v>45069</v>
      </c>
      <c r="C739" s="1" t="n">
        <v>46169</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c r="U739">
        <f>HYPERLINK("https://klasma.github.io/Logging_0188/knärot/A 22157-2023 karta knärot.png", "A 22157-2023")</f>
        <v/>
      </c>
      <c r="V739">
        <f>HYPERLINK("https://klasma.github.io/Logging_0188/klagomål/A 22157-2023 FSC-klagomål.docx", "A 22157-2023")</f>
        <v/>
      </c>
      <c r="W739">
        <f>HYPERLINK("https://klasma.github.io/Logging_0188/klagomålsmail/A 22157-2023 FSC-klagomål mail.docx", "A 22157-2023")</f>
        <v/>
      </c>
      <c r="X739">
        <f>HYPERLINK("https://klasma.github.io/Logging_0188/tillsyn/A 22157-2023 tillsynsbegäran.docx", "A 22157-2023")</f>
        <v/>
      </c>
      <c r="Y739">
        <f>HYPERLINK("https://klasma.github.io/Logging_0188/tillsynsmail/A 22157-2023 tillsynsbegäran mail.docx", "A 22157-2023")</f>
        <v/>
      </c>
    </row>
    <row r="740" ht="15" customHeight="1">
      <c r="A740" t="inlineStr">
        <is>
          <t>A 60223-2025</t>
        </is>
      </c>
      <c r="B740" s="1" t="n">
        <v>45994.54497685185</v>
      </c>
      <c r="C740" s="1" t="n">
        <v>46169</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11929-2024</t>
        </is>
      </c>
      <c r="B741" s="1" t="n">
        <v>45376.64532407407</v>
      </c>
      <c r="C741" s="1" t="n">
        <v>46169</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60745-2025</t>
        </is>
      </c>
      <c r="B742" s="1" t="n">
        <v>45999.37753472223</v>
      </c>
      <c r="C742" s="1" t="n">
        <v>46169</v>
      </c>
      <c r="D742" t="inlineStr">
        <is>
          <t>STOCKHOLMS LÄN</t>
        </is>
      </c>
      <c r="E742" t="inlineStr">
        <is>
          <t>NORRTÄLJE</t>
        </is>
      </c>
      <c r="G742" t="n">
        <v>2</v>
      </c>
      <c r="H742" t="n">
        <v>0</v>
      </c>
      <c r="I742" t="n">
        <v>0</v>
      </c>
      <c r="J742" t="n">
        <v>0</v>
      </c>
      <c r="K742" t="n">
        <v>0</v>
      </c>
      <c r="L742" t="n">
        <v>0</v>
      </c>
      <c r="M742" t="n">
        <v>0</v>
      </c>
      <c r="N742" t="n">
        <v>0</v>
      </c>
      <c r="O742" t="n">
        <v>0</v>
      </c>
      <c r="P742" t="n">
        <v>0</v>
      </c>
      <c r="Q742" t="n">
        <v>0</v>
      </c>
      <c r="R742" s="2" t="inlineStr"/>
    </row>
    <row r="743" ht="15" customHeight="1">
      <c r="A743" t="inlineStr">
        <is>
          <t>A 60649-2025</t>
        </is>
      </c>
      <c r="B743" s="1" t="n">
        <v>45996.4560300926</v>
      </c>
      <c r="C743" s="1" t="n">
        <v>46169</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60948-2025</t>
        </is>
      </c>
      <c r="B744" s="1" t="n">
        <v>45999.650625</v>
      </c>
      <c r="C744" s="1" t="n">
        <v>46169</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60928-2025</t>
        </is>
      </c>
      <c r="B745" s="1" t="n">
        <v>45999.633125</v>
      </c>
      <c r="C745" s="1" t="n">
        <v>46169</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8296-2023</t>
        </is>
      </c>
      <c r="B746" s="1" t="n">
        <v>44974</v>
      </c>
      <c r="C746" s="1" t="n">
        <v>46169</v>
      </c>
      <c r="D746" t="inlineStr">
        <is>
          <t>STOCKHOLMS LÄN</t>
        </is>
      </c>
      <c r="E746" t="inlineStr">
        <is>
          <t>NORRTÄLJE</t>
        </is>
      </c>
      <c r="G746" t="n">
        <v>3.8</v>
      </c>
      <c r="H746" t="n">
        <v>0</v>
      </c>
      <c r="I746" t="n">
        <v>0</v>
      </c>
      <c r="J746" t="n">
        <v>0</v>
      </c>
      <c r="K746" t="n">
        <v>0</v>
      </c>
      <c r="L746" t="n">
        <v>0</v>
      </c>
      <c r="M746" t="n">
        <v>0</v>
      </c>
      <c r="N746" t="n">
        <v>0</v>
      </c>
      <c r="O746" t="n">
        <v>0</v>
      </c>
      <c r="P746" t="n">
        <v>0</v>
      </c>
      <c r="Q746" t="n">
        <v>0</v>
      </c>
      <c r="R746" s="2" t="inlineStr"/>
    </row>
    <row r="747" ht="15" customHeight="1">
      <c r="A747" t="inlineStr">
        <is>
          <t>A 24575-2024</t>
        </is>
      </c>
      <c r="B747" s="1" t="n">
        <v>45460.45523148148</v>
      </c>
      <c r="C747" s="1" t="n">
        <v>46169</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64899-2023</t>
        </is>
      </c>
      <c r="B748" s="1" t="n">
        <v>45282</v>
      </c>
      <c r="C748" s="1" t="n">
        <v>46169</v>
      </c>
      <c r="D748" t="inlineStr">
        <is>
          <t>STOCKHOLMS LÄN</t>
        </is>
      </c>
      <c r="E748" t="inlineStr">
        <is>
          <t>NORRTÄLJE</t>
        </is>
      </c>
      <c r="G748" t="n">
        <v>6.3</v>
      </c>
      <c r="H748" t="n">
        <v>0</v>
      </c>
      <c r="I748" t="n">
        <v>0</v>
      </c>
      <c r="J748" t="n">
        <v>0</v>
      </c>
      <c r="K748" t="n">
        <v>0</v>
      </c>
      <c r="L748" t="n">
        <v>0</v>
      </c>
      <c r="M748" t="n">
        <v>0</v>
      </c>
      <c r="N748" t="n">
        <v>0</v>
      </c>
      <c r="O748" t="n">
        <v>0</v>
      </c>
      <c r="P748" t="n">
        <v>0</v>
      </c>
      <c r="Q748" t="n">
        <v>0</v>
      </c>
      <c r="R748" s="2" t="inlineStr"/>
    </row>
    <row r="749" ht="15" customHeight="1">
      <c r="A749" t="inlineStr">
        <is>
          <t>A 61160-2025</t>
        </is>
      </c>
      <c r="B749" s="1" t="n">
        <v>46000.55262731481</v>
      </c>
      <c r="C749" s="1" t="n">
        <v>46169</v>
      </c>
      <c r="D749" t="inlineStr">
        <is>
          <t>STOCKHOLMS LÄN</t>
        </is>
      </c>
      <c r="E749" t="inlineStr">
        <is>
          <t>NORRTÄLJE</t>
        </is>
      </c>
      <c r="G749" t="n">
        <v>5.3</v>
      </c>
      <c r="H749" t="n">
        <v>0</v>
      </c>
      <c r="I749" t="n">
        <v>0</v>
      </c>
      <c r="J749" t="n">
        <v>0</v>
      </c>
      <c r="K749" t="n">
        <v>0</v>
      </c>
      <c r="L749" t="n">
        <v>0</v>
      </c>
      <c r="M749" t="n">
        <v>0</v>
      </c>
      <c r="N749" t="n">
        <v>0</v>
      </c>
      <c r="O749" t="n">
        <v>0</v>
      </c>
      <c r="P749" t="n">
        <v>0</v>
      </c>
      <c r="Q749" t="n">
        <v>0</v>
      </c>
      <c r="R749" s="2" t="inlineStr"/>
    </row>
    <row r="750" ht="15" customHeight="1">
      <c r="A750" t="inlineStr">
        <is>
          <t>A 52593-2024</t>
        </is>
      </c>
      <c r="B750" s="1" t="n">
        <v>45609.70778935185</v>
      </c>
      <c r="C750" s="1" t="n">
        <v>46169</v>
      </c>
      <c r="D750" t="inlineStr">
        <is>
          <t>STOCKHOLMS LÄN</t>
        </is>
      </c>
      <c r="E750" t="inlineStr">
        <is>
          <t>NORRTÄLJE</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52617-2024</t>
        </is>
      </c>
      <c r="B751" s="1" t="n">
        <v>45609.85146990741</v>
      </c>
      <c r="C751" s="1" t="n">
        <v>46169</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61419-2025</t>
        </is>
      </c>
      <c r="B752" s="1" t="n">
        <v>46001.54137731482</v>
      </c>
      <c r="C752" s="1" t="n">
        <v>46169</v>
      </c>
      <c r="D752" t="inlineStr">
        <is>
          <t>STOCKHOLMS LÄN</t>
        </is>
      </c>
      <c r="E752" t="inlineStr">
        <is>
          <t>NORRTÄLJE</t>
        </is>
      </c>
      <c r="G752" t="n">
        <v>5.2</v>
      </c>
      <c r="H752" t="n">
        <v>0</v>
      </c>
      <c r="I752" t="n">
        <v>0</v>
      </c>
      <c r="J752" t="n">
        <v>0</v>
      </c>
      <c r="K752" t="n">
        <v>0</v>
      </c>
      <c r="L752" t="n">
        <v>0</v>
      </c>
      <c r="M752" t="n">
        <v>0</v>
      </c>
      <c r="N752" t="n">
        <v>0</v>
      </c>
      <c r="O752" t="n">
        <v>0</v>
      </c>
      <c r="P752" t="n">
        <v>0</v>
      </c>
      <c r="Q752" t="n">
        <v>0</v>
      </c>
      <c r="R752" s="2" t="inlineStr"/>
    </row>
    <row r="753" ht="15" customHeight="1">
      <c r="A753" t="inlineStr">
        <is>
          <t>A 61430-2025</t>
        </is>
      </c>
      <c r="B753" s="1" t="n">
        <v>46001.55583333333</v>
      </c>
      <c r="C753" s="1" t="n">
        <v>46169</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59904-2023</t>
        </is>
      </c>
      <c r="B754" s="1" t="n">
        <v>45257</v>
      </c>
      <c r="C754" s="1" t="n">
        <v>46169</v>
      </c>
      <c r="D754" t="inlineStr">
        <is>
          <t>STOCKHOLMS LÄN</t>
        </is>
      </c>
      <c r="E754" t="inlineStr">
        <is>
          <t>NORRTÄLJE</t>
        </is>
      </c>
      <c r="G754" t="n">
        <v>17.4</v>
      </c>
      <c r="H754" t="n">
        <v>0</v>
      </c>
      <c r="I754" t="n">
        <v>0</v>
      </c>
      <c r="J754" t="n">
        <v>0</v>
      </c>
      <c r="K754" t="n">
        <v>0</v>
      </c>
      <c r="L754" t="n">
        <v>0</v>
      </c>
      <c r="M754" t="n">
        <v>0</v>
      </c>
      <c r="N754" t="n">
        <v>0</v>
      </c>
      <c r="O754" t="n">
        <v>0</v>
      </c>
      <c r="P754" t="n">
        <v>0</v>
      </c>
      <c r="Q754" t="n">
        <v>0</v>
      </c>
      <c r="R754" s="2" t="inlineStr"/>
    </row>
    <row r="755" ht="15" customHeight="1">
      <c r="A755" t="inlineStr">
        <is>
          <t>A 9914-2023</t>
        </is>
      </c>
      <c r="B755" s="1" t="n">
        <v>44985</v>
      </c>
      <c r="C755" s="1" t="n">
        <v>46169</v>
      </c>
      <c r="D755" t="inlineStr">
        <is>
          <t>STOCKHOLMS LÄN</t>
        </is>
      </c>
      <c r="E755" t="inlineStr">
        <is>
          <t>NORRTÄLJE</t>
        </is>
      </c>
      <c r="G755" t="n">
        <v>4.2</v>
      </c>
      <c r="H755" t="n">
        <v>0</v>
      </c>
      <c r="I755" t="n">
        <v>0</v>
      </c>
      <c r="J755" t="n">
        <v>0</v>
      </c>
      <c r="K755" t="n">
        <v>0</v>
      </c>
      <c r="L755" t="n">
        <v>0</v>
      </c>
      <c r="M755" t="n">
        <v>0</v>
      </c>
      <c r="N755" t="n">
        <v>0</v>
      </c>
      <c r="O755" t="n">
        <v>0</v>
      </c>
      <c r="P755" t="n">
        <v>0</v>
      </c>
      <c r="Q755" t="n">
        <v>0</v>
      </c>
      <c r="R755" s="2" t="inlineStr"/>
    </row>
    <row r="756" ht="15" customHeight="1">
      <c r="A756" t="inlineStr">
        <is>
          <t>A 61452-2025</t>
        </is>
      </c>
      <c r="B756" s="1" t="n">
        <v>46001.58043981482</v>
      </c>
      <c r="C756" s="1" t="n">
        <v>46169</v>
      </c>
      <c r="D756" t="inlineStr">
        <is>
          <t>STOCKHOLMS LÄN</t>
        </is>
      </c>
      <c r="E756" t="inlineStr">
        <is>
          <t>NORRTÄLJE</t>
        </is>
      </c>
      <c r="F756" t="inlineStr">
        <is>
          <t>Holmen skog AB</t>
        </is>
      </c>
      <c r="G756" t="n">
        <v>3.7</v>
      </c>
      <c r="H756" t="n">
        <v>0</v>
      </c>
      <c r="I756" t="n">
        <v>0</v>
      </c>
      <c r="J756" t="n">
        <v>0</v>
      </c>
      <c r="K756" t="n">
        <v>0</v>
      </c>
      <c r="L756" t="n">
        <v>0</v>
      </c>
      <c r="M756" t="n">
        <v>0</v>
      </c>
      <c r="N756" t="n">
        <v>0</v>
      </c>
      <c r="O756" t="n">
        <v>0</v>
      </c>
      <c r="P756" t="n">
        <v>0</v>
      </c>
      <c r="Q756" t="n">
        <v>0</v>
      </c>
      <c r="R756" s="2" t="inlineStr"/>
    </row>
    <row r="757" ht="15" customHeight="1">
      <c r="A757" t="inlineStr">
        <is>
          <t>A 11062-2024</t>
        </is>
      </c>
      <c r="B757" s="1" t="n">
        <v>45370</v>
      </c>
      <c r="C757" s="1" t="n">
        <v>46169</v>
      </c>
      <c r="D757" t="inlineStr">
        <is>
          <t>STOCKHOLMS LÄN</t>
        </is>
      </c>
      <c r="E757" t="inlineStr">
        <is>
          <t>NORRTÄLJE</t>
        </is>
      </c>
      <c r="G757" t="n">
        <v>3.2</v>
      </c>
      <c r="H757" t="n">
        <v>0</v>
      </c>
      <c r="I757" t="n">
        <v>0</v>
      </c>
      <c r="J757" t="n">
        <v>0</v>
      </c>
      <c r="K757" t="n">
        <v>0</v>
      </c>
      <c r="L757" t="n">
        <v>0</v>
      </c>
      <c r="M757" t="n">
        <v>0</v>
      </c>
      <c r="N757" t="n">
        <v>0</v>
      </c>
      <c r="O757" t="n">
        <v>0</v>
      </c>
      <c r="P757" t="n">
        <v>0</v>
      </c>
      <c r="Q757" t="n">
        <v>0</v>
      </c>
      <c r="R757" s="2" t="inlineStr"/>
    </row>
    <row r="758" ht="15" customHeight="1">
      <c r="A758" t="inlineStr">
        <is>
          <t>A 61289-2025</t>
        </is>
      </c>
      <c r="B758" s="1" t="n">
        <v>46000.73659722223</v>
      </c>
      <c r="C758" s="1" t="n">
        <v>46169</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61769-2025</t>
        </is>
      </c>
      <c r="B759" s="1" t="n">
        <v>46002.64556712963</v>
      </c>
      <c r="C759" s="1" t="n">
        <v>46169</v>
      </c>
      <c r="D759" t="inlineStr">
        <is>
          <t>STOCKHOLMS LÄN</t>
        </is>
      </c>
      <c r="E759" t="inlineStr">
        <is>
          <t>NORRTÄLJE</t>
        </is>
      </c>
      <c r="G759" t="n">
        <v>2.9</v>
      </c>
      <c r="H759" t="n">
        <v>0</v>
      </c>
      <c r="I759" t="n">
        <v>0</v>
      </c>
      <c r="J759" t="n">
        <v>0</v>
      </c>
      <c r="K759" t="n">
        <v>0</v>
      </c>
      <c r="L759" t="n">
        <v>0</v>
      </c>
      <c r="M759" t="n">
        <v>0</v>
      </c>
      <c r="N759" t="n">
        <v>0</v>
      </c>
      <c r="O759" t="n">
        <v>0</v>
      </c>
      <c r="P759" t="n">
        <v>0</v>
      </c>
      <c r="Q759" t="n">
        <v>0</v>
      </c>
      <c r="R759" s="2" t="inlineStr"/>
    </row>
    <row r="760" ht="15" customHeight="1">
      <c r="A760" t="inlineStr">
        <is>
          <t>A 33569-2023</t>
        </is>
      </c>
      <c r="B760" s="1" t="n">
        <v>45131.666875</v>
      </c>
      <c r="C760" s="1" t="n">
        <v>46169</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15905-2023</t>
        </is>
      </c>
      <c r="B761" s="1" t="n">
        <v>45022</v>
      </c>
      <c r="C761" s="1" t="n">
        <v>46169</v>
      </c>
      <c r="D761" t="inlineStr">
        <is>
          <t>STOCKHOLMS LÄN</t>
        </is>
      </c>
      <c r="E761" t="inlineStr">
        <is>
          <t>NORRTÄLJE</t>
        </is>
      </c>
      <c r="G761" t="n">
        <v>3.2</v>
      </c>
      <c r="H761" t="n">
        <v>0</v>
      </c>
      <c r="I761" t="n">
        <v>0</v>
      </c>
      <c r="J761" t="n">
        <v>0</v>
      </c>
      <c r="K761" t="n">
        <v>0</v>
      </c>
      <c r="L761" t="n">
        <v>0</v>
      </c>
      <c r="M761" t="n">
        <v>0</v>
      </c>
      <c r="N761" t="n">
        <v>0</v>
      </c>
      <c r="O761" t="n">
        <v>0</v>
      </c>
      <c r="P761" t="n">
        <v>0</v>
      </c>
      <c r="Q761" t="n">
        <v>0</v>
      </c>
      <c r="R761" s="2" t="inlineStr"/>
    </row>
    <row r="762" ht="15" customHeight="1">
      <c r="A762" t="inlineStr">
        <is>
          <t>A 61764-2025</t>
        </is>
      </c>
      <c r="B762" s="1" t="n">
        <v>46002.62763888889</v>
      </c>
      <c r="C762" s="1" t="n">
        <v>46169</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15956-2023</t>
        </is>
      </c>
      <c r="B763" s="1" t="n">
        <v>45022.61003472222</v>
      </c>
      <c r="C763" s="1" t="n">
        <v>46169</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47626-2022</t>
        </is>
      </c>
      <c r="B764" s="1" t="n">
        <v>44854</v>
      </c>
      <c r="C764" s="1" t="n">
        <v>46169</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62206-2022</t>
        </is>
      </c>
      <c r="B765" s="1" t="n">
        <v>44922</v>
      </c>
      <c r="C765" s="1" t="n">
        <v>46169</v>
      </c>
      <c r="D765" t="inlineStr">
        <is>
          <t>STOCKHOLMS LÄN</t>
        </is>
      </c>
      <c r="E765" t="inlineStr">
        <is>
          <t>NORRTÄLJE</t>
        </is>
      </c>
      <c r="G765" t="n">
        <v>2.9</v>
      </c>
      <c r="H765" t="n">
        <v>0</v>
      </c>
      <c r="I765" t="n">
        <v>0</v>
      </c>
      <c r="J765" t="n">
        <v>0</v>
      </c>
      <c r="K765" t="n">
        <v>0</v>
      </c>
      <c r="L765" t="n">
        <v>0</v>
      </c>
      <c r="M765" t="n">
        <v>0</v>
      </c>
      <c r="N765" t="n">
        <v>0</v>
      </c>
      <c r="O765" t="n">
        <v>0</v>
      </c>
      <c r="P765" t="n">
        <v>0</v>
      </c>
      <c r="Q765" t="n">
        <v>0</v>
      </c>
      <c r="R765" s="2" t="inlineStr"/>
    </row>
    <row r="766" ht="15" customHeight="1">
      <c r="A766" t="inlineStr">
        <is>
          <t>A 20618-2022</t>
        </is>
      </c>
      <c r="B766" s="1" t="n">
        <v>44700.50659722222</v>
      </c>
      <c r="C766" s="1" t="n">
        <v>46169</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11900-2022</t>
        </is>
      </c>
      <c r="B767" s="1" t="n">
        <v>44635</v>
      </c>
      <c r="C767" s="1" t="n">
        <v>46169</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33279-2025</t>
        </is>
      </c>
      <c r="B768" s="1" t="n">
        <v>45840</v>
      </c>
      <c r="C768" s="1" t="n">
        <v>46169</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53499-2025</t>
        </is>
      </c>
      <c r="B769" s="1" t="n">
        <v>45960</v>
      </c>
      <c r="C769" s="1" t="n">
        <v>46169</v>
      </c>
      <c r="D769" t="inlineStr">
        <is>
          <t>STOCKHOLMS LÄN</t>
        </is>
      </c>
      <c r="E769" t="inlineStr">
        <is>
          <t>NORRTÄLJE</t>
        </is>
      </c>
      <c r="G769" t="n">
        <v>23.8</v>
      </c>
      <c r="H769" t="n">
        <v>0</v>
      </c>
      <c r="I769" t="n">
        <v>0</v>
      </c>
      <c r="J769" t="n">
        <v>0</v>
      </c>
      <c r="K769" t="n">
        <v>0</v>
      </c>
      <c r="L769" t="n">
        <v>0</v>
      </c>
      <c r="M769" t="n">
        <v>0</v>
      </c>
      <c r="N769" t="n">
        <v>0</v>
      </c>
      <c r="O769" t="n">
        <v>0</v>
      </c>
      <c r="P769" t="n">
        <v>0</v>
      </c>
      <c r="Q769" t="n">
        <v>0</v>
      </c>
      <c r="R769" s="2" t="inlineStr"/>
    </row>
    <row r="770" ht="15" customHeight="1">
      <c r="A770" t="inlineStr">
        <is>
          <t>A 10973-2025</t>
        </is>
      </c>
      <c r="B770" s="1" t="n">
        <v>45723</v>
      </c>
      <c r="C770" s="1" t="n">
        <v>46169</v>
      </c>
      <c r="D770" t="inlineStr">
        <is>
          <t>STOCKHOLMS LÄN</t>
        </is>
      </c>
      <c r="E770" t="inlineStr">
        <is>
          <t>NORRTÄLJE</t>
        </is>
      </c>
      <c r="F770" t="inlineStr">
        <is>
          <t>Övriga Aktiebolag</t>
        </is>
      </c>
      <c r="G770" t="n">
        <v>2.7</v>
      </c>
      <c r="H770" t="n">
        <v>0</v>
      </c>
      <c r="I770" t="n">
        <v>0</v>
      </c>
      <c r="J770" t="n">
        <v>0</v>
      </c>
      <c r="K770" t="n">
        <v>0</v>
      </c>
      <c r="L770" t="n">
        <v>0</v>
      </c>
      <c r="M770" t="n">
        <v>0</v>
      </c>
      <c r="N770" t="n">
        <v>0</v>
      </c>
      <c r="O770" t="n">
        <v>0</v>
      </c>
      <c r="P770" t="n">
        <v>0</v>
      </c>
      <c r="Q770" t="n">
        <v>0</v>
      </c>
      <c r="R770" s="2" t="inlineStr"/>
    </row>
    <row r="771" ht="15" customHeight="1">
      <c r="A771" t="inlineStr">
        <is>
          <t>A 27885-2022</t>
        </is>
      </c>
      <c r="B771" s="1" t="n">
        <v>44743.67418981482</v>
      </c>
      <c r="C771" s="1" t="n">
        <v>46169</v>
      </c>
      <c r="D771" t="inlineStr">
        <is>
          <t>STOCKHOLMS LÄN</t>
        </is>
      </c>
      <c r="E771" t="inlineStr">
        <is>
          <t>NORRTÄLJE</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62708-2025</t>
        </is>
      </c>
      <c r="B772" s="1" t="n">
        <v>46008.50986111111</v>
      </c>
      <c r="C772" s="1" t="n">
        <v>46169</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34478-2025</t>
        </is>
      </c>
      <c r="B773" s="1" t="n">
        <v>45847</v>
      </c>
      <c r="C773" s="1" t="n">
        <v>46169</v>
      </c>
      <c r="D773" t="inlineStr">
        <is>
          <t>STOCKHOLMS LÄN</t>
        </is>
      </c>
      <c r="E773" t="inlineStr">
        <is>
          <t>NORRTÄLJE</t>
        </is>
      </c>
      <c r="F773" t="inlineStr">
        <is>
          <t>Övriga Aktiebolag</t>
        </is>
      </c>
      <c r="G773" t="n">
        <v>10.8</v>
      </c>
      <c r="H773" t="n">
        <v>0</v>
      </c>
      <c r="I773" t="n">
        <v>0</v>
      </c>
      <c r="J773" t="n">
        <v>0</v>
      </c>
      <c r="K773" t="n">
        <v>0</v>
      </c>
      <c r="L773" t="n">
        <v>0</v>
      </c>
      <c r="M773" t="n">
        <v>0</v>
      </c>
      <c r="N773" t="n">
        <v>0</v>
      </c>
      <c r="O773" t="n">
        <v>0</v>
      </c>
      <c r="P773" t="n">
        <v>0</v>
      </c>
      <c r="Q773" t="n">
        <v>0</v>
      </c>
      <c r="R773" s="2" t="inlineStr"/>
    </row>
    <row r="774" ht="15" customHeight="1">
      <c r="A774" t="inlineStr">
        <is>
          <t>A 62681-2025</t>
        </is>
      </c>
      <c r="B774" s="1" t="n">
        <v>46008.45534722223</v>
      </c>
      <c r="C774" s="1" t="n">
        <v>46169</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62922-2025</t>
        </is>
      </c>
      <c r="B775" s="1" t="n">
        <v>46009.38064814815</v>
      </c>
      <c r="C775" s="1" t="n">
        <v>46169</v>
      </c>
      <c r="D775" t="inlineStr">
        <is>
          <t>STOCKHOLMS LÄN</t>
        </is>
      </c>
      <c r="E775" t="inlineStr">
        <is>
          <t>NORRTÄLJE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62689-2025</t>
        </is>
      </c>
      <c r="B776" s="1" t="n">
        <v>46008.47171296296</v>
      </c>
      <c r="C776" s="1" t="n">
        <v>46169</v>
      </c>
      <c r="D776" t="inlineStr">
        <is>
          <t>STOCKHOLMS LÄN</t>
        </is>
      </c>
      <c r="E776" t="inlineStr">
        <is>
          <t>NORRTÄLJE</t>
        </is>
      </c>
      <c r="F776" t="inlineStr">
        <is>
          <t>Kyrkan</t>
        </is>
      </c>
      <c r="G776" t="n">
        <v>0.7</v>
      </c>
      <c r="H776" t="n">
        <v>0</v>
      </c>
      <c r="I776" t="n">
        <v>0</v>
      </c>
      <c r="J776" t="n">
        <v>0</v>
      </c>
      <c r="K776" t="n">
        <v>0</v>
      </c>
      <c r="L776" t="n">
        <v>0</v>
      </c>
      <c r="M776" t="n">
        <v>0</v>
      </c>
      <c r="N776" t="n">
        <v>0</v>
      </c>
      <c r="O776" t="n">
        <v>0</v>
      </c>
      <c r="P776" t="n">
        <v>0</v>
      </c>
      <c r="Q776" t="n">
        <v>0</v>
      </c>
      <c r="R776" s="2" t="inlineStr"/>
    </row>
    <row r="777" ht="15" customHeight="1">
      <c r="A777" t="inlineStr">
        <is>
          <t>A 60224-2023</t>
        </is>
      </c>
      <c r="B777" s="1" t="n">
        <v>45257</v>
      </c>
      <c r="C777" s="1" t="n">
        <v>46169</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5158-2024</t>
        </is>
      </c>
      <c r="B778" s="1" t="n">
        <v>45330.50098379629</v>
      </c>
      <c r="C778" s="1" t="n">
        <v>46169</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9130-2025</t>
        </is>
      </c>
      <c r="B779" s="1" t="n">
        <v>45713.92623842593</v>
      </c>
      <c r="C779" s="1" t="n">
        <v>46169</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17551-2025</t>
        </is>
      </c>
      <c r="B780" s="1" t="n">
        <v>45757.61421296297</v>
      </c>
      <c r="C780" s="1" t="n">
        <v>46169</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55010-2024</t>
        </is>
      </c>
      <c r="B781" s="1" t="n">
        <v>45621.34425925926</v>
      </c>
      <c r="C781" s="1" t="n">
        <v>46169</v>
      </c>
      <c r="D781" t="inlineStr">
        <is>
          <t>STOCKHOLMS LÄN</t>
        </is>
      </c>
      <c r="E781" t="inlineStr">
        <is>
          <t>NORRTÄLJE</t>
        </is>
      </c>
      <c r="F781" t="inlineStr">
        <is>
          <t>Sveaskog</t>
        </is>
      </c>
      <c r="G781" t="n">
        <v>5.7</v>
      </c>
      <c r="H781" t="n">
        <v>0</v>
      </c>
      <c r="I781" t="n">
        <v>0</v>
      </c>
      <c r="J781" t="n">
        <v>0</v>
      </c>
      <c r="K781" t="n">
        <v>0</v>
      </c>
      <c r="L781" t="n">
        <v>0</v>
      </c>
      <c r="M781" t="n">
        <v>0</v>
      </c>
      <c r="N781" t="n">
        <v>0</v>
      </c>
      <c r="O781" t="n">
        <v>0</v>
      </c>
      <c r="P781" t="n">
        <v>0</v>
      </c>
      <c r="Q781" t="n">
        <v>0</v>
      </c>
      <c r="R781" s="2" t="inlineStr"/>
    </row>
    <row r="782" ht="15" customHeight="1">
      <c r="A782" t="inlineStr">
        <is>
          <t>A 31105-2022</t>
        </is>
      </c>
      <c r="B782" s="1" t="n">
        <v>44769.66039351852</v>
      </c>
      <c r="C782" s="1" t="n">
        <v>46169</v>
      </c>
      <c r="D782" t="inlineStr">
        <is>
          <t>STOCKHOLMS LÄN</t>
        </is>
      </c>
      <c r="E782" t="inlineStr">
        <is>
          <t>NORRTÄLJE</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30620-2022</t>
        </is>
      </c>
      <c r="B783" s="1" t="n">
        <v>44763.40914351852</v>
      </c>
      <c r="C783" s="1" t="n">
        <v>46169</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50113-2024</t>
        </is>
      </c>
      <c r="B784" s="1" t="n">
        <v>45600.411875</v>
      </c>
      <c r="C784" s="1" t="n">
        <v>46169</v>
      </c>
      <c r="D784" t="inlineStr">
        <is>
          <t>STOCKHOLMS LÄN</t>
        </is>
      </c>
      <c r="E784" t="inlineStr">
        <is>
          <t>NORRTÄLJE</t>
        </is>
      </c>
      <c r="G784" t="n">
        <v>1.5</v>
      </c>
      <c r="H784" t="n">
        <v>0</v>
      </c>
      <c r="I784" t="n">
        <v>0</v>
      </c>
      <c r="J784" t="n">
        <v>0</v>
      </c>
      <c r="K784" t="n">
        <v>0</v>
      </c>
      <c r="L784" t="n">
        <v>0</v>
      </c>
      <c r="M784" t="n">
        <v>0</v>
      </c>
      <c r="N784" t="n">
        <v>0</v>
      </c>
      <c r="O784" t="n">
        <v>0</v>
      </c>
      <c r="P784" t="n">
        <v>0</v>
      </c>
      <c r="Q784" t="n">
        <v>0</v>
      </c>
      <c r="R784" s="2" t="inlineStr"/>
    </row>
    <row r="785" ht="15" customHeight="1">
      <c r="A785" t="inlineStr">
        <is>
          <t>A 28365-2022</t>
        </is>
      </c>
      <c r="B785" s="1" t="n">
        <v>44747</v>
      </c>
      <c r="C785" s="1" t="n">
        <v>46169</v>
      </c>
      <c r="D785" t="inlineStr">
        <is>
          <t>STOCKHOLMS LÄN</t>
        </is>
      </c>
      <c r="E785" t="inlineStr">
        <is>
          <t>NORRTÄLJE</t>
        </is>
      </c>
      <c r="G785" t="n">
        <v>5.1</v>
      </c>
      <c r="H785" t="n">
        <v>0</v>
      </c>
      <c r="I785" t="n">
        <v>0</v>
      </c>
      <c r="J785" t="n">
        <v>0</v>
      </c>
      <c r="K785" t="n">
        <v>0</v>
      </c>
      <c r="L785" t="n">
        <v>0</v>
      </c>
      <c r="M785" t="n">
        <v>0</v>
      </c>
      <c r="N785" t="n">
        <v>0</v>
      </c>
      <c r="O785" t="n">
        <v>0</v>
      </c>
      <c r="P785" t="n">
        <v>0</v>
      </c>
      <c r="Q785" t="n">
        <v>0</v>
      </c>
      <c r="R785" s="2" t="inlineStr"/>
    </row>
    <row r="786" ht="15" customHeight="1">
      <c r="A786" t="inlineStr">
        <is>
          <t>A 42955-2022</t>
        </is>
      </c>
      <c r="B786" s="1" t="n">
        <v>44833.40876157407</v>
      </c>
      <c r="C786" s="1" t="n">
        <v>46169</v>
      </c>
      <c r="D786" t="inlineStr">
        <is>
          <t>STOCKHOLMS LÄN</t>
        </is>
      </c>
      <c r="E786" t="inlineStr">
        <is>
          <t>NORRTÄLJE</t>
        </is>
      </c>
      <c r="G786" t="n">
        <v>13.1</v>
      </c>
      <c r="H786" t="n">
        <v>0</v>
      </c>
      <c r="I786" t="n">
        <v>0</v>
      </c>
      <c r="J786" t="n">
        <v>0</v>
      </c>
      <c r="K786" t="n">
        <v>0</v>
      </c>
      <c r="L786" t="n">
        <v>0</v>
      </c>
      <c r="M786" t="n">
        <v>0</v>
      </c>
      <c r="N786" t="n">
        <v>0</v>
      </c>
      <c r="O786" t="n">
        <v>0</v>
      </c>
      <c r="P786" t="n">
        <v>0</v>
      </c>
      <c r="Q786" t="n">
        <v>0</v>
      </c>
      <c r="R786" s="2" t="inlineStr"/>
    </row>
    <row r="787" ht="15" customHeight="1">
      <c r="A787" t="inlineStr">
        <is>
          <t>A 1283-2025</t>
        </is>
      </c>
      <c r="B787" s="1" t="n">
        <v>45667.49878472222</v>
      </c>
      <c r="C787" s="1" t="n">
        <v>46169</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13767-2025</t>
        </is>
      </c>
      <c r="B788" s="1" t="n">
        <v>45737.43347222222</v>
      </c>
      <c r="C788" s="1" t="n">
        <v>46169</v>
      </c>
      <c r="D788" t="inlineStr">
        <is>
          <t>STOCKHOLMS LÄN</t>
        </is>
      </c>
      <c r="E788" t="inlineStr">
        <is>
          <t>NORRTÄLJE</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20013-2025</t>
        </is>
      </c>
      <c r="B789" s="1" t="n">
        <v>45772.30436342592</v>
      </c>
      <c r="C789" s="1" t="n">
        <v>46169</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53362-2023</t>
        </is>
      </c>
      <c r="B790" s="1" t="n">
        <v>45223</v>
      </c>
      <c r="C790" s="1" t="n">
        <v>46169</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15422-2024</t>
        </is>
      </c>
      <c r="B791" s="1" t="n">
        <v>45401.3653125</v>
      </c>
      <c r="C791" s="1" t="n">
        <v>46169</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197-2026</t>
        </is>
      </c>
      <c r="B792" s="1" t="n">
        <v>46026</v>
      </c>
      <c r="C792" s="1" t="n">
        <v>46169</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124-2026</t>
        </is>
      </c>
      <c r="B793" s="1" t="n">
        <v>46024.58378472222</v>
      </c>
      <c r="C793" s="1" t="n">
        <v>46169</v>
      </c>
      <c r="D793" t="inlineStr">
        <is>
          <t>STOCKHOLMS LÄN</t>
        </is>
      </c>
      <c r="E793" t="inlineStr">
        <is>
          <t>NORRTÄLJE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30508-2023</t>
        </is>
      </c>
      <c r="B794" s="1" t="n">
        <v>45111</v>
      </c>
      <c r="C794" s="1" t="n">
        <v>46169</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16008-2025</t>
        </is>
      </c>
      <c r="B795" s="1" t="n">
        <v>45749</v>
      </c>
      <c r="C795" s="1" t="n">
        <v>46169</v>
      </c>
      <c r="D795" t="inlineStr">
        <is>
          <t>STOCKHOLMS LÄN</t>
        </is>
      </c>
      <c r="E795" t="inlineStr">
        <is>
          <t>NORRTÄLJE</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21158-2022</t>
        </is>
      </c>
      <c r="B796" s="1" t="n">
        <v>44704</v>
      </c>
      <c r="C796" s="1" t="n">
        <v>46169</v>
      </c>
      <c r="D796" t="inlineStr">
        <is>
          <t>STOCKHOLMS LÄN</t>
        </is>
      </c>
      <c r="E796" t="inlineStr">
        <is>
          <t>NORRTÄLJE</t>
        </is>
      </c>
      <c r="G796" t="n">
        <v>17.8</v>
      </c>
      <c r="H796" t="n">
        <v>0</v>
      </c>
      <c r="I796" t="n">
        <v>0</v>
      </c>
      <c r="J796" t="n">
        <v>0</v>
      </c>
      <c r="K796" t="n">
        <v>0</v>
      </c>
      <c r="L796" t="n">
        <v>0</v>
      </c>
      <c r="M796" t="n">
        <v>0</v>
      </c>
      <c r="N796" t="n">
        <v>0</v>
      </c>
      <c r="O796" t="n">
        <v>0</v>
      </c>
      <c r="P796" t="n">
        <v>0</v>
      </c>
      <c r="Q796" t="n">
        <v>0</v>
      </c>
      <c r="R796" s="2" t="inlineStr"/>
    </row>
    <row r="797" ht="15" customHeight="1">
      <c r="A797" t="inlineStr">
        <is>
          <t>A 718-2026</t>
        </is>
      </c>
      <c r="B797" s="1" t="n">
        <v>46029.63174768518</v>
      </c>
      <c r="C797" s="1" t="n">
        <v>46169</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694-2026</t>
        </is>
      </c>
      <c r="B798" s="1" t="n">
        <v>46029.61375</v>
      </c>
      <c r="C798" s="1" t="n">
        <v>46169</v>
      </c>
      <c r="D798" t="inlineStr">
        <is>
          <t>STOCKHOLMS LÄN</t>
        </is>
      </c>
      <c r="E798" t="inlineStr">
        <is>
          <t>NORRTÄLJE</t>
        </is>
      </c>
      <c r="G798" t="n">
        <v>9.6</v>
      </c>
      <c r="H798" t="n">
        <v>0</v>
      </c>
      <c r="I798" t="n">
        <v>0</v>
      </c>
      <c r="J798" t="n">
        <v>0</v>
      </c>
      <c r="K798" t="n">
        <v>0</v>
      </c>
      <c r="L798" t="n">
        <v>0</v>
      </c>
      <c r="M798" t="n">
        <v>0</v>
      </c>
      <c r="N798" t="n">
        <v>0</v>
      </c>
      <c r="O798" t="n">
        <v>0</v>
      </c>
      <c r="P798" t="n">
        <v>0</v>
      </c>
      <c r="Q798" t="n">
        <v>0</v>
      </c>
      <c r="R798" s="2" t="inlineStr"/>
    </row>
    <row r="799" ht="15" customHeight="1">
      <c r="A799" t="inlineStr">
        <is>
          <t>A 32101-2022</t>
        </is>
      </c>
      <c r="B799" s="1" t="n">
        <v>44778.69210648148</v>
      </c>
      <c r="C799" s="1" t="n">
        <v>46169</v>
      </c>
      <c r="D799" t="inlineStr">
        <is>
          <t>STOCKHOLMS LÄN</t>
        </is>
      </c>
      <c r="E799" t="inlineStr">
        <is>
          <t>NORRTÄLJE</t>
        </is>
      </c>
      <c r="G799" t="n">
        <v>4.4</v>
      </c>
      <c r="H799" t="n">
        <v>0</v>
      </c>
      <c r="I799" t="n">
        <v>0</v>
      </c>
      <c r="J799" t="n">
        <v>0</v>
      </c>
      <c r="K799" t="n">
        <v>0</v>
      </c>
      <c r="L799" t="n">
        <v>0</v>
      </c>
      <c r="M799" t="n">
        <v>0</v>
      </c>
      <c r="N799" t="n">
        <v>0</v>
      </c>
      <c r="O799" t="n">
        <v>0</v>
      </c>
      <c r="P799" t="n">
        <v>0</v>
      </c>
      <c r="Q799" t="n">
        <v>0</v>
      </c>
      <c r="R799" s="2" t="inlineStr"/>
    </row>
    <row r="800" ht="15" customHeight="1">
      <c r="A800" t="inlineStr">
        <is>
          <t>A 23150-2024</t>
        </is>
      </c>
      <c r="B800" s="1" t="n">
        <v>45450.64643518518</v>
      </c>
      <c r="C800" s="1" t="n">
        <v>46169</v>
      </c>
      <c r="D800" t="inlineStr">
        <is>
          <t>STOCKHOLMS LÄN</t>
        </is>
      </c>
      <c r="E800" t="inlineStr">
        <is>
          <t>NORRTÄLJE</t>
        </is>
      </c>
      <c r="F800" t="inlineStr">
        <is>
          <t>Kommuner</t>
        </is>
      </c>
      <c r="G800" t="n">
        <v>2.7</v>
      </c>
      <c r="H800" t="n">
        <v>0</v>
      </c>
      <c r="I800" t="n">
        <v>0</v>
      </c>
      <c r="J800" t="n">
        <v>0</v>
      </c>
      <c r="K800" t="n">
        <v>0</v>
      </c>
      <c r="L800" t="n">
        <v>0</v>
      </c>
      <c r="M800" t="n">
        <v>0</v>
      </c>
      <c r="N800" t="n">
        <v>0</v>
      </c>
      <c r="O800" t="n">
        <v>0</v>
      </c>
      <c r="P800" t="n">
        <v>0</v>
      </c>
      <c r="Q800" t="n">
        <v>0</v>
      </c>
      <c r="R800" s="2" t="inlineStr"/>
    </row>
    <row r="801" ht="15" customHeight="1">
      <c r="A801" t="inlineStr">
        <is>
          <t>A 24933-2023</t>
        </is>
      </c>
      <c r="B801" s="1" t="n">
        <v>45085.5309375</v>
      </c>
      <c r="C801" s="1" t="n">
        <v>46169</v>
      </c>
      <c r="D801" t="inlineStr">
        <is>
          <t>STOCKHOLMS LÄN</t>
        </is>
      </c>
      <c r="E801" t="inlineStr">
        <is>
          <t>NORRTÄLJE</t>
        </is>
      </c>
      <c r="F801" t="inlineStr">
        <is>
          <t>Holmen skog AB</t>
        </is>
      </c>
      <c r="G801" t="n">
        <v>1.8</v>
      </c>
      <c r="H801" t="n">
        <v>0</v>
      </c>
      <c r="I801" t="n">
        <v>0</v>
      </c>
      <c r="J801" t="n">
        <v>0</v>
      </c>
      <c r="K801" t="n">
        <v>0</v>
      </c>
      <c r="L801" t="n">
        <v>0</v>
      </c>
      <c r="M801" t="n">
        <v>0</v>
      </c>
      <c r="N801" t="n">
        <v>0</v>
      </c>
      <c r="O801" t="n">
        <v>0</v>
      </c>
      <c r="P801" t="n">
        <v>0</v>
      </c>
      <c r="Q801" t="n">
        <v>0</v>
      </c>
      <c r="R801" s="2" t="inlineStr"/>
    </row>
    <row r="802" ht="15" customHeight="1">
      <c r="A802" t="inlineStr">
        <is>
          <t>A 693-2026</t>
        </is>
      </c>
      <c r="B802" s="1" t="n">
        <v>46029.6133449074</v>
      </c>
      <c r="C802" s="1" t="n">
        <v>46169</v>
      </c>
      <c r="D802" t="inlineStr">
        <is>
          <t>STOCKHOLMS LÄN</t>
        </is>
      </c>
      <c r="E802" t="inlineStr">
        <is>
          <t>NORRTÄLJE</t>
        </is>
      </c>
      <c r="G802" t="n">
        <v>9.6</v>
      </c>
      <c r="H802" t="n">
        <v>0</v>
      </c>
      <c r="I802" t="n">
        <v>0</v>
      </c>
      <c r="J802" t="n">
        <v>0</v>
      </c>
      <c r="K802" t="n">
        <v>0</v>
      </c>
      <c r="L802" t="n">
        <v>0</v>
      </c>
      <c r="M802" t="n">
        <v>0</v>
      </c>
      <c r="N802" t="n">
        <v>0</v>
      </c>
      <c r="O802" t="n">
        <v>0</v>
      </c>
      <c r="P802" t="n">
        <v>0</v>
      </c>
      <c r="Q802" t="n">
        <v>0</v>
      </c>
      <c r="R802" s="2" t="inlineStr"/>
    </row>
    <row r="803" ht="15" customHeight="1">
      <c r="A803" t="inlineStr">
        <is>
          <t>A 56631-2024</t>
        </is>
      </c>
      <c r="B803" s="1" t="n">
        <v>45625</v>
      </c>
      <c r="C803" s="1" t="n">
        <v>46169</v>
      </c>
      <c r="D803" t="inlineStr">
        <is>
          <t>STOCKHOLMS LÄN</t>
        </is>
      </c>
      <c r="E803" t="inlineStr">
        <is>
          <t>NORRTÄLJE</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475-2026</t>
        </is>
      </c>
      <c r="B804" s="1" t="n">
        <v>46029.39351851852</v>
      </c>
      <c r="C804" s="1" t="n">
        <v>46169</v>
      </c>
      <c r="D804" t="inlineStr">
        <is>
          <t>STOCKHOLMS LÄN</t>
        </is>
      </c>
      <c r="E804" t="inlineStr">
        <is>
          <t>NORRTÄLJE</t>
        </is>
      </c>
      <c r="G804" t="n">
        <v>4.6</v>
      </c>
      <c r="H804" t="n">
        <v>0</v>
      </c>
      <c r="I804" t="n">
        <v>0</v>
      </c>
      <c r="J804" t="n">
        <v>0</v>
      </c>
      <c r="K804" t="n">
        <v>0</v>
      </c>
      <c r="L804" t="n">
        <v>0</v>
      </c>
      <c r="M804" t="n">
        <v>0</v>
      </c>
      <c r="N804" t="n">
        <v>0</v>
      </c>
      <c r="O804" t="n">
        <v>0</v>
      </c>
      <c r="P804" t="n">
        <v>0</v>
      </c>
      <c r="Q804" t="n">
        <v>0</v>
      </c>
      <c r="R804" s="2" t="inlineStr"/>
    </row>
    <row r="805" ht="15" customHeight="1">
      <c r="A805" t="inlineStr">
        <is>
          <t>A 652-2025</t>
        </is>
      </c>
      <c r="B805" s="1" t="n">
        <v>45664</v>
      </c>
      <c r="C805" s="1" t="n">
        <v>46169</v>
      </c>
      <c r="D805" t="inlineStr">
        <is>
          <t>STOCKHOLMS LÄN</t>
        </is>
      </c>
      <c r="E805" t="inlineStr">
        <is>
          <t>NORRTÄLJE</t>
        </is>
      </c>
      <c r="G805" t="n">
        <v>2.5</v>
      </c>
      <c r="H805" t="n">
        <v>0</v>
      </c>
      <c r="I805" t="n">
        <v>0</v>
      </c>
      <c r="J805" t="n">
        <v>0</v>
      </c>
      <c r="K805" t="n">
        <v>0</v>
      </c>
      <c r="L805" t="n">
        <v>0</v>
      </c>
      <c r="M805" t="n">
        <v>0</v>
      </c>
      <c r="N805" t="n">
        <v>0</v>
      </c>
      <c r="O805" t="n">
        <v>0</v>
      </c>
      <c r="P805" t="n">
        <v>0</v>
      </c>
      <c r="Q805" t="n">
        <v>0</v>
      </c>
      <c r="R805" s="2" t="inlineStr"/>
    </row>
    <row r="806" ht="15" customHeight="1">
      <c r="A806" t="inlineStr">
        <is>
          <t>A 717-2026</t>
        </is>
      </c>
      <c r="B806" s="1" t="n">
        <v>46029.63028935185</v>
      </c>
      <c r="C806" s="1" t="n">
        <v>46169</v>
      </c>
      <c r="D806" t="inlineStr">
        <is>
          <t>STOCKHOLMS LÄN</t>
        </is>
      </c>
      <c r="E806" t="inlineStr">
        <is>
          <t>NORRTÄLJE</t>
        </is>
      </c>
      <c r="G806" t="n">
        <v>2.4</v>
      </c>
      <c r="H806" t="n">
        <v>0</v>
      </c>
      <c r="I806" t="n">
        <v>0</v>
      </c>
      <c r="J806" t="n">
        <v>0</v>
      </c>
      <c r="K806" t="n">
        <v>0</v>
      </c>
      <c r="L806" t="n">
        <v>0</v>
      </c>
      <c r="M806" t="n">
        <v>0</v>
      </c>
      <c r="N806" t="n">
        <v>0</v>
      </c>
      <c r="O806" t="n">
        <v>0</v>
      </c>
      <c r="P806" t="n">
        <v>0</v>
      </c>
      <c r="Q806" t="n">
        <v>0</v>
      </c>
      <c r="R806" s="2" t="inlineStr"/>
    </row>
    <row r="807" ht="15" customHeight="1">
      <c r="A807" t="inlineStr">
        <is>
          <t>A 812-2026</t>
        </is>
      </c>
      <c r="B807" s="1" t="n">
        <v>46030.33358796296</v>
      </c>
      <c r="C807" s="1" t="n">
        <v>46169</v>
      </c>
      <c r="D807" t="inlineStr">
        <is>
          <t>STOCKHOLMS LÄN</t>
        </is>
      </c>
      <c r="E807" t="inlineStr">
        <is>
          <t>NORRTÄLJE</t>
        </is>
      </c>
      <c r="G807" t="n">
        <v>2.4</v>
      </c>
      <c r="H807" t="n">
        <v>0</v>
      </c>
      <c r="I807" t="n">
        <v>0</v>
      </c>
      <c r="J807" t="n">
        <v>0</v>
      </c>
      <c r="K807" t="n">
        <v>0</v>
      </c>
      <c r="L807" t="n">
        <v>0</v>
      </c>
      <c r="M807" t="n">
        <v>0</v>
      </c>
      <c r="N807" t="n">
        <v>0</v>
      </c>
      <c r="O807" t="n">
        <v>0</v>
      </c>
      <c r="P807" t="n">
        <v>0</v>
      </c>
      <c r="Q807" t="n">
        <v>0</v>
      </c>
      <c r="R807" s="2" t="inlineStr"/>
    </row>
    <row r="808" ht="15" customHeight="1">
      <c r="A808" t="inlineStr">
        <is>
          <t>A 5389-2025</t>
        </is>
      </c>
      <c r="B808" s="1" t="n">
        <v>45692</v>
      </c>
      <c r="C808" s="1" t="n">
        <v>46169</v>
      </c>
      <c r="D808" t="inlineStr">
        <is>
          <t>STOCKHOLMS LÄN</t>
        </is>
      </c>
      <c r="E808" t="inlineStr">
        <is>
          <t>NORRTÄLJE</t>
        </is>
      </c>
      <c r="G808" t="n">
        <v>0.8</v>
      </c>
      <c r="H808" t="n">
        <v>0</v>
      </c>
      <c r="I808" t="n">
        <v>0</v>
      </c>
      <c r="J808" t="n">
        <v>0</v>
      </c>
      <c r="K808" t="n">
        <v>0</v>
      </c>
      <c r="L808" t="n">
        <v>0</v>
      </c>
      <c r="M808" t="n">
        <v>0</v>
      </c>
      <c r="N808" t="n">
        <v>0</v>
      </c>
      <c r="O808" t="n">
        <v>0</v>
      </c>
      <c r="P808" t="n">
        <v>0</v>
      </c>
      <c r="Q808" t="n">
        <v>0</v>
      </c>
      <c r="R808" s="2" t="inlineStr"/>
    </row>
    <row r="809" ht="15" customHeight="1">
      <c r="A809" t="inlineStr">
        <is>
          <t>A 11499-2023</t>
        </is>
      </c>
      <c r="B809" s="1" t="n">
        <v>44993.66707175926</v>
      </c>
      <c r="C809" s="1" t="n">
        <v>46169</v>
      </c>
      <c r="D809" t="inlineStr">
        <is>
          <t>STOCKHOLMS LÄN</t>
        </is>
      </c>
      <c r="E809" t="inlineStr">
        <is>
          <t>NORRTÄLJE</t>
        </is>
      </c>
      <c r="F809" t="inlineStr">
        <is>
          <t>Holmen skog AB</t>
        </is>
      </c>
      <c r="G809" t="n">
        <v>2.8</v>
      </c>
      <c r="H809" t="n">
        <v>0</v>
      </c>
      <c r="I809" t="n">
        <v>0</v>
      </c>
      <c r="J809" t="n">
        <v>0</v>
      </c>
      <c r="K809" t="n">
        <v>0</v>
      </c>
      <c r="L809" t="n">
        <v>0</v>
      </c>
      <c r="M809" t="n">
        <v>0</v>
      </c>
      <c r="N809" t="n">
        <v>0</v>
      </c>
      <c r="O809" t="n">
        <v>0</v>
      </c>
      <c r="P809" t="n">
        <v>0</v>
      </c>
      <c r="Q809" t="n">
        <v>0</v>
      </c>
      <c r="R809" s="2" t="inlineStr"/>
    </row>
    <row r="810" ht="15" customHeight="1">
      <c r="A810" t="inlineStr">
        <is>
          <t>A 576-2023</t>
        </is>
      </c>
      <c r="B810" s="1" t="n">
        <v>44925</v>
      </c>
      <c r="C810" s="1" t="n">
        <v>46169</v>
      </c>
      <c r="D810" t="inlineStr">
        <is>
          <t>STOCKHOLMS LÄN</t>
        </is>
      </c>
      <c r="E810" t="inlineStr">
        <is>
          <t>NORRTÄLJE</t>
        </is>
      </c>
      <c r="G810" t="n">
        <v>7.2</v>
      </c>
      <c r="H810" t="n">
        <v>0</v>
      </c>
      <c r="I810" t="n">
        <v>0</v>
      </c>
      <c r="J810" t="n">
        <v>0</v>
      </c>
      <c r="K810" t="n">
        <v>0</v>
      </c>
      <c r="L810" t="n">
        <v>0</v>
      </c>
      <c r="M810" t="n">
        <v>0</v>
      </c>
      <c r="N810" t="n">
        <v>0</v>
      </c>
      <c r="O810" t="n">
        <v>0</v>
      </c>
      <c r="P810" t="n">
        <v>0</v>
      </c>
      <c r="Q810" t="n">
        <v>0</v>
      </c>
      <c r="R810" s="2" t="inlineStr"/>
    </row>
    <row r="811" ht="15" customHeight="1">
      <c r="A811" t="inlineStr">
        <is>
          <t>A 10678-2025</t>
        </is>
      </c>
      <c r="B811" s="1" t="n">
        <v>45721.89123842592</v>
      </c>
      <c r="C811" s="1" t="n">
        <v>46169</v>
      </c>
      <c r="D811" t="inlineStr">
        <is>
          <t>STOCKHOLMS LÄN</t>
        </is>
      </c>
      <c r="E811" t="inlineStr">
        <is>
          <t>NORRTÄLJE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1755-2026</t>
        </is>
      </c>
      <c r="B812" s="1" t="n">
        <v>46034.66230324074</v>
      </c>
      <c r="C812" s="1" t="n">
        <v>46169</v>
      </c>
      <c r="D812" t="inlineStr">
        <is>
          <t>STOCKHOLMS LÄN</t>
        </is>
      </c>
      <c r="E812" t="inlineStr">
        <is>
          <t>NORRTÄLJE</t>
        </is>
      </c>
      <c r="F812" t="inlineStr">
        <is>
          <t>Holmen skog AB</t>
        </is>
      </c>
      <c r="G812" t="n">
        <v>3.5</v>
      </c>
      <c r="H812" t="n">
        <v>0</v>
      </c>
      <c r="I812" t="n">
        <v>0</v>
      </c>
      <c r="J812" t="n">
        <v>0</v>
      </c>
      <c r="K812" t="n">
        <v>0</v>
      </c>
      <c r="L812" t="n">
        <v>0</v>
      </c>
      <c r="M812" t="n">
        <v>0</v>
      </c>
      <c r="N812" t="n">
        <v>0</v>
      </c>
      <c r="O812" t="n">
        <v>0</v>
      </c>
      <c r="P812" t="n">
        <v>0</v>
      </c>
      <c r="Q812" t="n">
        <v>0</v>
      </c>
      <c r="R812" s="2" t="inlineStr"/>
    </row>
    <row r="813" ht="15" customHeight="1">
      <c r="A813" t="inlineStr">
        <is>
          <t>A 31936-2022</t>
        </is>
      </c>
      <c r="B813" s="1" t="n">
        <v>44777</v>
      </c>
      <c r="C813" s="1" t="n">
        <v>46169</v>
      </c>
      <c r="D813" t="inlineStr">
        <is>
          <t>STOCKHOLMS LÄN</t>
        </is>
      </c>
      <c r="E813" t="inlineStr">
        <is>
          <t>NORRTÄLJE</t>
        </is>
      </c>
      <c r="G813" t="n">
        <v>5.2</v>
      </c>
      <c r="H813" t="n">
        <v>0</v>
      </c>
      <c r="I813" t="n">
        <v>0</v>
      </c>
      <c r="J813" t="n">
        <v>0</v>
      </c>
      <c r="K813" t="n">
        <v>0</v>
      </c>
      <c r="L813" t="n">
        <v>0</v>
      </c>
      <c r="M813" t="n">
        <v>0</v>
      </c>
      <c r="N813" t="n">
        <v>0</v>
      </c>
      <c r="O813" t="n">
        <v>0</v>
      </c>
      <c r="P813" t="n">
        <v>0</v>
      </c>
      <c r="Q813" t="n">
        <v>0</v>
      </c>
      <c r="R813" s="2" t="inlineStr"/>
    </row>
    <row r="814" ht="15" customHeight="1">
      <c r="A814" t="inlineStr">
        <is>
          <t>A 1789-2026</t>
        </is>
      </c>
      <c r="B814" s="1" t="n">
        <v>46034</v>
      </c>
      <c r="C814" s="1" t="n">
        <v>46169</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59873-2024</t>
        </is>
      </c>
      <c r="B815" s="1" t="n">
        <v>45640.57305555556</v>
      </c>
      <c r="C815" s="1" t="n">
        <v>46169</v>
      </c>
      <c r="D815" t="inlineStr">
        <is>
          <t>STOCKHOLMS LÄN</t>
        </is>
      </c>
      <c r="E815" t="inlineStr">
        <is>
          <t>NORRTÄLJE</t>
        </is>
      </c>
      <c r="G815" t="n">
        <v>3.3</v>
      </c>
      <c r="H815" t="n">
        <v>0</v>
      </c>
      <c r="I815" t="n">
        <v>0</v>
      </c>
      <c r="J815" t="n">
        <v>0</v>
      </c>
      <c r="K815" t="n">
        <v>0</v>
      </c>
      <c r="L815" t="n">
        <v>0</v>
      </c>
      <c r="M815" t="n">
        <v>0</v>
      </c>
      <c r="N815" t="n">
        <v>0</v>
      </c>
      <c r="O815" t="n">
        <v>0</v>
      </c>
      <c r="P815" t="n">
        <v>0</v>
      </c>
      <c r="Q815" t="n">
        <v>0</v>
      </c>
      <c r="R815" s="2" t="inlineStr"/>
    </row>
    <row r="816" ht="15" customHeight="1">
      <c r="A816" t="inlineStr">
        <is>
          <t>A 35916-2024</t>
        </is>
      </c>
      <c r="B816" s="1" t="n">
        <v>45533</v>
      </c>
      <c r="C816" s="1" t="n">
        <v>46169</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10098-2022</t>
        </is>
      </c>
      <c r="B817" s="1" t="n">
        <v>44621</v>
      </c>
      <c r="C817" s="1" t="n">
        <v>46169</v>
      </c>
      <c r="D817" t="inlineStr">
        <is>
          <t>STOCKHOLMS LÄN</t>
        </is>
      </c>
      <c r="E817" t="inlineStr">
        <is>
          <t>NORRTÄLJE</t>
        </is>
      </c>
      <c r="G817" t="n">
        <v>2.2</v>
      </c>
      <c r="H817" t="n">
        <v>0</v>
      </c>
      <c r="I817" t="n">
        <v>0</v>
      </c>
      <c r="J817" t="n">
        <v>0</v>
      </c>
      <c r="K817" t="n">
        <v>0</v>
      </c>
      <c r="L817" t="n">
        <v>0</v>
      </c>
      <c r="M817" t="n">
        <v>0</v>
      </c>
      <c r="N817" t="n">
        <v>0</v>
      </c>
      <c r="O817" t="n">
        <v>0</v>
      </c>
      <c r="P817" t="n">
        <v>0</v>
      </c>
      <c r="Q817" t="n">
        <v>0</v>
      </c>
      <c r="R817" s="2" t="inlineStr"/>
    </row>
    <row r="818" ht="15" customHeight="1">
      <c r="A818" t="inlineStr">
        <is>
          <t>A 63161-2023</t>
        </is>
      </c>
      <c r="B818" s="1" t="n">
        <v>45273</v>
      </c>
      <c r="C818" s="1" t="n">
        <v>46169</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2088-2026</t>
        </is>
      </c>
      <c r="B819" s="1" t="n">
        <v>46036.35909722222</v>
      </c>
      <c r="C819" s="1" t="n">
        <v>46169</v>
      </c>
      <c r="D819" t="inlineStr">
        <is>
          <t>STOCKHOLMS LÄN</t>
        </is>
      </c>
      <c r="E819" t="inlineStr">
        <is>
          <t>NORRTÄLJE</t>
        </is>
      </c>
      <c r="G819" t="n">
        <v>7</v>
      </c>
      <c r="H819" t="n">
        <v>0</v>
      </c>
      <c r="I819" t="n">
        <v>0</v>
      </c>
      <c r="J819" t="n">
        <v>0</v>
      </c>
      <c r="K819" t="n">
        <v>0</v>
      </c>
      <c r="L819" t="n">
        <v>0</v>
      </c>
      <c r="M819" t="n">
        <v>0</v>
      </c>
      <c r="N819" t="n">
        <v>0</v>
      </c>
      <c r="O819" t="n">
        <v>0</v>
      </c>
      <c r="P819" t="n">
        <v>0</v>
      </c>
      <c r="Q819" t="n">
        <v>0</v>
      </c>
      <c r="R819" s="2" t="inlineStr"/>
    </row>
    <row r="820" ht="15" customHeight="1">
      <c r="A820" t="inlineStr">
        <is>
          <t>A 7796-2025</t>
        </is>
      </c>
      <c r="B820" s="1" t="n">
        <v>45706.60130787037</v>
      </c>
      <c r="C820" s="1" t="n">
        <v>46169</v>
      </c>
      <c r="D820" t="inlineStr">
        <is>
          <t>STOCKHOLMS LÄN</t>
        </is>
      </c>
      <c r="E820" t="inlineStr">
        <is>
          <t>NORRTÄLJE</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58040-2024</t>
        </is>
      </c>
      <c r="B821" s="1" t="n">
        <v>45631.73952546297</v>
      </c>
      <c r="C821" s="1" t="n">
        <v>46169</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58041-2024</t>
        </is>
      </c>
      <c r="B822" s="1" t="n">
        <v>45631.74673611111</v>
      </c>
      <c r="C822" s="1" t="n">
        <v>46169</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30268-2024</t>
        </is>
      </c>
      <c r="B823" s="1" t="n">
        <v>45490.60572916667</v>
      </c>
      <c r="C823" s="1" t="n">
        <v>46169</v>
      </c>
      <c r="D823" t="inlineStr">
        <is>
          <t>STOCKHOLMS LÄN</t>
        </is>
      </c>
      <c r="E823" t="inlineStr">
        <is>
          <t>NORRTÄLJE</t>
        </is>
      </c>
      <c r="G823" t="n">
        <v>5.6</v>
      </c>
      <c r="H823" t="n">
        <v>0</v>
      </c>
      <c r="I823" t="n">
        <v>0</v>
      </c>
      <c r="J823" t="n">
        <v>0</v>
      </c>
      <c r="K823" t="n">
        <v>0</v>
      </c>
      <c r="L823" t="n">
        <v>0</v>
      </c>
      <c r="M823" t="n">
        <v>0</v>
      </c>
      <c r="N823" t="n">
        <v>0</v>
      </c>
      <c r="O823" t="n">
        <v>0</v>
      </c>
      <c r="P823" t="n">
        <v>0</v>
      </c>
      <c r="Q823" t="n">
        <v>0</v>
      </c>
      <c r="R823" s="2" t="inlineStr"/>
    </row>
    <row r="824" ht="15" customHeight="1">
      <c r="A824" t="inlineStr">
        <is>
          <t>A 12407-2025</t>
        </is>
      </c>
      <c r="B824" s="1" t="n">
        <v>45730.42851851852</v>
      </c>
      <c r="C824" s="1" t="n">
        <v>46169</v>
      </c>
      <c r="D824" t="inlineStr">
        <is>
          <t>STOCKHOLMS LÄN</t>
        </is>
      </c>
      <c r="E824" t="inlineStr">
        <is>
          <t>NORRTÄLJE</t>
        </is>
      </c>
      <c r="F824" t="inlineStr">
        <is>
          <t>Holmen skog AB</t>
        </is>
      </c>
      <c r="G824" t="n">
        <v>2.6</v>
      </c>
      <c r="H824" t="n">
        <v>0</v>
      </c>
      <c r="I824" t="n">
        <v>0</v>
      </c>
      <c r="J824" t="n">
        <v>0</v>
      </c>
      <c r="K824" t="n">
        <v>0</v>
      </c>
      <c r="L824" t="n">
        <v>0</v>
      </c>
      <c r="M824" t="n">
        <v>0</v>
      </c>
      <c r="N824" t="n">
        <v>0</v>
      </c>
      <c r="O824" t="n">
        <v>0</v>
      </c>
      <c r="P824" t="n">
        <v>0</v>
      </c>
      <c r="Q824" t="n">
        <v>0</v>
      </c>
      <c r="R824" s="2" t="inlineStr"/>
    </row>
    <row r="825" ht="15" customHeight="1">
      <c r="A825" t="inlineStr">
        <is>
          <t>A 2116-2026</t>
        </is>
      </c>
      <c r="B825" s="1" t="n">
        <v>46036.38108796296</v>
      </c>
      <c r="C825" s="1" t="n">
        <v>46169</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19025-2025</t>
        </is>
      </c>
      <c r="B826" s="1" t="n">
        <v>45764.6359837963</v>
      </c>
      <c r="C826" s="1" t="n">
        <v>46169</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54276-2021</t>
        </is>
      </c>
      <c r="B827" s="1" t="n">
        <v>44470</v>
      </c>
      <c r="C827" s="1" t="n">
        <v>46169</v>
      </c>
      <c r="D827" t="inlineStr">
        <is>
          <t>STOCKHOLMS LÄN</t>
        </is>
      </c>
      <c r="E827" t="inlineStr">
        <is>
          <t>NORRTÄLJE</t>
        </is>
      </c>
      <c r="G827" t="n">
        <v>7.3</v>
      </c>
      <c r="H827" t="n">
        <v>0</v>
      </c>
      <c r="I827" t="n">
        <v>0</v>
      </c>
      <c r="J827" t="n">
        <v>0</v>
      </c>
      <c r="K827" t="n">
        <v>0</v>
      </c>
      <c r="L827" t="n">
        <v>0</v>
      </c>
      <c r="M827" t="n">
        <v>0</v>
      </c>
      <c r="N827" t="n">
        <v>0</v>
      </c>
      <c r="O827" t="n">
        <v>0</v>
      </c>
      <c r="P827" t="n">
        <v>0</v>
      </c>
      <c r="Q827" t="n">
        <v>0</v>
      </c>
      <c r="R827" s="2" t="inlineStr"/>
    </row>
    <row r="828" ht="15" customHeight="1">
      <c r="A828" t="inlineStr">
        <is>
          <t>A 4316-2023</t>
        </is>
      </c>
      <c r="B828" s="1" t="n">
        <v>44953.67443287037</v>
      </c>
      <c r="C828" s="1" t="n">
        <v>46169</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41587-2023</t>
        </is>
      </c>
      <c r="B829" s="1" t="n">
        <v>45175</v>
      </c>
      <c r="C829" s="1" t="n">
        <v>46169</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17304-2024</t>
        </is>
      </c>
      <c r="B830" s="1" t="n">
        <v>45414</v>
      </c>
      <c r="C830" s="1" t="n">
        <v>46169</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11280-2023</t>
        </is>
      </c>
      <c r="B831" s="1" t="n">
        <v>44992</v>
      </c>
      <c r="C831" s="1" t="n">
        <v>46169</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26668-2024</t>
        </is>
      </c>
      <c r="B832" s="1" t="n">
        <v>45469</v>
      </c>
      <c r="C832" s="1" t="n">
        <v>46169</v>
      </c>
      <c r="D832" t="inlineStr">
        <is>
          <t>STOCKHOLMS LÄN</t>
        </is>
      </c>
      <c r="E832" t="inlineStr">
        <is>
          <t>NORRTÄLJE</t>
        </is>
      </c>
      <c r="G832" t="n">
        <v>4.8</v>
      </c>
      <c r="H832" t="n">
        <v>0</v>
      </c>
      <c r="I832" t="n">
        <v>0</v>
      </c>
      <c r="J832" t="n">
        <v>0</v>
      </c>
      <c r="K832" t="n">
        <v>0</v>
      </c>
      <c r="L832" t="n">
        <v>0</v>
      </c>
      <c r="M832" t="n">
        <v>0</v>
      </c>
      <c r="N832" t="n">
        <v>0</v>
      </c>
      <c r="O832" t="n">
        <v>0</v>
      </c>
      <c r="P832" t="n">
        <v>0</v>
      </c>
      <c r="Q832" t="n">
        <v>0</v>
      </c>
      <c r="R832" s="2" t="inlineStr"/>
    </row>
    <row r="833" ht="15" customHeight="1">
      <c r="A833" t="inlineStr">
        <is>
          <t>A 3549-2026</t>
        </is>
      </c>
      <c r="B833" s="1" t="n">
        <v>46042</v>
      </c>
      <c r="C833" s="1" t="n">
        <v>46169</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31926-2022</t>
        </is>
      </c>
      <c r="B834" s="1" t="n">
        <v>44777</v>
      </c>
      <c r="C834" s="1" t="n">
        <v>46169</v>
      </c>
      <c r="D834" t="inlineStr">
        <is>
          <t>STOCKHOLMS LÄN</t>
        </is>
      </c>
      <c r="E834" t="inlineStr">
        <is>
          <t>NORRTÄLJE</t>
        </is>
      </c>
      <c r="G834" t="n">
        <v>5.2</v>
      </c>
      <c r="H834" t="n">
        <v>0</v>
      </c>
      <c r="I834" t="n">
        <v>0</v>
      </c>
      <c r="J834" t="n">
        <v>0</v>
      </c>
      <c r="K834" t="n">
        <v>0</v>
      </c>
      <c r="L834" t="n">
        <v>0</v>
      </c>
      <c r="M834" t="n">
        <v>0</v>
      </c>
      <c r="N834" t="n">
        <v>0</v>
      </c>
      <c r="O834" t="n">
        <v>0</v>
      </c>
      <c r="P834" t="n">
        <v>0</v>
      </c>
      <c r="Q834" t="n">
        <v>0</v>
      </c>
      <c r="R834" s="2" t="inlineStr"/>
    </row>
    <row r="835" ht="15" customHeight="1">
      <c r="A835" t="inlineStr">
        <is>
          <t>A 21480-2022</t>
        </is>
      </c>
      <c r="B835" s="1" t="n">
        <v>44704</v>
      </c>
      <c r="C835" s="1" t="n">
        <v>46169</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11041-2025</t>
        </is>
      </c>
      <c r="B836" s="1" t="n">
        <v>45723</v>
      </c>
      <c r="C836" s="1" t="n">
        <v>46169</v>
      </c>
      <c r="D836" t="inlineStr">
        <is>
          <t>STOCKHOLMS LÄN</t>
        </is>
      </c>
      <c r="E836" t="inlineStr">
        <is>
          <t>NORRTÄLJE</t>
        </is>
      </c>
      <c r="F836" t="inlineStr">
        <is>
          <t>Övriga Aktiebolag</t>
        </is>
      </c>
      <c r="G836" t="n">
        <v>1.8</v>
      </c>
      <c r="H836" t="n">
        <v>0</v>
      </c>
      <c r="I836" t="n">
        <v>0</v>
      </c>
      <c r="J836" t="n">
        <v>0</v>
      </c>
      <c r="K836" t="n">
        <v>0</v>
      </c>
      <c r="L836" t="n">
        <v>0</v>
      </c>
      <c r="M836" t="n">
        <v>0</v>
      </c>
      <c r="N836" t="n">
        <v>0</v>
      </c>
      <c r="O836" t="n">
        <v>0</v>
      </c>
      <c r="P836" t="n">
        <v>0</v>
      </c>
      <c r="Q836" t="n">
        <v>0</v>
      </c>
      <c r="R836" s="2" t="inlineStr"/>
    </row>
    <row r="837" ht="15" customHeight="1">
      <c r="A837" t="inlineStr">
        <is>
          <t>A 24024-2024</t>
        </is>
      </c>
      <c r="B837" s="1" t="n">
        <v>45456</v>
      </c>
      <c r="C837" s="1" t="n">
        <v>46169</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28809-2023</t>
        </is>
      </c>
      <c r="B838" s="1" t="n">
        <v>45104</v>
      </c>
      <c r="C838" s="1" t="n">
        <v>46169</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28813-2023</t>
        </is>
      </c>
      <c r="B839" s="1" t="n">
        <v>45104</v>
      </c>
      <c r="C839" s="1" t="n">
        <v>46169</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40656-2022</t>
        </is>
      </c>
      <c r="B840" s="1" t="n">
        <v>44824.36069444445</v>
      </c>
      <c r="C840" s="1" t="n">
        <v>46169</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4227-2026</t>
        </is>
      </c>
      <c r="B841" s="1" t="n">
        <v>46044</v>
      </c>
      <c r="C841" s="1" t="n">
        <v>46169</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60694-2024</t>
        </is>
      </c>
      <c r="B842" s="1" t="n">
        <v>45644.47878472223</v>
      </c>
      <c r="C842" s="1" t="n">
        <v>46169</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4230-2026</t>
        </is>
      </c>
      <c r="B843" s="1" t="n">
        <v>46044.89366898148</v>
      </c>
      <c r="C843" s="1" t="n">
        <v>46169</v>
      </c>
      <c r="D843" t="inlineStr">
        <is>
          <t>STOCKHOLMS LÄN</t>
        </is>
      </c>
      <c r="E843" t="inlineStr">
        <is>
          <t>NORRTÄLJE</t>
        </is>
      </c>
      <c r="G843" t="n">
        <v>10.8</v>
      </c>
      <c r="H843" t="n">
        <v>0</v>
      </c>
      <c r="I843" t="n">
        <v>0</v>
      </c>
      <c r="J843" t="n">
        <v>0</v>
      </c>
      <c r="K843" t="n">
        <v>0</v>
      </c>
      <c r="L843" t="n">
        <v>0</v>
      </c>
      <c r="M843" t="n">
        <v>0</v>
      </c>
      <c r="N843" t="n">
        <v>0</v>
      </c>
      <c r="O843" t="n">
        <v>0</v>
      </c>
      <c r="P843" t="n">
        <v>0</v>
      </c>
      <c r="Q843" t="n">
        <v>0</v>
      </c>
      <c r="R843" s="2" t="inlineStr"/>
    </row>
    <row r="844" ht="15" customHeight="1">
      <c r="A844" t="inlineStr">
        <is>
          <t>A 4231-2026</t>
        </is>
      </c>
      <c r="B844" s="1" t="n">
        <v>46044</v>
      </c>
      <c r="C844" s="1" t="n">
        <v>46169</v>
      </c>
      <c r="D844" t="inlineStr">
        <is>
          <t>STOCKHOLMS LÄN</t>
        </is>
      </c>
      <c r="E844" t="inlineStr">
        <is>
          <t>NORRTÄLJE</t>
        </is>
      </c>
      <c r="G844" t="n">
        <v>2.9</v>
      </c>
      <c r="H844" t="n">
        <v>0</v>
      </c>
      <c r="I844" t="n">
        <v>0</v>
      </c>
      <c r="J844" t="n">
        <v>0</v>
      </c>
      <c r="K844" t="n">
        <v>0</v>
      </c>
      <c r="L844" t="n">
        <v>0</v>
      </c>
      <c r="M844" t="n">
        <v>0</v>
      </c>
      <c r="N844" t="n">
        <v>0</v>
      </c>
      <c r="O844" t="n">
        <v>0</v>
      </c>
      <c r="P844" t="n">
        <v>0</v>
      </c>
      <c r="Q844" t="n">
        <v>0</v>
      </c>
      <c r="R844" s="2" t="inlineStr"/>
    </row>
    <row r="845" ht="15" customHeight="1">
      <c r="A845" t="inlineStr">
        <is>
          <t>A 4232-2026</t>
        </is>
      </c>
      <c r="B845" s="1" t="n">
        <v>46044.89594907407</v>
      </c>
      <c r="C845" s="1" t="n">
        <v>46169</v>
      </c>
      <c r="D845" t="inlineStr">
        <is>
          <t>STOCKHOLMS LÄN</t>
        </is>
      </c>
      <c r="E845" t="inlineStr">
        <is>
          <t>NORRTÄLJE</t>
        </is>
      </c>
      <c r="G845" t="n">
        <v>3.8</v>
      </c>
      <c r="H845" t="n">
        <v>0</v>
      </c>
      <c r="I845" t="n">
        <v>0</v>
      </c>
      <c r="J845" t="n">
        <v>0</v>
      </c>
      <c r="K845" t="n">
        <v>0</v>
      </c>
      <c r="L845" t="n">
        <v>0</v>
      </c>
      <c r="M845" t="n">
        <v>0</v>
      </c>
      <c r="N845" t="n">
        <v>0</v>
      </c>
      <c r="O845" t="n">
        <v>0</v>
      </c>
      <c r="P845" t="n">
        <v>0</v>
      </c>
      <c r="Q845" t="n">
        <v>0</v>
      </c>
      <c r="R845" s="2" t="inlineStr"/>
    </row>
    <row r="846" ht="15" customHeight="1">
      <c r="A846" t="inlineStr">
        <is>
          <t>A 3933-2026</t>
        </is>
      </c>
      <c r="B846" s="1" t="n">
        <v>46043.79916666666</v>
      </c>
      <c r="C846" s="1" t="n">
        <v>46169</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19450-2025</t>
        </is>
      </c>
      <c r="B847" s="1" t="n">
        <v>45770</v>
      </c>
      <c r="C847" s="1" t="n">
        <v>46169</v>
      </c>
      <c r="D847" t="inlineStr">
        <is>
          <t>STOCKHOLMS LÄN</t>
        </is>
      </c>
      <c r="E847" t="inlineStr">
        <is>
          <t>NORRTÄLJE</t>
        </is>
      </c>
      <c r="G847" t="n">
        <v>5.3</v>
      </c>
      <c r="H847" t="n">
        <v>0</v>
      </c>
      <c r="I847" t="n">
        <v>0</v>
      </c>
      <c r="J847" t="n">
        <v>0</v>
      </c>
      <c r="K847" t="n">
        <v>0</v>
      </c>
      <c r="L847" t="n">
        <v>0</v>
      </c>
      <c r="M847" t="n">
        <v>0</v>
      </c>
      <c r="N847" t="n">
        <v>0</v>
      </c>
      <c r="O847" t="n">
        <v>0</v>
      </c>
      <c r="P847" t="n">
        <v>0</v>
      </c>
      <c r="Q847" t="n">
        <v>0</v>
      </c>
      <c r="R847" s="2" t="inlineStr"/>
    </row>
    <row r="848" ht="15" customHeight="1">
      <c r="A848" t="inlineStr">
        <is>
          <t>A 4235-2026</t>
        </is>
      </c>
      <c r="B848" s="1" t="n">
        <v>46044</v>
      </c>
      <c r="C848" s="1" t="n">
        <v>46169</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4549-2026</t>
        </is>
      </c>
      <c r="B849" s="1" t="n">
        <v>46047</v>
      </c>
      <c r="C849" s="1" t="n">
        <v>46169</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33353-2023</t>
        </is>
      </c>
      <c r="B850" s="1" t="n">
        <v>45128</v>
      </c>
      <c r="C850" s="1" t="n">
        <v>46169</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4886-2026</t>
        </is>
      </c>
      <c r="B851" s="1" t="n">
        <v>46048.66328703704</v>
      </c>
      <c r="C851" s="1" t="n">
        <v>46169</v>
      </c>
      <c r="D851" t="inlineStr">
        <is>
          <t>STOCKHOLMS LÄN</t>
        </is>
      </c>
      <c r="E851" t="inlineStr">
        <is>
          <t>NORRTÄLJE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3966-2024</t>
        </is>
      </c>
      <c r="B852" s="1" t="n">
        <v>45322</v>
      </c>
      <c r="C852" s="1" t="n">
        <v>46169</v>
      </c>
      <c r="D852" t="inlineStr">
        <is>
          <t>STOCKHOLMS LÄN</t>
        </is>
      </c>
      <c r="E852" t="inlineStr">
        <is>
          <t>NORRTÄLJE</t>
        </is>
      </c>
      <c r="G852" t="n">
        <v>5.3</v>
      </c>
      <c r="H852" t="n">
        <v>0</v>
      </c>
      <c r="I852" t="n">
        <v>0</v>
      </c>
      <c r="J852" t="n">
        <v>0</v>
      </c>
      <c r="K852" t="n">
        <v>0</v>
      </c>
      <c r="L852" t="n">
        <v>0</v>
      </c>
      <c r="M852" t="n">
        <v>0</v>
      </c>
      <c r="N852" t="n">
        <v>0</v>
      </c>
      <c r="O852" t="n">
        <v>0</v>
      </c>
      <c r="P852" t="n">
        <v>0</v>
      </c>
      <c r="Q852" t="n">
        <v>0</v>
      </c>
      <c r="R852" s="2" t="inlineStr"/>
    </row>
    <row r="853" ht="15" customHeight="1">
      <c r="A853" t="inlineStr">
        <is>
          <t>A 5226-2026</t>
        </is>
      </c>
      <c r="B853" s="1" t="n">
        <v>46049.79961805556</v>
      </c>
      <c r="C853" s="1" t="n">
        <v>46169</v>
      </c>
      <c r="D853" t="inlineStr">
        <is>
          <t>STOCKHOLMS LÄN</t>
        </is>
      </c>
      <c r="E853" t="inlineStr">
        <is>
          <t>NORRTÄLJE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5224-2026</t>
        </is>
      </c>
      <c r="B854" s="1" t="n">
        <v>46049.79521990741</v>
      </c>
      <c r="C854" s="1" t="n">
        <v>46169</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5227-2026</t>
        </is>
      </c>
      <c r="B855" s="1" t="n">
        <v>46049.80460648148</v>
      </c>
      <c r="C855" s="1" t="n">
        <v>46169</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5241-2026</t>
        </is>
      </c>
      <c r="B856" s="1" t="n">
        <v>46049.86471064815</v>
      </c>
      <c r="C856" s="1" t="n">
        <v>46169</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23262-2023</t>
        </is>
      </c>
      <c r="B857" s="1" t="n">
        <v>45075.90270833333</v>
      </c>
      <c r="C857" s="1" t="n">
        <v>46169</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23268-2023</t>
        </is>
      </c>
      <c r="B858" s="1" t="n">
        <v>45075.91042824074</v>
      </c>
      <c r="C858" s="1" t="n">
        <v>46169</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23270-2023</t>
        </is>
      </c>
      <c r="B859" s="1" t="n">
        <v>45075.91265046296</v>
      </c>
      <c r="C859" s="1" t="n">
        <v>46169</v>
      </c>
      <c r="D859" t="inlineStr">
        <is>
          <t>STOCKHOLMS LÄN</t>
        </is>
      </c>
      <c r="E859" t="inlineStr">
        <is>
          <t>NORRTÄLJE</t>
        </is>
      </c>
      <c r="G859" t="n">
        <v>12.3</v>
      </c>
      <c r="H859" t="n">
        <v>0</v>
      </c>
      <c r="I859" t="n">
        <v>0</v>
      </c>
      <c r="J859" t="n">
        <v>0</v>
      </c>
      <c r="K859" t="n">
        <v>0</v>
      </c>
      <c r="L859" t="n">
        <v>0</v>
      </c>
      <c r="M859" t="n">
        <v>0</v>
      </c>
      <c r="N859" t="n">
        <v>0</v>
      </c>
      <c r="O859" t="n">
        <v>0</v>
      </c>
      <c r="P859" t="n">
        <v>0</v>
      </c>
      <c r="Q859" t="n">
        <v>0</v>
      </c>
      <c r="R859" s="2" t="inlineStr"/>
    </row>
    <row r="860" ht="15" customHeight="1">
      <c r="A860" t="inlineStr">
        <is>
          <t>A 23274-2023</t>
        </is>
      </c>
      <c r="B860" s="1" t="n">
        <v>45075.92153935185</v>
      </c>
      <c r="C860" s="1" t="n">
        <v>46169</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17843-2024</t>
        </is>
      </c>
      <c r="B861" s="1" t="n">
        <v>45418</v>
      </c>
      <c r="C861" s="1" t="n">
        <v>46169</v>
      </c>
      <c r="D861" t="inlineStr">
        <is>
          <t>STOCKHOLMS LÄN</t>
        </is>
      </c>
      <c r="E861" t="inlineStr">
        <is>
          <t>NORRTÄLJE</t>
        </is>
      </c>
      <c r="G861" t="n">
        <v>5.4</v>
      </c>
      <c r="H861" t="n">
        <v>0</v>
      </c>
      <c r="I861" t="n">
        <v>0</v>
      </c>
      <c r="J861" t="n">
        <v>0</v>
      </c>
      <c r="K861" t="n">
        <v>0</v>
      </c>
      <c r="L861" t="n">
        <v>0</v>
      </c>
      <c r="M861" t="n">
        <v>0</v>
      </c>
      <c r="N861" t="n">
        <v>0</v>
      </c>
      <c r="O861" t="n">
        <v>0</v>
      </c>
      <c r="P861" t="n">
        <v>0</v>
      </c>
      <c r="Q861" t="n">
        <v>0</v>
      </c>
      <c r="R861" s="2" t="inlineStr"/>
    </row>
    <row r="862" ht="15" customHeight="1">
      <c r="A862" t="inlineStr">
        <is>
          <t>A 39610-2025</t>
        </is>
      </c>
      <c r="B862" s="1" t="n">
        <v>45890</v>
      </c>
      <c r="C862" s="1" t="n">
        <v>46169</v>
      </c>
      <c r="D862" t="inlineStr">
        <is>
          <t>STOCKHOLMS LÄN</t>
        </is>
      </c>
      <c r="E862" t="inlineStr">
        <is>
          <t>NORRTÄLJE</t>
        </is>
      </c>
      <c r="G862" t="n">
        <v>28.6</v>
      </c>
      <c r="H862" t="n">
        <v>0</v>
      </c>
      <c r="I862" t="n">
        <v>0</v>
      </c>
      <c r="J862" t="n">
        <v>0</v>
      </c>
      <c r="K862" t="n">
        <v>0</v>
      </c>
      <c r="L862" t="n">
        <v>0</v>
      </c>
      <c r="M862" t="n">
        <v>0</v>
      </c>
      <c r="N862" t="n">
        <v>0</v>
      </c>
      <c r="O862" t="n">
        <v>0</v>
      </c>
      <c r="P862" t="n">
        <v>0</v>
      </c>
      <c r="Q862" t="n">
        <v>0</v>
      </c>
      <c r="R862" s="2" t="inlineStr"/>
    </row>
    <row r="863" ht="15" customHeight="1">
      <c r="A863" t="inlineStr">
        <is>
          <t>A 26636-2023</t>
        </is>
      </c>
      <c r="B863" s="1" t="n">
        <v>45092</v>
      </c>
      <c r="C863" s="1" t="n">
        <v>46169</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26637-2023</t>
        </is>
      </c>
      <c r="B864" s="1" t="n">
        <v>45092</v>
      </c>
      <c r="C864" s="1" t="n">
        <v>46169</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5934-2026</t>
        </is>
      </c>
      <c r="B865" s="1" t="n">
        <v>46052.47082175926</v>
      </c>
      <c r="C865" s="1" t="n">
        <v>46169</v>
      </c>
      <c r="D865" t="inlineStr">
        <is>
          <t>STOCKHOLMS LÄN</t>
        </is>
      </c>
      <c r="E865" t="inlineStr">
        <is>
          <t>NORRTÄLJE</t>
        </is>
      </c>
      <c r="F865" t="inlineStr">
        <is>
          <t>Holmen skog AB</t>
        </is>
      </c>
      <c r="G865" t="n">
        <v>5.5</v>
      </c>
      <c r="H865" t="n">
        <v>0</v>
      </c>
      <c r="I865" t="n">
        <v>0</v>
      </c>
      <c r="J865" t="n">
        <v>0</v>
      </c>
      <c r="K865" t="n">
        <v>0</v>
      </c>
      <c r="L865" t="n">
        <v>0</v>
      </c>
      <c r="M865" t="n">
        <v>0</v>
      </c>
      <c r="N865" t="n">
        <v>0</v>
      </c>
      <c r="O865" t="n">
        <v>0</v>
      </c>
      <c r="P865" t="n">
        <v>0</v>
      </c>
      <c r="Q865" t="n">
        <v>0</v>
      </c>
      <c r="R865" s="2" t="inlineStr"/>
    </row>
    <row r="866" ht="15" customHeight="1">
      <c r="A866" t="inlineStr">
        <is>
          <t>A 72704-2021</t>
        </is>
      </c>
      <c r="B866" s="1" t="n">
        <v>44546</v>
      </c>
      <c r="C866" s="1" t="n">
        <v>46169</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52743-2024</t>
        </is>
      </c>
      <c r="B867" s="1" t="n">
        <v>45610.47414351852</v>
      </c>
      <c r="C867" s="1" t="n">
        <v>46169</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16852-2024</t>
        </is>
      </c>
      <c r="B868" s="1" t="n">
        <v>45411.54768518519</v>
      </c>
      <c r="C868" s="1" t="n">
        <v>46169</v>
      </c>
      <c r="D868" t="inlineStr">
        <is>
          <t>STOCKHOLMS LÄN</t>
        </is>
      </c>
      <c r="E868" t="inlineStr">
        <is>
          <t>NORRTÄLJE</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6724-2026</t>
        </is>
      </c>
      <c r="B869" s="1" t="n">
        <v>46056.67717592593</v>
      </c>
      <c r="C869" s="1" t="n">
        <v>46169</v>
      </c>
      <c r="D869" t="inlineStr">
        <is>
          <t>STOCKHOLMS LÄN</t>
        </is>
      </c>
      <c r="E869" t="inlineStr">
        <is>
          <t>NORRTÄLJE</t>
        </is>
      </c>
      <c r="F869" t="inlineStr">
        <is>
          <t>Holmen skog AB</t>
        </is>
      </c>
      <c r="G869" t="n">
        <v>16.2</v>
      </c>
      <c r="H869" t="n">
        <v>0</v>
      </c>
      <c r="I869" t="n">
        <v>0</v>
      </c>
      <c r="J869" t="n">
        <v>0</v>
      </c>
      <c r="K869" t="n">
        <v>0</v>
      </c>
      <c r="L869" t="n">
        <v>0</v>
      </c>
      <c r="M869" t="n">
        <v>0</v>
      </c>
      <c r="N869" t="n">
        <v>0</v>
      </c>
      <c r="O869" t="n">
        <v>0</v>
      </c>
      <c r="P869" t="n">
        <v>0</v>
      </c>
      <c r="Q869" t="n">
        <v>0</v>
      </c>
      <c r="R869" s="2" t="inlineStr"/>
    </row>
    <row r="870" ht="15" customHeight="1">
      <c r="A870" t="inlineStr">
        <is>
          <t>A 6828-2026</t>
        </is>
      </c>
      <c r="B870" s="1" t="n">
        <v>46057</v>
      </c>
      <c r="C870" s="1" t="n">
        <v>46169</v>
      </c>
      <c r="D870" t="inlineStr">
        <is>
          <t>STOCKHOLMS LÄN</t>
        </is>
      </c>
      <c r="E870" t="inlineStr">
        <is>
          <t>NORRTÄLJE</t>
        </is>
      </c>
      <c r="F870" t="inlineStr">
        <is>
          <t>Holmen skog AB</t>
        </is>
      </c>
      <c r="G870" t="n">
        <v>2.8</v>
      </c>
      <c r="H870" t="n">
        <v>0</v>
      </c>
      <c r="I870" t="n">
        <v>0</v>
      </c>
      <c r="J870" t="n">
        <v>0</v>
      </c>
      <c r="K870" t="n">
        <v>0</v>
      </c>
      <c r="L870" t="n">
        <v>0</v>
      </c>
      <c r="M870" t="n">
        <v>0</v>
      </c>
      <c r="N870" t="n">
        <v>0</v>
      </c>
      <c r="O870" t="n">
        <v>0</v>
      </c>
      <c r="P870" t="n">
        <v>0</v>
      </c>
      <c r="Q870" t="n">
        <v>0</v>
      </c>
      <c r="R870" s="2" t="inlineStr"/>
    </row>
    <row r="871" ht="15" customHeight="1">
      <c r="A871" t="inlineStr">
        <is>
          <t>A 6838-2026</t>
        </is>
      </c>
      <c r="B871" s="1" t="n">
        <v>46057.41151620371</v>
      </c>
      <c r="C871" s="1" t="n">
        <v>46169</v>
      </c>
      <c r="D871" t="inlineStr">
        <is>
          <t>STOCKHOLMS LÄN</t>
        </is>
      </c>
      <c r="E871" t="inlineStr">
        <is>
          <t>NORRTÄLJE</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55755-2023</t>
        </is>
      </c>
      <c r="B872" s="1" t="n">
        <v>45239</v>
      </c>
      <c r="C872" s="1" t="n">
        <v>46169</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6874-2026</t>
        </is>
      </c>
      <c r="B873" s="1" t="n">
        <v>46057.45295138889</v>
      </c>
      <c r="C873" s="1" t="n">
        <v>46169</v>
      </c>
      <c r="D873" t="inlineStr">
        <is>
          <t>STOCKHOLMS LÄN</t>
        </is>
      </c>
      <c r="E873" t="inlineStr">
        <is>
          <t>NORRTÄLJE</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6532-2026</t>
        </is>
      </c>
      <c r="B874" s="1" t="n">
        <v>46056.41300925926</v>
      </c>
      <c r="C874" s="1" t="n">
        <v>46169</v>
      </c>
      <c r="D874" t="inlineStr">
        <is>
          <t>STOCKHOLMS LÄN</t>
        </is>
      </c>
      <c r="E874" t="inlineStr">
        <is>
          <t>NORRTÄLJE</t>
        </is>
      </c>
      <c r="G874" t="n">
        <v>2.2</v>
      </c>
      <c r="H874" t="n">
        <v>0</v>
      </c>
      <c r="I874" t="n">
        <v>0</v>
      </c>
      <c r="J874" t="n">
        <v>0</v>
      </c>
      <c r="K874" t="n">
        <v>0</v>
      </c>
      <c r="L874" t="n">
        <v>0</v>
      </c>
      <c r="M874" t="n">
        <v>0</v>
      </c>
      <c r="N874" t="n">
        <v>0</v>
      </c>
      <c r="O874" t="n">
        <v>0</v>
      </c>
      <c r="P874" t="n">
        <v>0</v>
      </c>
      <c r="Q874" t="n">
        <v>0</v>
      </c>
      <c r="R874" s="2" t="inlineStr"/>
    </row>
    <row r="875" ht="15" customHeight="1">
      <c r="A875" t="inlineStr">
        <is>
          <t>A 6701-2026</t>
        </is>
      </c>
      <c r="B875" s="1" t="n">
        <v>46056</v>
      </c>
      <c r="C875" s="1" t="n">
        <v>46169</v>
      </c>
      <c r="D875" t="inlineStr">
        <is>
          <t>STOCKHOLMS LÄN</t>
        </is>
      </c>
      <c r="E875" t="inlineStr">
        <is>
          <t>NORRTÄLJE</t>
        </is>
      </c>
      <c r="G875" t="n">
        <v>0.8</v>
      </c>
      <c r="H875" t="n">
        <v>0</v>
      </c>
      <c r="I875" t="n">
        <v>0</v>
      </c>
      <c r="J875" t="n">
        <v>0</v>
      </c>
      <c r="K875" t="n">
        <v>0</v>
      </c>
      <c r="L875" t="n">
        <v>0</v>
      </c>
      <c r="M875" t="n">
        <v>0</v>
      </c>
      <c r="N875" t="n">
        <v>0</v>
      </c>
      <c r="O875" t="n">
        <v>0</v>
      </c>
      <c r="P875" t="n">
        <v>0</v>
      </c>
      <c r="Q875" t="n">
        <v>0</v>
      </c>
      <c r="R875" s="2" t="inlineStr"/>
    </row>
    <row r="876" ht="15" customHeight="1">
      <c r="A876" t="inlineStr">
        <is>
          <t>A 17348-2024</t>
        </is>
      </c>
      <c r="B876" s="1" t="n">
        <v>45414.58650462963</v>
      </c>
      <c r="C876" s="1" t="n">
        <v>46169</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7308-2026</t>
        </is>
      </c>
      <c r="B877" s="1" t="n">
        <v>46058.66025462963</v>
      </c>
      <c r="C877" s="1" t="n">
        <v>46169</v>
      </c>
      <c r="D877" t="inlineStr">
        <is>
          <t>STOCKHOLMS LÄN</t>
        </is>
      </c>
      <c r="E877" t="inlineStr">
        <is>
          <t>NORRTÄLJE</t>
        </is>
      </c>
      <c r="F877" t="inlineStr">
        <is>
          <t>Holmen skog AB</t>
        </is>
      </c>
      <c r="G877" t="n">
        <v>1.7</v>
      </c>
      <c r="H877" t="n">
        <v>0</v>
      </c>
      <c r="I877" t="n">
        <v>0</v>
      </c>
      <c r="J877" t="n">
        <v>0</v>
      </c>
      <c r="K877" t="n">
        <v>0</v>
      </c>
      <c r="L877" t="n">
        <v>0</v>
      </c>
      <c r="M877" t="n">
        <v>0</v>
      </c>
      <c r="N877" t="n">
        <v>0</v>
      </c>
      <c r="O877" t="n">
        <v>0</v>
      </c>
      <c r="P877" t="n">
        <v>0</v>
      </c>
      <c r="Q877" t="n">
        <v>0</v>
      </c>
      <c r="R877" s="2" t="inlineStr"/>
    </row>
    <row r="878" ht="15" customHeight="1">
      <c r="A878" t="inlineStr">
        <is>
          <t>A 7532-2026</t>
        </is>
      </c>
      <c r="B878" s="1" t="n">
        <v>46059</v>
      </c>
      <c r="C878" s="1" t="n">
        <v>46169</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13089-2022</t>
        </is>
      </c>
      <c r="B879" s="1" t="n">
        <v>44643</v>
      </c>
      <c r="C879" s="1" t="n">
        <v>46169</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48145-2024</t>
        </is>
      </c>
      <c r="B880" s="1" t="n">
        <v>45589.6756712963</v>
      </c>
      <c r="C880" s="1" t="n">
        <v>46169</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23998-2024</t>
        </is>
      </c>
      <c r="B881" s="1" t="n">
        <v>45456</v>
      </c>
      <c r="C881" s="1" t="n">
        <v>46169</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15447-2023</t>
        </is>
      </c>
      <c r="B882" s="1" t="n">
        <v>45020</v>
      </c>
      <c r="C882" s="1" t="n">
        <v>46169</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8055-2026</t>
        </is>
      </c>
      <c r="B883" s="1" t="n">
        <v>46063.62002314815</v>
      </c>
      <c r="C883" s="1" t="n">
        <v>46169</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7793-2026</t>
        </is>
      </c>
      <c r="B884" s="1" t="n">
        <v>46062.59496527778</v>
      </c>
      <c r="C884" s="1" t="n">
        <v>46169</v>
      </c>
      <c r="D884" t="inlineStr">
        <is>
          <t>STOCKHOLMS LÄN</t>
        </is>
      </c>
      <c r="E884" t="inlineStr">
        <is>
          <t>NORRTÄLJE</t>
        </is>
      </c>
      <c r="F884" t="inlineStr">
        <is>
          <t>Holmen skog AB</t>
        </is>
      </c>
      <c r="G884" t="n">
        <v>3.8</v>
      </c>
      <c r="H884" t="n">
        <v>0</v>
      </c>
      <c r="I884" t="n">
        <v>0</v>
      </c>
      <c r="J884" t="n">
        <v>0</v>
      </c>
      <c r="K884" t="n">
        <v>0</v>
      </c>
      <c r="L884" t="n">
        <v>0</v>
      </c>
      <c r="M884" t="n">
        <v>0</v>
      </c>
      <c r="N884" t="n">
        <v>0</v>
      </c>
      <c r="O884" t="n">
        <v>0</v>
      </c>
      <c r="P884" t="n">
        <v>0</v>
      </c>
      <c r="Q884" t="n">
        <v>0</v>
      </c>
      <c r="R884" s="2" t="inlineStr"/>
    </row>
    <row r="885" ht="15" customHeight="1">
      <c r="A885" t="inlineStr">
        <is>
          <t>A 8096-2026</t>
        </is>
      </c>
      <c r="B885" s="1" t="n">
        <v>46063.714375</v>
      </c>
      <c r="C885" s="1" t="n">
        <v>46169</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54358-2022</t>
        </is>
      </c>
      <c r="B886" s="1" t="n">
        <v>44882</v>
      </c>
      <c r="C886" s="1" t="n">
        <v>46169</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7723-2026</t>
        </is>
      </c>
      <c r="B887" s="1" t="n">
        <v>46062.49905092592</v>
      </c>
      <c r="C887" s="1" t="n">
        <v>46169</v>
      </c>
      <c r="D887" t="inlineStr">
        <is>
          <t>STOCKHOLMS LÄN</t>
        </is>
      </c>
      <c r="E887" t="inlineStr">
        <is>
          <t>NORRTÄLJE</t>
        </is>
      </c>
      <c r="G887" t="n">
        <v>0.8</v>
      </c>
      <c r="H887" t="n">
        <v>0</v>
      </c>
      <c r="I887" t="n">
        <v>0</v>
      </c>
      <c r="J887" t="n">
        <v>0</v>
      </c>
      <c r="K887" t="n">
        <v>0</v>
      </c>
      <c r="L887" t="n">
        <v>0</v>
      </c>
      <c r="M887" t="n">
        <v>0</v>
      </c>
      <c r="N887" t="n">
        <v>0</v>
      </c>
      <c r="O887" t="n">
        <v>0</v>
      </c>
      <c r="P887" t="n">
        <v>0</v>
      </c>
      <c r="Q887" t="n">
        <v>0</v>
      </c>
      <c r="R887" s="2" t="inlineStr"/>
    </row>
    <row r="888" ht="15" customHeight="1">
      <c r="A888" t="inlineStr">
        <is>
          <t>A 7729-2026</t>
        </is>
      </c>
      <c r="B888" s="1" t="n">
        <v>46062.51100694444</v>
      </c>
      <c r="C888" s="1" t="n">
        <v>46169</v>
      </c>
      <c r="D888" t="inlineStr">
        <is>
          <t>STOCKHOLMS LÄN</t>
        </is>
      </c>
      <c r="E888" t="inlineStr">
        <is>
          <t>NORRTÄLJE</t>
        </is>
      </c>
      <c r="G888" t="n">
        <v>6.6</v>
      </c>
      <c r="H888" t="n">
        <v>0</v>
      </c>
      <c r="I888" t="n">
        <v>0</v>
      </c>
      <c r="J888" t="n">
        <v>0</v>
      </c>
      <c r="K888" t="n">
        <v>0</v>
      </c>
      <c r="L888" t="n">
        <v>0</v>
      </c>
      <c r="M888" t="n">
        <v>0</v>
      </c>
      <c r="N888" t="n">
        <v>0</v>
      </c>
      <c r="O888" t="n">
        <v>0</v>
      </c>
      <c r="P888" t="n">
        <v>0</v>
      </c>
      <c r="Q888" t="n">
        <v>0</v>
      </c>
      <c r="R888" s="2" t="inlineStr"/>
    </row>
    <row r="889" ht="15" customHeight="1">
      <c r="A889" t="inlineStr">
        <is>
          <t>A 7582-2026</t>
        </is>
      </c>
      <c r="B889" s="1" t="n">
        <v>46061</v>
      </c>
      <c r="C889" s="1" t="n">
        <v>46169</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23263-2023</t>
        </is>
      </c>
      <c r="B890" s="1" t="n">
        <v>45075</v>
      </c>
      <c r="C890" s="1" t="n">
        <v>46169</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23264-2023</t>
        </is>
      </c>
      <c r="B891" s="1" t="n">
        <v>45075</v>
      </c>
      <c r="C891" s="1" t="n">
        <v>46169</v>
      </c>
      <c r="D891" t="inlineStr">
        <is>
          <t>STOCKHOLMS LÄN</t>
        </is>
      </c>
      <c r="E891" t="inlineStr">
        <is>
          <t>NORRTÄLJE</t>
        </is>
      </c>
      <c r="G891" t="n">
        <v>2.9</v>
      </c>
      <c r="H891" t="n">
        <v>0</v>
      </c>
      <c r="I891" t="n">
        <v>0</v>
      </c>
      <c r="J891" t="n">
        <v>0</v>
      </c>
      <c r="K891" t="n">
        <v>0</v>
      </c>
      <c r="L891" t="n">
        <v>0</v>
      </c>
      <c r="M891" t="n">
        <v>0</v>
      </c>
      <c r="N891" t="n">
        <v>0</v>
      </c>
      <c r="O891" t="n">
        <v>0</v>
      </c>
      <c r="P891" t="n">
        <v>0</v>
      </c>
      <c r="Q891" t="n">
        <v>0</v>
      </c>
      <c r="R891" s="2" t="inlineStr"/>
    </row>
    <row r="892" ht="15" customHeight="1">
      <c r="A892" t="inlineStr">
        <is>
          <t>A 23267-2023</t>
        </is>
      </c>
      <c r="B892" s="1" t="n">
        <v>45075.90934027778</v>
      </c>
      <c r="C892" s="1" t="n">
        <v>46169</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23269-2023</t>
        </is>
      </c>
      <c r="B893" s="1" t="n">
        <v>45075.91148148148</v>
      </c>
      <c r="C893" s="1" t="n">
        <v>46169</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19911-2025</t>
        </is>
      </c>
      <c r="B894" s="1" t="n">
        <v>45771</v>
      </c>
      <c r="C894" s="1" t="n">
        <v>46169</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8091-2026</t>
        </is>
      </c>
      <c r="B895" s="1" t="n">
        <v>46063.70944444444</v>
      </c>
      <c r="C895" s="1" t="n">
        <v>46169</v>
      </c>
      <c r="D895" t="inlineStr">
        <is>
          <t>STOCKHOLMS LÄN</t>
        </is>
      </c>
      <c r="E895" t="inlineStr">
        <is>
          <t>NORRTÄLJE</t>
        </is>
      </c>
      <c r="G895" t="n">
        <v>4.7</v>
      </c>
      <c r="H895" t="n">
        <v>0</v>
      </c>
      <c r="I895" t="n">
        <v>0</v>
      </c>
      <c r="J895" t="n">
        <v>0</v>
      </c>
      <c r="K895" t="n">
        <v>0</v>
      </c>
      <c r="L895" t="n">
        <v>0</v>
      </c>
      <c r="M895" t="n">
        <v>0</v>
      </c>
      <c r="N895" t="n">
        <v>0</v>
      </c>
      <c r="O895" t="n">
        <v>0</v>
      </c>
      <c r="P895" t="n">
        <v>0</v>
      </c>
      <c r="Q895" t="n">
        <v>0</v>
      </c>
      <c r="R895" s="2" t="inlineStr"/>
    </row>
    <row r="896" ht="15" customHeight="1">
      <c r="A896" t="inlineStr">
        <is>
          <t>A 5831-2022</t>
        </is>
      </c>
      <c r="B896" s="1" t="n">
        <v>44596</v>
      </c>
      <c r="C896" s="1" t="n">
        <v>46169</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5867-2022</t>
        </is>
      </c>
      <c r="B897" s="1" t="n">
        <v>44596.66335648148</v>
      </c>
      <c r="C897" s="1" t="n">
        <v>46169</v>
      </c>
      <c r="D897" t="inlineStr">
        <is>
          <t>STOCKHOLMS LÄN</t>
        </is>
      </c>
      <c r="E897" t="inlineStr">
        <is>
          <t>NORRTÄLJE</t>
        </is>
      </c>
      <c r="F897" t="inlineStr">
        <is>
          <t>Naturvårdsverket</t>
        </is>
      </c>
      <c r="G897" t="n">
        <v>1.6</v>
      </c>
      <c r="H897" t="n">
        <v>0</v>
      </c>
      <c r="I897" t="n">
        <v>0</v>
      </c>
      <c r="J897" t="n">
        <v>0</v>
      </c>
      <c r="K897" t="n">
        <v>0</v>
      </c>
      <c r="L897" t="n">
        <v>0</v>
      </c>
      <c r="M897" t="n">
        <v>0</v>
      </c>
      <c r="N897" t="n">
        <v>0</v>
      </c>
      <c r="O897" t="n">
        <v>0</v>
      </c>
      <c r="P897" t="n">
        <v>0</v>
      </c>
      <c r="Q897" t="n">
        <v>0</v>
      </c>
      <c r="R897" s="2" t="inlineStr"/>
    </row>
    <row r="898" ht="15" customHeight="1">
      <c r="A898" t="inlineStr">
        <is>
          <t>A 20244-2025</t>
        </is>
      </c>
      <c r="B898" s="1" t="n">
        <v>45772.71221064815</v>
      </c>
      <c r="C898" s="1" t="n">
        <v>46169</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8410-2026</t>
        </is>
      </c>
      <c r="B899" s="1" t="n">
        <v>46065.34261574074</v>
      </c>
      <c r="C899" s="1" t="n">
        <v>46169</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48633-2023</t>
        </is>
      </c>
      <c r="B900" s="1" t="n">
        <v>45208.58004629629</v>
      </c>
      <c r="C900" s="1" t="n">
        <v>46169</v>
      </c>
      <c r="D900" t="inlineStr">
        <is>
          <t>STOCKHOLMS LÄN</t>
        </is>
      </c>
      <c r="E900" t="inlineStr">
        <is>
          <t>NORRTÄLJE</t>
        </is>
      </c>
      <c r="G900" t="n">
        <v>3.3</v>
      </c>
      <c r="H900" t="n">
        <v>0</v>
      </c>
      <c r="I900" t="n">
        <v>0</v>
      </c>
      <c r="J900" t="n">
        <v>0</v>
      </c>
      <c r="K900" t="n">
        <v>0</v>
      </c>
      <c r="L900" t="n">
        <v>0</v>
      </c>
      <c r="M900" t="n">
        <v>0</v>
      </c>
      <c r="N900" t="n">
        <v>0</v>
      </c>
      <c r="O900" t="n">
        <v>0</v>
      </c>
      <c r="P900" t="n">
        <v>0</v>
      </c>
      <c r="Q900" t="n">
        <v>0</v>
      </c>
      <c r="R900" s="2" t="inlineStr"/>
    </row>
    <row r="901" ht="15" customHeight="1">
      <c r="A901" t="inlineStr">
        <is>
          <t>A 39669-2024</t>
        </is>
      </c>
      <c r="B901" s="1" t="n">
        <v>45552.52827546297</v>
      </c>
      <c r="C901" s="1" t="n">
        <v>46169</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8489-2026</t>
        </is>
      </c>
      <c r="B902" s="1" t="n">
        <v>46065.48268518518</v>
      </c>
      <c r="C902" s="1" t="n">
        <v>46169</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8465-2026</t>
        </is>
      </c>
      <c r="B903" s="1" t="n">
        <v>46065.44141203703</v>
      </c>
      <c r="C903" s="1" t="n">
        <v>46169</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15836-2026</t>
        </is>
      </c>
      <c r="B904" s="1" t="n">
        <v>46107.56134259259</v>
      </c>
      <c r="C904" s="1" t="n">
        <v>46169</v>
      </c>
      <c r="D904" t="inlineStr">
        <is>
          <t>STOCKHOLMS LÄN</t>
        </is>
      </c>
      <c r="E904" t="inlineStr">
        <is>
          <t>NORRTÄLJE</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8454-2026</t>
        </is>
      </c>
      <c r="B905" s="1" t="n">
        <v>46065.42506944444</v>
      </c>
      <c r="C905" s="1" t="n">
        <v>46169</v>
      </c>
      <c r="D905" t="inlineStr">
        <is>
          <t>STOCKHOLMS LÄN</t>
        </is>
      </c>
      <c r="E905" t="inlineStr">
        <is>
          <t>NORRTÄLJE</t>
        </is>
      </c>
      <c r="G905" t="n">
        <v>3.2</v>
      </c>
      <c r="H905" t="n">
        <v>0</v>
      </c>
      <c r="I905" t="n">
        <v>0</v>
      </c>
      <c r="J905" t="n">
        <v>0</v>
      </c>
      <c r="K905" t="n">
        <v>0</v>
      </c>
      <c r="L905" t="n">
        <v>0</v>
      </c>
      <c r="M905" t="n">
        <v>0</v>
      </c>
      <c r="N905" t="n">
        <v>0</v>
      </c>
      <c r="O905" t="n">
        <v>0</v>
      </c>
      <c r="P905" t="n">
        <v>0</v>
      </c>
      <c r="Q905" t="n">
        <v>0</v>
      </c>
      <c r="R905" s="2" t="inlineStr"/>
    </row>
    <row r="906" ht="15" customHeight="1">
      <c r="A906" t="inlineStr">
        <is>
          <t>A 9103-2026</t>
        </is>
      </c>
      <c r="B906" s="1" t="n">
        <v>46069.65039351852</v>
      </c>
      <c r="C906" s="1" t="n">
        <v>46169</v>
      </c>
      <c r="D906" t="inlineStr">
        <is>
          <t>STOCKHOLMS LÄN</t>
        </is>
      </c>
      <c r="E906" t="inlineStr">
        <is>
          <t>NORRTÄLJE</t>
        </is>
      </c>
      <c r="F906" t="inlineStr">
        <is>
          <t>Holmen skog AB</t>
        </is>
      </c>
      <c r="G906" t="n">
        <v>3.6</v>
      </c>
      <c r="H906" t="n">
        <v>0</v>
      </c>
      <c r="I906" t="n">
        <v>0</v>
      </c>
      <c r="J906" t="n">
        <v>0</v>
      </c>
      <c r="K906" t="n">
        <v>0</v>
      </c>
      <c r="L906" t="n">
        <v>0</v>
      </c>
      <c r="M906" t="n">
        <v>0</v>
      </c>
      <c r="N906" t="n">
        <v>0</v>
      </c>
      <c r="O906" t="n">
        <v>0</v>
      </c>
      <c r="P906" t="n">
        <v>0</v>
      </c>
      <c r="Q906" t="n">
        <v>0</v>
      </c>
      <c r="R906" s="2" t="inlineStr"/>
    </row>
    <row r="907" ht="15" customHeight="1">
      <c r="A907" t="inlineStr">
        <is>
          <t>A 8989-2026</t>
        </is>
      </c>
      <c r="B907" s="1" t="n">
        <v>46069.45789351852</v>
      </c>
      <c r="C907" s="1" t="n">
        <v>46169</v>
      </c>
      <c r="D907" t="inlineStr">
        <is>
          <t>STOCKHOLMS LÄN</t>
        </is>
      </c>
      <c r="E907" t="inlineStr">
        <is>
          <t>NORRTÄLJE</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43170-2023</t>
        </is>
      </c>
      <c r="B908" s="1" t="n">
        <v>45183</v>
      </c>
      <c r="C908" s="1" t="n">
        <v>46169</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9-2024</t>
        </is>
      </c>
      <c r="B909" s="1" t="n">
        <v>45293</v>
      </c>
      <c r="C909" s="1" t="n">
        <v>46169</v>
      </c>
      <c r="D909" t="inlineStr">
        <is>
          <t>STOCKHOLMS LÄN</t>
        </is>
      </c>
      <c r="E909" t="inlineStr">
        <is>
          <t>NORRTÄLJE</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16913-2025</t>
        </is>
      </c>
      <c r="B910" s="1" t="n">
        <v>45755.36583333334</v>
      </c>
      <c r="C910" s="1" t="n">
        <v>46169</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4035-2023</t>
        </is>
      </c>
      <c r="B911" s="1" t="n">
        <v>44952.57989583333</v>
      </c>
      <c r="C911" s="1" t="n">
        <v>46169</v>
      </c>
      <c r="D911" t="inlineStr">
        <is>
          <t>STOCKHOLMS LÄN</t>
        </is>
      </c>
      <c r="E911" t="inlineStr">
        <is>
          <t>NORRTÄLJE</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33793-2022</t>
        </is>
      </c>
      <c r="B912" s="1" t="n">
        <v>44790</v>
      </c>
      <c r="C912" s="1" t="n">
        <v>46169</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53600-2022</t>
        </is>
      </c>
      <c r="B913" s="1" t="n">
        <v>44879.70518518519</v>
      </c>
      <c r="C913" s="1" t="n">
        <v>46169</v>
      </c>
      <c r="D913" t="inlineStr">
        <is>
          <t>STOCKHOLMS LÄN</t>
        </is>
      </c>
      <c r="E913" t="inlineStr">
        <is>
          <t>NORRTÄLJE</t>
        </is>
      </c>
      <c r="G913" t="n">
        <v>4.3</v>
      </c>
      <c r="H913" t="n">
        <v>0</v>
      </c>
      <c r="I913" t="n">
        <v>0</v>
      </c>
      <c r="J913" t="n">
        <v>0</v>
      </c>
      <c r="K913" t="n">
        <v>0</v>
      </c>
      <c r="L913" t="n">
        <v>0</v>
      </c>
      <c r="M913" t="n">
        <v>0</v>
      </c>
      <c r="N913" t="n">
        <v>0</v>
      </c>
      <c r="O913" t="n">
        <v>0</v>
      </c>
      <c r="P913" t="n">
        <v>0</v>
      </c>
      <c r="Q913" t="n">
        <v>0</v>
      </c>
      <c r="R913" s="2" t="inlineStr"/>
    </row>
    <row r="914" ht="15" customHeight="1">
      <c r="A914" t="inlineStr">
        <is>
          <t>A 7697-2025</t>
        </is>
      </c>
      <c r="B914" s="1" t="n">
        <v>45706.40086805556</v>
      </c>
      <c r="C914" s="1" t="n">
        <v>46169</v>
      </c>
      <c r="D914" t="inlineStr">
        <is>
          <t>STOCKHOLMS LÄN</t>
        </is>
      </c>
      <c r="E914" t="inlineStr">
        <is>
          <t>NORRTÄLJE</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30221-2024</t>
        </is>
      </c>
      <c r="B915" s="1" t="n">
        <v>45490.45342592592</v>
      </c>
      <c r="C915" s="1" t="n">
        <v>46169</v>
      </c>
      <c r="D915" t="inlineStr">
        <is>
          <t>STOCKHOLMS LÄN</t>
        </is>
      </c>
      <c r="E915" t="inlineStr">
        <is>
          <t>NORRTÄLJE</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8985-2026</t>
        </is>
      </c>
      <c r="B916" s="1" t="n">
        <v>46069.45234953704</v>
      </c>
      <c r="C916" s="1" t="n">
        <v>46169</v>
      </c>
      <c r="D916" t="inlineStr">
        <is>
          <t>STOCKHOLMS LÄN</t>
        </is>
      </c>
      <c r="E916" t="inlineStr">
        <is>
          <t>NORRTÄLJE</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8962-2026</t>
        </is>
      </c>
      <c r="B917" s="1" t="n">
        <v>46069.41644675926</v>
      </c>
      <c r="C917" s="1" t="n">
        <v>46169</v>
      </c>
      <c r="D917" t="inlineStr">
        <is>
          <t>STOCKHOLMS LÄN</t>
        </is>
      </c>
      <c r="E917" t="inlineStr">
        <is>
          <t>NORRTÄLJE</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13-2024</t>
        </is>
      </c>
      <c r="B918" s="1" t="n">
        <v>45293.37263888889</v>
      </c>
      <c r="C918" s="1" t="n">
        <v>46169</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19-2024</t>
        </is>
      </c>
      <c r="B919" s="1" t="n">
        <v>45293</v>
      </c>
      <c r="C919" s="1" t="n">
        <v>46169</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31559-2022</t>
        </is>
      </c>
      <c r="B920" s="1" t="n">
        <v>44775</v>
      </c>
      <c r="C920" s="1" t="n">
        <v>46169</v>
      </c>
      <c r="D920" t="inlineStr">
        <is>
          <t>STOCKHOLMS LÄN</t>
        </is>
      </c>
      <c r="E920" t="inlineStr">
        <is>
          <t>NORRTÄLJE</t>
        </is>
      </c>
      <c r="G920" t="n">
        <v>5.6</v>
      </c>
      <c r="H920" t="n">
        <v>0</v>
      </c>
      <c r="I920" t="n">
        <v>0</v>
      </c>
      <c r="J920" t="n">
        <v>0</v>
      </c>
      <c r="K920" t="n">
        <v>0</v>
      </c>
      <c r="L920" t="n">
        <v>0</v>
      </c>
      <c r="M920" t="n">
        <v>0</v>
      </c>
      <c r="N920" t="n">
        <v>0</v>
      </c>
      <c r="O920" t="n">
        <v>0</v>
      </c>
      <c r="P920" t="n">
        <v>0</v>
      </c>
      <c r="Q920" t="n">
        <v>0</v>
      </c>
      <c r="R920" s="2" t="inlineStr"/>
    </row>
    <row r="921" ht="15" customHeight="1">
      <c r="A921" t="inlineStr">
        <is>
          <t>A 8419-2025</t>
        </is>
      </c>
      <c r="B921" s="1" t="n">
        <v>45709.40231481481</v>
      </c>
      <c r="C921" s="1" t="n">
        <v>46169</v>
      </c>
      <c r="D921" t="inlineStr">
        <is>
          <t>STOCKHOLMS LÄN</t>
        </is>
      </c>
      <c r="E921" t="inlineStr">
        <is>
          <t>NORRTÄLJE</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46169</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58989-2021</t>
        </is>
      </c>
      <c r="B923" s="1" t="n">
        <v>44490.02482638889</v>
      </c>
      <c r="C923" s="1" t="n">
        <v>46169</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46988-2024</t>
        </is>
      </c>
      <c r="B924" s="1" t="n">
        <v>45586</v>
      </c>
      <c r="C924" s="1" t="n">
        <v>46169</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13701-2022</t>
        </is>
      </c>
      <c r="B925" s="1" t="n">
        <v>44648</v>
      </c>
      <c r="C925" s="1" t="n">
        <v>46169</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14132-2025</t>
        </is>
      </c>
      <c r="B926" s="1" t="n">
        <v>45740.47550925926</v>
      </c>
      <c r="C926" s="1" t="n">
        <v>46169</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14133-2025</t>
        </is>
      </c>
      <c r="B927" s="1" t="n">
        <v>45740.47724537037</v>
      </c>
      <c r="C927" s="1" t="n">
        <v>46169</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8792-2025</t>
        </is>
      </c>
      <c r="B928" s="1" t="n">
        <v>45712</v>
      </c>
      <c r="C928" s="1" t="n">
        <v>46169</v>
      </c>
      <c r="D928" t="inlineStr">
        <is>
          <t>STOCKHOLMS LÄN</t>
        </is>
      </c>
      <c r="E928" t="inlineStr">
        <is>
          <t>NORRTÄLJE</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24887-2023</t>
        </is>
      </c>
      <c r="B929" s="1" t="n">
        <v>45085</v>
      </c>
      <c r="C929" s="1" t="n">
        <v>46169</v>
      </c>
      <c r="D929" t="inlineStr">
        <is>
          <t>STOCKHOLMS LÄN</t>
        </is>
      </c>
      <c r="E929" t="inlineStr">
        <is>
          <t>NORRTÄLJE</t>
        </is>
      </c>
      <c r="G929" t="n">
        <v>13.9</v>
      </c>
      <c r="H929" t="n">
        <v>0</v>
      </c>
      <c r="I929" t="n">
        <v>0</v>
      </c>
      <c r="J929" t="n">
        <v>0</v>
      </c>
      <c r="K929" t="n">
        <v>0</v>
      </c>
      <c r="L929" t="n">
        <v>0</v>
      </c>
      <c r="M929" t="n">
        <v>0</v>
      </c>
      <c r="N929" t="n">
        <v>0</v>
      </c>
      <c r="O929" t="n">
        <v>0</v>
      </c>
      <c r="P929" t="n">
        <v>0</v>
      </c>
      <c r="Q929" t="n">
        <v>0</v>
      </c>
      <c r="R929" s="2" t="inlineStr"/>
    </row>
    <row r="930" ht="15" customHeight="1">
      <c r="A930" t="inlineStr">
        <is>
          <t>A 9720-2026</t>
        </is>
      </c>
      <c r="B930" s="1" t="n">
        <v>46072.45061342593</v>
      </c>
      <c r="C930" s="1" t="n">
        <v>46169</v>
      </c>
      <c r="D930" t="inlineStr">
        <is>
          <t>STOCKHOLMS LÄN</t>
        </is>
      </c>
      <c r="E930" t="inlineStr">
        <is>
          <t>NORRTÄLJE</t>
        </is>
      </c>
      <c r="G930" t="n">
        <v>3.6</v>
      </c>
      <c r="H930" t="n">
        <v>0</v>
      </c>
      <c r="I930" t="n">
        <v>0</v>
      </c>
      <c r="J930" t="n">
        <v>0</v>
      </c>
      <c r="K930" t="n">
        <v>0</v>
      </c>
      <c r="L930" t="n">
        <v>0</v>
      </c>
      <c r="M930" t="n">
        <v>0</v>
      </c>
      <c r="N930" t="n">
        <v>0</v>
      </c>
      <c r="O930" t="n">
        <v>0</v>
      </c>
      <c r="P930" t="n">
        <v>0</v>
      </c>
      <c r="Q930" t="n">
        <v>0</v>
      </c>
      <c r="R930" s="2" t="inlineStr"/>
    </row>
    <row r="931" ht="15" customHeight="1">
      <c r="A931" t="inlineStr">
        <is>
          <t>A 10646-2026</t>
        </is>
      </c>
      <c r="B931" s="1" t="n">
        <v>46078.34157407407</v>
      </c>
      <c r="C931" s="1" t="n">
        <v>46169</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10399-2026</t>
        </is>
      </c>
      <c r="B932" s="1" t="n">
        <v>46077</v>
      </c>
      <c r="C932" s="1" t="n">
        <v>46169</v>
      </c>
      <c r="D932" t="inlineStr">
        <is>
          <t>STOCKHOLMS LÄN</t>
        </is>
      </c>
      <c r="E932" t="inlineStr">
        <is>
          <t>NORRTÄLJE</t>
        </is>
      </c>
      <c r="F932" t="inlineStr">
        <is>
          <t>Övriga Aktiebolag</t>
        </is>
      </c>
      <c r="G932" t="n">
        <v>0.2</v>
      </c>
      <c r="H932" t="n">
        <v>0</v>
      </c>
      <c r="I932" t="n">
        <v>0</v>
      </c>
      <c r="J932" t="n">
        <v>0</v>
      </c>
      <c r="K932" t="n">
        <v>0</v>
      </c>
      <c r="L932" t="n">
        <v>0</v>
      </c>
      <c r="M932" t="n">
        <v>0</v>
      </c>
      <c r="N932" t="n">
        <v>0</v>
      </c>
      <c r="O932" t="n">
        <v>0</v>
      </c>
      <c r="P932" t="n">
        <v>0</v>
      </c>
      <c r="Q932" t="n">
        <v>0</v>
      </c>
      <c r="R932" s="2" t="inlineStr"/>
    </row>
    <row r="933" ht="15" customHeight="1">
      <c r="A933" t="inlineStr">
        <is>
          <t>A 38612-2022</t>
        </is>
      </c>
      <c r="B933" s="1" t="n">
        <v>44813</v>
      </c>
      <c r="C933" s="1" t="n">
        <v>46169</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4326-2023</t>
        </is>
      </c>
      <c r="B934" s="1" t="n">
        <v>44953.70481481482</v>
      </c>
      <c r="C934" s="1" t="n">
        <v>46169</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54504-2024</t>
        </is>
      </c>
      <c r="B935" s="1" t="n">
        <v>45617.58453703704</v>
      </c>
      <c r="C935" s="1" t="n">
        <v>46169</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10586-2026</t>
        </is>
      </c>
      <c r="B936" s="1" t="n">
        <v>46077.68192129629</v>
      </c>
      <c r="C936" s="1" t="n">
        <v>46169</v>
      </c>
      <c r="D936" t="inlineStr">
        <is>
          <t>STOCKHOLMS LÄN</t>
        </is>
      </c>
      <c r="E936" t="inlineStr">
        <is>
          <t>NORRTÄLJE</t>
        </is>
      </c>
      <c r="F936" t="inlineStr">
        <is>
          <t>Holmen skog AB</t>
        </is>
      </c>
      <c r="G936" t="n">
        <v>3.3</v>
      </c>
      <c r="H936" t="n">
        <v>0</v>
      </c>
      <c r="I936" t="n">
        <v>0</v>
      </c>
      <c r="J936" t="n">
        <v>0</v>
      </c>
      <c r="K936" t="n">
        <v>0</v>
      </c>
      <c r="L936" t="n">
        <v>0</v>
      </c>
      <c r="M936" t="n">
        <v>0</v>
      </c>
      <c r="N936" t="n">
        <v>0</v>
      </c>
      <c r="O936" t="n">
        <v>0</v>
      </c>
      <c r="P936" t="n">
        <v>0</v>
      </c>
      <c r="Q936" t="n">
        <v>0</v>
      </c>
      <c r="R936" s="2" t="inlineStr"/>
    </row>
    <row r="937" ht="15" customHeight="1">
      <c r="A937" t="inlineStr">
        <is>
          <t>A 10429-2026</t>
        </is>
      </c>
      <c r="B937" s="1" t="n">
        <v>46077.3822337963</v>
      </c>
      <c r="C937" s="1" t="n">
        <v>46169</v>
      </c>
      <c r="D937" t="inlineStr">
        <is>
          <t>STOCKHOLMS LÄN</t>
        </is>
      </c>
      <c r="E937" t="inlineStr">
        <is>
          <t>NORRTÄLJE</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10553-2026</t>
        </is>
      </c>
      <c r="B938" s="1" t="n">
        <v>46077.62944444444</v>
      </c>
      <c r="C938" s="1" t="n">
        <v>46169</v>
      </c>
      <c r="D938" t="inlineStr">
        <is>
          <t>STOCKHOLMS LÄN</t>
        </is>
      </c>
      <c r="E938" t="inlineStr">
        <is>
          <t>NORRTÄLJE</t>
        </is>
      </c>
      <c r="G938" t="n">
        <v>4.9</v>
      </c>
      <c r="H938" t="n">
        <v>0</v>
      </c>
      <c r="I938" t="n">
        <v>0</v>
      </c>
      <c r="J938" t="n">
        <v>0</v>
      </c>
      <c r="K938" t="n">
        <v>0</v>
      </c>
      <c r="L938" t="n">
        <v>0</v>
      </c>
      <c r="M938" t="n">
        <v>0</v>
      </c>
      <c r="N938" t="n">
        <v>0</v>
      </c>
      <c r="O938" t="n">
        <v>0</v>
      </c>
      <c r="P938" t="n">
        <v>0</v>
      </c>
      <c r="Q938" t="n">
        <v>0</v>
      </c>
      <c r="R938" s="2" t="inlineStr"/>
    </row>
    <row r="939" ht="15" customHeight="1">
      <c r="A939" t="inlineStr">
        <is>
          <t>A 10444-2026</t>
        </is>
      </c>
      <c r="B939" s="1" t="n">
        <v>46077.42230324074</v>
      </c>
      <c r="C939" s="1" t="n">
        <v>46169</v>
      </c>
      <c r="D939" t="inlineStr">
        <is>
          <t>STOCKHOLMS LÄN</t>
        </is>
      </c>
      <c r="E939" t="inlineStr">
        <is>
          <t>NORRTÄLJE</t>
        </is>
      </c>
      <c r="F939" t="inlineStr">
        <is>
          <t>Holmen skog AB</t>
        </is>
      </c>
      <c r="G939" t="n">
        <v>4.9</v>
      </c>
      <c r="H939" t="n">
        <v>0</v>
      </c>
      <c r="I939" t="n">
        <v>0</v>
      </c>
      <c r="J939" t="n">
        <v>0</v>
      </c>
      <c r="K939" t="n">
        <v>0</v>
      </c>
      <c r="L939" t="n">
        <v>0</v>
      </c>
      <c r="M939" t="n">
        <v>0</v>
      </c>
      <c r="N939" t="n">
        <v>0</v>
      </c>
      <c r="O939" t="n">
        <v>0</v>
      </c>
      <c r="P939" t="n">
        <v>0</v>
      </c>
      <c r="Q939" t="n">
        <v>0</v>
      </c>
      <c r="R939" s="2" t="inlineStr"/>
    </row>
    <row r="940" ht="15" customHeight="1">
      <c r="A940" t="inlineStr">
        <is>
          <t>A 21745-2023</t>
        </is>
      </c>
      <c r="B940" s="1" t="n">
        <v>45065.55917824074</v>
      </c>
      <c r="C940" s="1" t="n">
        <v>46169</v>
      </c>
      <c r="D940" t="inlineStr">
        <is>
          <t>STOCKHOLMS LÄN</t>
        </is>
      </c>
      <c r="E940" t="inlineStr">
        <is>
          <t>NORRTÄLJE</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21894-2023</t>
        </is>
      </c>
      <c r="B941" s="1" t="n">
        <v>45068.51783564815</v>
      </c>
      <c r="C941" s="1" t="n">
        <v>46169</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13276-2022</t>
        </is>
      </c>
      <c r="B942" s="1" t="n">
        <v>44644</v>
      </c>
      <c r="C942" s="1" t="n">
        <v>46169</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28182-2022</t>
        </is>
      </c>
      <c r="B943" s="1" t="n">
        <v>44746.58530092592</v>
      </c>
      <c r="C943" s="1" t="n">
        <v>46169</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34461-2023</t>
        </is>
      </c>
      <c r="B944" s="1" t="n">
        <v>45139</v>
      </c>
      <c r="C944" s="1" t="n">
        <v>46169</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51046-2023</t>
        </is>
      </c>
      <c r="B945" s="1" t="n">
        <v>45218</v>
      </c>
      <c r="C945" s="1" t="n">
        <v>46169</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17382-2024</t>
        </is>
      </c>
      <c r="B946" s="1" t="n">
        <v>45414.65855324074</v>
      </c>
      <c r="C946" s="1" t="n">
        <v>46169</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6070-2022</t>
        </is>
      </c>
      <c r="B947" s="1" t="n">
        <v>44599.58428240741</v>
      </c>
      <c r="C947" s="1" t="n">
        <v>46169</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17039-2024</t>
        </is>
      </c>
      <c r="B948" s="1" t="n">
        <v>45412.4104050926</v>
      </c>
      <c r="C948" s="1" t="n">
        <v>46169</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48180-2023</t>
        </is>
      </c>
      <c r="B949" s="1" t="n">
        <v>45205</v>
      </c>
      <c r="C949" s="1" t="n">
        <v>46169</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11648-2026</t>
        </is>
      </c>
      <c r="B950" s="1" t="n">
        <v>46084.51575231482</v>
      </c>
      <c r="C950" s="1" t="n">
        <v>46169</v>
      </c>
      <c r="D950" t="inlineStr">
        <is>
          <t>STOCKHOLMS LÄN</t>
        </is>
      </c>
      <c r="E950" t="inlineStr">
        <is>
          <t>NORRTÄLJE</t>
        </is>
      </c>
      <c r="G950" t="n">
        <v>4.1</v>
      </c>
      <c r="H950" t="n">
        <v>0</v>
      </c>
      <c r="I950" t="n">
        <v>0</v>
      </c>
      <c r="J950" t="n">
        <v>0</v>
      </c>
      <c r="K950" t="n">
        <v>0</v>
      </c>
      <c r="L950" t="n">
        <v>0</v>
      </c>
      <c r="M950" t="n">
        <v>0</v>
      </c>
      <c r="N950" t="n">
        <v>0</v>
      </c>
      <c r="O950" t="n">
        <v>0</v>
      </c>
      <c r="P950" t="n">
        <v>0</v>
      </c>
      <c r="Q950" t="n">
        <v>0</v>
      </c>
      <c r="R950" s="2" t="inlineStr"/>
    </row>
    <row r="951" ht="15" customHeight="1">
      <c r="A951" t="inlineStr">
        <is>
          <t>A 35695-2023</t>
        </is>
      </c>
      <c r="B951" s="1" t="n">
        <v>45147.65407407407</v>
      </c>
      <c r="C951" s="1" t="n">
        <v>46169</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45173-2023</t>
        </is>
      </c>
      <c r="B952" s="1" t="n">
        <v>45191</v>
      </c>
      <c r="C952" s="1" t="n">
        <v>46169</v>
      </c>
      <c r="D952" t="inlineStr">
        <is>
          <t>STOCKHOLMS LÄN</t>
        </is>
      </c>
      <c r="E952" t="inlineStr">
        <is>
          <t>NORRTÄLJE</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24705-2023</t>
        </is>
      </c>
      <c r="B953" s="1" t="n">
        <v>45084.54459490741</v>
      </c>
      <c r="C953" s="1" t="n">
        <v>46169</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21696-2024</t>
        </is>
      </c>
      <c r="B954" s="1" t="n">
        <v>45442.45686342593</v>
      </c>
      <c r="C954" s="1" t="n">
        <v>46169</v>
      </c>
      <c r="D954" t="inlineStr">
        <is>
          <t>STOCKHOLMS LÄN</t>
        </is>
      </c>
      <c r="E954" t="inlineStr">
        <is>
          <t>NORRTÄLJE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67990-2021</t>
        </is>
      </c>
      <c r="B955" s="1" t="n">
        <v>44525</v>
      </c>
      <c r="C955" s="1" t="n">
        <v>46169</v>
      </c>
      <c r="D955" t="inlineStr">
        <is>
          <t>STOCKHOLMS LÄN</t>
        </is>
      </c>
      <c r="E955" t="inlineStr">
        <is>
          <t>NORRTÄLJE</t>
        </is>
      </c>
      <c r="F955" t="inlineStr">
        <is>
          <t>Sveaskog</t>
        </is>
      </c>
      <c r="G955" t="n">
        <v>7.8</v>
      </c>
      <c r="H955" t="n">
        <v>0</v>
      </c>
      <c r="I955" t="n">
        <v>0</v>
      </c>
      <c r="J955" t="n">
        <v>0</v>
      </c>
      <c r="K955" t="n">
        <v>0</v>
      </c>
      <c r="L955" t="n">
        <v>0</v>
      </c>
      <c r="M955" t="n">
        <v>0</v>
      </c>
      <c r="N955" t="n">
        <v>0</v>
      </c>
      <c r="O955" t="n">
        <v>0</v>
      </c>
      <c r="P955" t="n">
        <v>0</v>
      </c>
      <c r="Q955" t="n">
        <v>0</v>
      </c>
      <c r="R955" s="2" t="inlineStr"/>
    </row>
    <row r="956" ht="15" customHeight="1">
      <c r="A956" t="inlineStr">
        <is>
          <t>A 71552-2021</t>
        </is>
      </c>
      <c r="B956" s="1" t="n">
        <v>44540</v>
      </c>
      <c r="C956" s="1" t="n">
        <v>46169</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73992-2021</t>
        </is>
      </c>
      <c r="B957" s="1" t="n">
        <v>44556</v>
      </c>
      <c r="C957" s="1" t="n">
        <v>46169</v>
      </c>
      <c r="D957" t="inlineStr">
        <is>
          <t>STOCKHOLMS LÄN</t>
        </is>
      </c>
      <c r="E957" t="inlineStr">
        <is>
          <t>NORRTÄLJE</t>
        </is>
      </c>
      <c r="G957" t="n">
        <v>12.5</v>
      </c>
      <c r="H957" t="n">
        <v>0</v>
      </c>
      <c r="I957" t="n">
        <v>0</v>
      </c>
      <c r="J957" t="n">
        <v>0</v>
      </c>
      <c r="K957" t="n">
        <v>0</v>
      </c>
      <c r="L957" t="n">
        <v>0</v>
      </c>
      <c r="M957" t="n">
        <v>0</v>
      </c>
      <c r="N957" t="n">
        <v>0</v>
      </c>
      <c r="O957" t="n">
        <v>0</v>
      </c>
      <c r="P957" t="n">
        <v>0</v>
      </c>
      <c r="Q957" t="n">
        <v>0</v>
      </c>
      <c r="R957" s="2" t="inlineStr"/>
    </row>
    <row r="958" ht="15" customHeight="1">
      <c r="A958" t="inlineStr">
        <is>
          <t>A 26113-2024</t>
        </is>
      </c>
      <c r="B958" s="1" t="n">
        <v>45468.45541666666</v>
      </c>
      <c r="C958" s="1" t="n">
        <v>46169</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26116-2024</t>
        </is>
      </c>
      <c r="B959" s="1" t="n">
        <v>45468.45747685185</v>
      </c>
      <c r="C959" s="1" t="n">
        <v>46169</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15978-2024</t>
        </is>
      </c>
      <c r="B960" s="1" t="n">
        <v>45405.57927083333</v>
      </c>
      <c r="C960" s="1" t="n">
        <v>46169</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11333-2025</t>
        </is>
      </c>
      <c r="B961" s="1" t="n">
        <v>45726.48377314815</v>
      </c>
      <c r="C961" s="1" t="n">
        <v>46169</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12234-2026</t>
        </is>
      </c>
      <c r="B962" s="1" t="n">
        <v>46087.4091087963</v>
      </c>
      <c r="C962" s="1" t="n">
        <v>46169</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34391-2023</t>
        </is>
      </c>
      <c r="B963" s="1" t="n">
        <v>45139.51457175926</v>
      </c>
      <c r="C963" s="1" t="n">
        <v>46169</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67921-2021</t>
        </is>
      </c>
      <c r="B964" s="1" t="n">
        <v>44525</v>
      </c>
      <c r="C964" s="1" t="n">
        <v>46169</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25681-2024</t>
        </is>
      </c>
      <c r="B965" s="1" t="n">
        <v>45463.80486111111</v>
      </c>
      <c r="C965" s="1" t="n">
        <v>46169</v>
      </c>
      <c r="D965" t="inlineStr">
        <is>
          <t>STOCKHOLMS LÄN</t>
        </is>
      </c>
      <c r="E965" t="inlineStr">
        <is>
          <t>NORRTÄLJE</t>
        </is>
      </c>
      <c r="G965" t="n">
        <v>2.7</v>
      </c>
      <c r="H965" t="n">
        <v>0</v>
      </c>
      <c r="I965" t="n">
        <v>0</v>
      </c>
      <c r="J965" t="n">
        <v>0</v>
      </c>
      <c r="K965" t="n">
        <v>0</v>
      </c>
      <c r="L965" t="n">
        <v>0</v>
      </c>
      <c r="M965" t="n">
        <v>0</v>
      </c>
      <c r="N965" t="n">
        <v>0</v>
      </c>
      <c r="O965" t="n">
        <v>0</v>
      </c>
      <c r="P965" t="n">
        <v>0</v>
      </c>
      <c r="Q965" t="n">
        <v>0</v>
      </c>
      <c r="R965" s="2" t="inlineStr"/>
    </row>
    <row r="966" ht="15" customHeight="1">
      <c r="A966" t="inlineStr">
        <is>
          <t>A 19170-2026</t>
        </is>
      </c>
      <c r="B966" s="1" t="n">
        <v>46132.5859837963</v>
      </c>
      <c r="C966" s="1" t="n">
        <v>46169</v>
      </c>
      <c r="D966" t="inlineStr">
        <is>
          <t>STOCKHOLMS LÄN</t>
        </is>
      </c>
      <c r="E966" t="inlineStr">
        <is>
          <t>NORRTÄLJE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58853-2024</t>
        </is>
      </c>
      <c r="B967" s="1" t="n">
        <v>45636.38974537037</v>
      </c>
      <c r="C967" s="1" t="n">
        <v>46169</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19129-2026</t>
        </is>
      </c>
      <c r="B968" s="1" t="n">
        <v>46132.48601851852</v>
      </c>
      <c r="C968" s="1" t="n">
        <v>46169</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35438-2023</t>
        </is>
      </c>
      <c r="B969" s="1" t="n">
        <v>45146</v>
      </c>
      <c r="C969" s="1" t="n">
        <v>46169</v>
      </c>
      <c r="D969" t="inlineStr">
        <is>
          <t>STOCKHOLMS LÄN</t>
        </is>
      </c>
      <c r="E969" t="inlineStr">
        <is>
          <t>NORRTÄLJE</t>
        </is>
      </c>
      <c r="F969" t="inlineStr">
        <is>
          <t>Kommuner</t>
        </is>
      </c>
      <c r="G969" t="n">
        <v>1.9</v>
      </c>
      <c r="H969" t="n">
        <v>0</v>
      </c>
      <c r="I969" t="n">
        <v>0</v>
      </c>
      <c r="J969" t="n">
        <v>0</v>
      </c>
      <c r="K969" t="n">
        <v>0</v>
      </c>
      <c r="L969" t="n">
        <v>0</v>
      </c>
      <c r="M969" t="n">
        <v>0</v>
      </c>
      <c r="N969" t="n">
        <v>0</v>
      </c>
      <c r="O969" t="n">
        <v>0</v>
      </c>
      <c r="P969" t="n">
        <v>0</v>
      </c>
      <c r="Q969" t="n">
        <v>0</v>
      </c>
      <c r="R969" s="2" t="inlineStr"/>
    </row>
    <row r="970" ht="15" customHeight="1">
      <c r="A970" t="inlineStr">
        <is>
          <t>A 20291-2022</t>
        </is>
      </c>
      <c r="B970" s="1" t="n">
        <v>44698</v>
      </c>
      <c r="C970" s="1" t="n">
        <v>46169</v>
      </c>
      <c r="D970" t="inlineStr">
        <is>
          <t>STOCKHOLMS LÄN</t>
        </is>
      </c>
      <c r="E970" t="inlineStr">
        <is>
          <t>NORRTÄLJE</t>
        </is>
      </c>
      <c r="F970" t="inlineStr">
        <is>
          <t>Naturvårdsverket</t>
        </is>
      </c>
      <c r="G970" t="n">
        <v>2</v>
      </c>
      <c r="H970" t="n">
        <v>0</v>
      </c>
      <c r="I970" t="n">
        <v>0</v>
      </c>
      <c r="J970" t="n">
        <v>0</v>
      </c>
      <c r="K970" t="n">
        <v>0</v>
      </c>
      <c r="L970" t="n">
        <v>0</v>
      </c>
      <c r="M970" t="n">
        <v>0</v>
      </c>
      <c r="N970" t="n">
        <v>0</v>
      </c>
      <c r="O970" t="n">
        <v>0</v>
      </c>
      <c r="P970" t="n">
        <v>0</v>
      </c>
      <c r="Q970" t="n">
        <v>0</v>
      </c>
      <c r="R970" s="2" t="inlineStr"/>
    </row>
    <row r="971" ht="15" customHeight="1">
      <c r="A971" t="inlineStr">
        <is>
          <t>A 26115-2024</t>
        </is>
      </c>
      <c r="B971" s="1" t="n">
        <v>45468.45628472222</v>
      </c>
      <c r="C971" s="1" t="n">
        <v>46169</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12718-2026</t>
        </is>
      </c>
      <c r="B972" s="1" t="n">
        <v>46091.60412037037</v>
      </c>
      <c r="C972" s="1" t="n">
        <v>46169</v>
      </c>
      <c r="D972" t="inlineStr">
        <is>
          <t>STOCKHOLMS LÄN</t>
        </is>
      </c>
      <c r="E972" t="inlineStr">
        <is>
          <t>NORRTÄLJE</t>
        </is>
      </c>
      <c r="F972" t="inlineStr">
        <is>
          <t>Holmen skog AB</t>
        </is>
      </c>
      <c r="G972" t="n">
        <v>1</v>
      </c>
      <c r="H972" t="n">
        <v>0</v>
      </c>
      <c r="I972" t="n">
        <v>0</v>
      </c>
      <c r="J972" t="n">
        <v>0</v>
      </c>
      <c r="K972" t="n">
        <v>0</v>
      </c>
      <c r="L972" t="n">
        <v>0</v>
      </c>
      <c r="M972" t="n">
        <v>0</v>
      </c>
      <c r="N972" t="n">
        <v>0</v>
      </c>
      <c r="O972" t="n">
        <v>0</v>
      </c>
      <c r="P972" t="n">
        <v>0</v>
      </c>
      <c r="Q972" t="n">
        <v>0</v>
      </c>
      <c r="R972" s="2" t="inlineStr"/>
    </row>
    <row r="973" ht="15" customHeight="1">
      <c r="A973" t="inlineStr">
        <is>
          <t>A 19118-2022</t>
        </is>
      </c>
      <c r="B973" s="1" t="n">
        <v>44691.5652662037</v>
      </c>
      <c r="C973" s="1" t="n">
        <v>46169</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19688-2026</t>
        </is>
      </c>
      <c r="B974" s="1" t="n">
        <v>46134.67685185185</v>
      </c>
      <c r="C974" s="1" t="n">
        <v>46169</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12703-2026</t>
        </is>
      </c>
      <c r="B975" s="1" t="n">
        <v>46091.58175925926</v>
      </c>
      <c r="C975" s="1" t="n">
        <v>46169</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8739-2024</t>
        </is>
      </c>
      <c r="B976" s="1" t="n">
        <v>45356.47784722222</v>
      </c>
      <c r="C976" s="1" t="n">
        <v>46169</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38759-2022</t>
        </is>
      </c>
      <c r="B977" s="1" t="n">
        <v>44816</v>
      </c>
      <c r="C977" s="1" t="n">
        <v>46169</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19352-2026</t>
        </is>
      </c>
      <c r="B978" s="1" t="n">
        <v>46133.47344907407</v>
      </c>
      <c r="C978" s="1" t="n">
        <v>46169</v>
      </c>
      <c r="D978" t="inlineStr">
        <is>
          <t>STOCKHOLMS LÄN</t>
        </is>
      </c>
      <c r="E978" t="inlineStr">
        <is>
          <t>NORRTÄLJE</t>
        </is>
      </c>
      <c r="G978" t="n">
        <v>5.5</v>
      </c>
      <c r="H978" t="n">
        <v>0</v>
      </c>
      <c r="I978" t="n">
        <v>0</v>
      </c>
      <c r="J978" t="n">
        <v>0</v>
      </c>
      <c r="K978" t="n">
        <v>0</v>
      </c>
      <c r="L978" t="n">
        <v>0</v>
      </c>
      <c r="M978" t="n">
        <v>0</v>
      </c>
      <c r="N978" t="n">
        <v>0</v>
      </c>
      <c r="O978" t="n">
        <v>0</v>
      </c>
      <c r="P978" t="n">
        <v>0</v>
      </c>
      <c r="Q978" t="n">
        <v>0</v>
      </c>
      <c r="R978" s="2" t="inlineStr"/>
    </row>
    <row r="979" ht="15" customHeight="1">
      <c r="A979" t="inlineStr">
        <is>
          <t>A 19358-2026</t>
        </is>
      </c>
      <c r="B979" s="1" t="n">
        <v>46133.4978125</v>
      </c>
      <c r="C979" s="1" t="n">
        <v>46169</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32857-2021</t>
        </is>
      </c>
      <c r="B980" s="1" t="n">
        <v>44375</v>
      </c>
      <c r="C980" s="1" t="n">
        <v>46169</v>
      </c>
      <c r="D980" t="inlineStr">
        <is>
          <t>STOCKHOLMS LÄN</t>
        </is>
      </c>
      <c r="E980" t="inlineStr">
        <is>
          <t>NORRTÄLJE</t>
        </is>
      </c>
      <c r="G980" t="n">
        <v>2.9</v>
      </c>
      <c r="H980" t="n">
        <v>0</v>
      </c>
      <c r="I980" t="n">
        <v>0</v>
      </c>
      <c r="J980" t="n">
        <v>0</v>
      </c>
      <c r="K980" t="n">
        <v>0</v>
      </c>
      <c r="L980" t="n">
        <v>0</v>
      </c>
      <c r="M980" t="n">
        <v>0</v>
      </c>
      <c r="N980" t="n">
        <v>0</v>
      </c>
      <c r="O980" t="n">
        <v>0</v>
      </c>
      <c r="P980" t="n">
        <v>0</v>
      </c>
      <c r="Q980" t="n">
        <v>0</v>
      </c>
      <c r="R980" s="2" t="inlineStr"/>
    </row>
    <row r="981" ht="15" customHeight="1">
      <c r="A981" t="inlineStr">
        <is>
          <t>A 29714-2023</t>
        </is>
      </c>
      <c r="B981" s="1" t="n">
        <v>45107.42538194444</v>
      </c>
      <c r="C981" s="1" t="n">
        <v>46169</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23271-2023</t>
        </is>
      </c>
      <c r="B982" s="1" t="n">
        <v>45075.91362268518</v>
      </c>
      <c r="C982" s="1" t="n">
        <v>46169</v>
      </c>
      <c r="D982" t="inlineStr">
        <is>
          <t>STOCKHOLMS LÄN</t>
        </is>
      </c>
      <c r="E982" t="inlineStr">
        <is>
          <t>NORRTÄLJE</t>
        </is>
      </c>
      <c r="G982" t="n">
        <v>5.1</v>
      </c>
      <c r="H982" t="n">
        <v>0</v>
      </c>
      <c r="I982" t="n">
        <v>0</v>
      </c>
      <c r="J982" t="n">
        <v>0</v>
      </c>
      <c r="K982" t="n">
        <v>0</v>
      </c>
      <c r="L982" t="n">
        <v>0</v>
      </c>
      <c r="M982" t="n">
        <v>0</v>
      </c>
      <c r="N982" t="n">
        <v>0</v>
      </c>
      <c r="O982" t="n">
        <v>0</v>
      </c>
      <c r="P982" t="n">
        <v>0</v>
      </c>
      <c r="Q982" t="n">
        <v>0</v>
      </c>
      <c r="R982" s="2" t="inlineStr"/>
    </row>
    <row r="983" ht="15" customHeight="1">
      <c r="A983" t="inlineStr">
        <is>
          <t>A 23273-2023</t>
        </is>
      </c>
      <c r="B983" s="1" t="n">
        <v>45075.91971064815</v>
      </c>
      <c r="C983" s="1" t="n">
        <v>46169</v>
      </c>
      <c r="D983" t="inlineStr">
        <is>
          <t>STOCKHOLMS LÄN</t>
        </is>
      </c>
      <c r="E983" t="inlineStr">
        <is>
          <t>NORRTÄLJE</t>
        </is>
      </c>
      <c r="G983" t="n">
        <v>7.5</v>
      </c>
      <c r="H983" t="n">
        <v>0</v>
      </c>
      <c r="I983" t="n">
        <v>0</v>
      </c>
      <c r="J983" t="n">
        <v>0</v>
      </c>
      <c r="K983" t="n">
        <v>0</v>
      </c>
      <c r="L983" t="n">
        <v>0</v>
      </c>
      <c r="M983" t="n">
        <v>0</v>
      </c>
      <c r="N983" t="n">
        <v>0</v>
      </c>
      <c r="O983" t="n">
        <v>0</v>
      </c>
      <c r="P983" t="n">
        <v>0</v>
      </c>
      <c r="Q983" t="n">
        <v>0</v>
      </c>
      <c r="R983" s="2" t="inlineStr"/>
    </row>
    <row r="984" ht="15" customHeight="1">
      <c r="A984" t="inlineStr">
        <is>
          <t>A 13544-2026</t>
        </is>
      </c>
      <c r="B984" s="1" t="n">
        <v>46094.68538194444</v>
      </c>
      <c r="C984" s="1" t="n">
        <v>46169</v>
      </c>
      <c r="D984" t="inlineStr">
        <is>
          <t>STOCKHOLMS LÄN</t>
        </is>
      </c>
      <c r="E984" t="inlineStr">
        <is>
          <t>NORRTÄLJE</t>
        </is>
      </c>
      <c r="F984" t="inlineStr">
        <is>
          <t>Holmen skog AB</t>
        </is>
      </c>
      <c r="G984" t="n">
        <v>3.2</v>
      </c>
      <c r="H984" t="n">
        <v>0</v>
      </c>
      <c r="I984" t="n">
        <v>0</v>
      </c>
      <c r="J984" t="n">
        <v>0</v>
      </c>
      <c r="K984" t="n">
        <v>0</v>
      </c>
      <c r="L984" t="n">
        <v>0</v>
      </c>
      <c r="M984" t="n">
        <v>0</v>
      </c>
      <c r="N984" t="n">
        <v>0</v>
      </c>
      <c r="O984" t="n">
        <v>0</v>
      </c>
      <c r="P984" t="n">
        <v>0</v>
      </c>
      <c r="Q984" t="n">
        <v>0</v>
      </c>
      <c r="R984" s="2" t="inlineStr"/>
    </row>
    <row r="985" ht="15" customHeight="1">
      <c r="A985" t="inlineStr">
        <is>
          <t>A 13204-2026</t>
        </is>
      </c>
      <c r="B985" s="1" t="n">
        <v>46093.60788194444</v>
      </c>
      <c r="C985" s="1" t="n">
        <v>46169</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13545-2026</t>
        </is>
      </c>
      <c r="B986" s="1" t="n">
        <v>46094.6911574074</v>
      </c>
      <c r="C986" s="1" t="n">
        <v>46169</v>
      </c>
      <c r="D986" t="inlineStr">
        <is>
          <t>STOCKHOLMS LÄN</t>
        </is>
      </c>
      <c r="E986" t="inlineStr">
        <is>
          <t>NORRTÄLJE</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13109-2026</t>
        </is>
      </c>
      <c r="B987" s="1" t="n">
        <v>46093.42730324074</v>
      </c>
      <c r="C987" s="1" t="n">
        <v>46169</v>
      </c>
      <c r="D987" t="inlineStr">
        <is>
          <t>STOCKHOLMS LÄN</t>
        </is>
      </c>
      <c r="E987" t="inlineStr">
        <is>
          <t>NORRTÄLJE</t>
        </is>
      </c>
      <c r="G987" t="n">
        <v>4</v>
      </c>
      <c r="H987" t="n">
        <v>0</v>
      </c>
      <c r="I987" t="n">
        <v>0</v>
      </c>
      <c r="J987" t="n">
        <v>0</v>
      </c>
      <c r="K987" t="n">
        <v>0</v>
      </c>
      <c r="L987" t="n">
        <v>0</v>
      </c>
      <c r="M987" t="n">
        <v>0</v>
      </c>
      <c r="N987" t="n">
        <v>0</v>
      </c>
      <c r="O987" t="n">
        <v>0</v>
      </c>
      <c r="P987" t="n">
        <v>0</v>
      </c>
      <c r="Q987" t="n">
        <v>0</v>
      </c>
      <c r="R987" s="2" t="inlineStr"/>
    </row>
    <row r="988" ht="15" customHeight="1">
      <c r="A988" t="inlineStr">
        <is>
          <t>A 13122-2026</t>
        </is>
      </c>
      <c r="B988" s="1" t="n">
        <v>46093.45657407407</v>
      </c>
      <c r="C988" s="1" t="n">
        <v>46169</v>
      </c>
      <c r="D988" t="inlineStr">
        <is>
          <t>STOCKHOLMS LÄN</t>
        </is>
      </c>
      <c r="E988" t="inlineStr">
        <is>
          <t>NORRTÄLJE</t>
        </is>
      </c>
      <c r="G988" t="n">
        <v>4</v>
      </c>
      <c r="H988" t="n">
        <v>0</v>
      </c>
      <c r="I988" t="n">
        <v>0</v>
      </c>
      <c r="J988" t="n">
        <v>0</v>
      </c>
      <c r="K988" t="n">
        <v>0</v>
      </c>
      <c r="L988" t="n">
        <v>0</v>
      </c>
      <c r="M988" t="n">
        <v>0</v>
      </c>
      <c r="N988" t="n">
        <v>0</v>
      </c>
      <c r="O988" t="n">
        <v>0</v>
      </c>
      <c r="P988" t="n">
        <v>0</v>
      </c>
      <c r="Q988" t="n">
        <v>0</v>
      </c>
      <c r="R988" s="2" t="inlineStr"/>
    </row>
    <row r="989" ht="15" customHeight="1">
      <c r="A989" t="inlineStr">
        <is>
          <t>A 7603-2025</t>
        </is>
      </c>
      <c r="B989" s="1" t="n">
        <v>45705.66126157407</v>
      </c>
      <c r="C989" s="1" t="n">
        <v>46169</v>
      </c>
      <c r="D989" t="inlineStr">
        <is>
          <t>STOCKHOLMS LÄN</t>
        </is>
      </c>
      <c r="E989" t="inlineStr">
        <is>
          <t>NORRTÄLJE</t>
        </is>
      </c>
      <c r="F989" t="inlineStr">
        <is>
          <t>Holmen skog AB</t>
        </is>
      </c>
      <c r="G989" t="n">
        <v>2.4</v>
      </c>
      <c r="H989" t="n">
        <v>0</v>
      </c>
      <c r="I989" t="n">
        <v>0</v>
      </c>
      <c r="J989" t="n">
        <v>0</v>
      </c>
      <c r="K989" t="n">
        <v>0</v>
      </c>
      <c r="L989" t="n">
        <v>0</v>
      </c>
      <c r="M989" t="n">
        <v>0</v>
      </c>
      <c r="N989" t="n">
        <v>0</v>
      </c>
      <c r="O989" t="n">
        <v>0</v>
      </c>
      <c r="P989" t="n">
        <v>0</v>
      </c>
      <c r="Q989" t="n">
        <v>0</v>
      </c>
      <c r="R989" s="2" t="inlineStr"/>
    </row>
    <row r="990" ht="15" customHeight="1">
      <c r="A990" t="inlineStr">
        <is>
          <t>A 13546-2026</t>
        </is>
      </c>
      <c r="B990" s="1" t="n">
        <v>46094.69196759259</v>
      </c>
      <c r="C990" s="1" t="n">
        <v>46169</v>
      </c>
      <c r="D990" t="inlineStr">
        <is>
          <t>STOCKHOLMS LÄN</t>
        </is>
      </c>
      <c r="E990" t="inlineStr">
        <is>
          <t>NORRTÄLJE</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19759-2026</t>
        </is>
      </c>
      <c r="B991" s="1" t="n">
        <v>46135.41234953704</v>
      </c>
      <c r="C991" s="1" t="n">
        <v>46169</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30802-2022</t>
        </is>
      </c>
      <c r="B992" s="1" t="n">
        <v>44764</v>
      </c>
      <c r="C992" s="1" t="n">
        <v>46169</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55369-2023</t>
        </is>
      </c>
      <c r="B993" s="1" t="n">
        <v>45238</v>
      </c>
      <c r="C993" s="1" t="n">
        <v>46169</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61113-2023</t>
        </is>
      </c>
      <c r="B994" s="1" t="n">
        <v>45261</v>
      </c>
      <c r="C994" s="1" t="n">
        <v>46169</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3283-2025</t>
        </is>
      </c>
      <c r="B995" s="1" t="n">
        <v>45679</v>
      </c>
      <c r="C995" s="1" t="n">
        <v>46169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59477-2025</t>
        </is>
      </c>
      <c r="B996" s="1" t="n">
        <v>45989.58679398148</v>
      </c>
      <c r="C996" s="1" t="n">
        <v>46169</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34295-2024</t>
        </is>
      </c>
      <c r="B997" s="1" t="n">
        <v>45524</v>
      </c>
      <c r="C997" s="1" t="n">
        <v>46169</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58311-2023</t>
        </is>
      </c>
      <c r="B998" s="1" t="n">
        <v>45245</v>
      </c>
      <c r="C998" s="1" t="n">
        <v>46169</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23692-2024</t>
        </is>
      </c>
      <c r="B999" s="1" t="n">
        <v>45454.65774305556</v>
      </c>
      <c r="C999" s="1" t="n">
        <v>46169</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54273-2021</t>
        </is>
      </c>
      <c r="B1000" s="1" t="n">
        <v>44470.72987268519</v>
      </c>
      <c r="C1000" s="1" t="n">
        <v>46169</v>
      </c>
      <c r="D1000" t="inlineStr">
        <is>
          <t>STOCKHOLMS LÄN</t>
        </is>
      </c>
      <c r="E1000" t="inlineStr">
        <is>
          <t>NORRTÄLJE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7806-2025</t>
        </is>
      </c>
      <c r="B1001" s="1" t="n">
        <v>45706.61178240741</v>
      </c>
      <c r="C1001" s="1" t="n">
        <v>46169</v>
      </c>
      <c r="D1001" t="inlineStr">
        <is>
          <t>STOCKHOLMS LÄN</t>
        </is>
      </c>
      <c r="E1001" t="inlineStr">
        <is>
          <t>NORRTÄLJE</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53792-2023</t>
        </is>
      </c>
      <c r="B1002" s="1" t="n">
        <v>45231.34144675926</v>
      </c>
      <c r="C1002" s="1" t="n">
        <v>46169</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21329-2022</t>
        </is>
      </c>
      <c r="B1003" s="1" t="n">
        <v>44705.60626157407</v>
      </c>
      <c r="C1003" s="1" t="n">
        <v>46169</v>
      </c>
      <c r="D1003" t="inlineStr">
        <is>
          <t>STOCKHOLMS LÄN</t>
        </is>
      </c>
      <c r="E1003" t="inlineStr">
        <is>
          <t>NORRTÄLJE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50569-2022</t>
        </is>
      </c>
      <c r="B1004" s="1" t="n">
        <v>44866.63775462963</v>
      </c>
      <c r="C1004" s="1" t="n">
        <v>46169</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24501-2023</t>
        </is>
      </c>
      <c r="B1005" s="1" t="n">
        <v>45082</v>
      </c>
      <c r="C1005" s="1" t="n">
        <v>46169</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24520-2023</t>
        </is>
      </c>
      <c r="B1006" s="1" t="n">
        <v>45082.68922453704</v>
      </c>
      <c r="C1006" s="1" t="n">
        <v>46169</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60654-2023</t>
        </is>
      </c>
      <c r="B1007" s="1" t="n">
        <v>45260.43225694444</v>
      </c>
      <c r="C1007" s="1" t="n">
        <v>46169</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60656-2023</t>
        </is>
      </c>
      <c r="B1008" s="1" t="n">
        <v>45260.4333449074</v>
      </c>
      <c r="C1008" s="1" t="n">
        <v>46169</v>
      </c>
      <c r="D1008" t="inlineStr">
        <is>
          <t>STOCKHOLMS LÄN</t>
        </is>
      </c>
      <c r="E1008" t="inlineStr">
        <is>
          <t>NORRTÄLJE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54496-2024</t>
        </is>
      </c>
      <c r="B1009" s="1" t="n">
        <v>45617.57439814815</v>
      </c>
      <c r="C1009" s="1" t="n">
        <v>46169</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14475-2026</t>
        </is>
      </c>
      <c r="B1010" s="1" t="n">
        <v>46100.57251157407</v>
      </c>
      <c r="C1010" s="1" t="n">
        <v>46169</v>
      </c>
      <c r="D1010" t="inlineStr">
        <is>
          <t>STOCKHOLMS LÄN</t>
        </is>
      </c>
      <c r="E1010" t="inlineStr">
        <is>
          <t>NORRTÄLJE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14348-2026</t>
        </is>
      </c>
      <c r="B1011" s="1" t="n">
        <v>46100.34112268518</v>
      </c>
      <c r="C1011" s="1" t="n">
        <v>46169</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21386-2023</t>
        </is>
      </c>
      <c r="B1012" s="1" t="n">
        <v>45063.35880787037</v>
      </c>
      <c r="C1012" s="1" t="n">
        <v>46169</v>
      </c>
      <c r="D1012" t="inlineStr">
        <is>
          <t>STOCKHOLMS LÄN</t>
        </is>
      </c>
      <c r="E1012" t="inlineStr">
        <is>
          <t>NORRTÄLJE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10642-2025</t>
        </is>
      </c>
      <c r="B1013" s="1" t="n">
        <v>45721.65858796296</v>
      </c>
      <c r="C1013" s="1" t="n">
        <v>46169</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20144-2023</t>
        </is>
      </c>
      <c r="B1014" s="1" t="n">
        <v>45055.43509259259</v>
      </c>
      <c r="C1014" s="1" t="n">
        <v>46169</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53312-2024</t>
        </is>
      </c>
      <c r="B1015" s="1" t="n">
        <v>45614.39627314815</v>
      </c>
      <c r="C1015" s="1" t="n">
        <v>46169</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39202-2024</t>
        </is>
      </c>
      <c r="B1016" s="1" t="n">
        <v>45548.72306712963</v>
      </c>
      <c r="C1016" s="1" t="n">
        <v>46169</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22756-2022</t>
        </is>
      </c>
      <c r="B1017" s="1" t="n">
        <v>44714.92253472222</v>
      </c>
      <c r="C1017" s="1" t="n">
        <v>46169</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4581-2025</t>
        </is>
      </c>
      <c r="B1018" s="1" t="n">
        <v>45687</v>
      </c>
      <c r="C1018" s="1" t="n">
        <v>46169</v>
      </c>
      <c r="D1018" t="inlineStr">
        <is>
          <t>STOCKHOLMS LÄN</t>
        </is>
      </c>
      <c r="E1018" t="inlineStr">
        <is>
          <t>NORRTÄLJE</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60765-2023</t>
        </is>
      </c>
      <c r="B1019" s="1" t="n">
        <v>45260</v>
      </c>
      <c r="C1019" s="1" t="n">
        <v>46169</v>
      </c>
      <c r="D1019" t="inlineStr">
        <is>
          <t>STOCKHOLMS LÄN</t>
        </is>
      </c>
      <c r="E1019" t="inlineStr">
        <is>
          <t>NORRTÄLJE</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23801-2022</t>
        </is>
      </c>
      <c r="B1020" s="1" t="n">
        <v>44722</v>
      </c>
      <c r="C1020" s="1" t="n">
        <v>46169</v>
      </c>
      <c r="D1020" t="inlineStr">
        <is>
          <t>STOCKHOLMS LÄN</t>
        </is>
      </c>
      <c r="E1020" t="inlineStr">
        <is>
          <t>NORRTÄLJE</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59276-2023</t>
        </is>
      </c>
      <c r="B1021" s="1" t="n">
        <v>45253.55641203704</v>
      </c>
      <c r="C1021" s="1" t="n">
        <v>46169</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46914-2022</t>
        </is>
      </c>
      <c r="B1022" s="1" t="n">
        <v>44851</v>
      </c>
      <c r="C1022" s="1" t="n">
        <v>46169</v>
      </c>
      <c r="D1022" t="inlineStr">
        <is>
          <t>STOCKHOLMS LÄN</t>
        </is>
      </c>
      <c r="E1022" t="inlineStr">
        <is>
          <t>NORRTÄLJE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18541-2023</t>
        </is>
      </c>
      <c r="B1023" s="1" t="n">
        <v>45042.74291666667</v>
      </c>
      <c r="C1023" s="1" t="n">
        <v>46169</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3509-2022</t>
        </is>
      </c>
      <c r="B1024" s="1" t="n">
        <v>44585</v>
      </c>
      <c r="C1024" s="1" t="n">
        <v>46169</v>
      </c>
      <c r="D1024" t="inlineStr">
        <is>
          <t>STOCKHOLMS LÄN</t>
        </is>
      </c>
      <c r="E1024" t="inlineStr">
        <is>
          <t>NORRTÄLJE</t>
        </is>
      </c>
      <c r="F1024" t="inlineStr">
        <is>
          <t>Kommuner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26407-2024</t>
        </is>
      </c>
      <c r="B1025" s="1" t="n">
        <v>45469</v>
      </c>
      <c r="C1025" s="1" t="n">
        <v>46169</v>
      </c>
      <c r="D1025" t="inlineStr">
        <is>
          <t>STOCKHOLMS LÄN</t>
        </is>
      </c>
      <c r="E1025" t="inlineStr">
        <is>
          <t>NORRTÄLJE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12890-2024</t>
        </is>
      </c>
      <c r="B1026" s="1" t="n">
        <v>45385.36243055556</v>
      </c>
      <c r="C1026" s="1" t="n">
        <v>46169</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47419-2023</t>
        </is>
      </c>
      <c r="B1027" s="1" t="n">
        <v>45202.65660879629</v>
      </c>
      <c r="C1027" s="1" t="n">
        <v>46169</v>
      </c>
      <c r="D1027" t="inlineStr">
        <is>
          <t>STOCKHOLMS LÄN</t>
        </is>
      </c>
      <c r="E1027" t="inlineStr">
        <is>
          <t>NORRTÄLJE</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23070-2023</t>
        </is>
      </c>
      <c r="B1028" s="1" t="n">
        <v>45075</v>
      </c>
      <c r="C1028" s="1" t="n">
        <v>46169</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27824-2022</t>
        </is>
      </c>
      <c r="B1029" s="1" t="n">
        <v>44743.59331018518</v>
      </c>
      <c r="C1029" s="1" t="n">
        <v>46169</v>
      </c>
      <c r="D1029" t="inlineStr">
        <is>
          <t>STOCKHOLMS LÄN</t>
        </is>
      </c>
      <c r="E1029" t="inlineStr">
        <is>
          <t>NORRTÄLJE</t>
        </is>
      </c>
      <c r="F1029" t="inlineStr">
        <is>
          <t>Kommuner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25619-2022</t>
        </is>
      </c>
      <c r="B1030" s="1" t="n">
        <v>44732</v>
      </c>
      <c r="C1030" s="1" t="n">
        <v>46169</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36246-2021</t>
        </is>
      </c>
      <c r="B1031" s="1" t="n">
        <v>44390</v>
      </c>
      <c r="C1031" s="1" t="n">
        <v>46169</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19952-2023</t>
        </is>
      </c>
      <c r="B1032" s="1" t="n">
        <v>45054.54091435186</v>
      </c>
      <c r="C1032" s="1" t="n">
        <v>46169</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19994-2023</t>
        </is>
      </c>
      <c r="B1033" s="1" t="n">
        <v>45054</v>
      </c>
      <c r="C1033" s="1" t="n">
        <v>46169</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14130-2025</t>
        </is>
      </c>
      <c r="B1034" s="1" t="n">
        <v>45740.47288194444</v>
      </c>
      <c r="C1034" s="1" t="n">
        <v>46169</v>
      </c>
      <c r="D1034" t="inlineStr">
        <is>
          <t>STOCKHOLMS LÄN</t>
        </is>
      </c>
      <c r="E1034" t="inlineStr">
        <is>
          <t>NORRTÄLJE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21780-2026</t>
        </is>
      </c>
      <c r="B1035" s="1" t="n">
        <v>46150.37418981481</v>
      </c>
      <c r="C1035" s="1" t="n">
        <v>46169</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46169</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30283-2022</t>
        </is>
      </c>
      <c r="B1037" s="1" t="n">
        <v>44760</v>
      </c>
      <c r="C1037" s="1" t="n">
        <v>46169</v>
      </c>
      <c r="D1037" t="inlineStr">
        <is>
          <t>STOCKHOLMS LÄN</t>
        </is>
      </c>
      <c r="E1037" t="inlineStr">
        <is>
          <t>NORRTÄLJE</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30290-2022</t>
        </is>
      </c>
      <c r="B1038" s="1" t="n">
        <v>44760</v>
      </c>
      <c r="C1038" s="1" t="n">
        <v>46169</v>
      </c>
      <c r="D1038" t="inlineStr">
        <is>
          <t>STOCKHOLMS LÄN</t>
        </is>
      </c>
      <c r="E1038" t="inlineStr">
        <is>
          <t>NORRTÄLJE</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29684-2021</t>
        </is>
      </c>
      <c r="B1039" s="1" t="n">
        <v>44362.37172453704</v>
      </c>
      <c r="C1039" s="1" t="n">
        <v>46169</v>
      </c>
      <c r="D1039" t="inlineStr">
        <is>
          <t>STOCKHOLMS LÄN</t>
        </is>
      </c>
      <c r="E1039" t="inlineStr">
        <is>
          <t>NORRTÄLJE</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60884-2024</t>
        </is>
      </c>
      <c r="B1040" s="1" t="n">
        <v>45644.90815972222</v>
      </c>
      <c r="C1040" s="1" t="n">
        <v>46169</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21818-2026</t>
        </is>
      </c>
      <c r="B1041" s="1" t="n">
        <v>46150.47383101852</v>
      </c>
      <c r="C1041" s="1" t="n">
        <v>46169</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38610-2022</t>
        </is>
      </c>
      <c r="B1042" s="1" t="n">
        <v>44813.59915509259</v>
      </c>
      <c r="C1042" s="1" t="n">
        <v>46169</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14937-2026</t>
        </is>
      </c>
      <c r="B1043" s="1" t="n">
        <v>46104</v>
      </c>
      <c r="C1043" s="1" t="n">
        <v>46169</v>
      </c>
      <c r="D1043" t="inlineStr">
        <is>
          <t>STOCKHOLMS LÄN</t>
        </is>
      </c>
      <c r="E1043" t="inlineStr">
        <is>
          <t>NORRTÄLJE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10090-2022</t>
        </is>
      </c>
      <c r="B1044" s="1" t="n">
        <v>44621</v>
      </c>
      <c r="C1044" s="1" t="n">
        <v>46169</v>
      </c>
      <c r="D1044" t="inlineStr">
        <is>
          <t>STOCKHOLMS LÄN</t>
        </is>
      </c>
      <c r="E1044" t="inlineStr">
        <is>
          <t>NORRTÄLJE</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14724-2022</t>
        </is>
      </c>
      <c r="B1045" s="1" t="n">
        <v>44656</v>
      </c>
      <c r="C1045" s="1" t="n">
        <v>46169</v>
      </c>
      <c r="D1045" t="inlineStr">
        <is>
          <t>STOCKHOLMS LÄN</t>
        </is>
      </c>
      <c r="E1045" t="inlineStr">
        <is>
          <t>NORRTÄLJE</t>
        </is>
      </c>
      <c r="F1045" t="inlineStr">
        <is>
          <t>Sveaskog</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21786-2026</t>
        </is>
      </c>
      <c r="B1046" s="1" t="n">
        <v>46150.3862037037</v>
      </c>
      <c r="C1046" s="1" t="n">
        <v>46169</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18846-2022</t>
        </is>
      </c>
      <c r="B1047" s="1" t="n">
        <v>44690</v>
      </c>
      <c r="C1047" s="1" t="n">
        <v>46169</v>
      </c>
      <c r="D1047" t="inlineStr">
        <is>
          <t>STOCKHOLMS LÄN</t>
        </is>
      </c>
      <c r="E1047" t="inlineStr">
        <is>
          <t>NORRTÄLJE</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43300-2023</t>
        </is>
      </c>
      <c r="B1048" s="1" t="n">
        <v>45183</v>
      </c>
      <c r="C1048" s="1" t="n">
        <v>46169</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21815-2026</t>
        </is>
      </c>
      <c r="B1049" s="1" t="n">
        <v>46150.47024305556</v>
      </c>
      <c r="C1049" s="1" t="n">
        <v>46169</v>
      </c>
      <c r="D1049" t="inlineStr">
        <is>
          <t>STOCKHOLMS LÄN</t>
        </is>
      </c>
      <c r="E1049" t="inlineStr">
        <is>
          <t>NORRTÄLJE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25654-2023</t>
        </is>
      </c>
      <c r="B1050" s="1" t="n">
        <v>45089</v>
      </c>
      <c r="C1050" s="1" t="n">
        <v>46169</v>
      </c>
      <c r="D1050" t="inlineStr">
        <is>
          <t>STOCKHOLMS LÄN</t>
        </is>
      </c>
      <c r="E1050" t="inlineStr">
        <is>
          <t>NORRTÄLJE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23125-2022</t>
        </is>
      </c>
      <c r="B1051" s="1" t="n">
        <v>44719</v>
      </c>
      <c r="C1051" s="1" t="n">
        <v>46169</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21820-2026</t>
        </is>
      </c>
      <c r="B1052" s="1" t="n">
        <v>46150.4799537037</v>
      </c>
      <c r="C1052" s="1" t="n">
        <v>46169</v>
      </c>
      <c r="D1052" t="inlineStr">
        <is>
          <t>STOCKHOLMS LÄN</t>
        </is>
      </c>
      <c r="E1052" t="inlineStr">
        <is>
          <t>NORRTÄLJE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20121-2022</t>
        </is>
      </c>
      <c r="B1053" s="1" t="n">
        <v>44698</v>
      </c>
      <c r="C1053" s="1" t="n">
        <v>46169</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16243-2026</t>
        </is>
      </c>
      <c r="B1054" s="1" t="n">
        <v>46111.45902777778</v>
      </c>
      <c r="C1054" s="1" t="n">
        <v>46169</v>
      </c>
      <c r="D1054" t="inlineStr">
        <is>
          <t>STOCKHOLMS LÄN</t>
        </is>
      </c>
      <c r="E1054" t="inlineStr">
        <is>
          <t>NORRTÄLJE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16229-2026</t>
        </is>
      </c>
      <c r="B1055" s="1" t="n">
        <v>46111.45084490741</v>
      </c>
      <c r="C1055" s="1" t="n">
        <v>46169</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33385-2024</t>
        </is>
      </c>
      <c r="B1056" s="1" t="n">
        <v>45519</v>
      </c>
      <c r="C1056" s="1" t="n">
        <v>46169</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41172-2023</t>
        </is>
      </c>
      <c r="B1057" s="1" t="n">
        <v>45170</v>
      </c>
      <c r="C1057" s="1" t="n">
        <v>46169</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73307-2021</t>
        </is>
      </c>
      <c r="B1058" s="1" t="n">
        <v>44549</v>
      </c>
      <c r="C1058" s="1" t="n">
        <v>46169</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50534-2024</t>
        </is>
      </c>
      <c r="B1059" s="1" t="n">
        <v>45601.56726851852</v>
      </c>
      <c r="C1059" s="1" t="n">
        <v>46169</v>
      </c>
      <c r="D1059" t="inlineStr">
        <is>
          <t>STOCKHOLMS LÄN</t>
        </is>
      </c>
      <c r="E1059" t="inlineStr">
        <is>
          <t>NORRTÄLJE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65499-2021</t>
        </is>
      </c>
      <c r="B1060" s="1" t="n">
        <v>44516</v>
      </c>
      <c r="C1060" s="1" t="n">
        <v>46169</v>
      </c>
      <c r="D1060" t="inlineStr">
        <is>
          <t>STOCKHOLMS LÄN</t>
        </is>
      </c>
      <c r="E1060" t="inlineStr">
        <is>
          <t>NORRTÄLJE</t>
        </is>
      </c>
      <c r="F1060" t="inlineStr">
        <is>
          <t>Kommuner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65511-2021</t>
        </is>
      </c>
      <c r="B1061" s="1" t="n">
        <v>44516.40674768519</v>
      </c>
      <c r="C1061" s="1" t="n">
        <v>46169</v>
      </c>
      <c r="D1061" t="inlineStr">
        <is>
          <t>STOCKHOLMS LÄN</t>
        </is>
      </c>
      <c r="E1061" t="inlineStr">
        <is>
          <t>NORRTÄLJE</t>
        </is>
      </c>
      <c r="F1061" t="inlineStr">
        <is>
          <t>Kommuner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22833-2024</t>
        </is>
      </c>
      <c r="B1062" s="1" t="n">
        <v>45448.56746527777</v>
      </c>
      <c r="C1062" s="1" t="n">
        <v>46169</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32514-2022</t>
        </is>
      </c>
      <c r="B1063" s="1" t="n">
        <v>44782</v>
      </c>
      <c r="C1063" s="1" t="n">
        <v>46169</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29362-2022</t>
        </is>
      </c>
      <c r="B1064" s="1" t="n">
        <v>44753</v>
      </c>
      <c r="C1064" s="1" t="n">
        <v>46169</v>
      </c>
      <c r="D1064" t="inlineStr">
        <is>
          <t>STOCKHOLMS LÄN</t>
        </is>
      </c>
      <c r="E1064" t="inlineStr">
        <is>
          <t>NORRTÄLJE</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58492-2022</t>
        </is>
      </c>
      <c r="B1065" s="1" t="n">
        <v>44902</v>
      </c>
      <c r="C1065" s="1" t="n">
        <v>46169</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51315-2021</t>
        </is>
      </c>
      <c r="B1066" s="1" t="n">
        <v>44461</v>
      </c>
      <c r="C1066" s="1" t="n">
        <v>46169</v>
      </c>
      <c r="D1066" t="inlineStr">
        <is>
          <t>STOCKHOLMS LÄN</t>
        </is>
      </c>
      <c r="E1066" t="inlineStr">
        <is>
          <t>NORRTÄLJE</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14873-2025</t>
        </is>
      </c>
      <c r="B1067" s="1" t="n">
        <v>45743.44953703704</v>
      </c>
      <c r="C1067" s="1" t="n">
        <v>46169</v>
      </c>
      <c r="D1067" t="inlineStr">
        <is>
          <t>STOCKHOLMS LÄN</t>
        </is>
      </c>
      <c r="E1067" t="inlineStr">
        <is>
          <t>NORRTÄLJE</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34773-2022</t>
        </is>
      </c>
      <c r="B1068" s="1" t="n">
        <v>44795</v>
      </c>
      <c r="C1068" s="1" t="n">
        <v>46169</v>
      </c>
      <c r="D1068" t="inlineStr">
        <is>
          <t>STOCKHOLMS LÄN</t>
        </is>
      </c>
      <c r="E1068" t="inlineStr">
        <is>
          <t>NORRTÄLJE</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17025-2026</t>
        </is>
      </c>
      <c r="B1069" s="1" t="n">
        <v>46113</v>
      </c>
      <c r="C1069" s="1" t="n">
        <v>46169</v>
      </c>
      <c r="D1069" t="inlineStr">
        <is>
          <t>STOCKHOLMS LÄN</t>
        </is>
      </c>
      <c r="E1069" t="inlineStr">
        <is>
          <t>NORRTÄLJE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33173-2024</t>
        </is>
      </c>
      <c r="B1070" s="1" t="n">
        <v>45518</v>
      </c>
      <c r="C1070" s="1" t="n">
        <v>46169</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22618-2026</t>
        </is>
      </c>
      <c r="B1071" s="1" t="n">
        <v>46155.61440972222</v>
      </c>
      <c r="C1071" s="1" t="n">
        <v>46169</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4484-2025</t>
        </is>
      </c>
      <c r="B1072" s="1" t="n">
        <v>45686.65545138889</v>
      </c>
      <c r="C1072" s="1" t="n">
        <v>46169</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33878-2024</t>
        </is>
      </c>
      <c r="B1073" s="1" t="n">
        <v>45522.44414351852</v>
      </c>
      <c r="C1073" s="1" t="n">
        <v>46169</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9246-2024</t>
        </is>
      </c>
      <c r="B1074" s="1" t="n">
        <v>45357</v>
      </c>
      <c r="C1074" s="1" t="n">
        <v>46169</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35698-2023</t>
        </is>
      </c>
      <c r="B1075" s="1" t="n">
        <v>45147</v>
      </c>
      <c r="C1075" s="1" t="n">
        <v>46169</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62398-2022</t>
        </is>
      </c>
      <c r="B1076" s="1" t="n">
        <v>44923.90159722222</v>
      </c>
      <c r="C1076" s="1" t="n">
        <v>46169</v>
      </c>
      <c r="D1076" t="inlineStr">
        <is>
          <t>STOCKHOLMS LÄN</t>
        </is>
      </c>
      <c r="E1076" t="inlineStr">
        <is>
          <t>NORRTÄLJE</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49700-2023</t>
        </is>
      </c>
      <c r="B1077" s="1" t="n">
        <v>45212</v>
      </c>
      <c r="C1077" s="1" t="n">
        <v>46169</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32071-2023</t>
        </is>
      </c>
      <c r="B1078" s="1" t="n">
        <v>45119.57728009259</v>
      </c>
      <c r="C1078" s="1" t="n">
        <v>46169</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1425-2025</t>
        </is>
      </c>
      <c r="B1079" s="1" t="n">
        <v>45668.67446759259</v>
      </c>
      <c r="C1079" s="1" t="n">
        <v>46169</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17775-2022</t>
        </is>
      </c>
      <c r="B1080" s="1" t="n">
        <v>44682.78430555556</v>
      </c>
      <c r="C1080" s="1" t="n">
        <v>46169</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17347-2026</t>
        </is>
      </c>
      <c r="B1081" s="1" t="n">
        <v>46119</v>
      </c>
      <c r="C1081" s="1" t="n">
        <v>46169</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38720-2022</t>
        </is>
      </c>
      <c r="B1082" s="1" t="n">
        <v>44815.74539351852</v>
      </c>
      <c r="C1082" s="1" t="n">
        <v>46169</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10215-2023</t>
        </is>
      </c>
      <c r="B1083" s="1" t="n">
        <v>44986.5887962963</v>
      </c>
      <c r="C1083" s="1" t="n">
        <v>46169</v>
      </c>
      <c r="D1083" t="inlineStr">
        <is>
          <t>STOCKHOLMS LÄN</t>
        </is>
      </c>
      <c r="E1083" t="inlineStr">
        <is>
          <t>NORRTÄLJE</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17209-2026</t>
        </is>
      </c>
      <c r="B1084" s="1" t="n">
        <v>46119.33341435185</v>
      </c>
      <c r="C1084" s="1" t="n">
        <v>46169</v>
      </c>
      <c r="D1084" t="inlineStr">
        <is>
          <t>STOCKHOLMS LÄN</t>
        </is>
      </c>
      <c r="E1084" t="inlineStr">
        <is>
          <t>NORRTÄLJE</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17220-2026</t>
        </is>
      </c>
      <c r="B1085" s="1" t="n">
        <v>46119.37436342592</v>
      </c>
      <c r="C1085" s="1" t="n">
        <v>46169</v>
      </c>
      <c r="D1085" t="inlineStr">
        <is>
          <t>STOCKHOLMS LÄN</t>
        </is>
      </c>
      <c r="E1085" t="inlineStr">
        <is>
          <t>NORRTÄLJE</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25609-2023</t>
        </is>
      </c>
      <c r="B1086" s="1" t="n">
        <v>45089</v>
      </c>
      <c r="C1086" s="1" t="n">
        <v>46169</v>
      </c>
      <c r="D1086" t="inlineStr">
        <is>
          <t>STOCKHOLMS LÄN</t>
        </is>
      </c>
      <c r="E1086" t="inlineStr">
        <is>
          <t>NORRTÄLJE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20014-2025</t>
        </is>
      </c>
      <c r="B1087" s="1" t="n">
        <v>45772.3078125</v>
      </c>
      <c r="C1087" s="1" t="n">
        <v>46169</v>
      </c>
      <c r="D1087" t="inlineStr">
        <is>
          <t>STOCKHOLMS LÄN</t>
        </is>
      </c>
      <c r="E1087" t="inlineStr">
        <is>
          <t>NORRTÄLJE</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17207-2026</t>
        </is>
      </c>
      <c r="B1088" s="1" t="n">
        <v>46119.31914351852</v>
      </c>
      <c r="C1088" s="1" t="n">
        <v>46169</v>
      </c>
      <c r="D1088" t="inlineStr">
        <is>
          <t>STOCKHOLMS LÄN</t>
        </is>
      </c>
      <c r="E1088" t="inlineStr">
        <is>
          <t>NORRTÄLJE</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20136-2025</t>
        </is>
      </c>
      <c r="B1089" s="1" t="n">
        <v>45772.51127314815</v>
      </c>
      <c r="C1089" s="1" t="n">
        <v>46169</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17345-2026</t>
        </is>
      </c>
      <c r="B1090" s="1" t="n">
        <v>46119</v>
      </c>
      <c r="C1090" s="1" t="n">
        <v>46169</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17215-2026</t>
        </is>
      </c>
      <c r="B1091" s="1" t="n">
        <v>46119.36524305555</v>
      </c>
      <c r="C1091" s="1" t="n">
        <v>46169</v>
      </c>
      <c r="D1091" t="inlineStr">
        <is>
          <t>STOCKHOLMS LÄN</t>
        </is>
      </c>
      <c r="E1091" t="inlineStr">
        <is>
          <t>NORRTÄLJE</t>
        </is>
      </c>
      <c r="F1091" t="inlineStr">
        <is>
          <t>Holmen skog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2287-2024</t>
        </is>
      </c>
      <c r="B1092" s="1" t="n">
        <v>45310</v>
      </c>
      <c r="C1092" s="1" t="n">
        <v>46169</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13785-2024</t>
        </is>
      </c>
      <c r="B1093" s="1" t="n">
        <v>45391.3395949074</v>
      </c>
      <c r="C1093" s="1" t="n">
        <v>46169</v>
      </c>
      <c r="D1093" t="inlineStr">
        <is>
          <t>STOCKHOLMS LÄN</t>
        </is>
      </c>
      <c r="E1093" t="inlineStr">
        <is>
          <t>NORRTÄLJE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50469-2022</t>
        </is>
      </c>
      <c r="B1094" s="1" t="n">
        <v>44866.49827546296</v>
      </c>
      <c r="C1094" s="1" t="n">
        <v>46169</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51116-2022</t>
        </is>
      </c>
      <c r="B1095" s="1" t="n">
        <v>44868.45741898148</v>
      </c>
      <c r="C1095" s="1" t="n">
        <v>46169</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60217-2021</t>
        </is>
      </c>
      <c r="B1096" s="1" t="n">
        <v>44495.5893287037</v>
      </c>
      <c r="C1096" s="1" t="n">
        <v>46169</v>
      </c>
      <c r="D1096" t="inlineStr">
        <is>
          <t>STOCKHOLMS LÄN</t>
        </is>
      </c>
      <c r="E1096" t="inlineStr">
        <is>
          <t>NORRTÄLJE</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5839-2023</t>
        </is>
      </c>
      <c r="B1097" s="1" t="n">
        <v>44963</v>
      </c>
      <c r="C1097" s="1" t="n">
        <v>46169</v>
      </c>
      <c r="D1097" t="inlineStr">
        <is>
          <t>STOCKHOLMS LÄN</t>
        </is>
      </c>
      <c r="E1097" t="inlineStr">
        <is>
          <t>NORRTÄLJE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17651-2026</t>
        </is>
      </c>
      <c r="B1098" s="1" t="n">
        <v>46121.55334490741</v>
      </c>
      <c r="C1098" s="1" t="n">
        <v>46169</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38985-2022</t>
        </is>
      </c>
      <c r="B1099" s="1" t="n">
        <v>44816</v>
      </c>
      <c r="C1099" s="1" t="n">
        <v>46169</v>
      </c>
      <c r="D1099" t="inlineStr">
        <is>
          <t>STOCKHOLMS LÄN</t>
        </is>
      </c>
      <c r="E1099" t="inlineStr">
        <is>
          <t>NORRTÄLJE</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5665-2025</t>
        </is>
      </c>
      <c r="B1100" s="1" t="n">
        <v>45693</v>
      </c>
      <c r="C1100" s="1" t="n">
        <v>46169</v>
      </c>
      <c r="D1100" t="inlineStr">
        <is>
          <t>STOCKHOLMS LÄN</t>
        </is>
      </c>
      <c r="E1100" t="inlineStr">
        <is>
          <t>NORRTÄLJE</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3426-2025</t>
        </is>
      </c>
      <c r="B1101" s="1" t="n">
        <v>45680.42665509259</v>
      </c>
      <c r="C1101" s="1" t="n">
        <v>46169</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58530-2024</t>
        </is>
      </c>
      <c r="B1102" s="1" t="n">
        <v>45635.44788194444</v>
      </c>
      <c r="C1102" s="1" t="n">
        <v>46169</v>
      </c>
      <c r="D1102" t="inlineStr">
        <is>
          <t>STOCKHOLMS LÄN</t>
        </is>
      </c>
      <c r="E1102" t="inlineStr">
        <is>
          <t>NORRTÄLJE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40761-2024</t>
        </is>
      </c>
      <c r="B1103" s="1" t="n">
        <v>45558.46283564815</v>
      </c>
      <c r="C1103" s="1" t="n">
        <v>46169</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4553-2023</t>
        </is>
      </c>
      <c r="B1104" s="1" t="n">
        <v>44956.65920138889</v>
      </c>
      <c r="C1104" s="1" t="n">
        <v>46169</v>
      </c>
      <c r="D1104" t="inlineStr">
        <is>
          <t>STOCKHOLMS LÄN</t>
        </is>
      </c>
      <c r="E1104" t="inlineStr">
        <is>
          <t>NORRTÄLJE</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4593-2023</t>
        </is>
      </c>
      <c r="B1105" s="1" t="n">
        <v>44956</v>
      </c>
      <c r="C1105" s="1" t="n">
        <v>46169</v>
      </c>
      <c r="D1105" t="inlineStr">
        <is>
          <t>STOCKHOLMS LÄN</t>
        </is>
      </c>
      <c r="E1105" t="inlineStr">
        <is>
          <t>NORRTÄLJE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13171-2025</t>
        </is>
      </c>
      <c r="B1106" s="1" t="n">
        <v>45735.36594907408</v>
      </c>
      <c r="C1106" s="1" t="n">
        <v>46169</v>
      </c>
      <c r="D1106" t="inlineStr">
        <is>
          <t>STOCKHOLMS LÄN</t>
        </is>
      </c>
      <c r="E1106" t="inlineStr">
        <is>
          <t>NORRTÄLJE</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51978-2023</t>
        </is>
      </c>
      <c r="B1107" s="1" t="n">
        <v>45223</v>
      </c>
      <c r="C1107" s="1" t="n">
        <v>46169</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18092-2022</t>
        </is>
      </c>
      <c r="B1108" s="1" t="n">
        <v>44684</v>
      </c>
      <c r="C1108" s="1" t="n">
        <v>46169</v>
      </c>
      <c r="D1108" t="inlineStr">
        <is>
          <t>STOCKHOLMS LÄN</t>
        </is>
      </c>
      <c r="E1108" t="inlineStr">
        <is>
          <t>NORRTÄLJE</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59310-2023</t>
        </is>
      </c>
      <c r="B1109" s="1" t="n">
        <v>45253.61146990741</v>
      </c>
      <c r="C1109" s="1" t="n">
        <v>46169</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9329-2023</t>
        </is>
      </c>
      <c r="B1110" s="1" t="n">
        <v>44980</v>
      </c>
      <c r="C1110" s="1" t="n">
        <v>46169</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23855-2026</t>
        </is>
      </c>
      <c r="B1111" s="1" t="n">
        <v>46167.38663194444</v>
      </c>
      <c r="C1111" s="1" t="n">
        <v>46169</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59878-2024</t>
        </is>
      </c>
      <c r="B1112" s="1" t="n">
        <v>45640.60240740741</v>
      </c>
      <c r="C1112" s="1" t="n">
        <v>46169</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41335-2023</t>
        </is>
      </c>
      <c r="B1113" s="1" t="n">
        <v>45174.68702546296</v>
      </c>
      <c r="C1113" s="1" t="n">
        <v>46169</v>
      </c>
      <c r="D1113" t="inlineStr">
        <is>
          <t>STOCKHOLMS LÄN</t>
        </is>
      </c>
      <c r="E1113" t="inlineStr">
        <is>
          <t>NORRTÄLJE</t>
        </is>
      </c>
      <c r="F1113" t="inlineStr">
        <is>
          <t>Holmen skog AB</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33040-2021</t>
        </is>
      </c>
      <c r="B1114" s="1" t="n">
        <v>44376.50728009259</v>
      </c>
      <c r="C1114" s="1" t="n">
        <v>46169</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33053-2021</t>
        </is>
      </c>
      <c r="B1115" s="1" t="n">
        <v>44376</v>
      </c>
      <c r="C1115" s="1" t="n">
        <v>46169</v>
      </c>
      <c r="D1115" t="inlineStr">
        <is>
          <t>STOCKHOLMS LÄN</t>
        </is>
      </c>
      <c r="E1115" t="inlineStr">
        <is>
          <t>NORRTÄLJE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43150-2023</t>
        </is>
      </c>
      <c r="B1116" s="1" t="n">
        <v>45183</v>
      </c>
      <c r="C1116" s="1" t="n">
        <v>46169</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21753-2026</t>
        </is>
      </c>
      <c r="B1117" s="1" t="n">
        <v>46149</v>
      </c>
      <c r="C1117" s="1" t="n">
        <v>46169</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54259-2023</t>
        </is>
      </c>
      <c r="B1118" s="1" t="n">
        <v>45232</v>
      </c>
      <c r="C1118" s="1" t="n">
        <v>46169</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60822-2023</t>
        </is>
      </c>
      <c r="B1119" s="1" t="n">
        <v>45259</v>
      </c>
      <c r="C1119" s="1" t="n">
        <v>46169</v>
      </c>
      <c r="D1119" t="inlineStr">
        <is>
          <t>STOCKHOLMS LÄN</t>
        </is>
      </c>
      <c r="E1119" t="inlineStr">
        <is>
          <t>NORRTÄLJE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27381-2024</t>
        </is>
      </c>
      <c r="B1120" s="1" t="n">
        <v>45473.94501157408</v>
      </c>
      <c r="C1120" s="1" t="n">
        <v>46169</v>
      </c>
      <c r="D1120" t="inlineStr">
        <is>
          <t>STOCKHOLMS LÄN</t>
        </is>
      </c>
      <c r="E1120" t="inlineStr">
        <is>
          <t>NORRTÄLJE</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23265-2023</t>
        </is>
      </c>
      <c r="B1121" s="1" t="n">
        <v>45075.90703703704</v>
      </c>
      <c r="C1121" s="1" t="n">
        <v>46169</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26117-2024</t>
        </is>
      </c>
      <c r="B1122" s="1" t="n">
        <v>45468.45877314815</v>
      </c>
      <c r="C1122" s="1" t="n">
        <v>46169</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20336-2024</t>
        </is>
      </c>
      <c r="B1123" s="1" t="n">
        <v>45435.43123842592</v>
      </c>
      <c r="C1123" s="1" t="n">
        <v>46169</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1847-2023</t>
        </is>
      </c>
      <c r="B1124" s="1" t="n">
        <v>44938</v>
      </c>
      <c r="C1124" s="1" t="n">
        <v>46169</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59721-2024</t>
        </is>
      </c>
      <c r="B1125" s="1" t="n">
        <v>45639.47385416667</v>
      </c>
      <c r="C1125" s="1" t="n">
        <v>46169</v>
      </c>
      <c r="D1125" t="inlineStr">
        <is>
          <t>STOCKHOLMS LÄN</t>
        </is>
      </c>
      <c r="E1125" t="inlineStr">
        <is>
          <t>NORRTÄLJE</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37010-2022</t>
        </is>
      </c>
      <c r="B1126" s="1" t="n">
        <v>44806.41576388889</v>
      </c>
      <c r="C1126" s="1" t="n">
        <v>46169</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951-2023</t>
        </is>
      </c>
      <c r="B1127" s="1" t="n">
        <v>44934</v>
      </c>
      <c r="C1127" s="1" t="n">
        <v>46169</v>
      </c>
      <c r="D1127" t="inlineStr">
        <is>
          <t>STOCKHOLMS LÄN</t>
        </is>
      </c>
      <c r="E1127" t="inlineStr">
        <is>
          <t>NORRTÄLJE</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5423-2023</t>
        </is>
      </c>
      <c r="B1128" s="1" t="n">
        <v>44959.74533564815</v>
      </c>
      <c r="C1128" s="1" t="n">
        <v>46169</v>
      </c>
      <c r="D1128" t="inlineStr">
        <is>
          <t>STOCKHOLMS LÄN</t>
        </is>
      </c>
      <c r="E1128" t="inlineStr">
        <is>
          <t>NORRTÄLJE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50182-2024</t>
        </is>
      </c>
      <c r="B1129" s="1" t="n">
        <v>45600.47275462963</v>
      </c>
      <c r="C1129" s="1" t="n">
        <v>46169</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12629-2024</t>
        </is>
      </c>
      <c r="B1130" s="1" t="n">
        <v>45383</v>
      </c>
      <c r="C1130" s="1" t="n">
        <v>46169</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35708-2022</t>
        </is>
      </c>
      <c r="B1131" s="1" t="n">
        <v>44799.65013888889</v>
      </c>
      <c r="C1131" s="1" t="n">
        <v>46169</v>
      </c>
      <c r="D1131" t="inlineStr">
        <is>
          <t>STOCKHOLMS LÄN</t>
        </is>
      </c>
      <c r="E1131" t="inlineStr">
        <is>
          <t>NORRTÄLJE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45220-2024</t>
        </is>
      </c>
      <c r="B1132" s="1" t="n">
        <v>45575</v>
      </c>
      <c r="C1132" s="1" t="n">
        <v>46169</v>
      </c>
      <c r="D1132" t="inlineStr">
        <is>
          <t>STOCKHOLMS LÄN</t>
        </is>
      </c>
      <c r="E1132" t="inlineStr">
        <is>
          <t>NORRTÄLJE</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21731-2023</t>
        </is>
      </c>
      <c r="B1133" s="1" t="n">
        <v>45063</v>
      </c>
      <c r="C1133" s="1" t="n">
        <v>46169</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23266-2023</t>
        </is>
      </c>
      <c r="B1134" s="1" t="n">
        <v>45075.90817129629</v>
      </c>
      <c r="C1134" s="1" t="n">
        <v>46169</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47521-2024</t>
        </is>
      </c>
      <c r="B1135" s="1" t="n">
        <v>45587.62565972222</v>
      </c>
      <c r="C1135" s="1" t="n">
        <v>46169</v>
      </c>
      <c r="D1135" t="inlineStr">
        <is>
          <t>STOCKHOLMS LÄN</t>
        </is>
      </c>
      <c r="E1135" t="inlineStr">
        <is>
          <t>NORRTÄLJE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58260-2023</t>
        </is>
      </c>
      <c r="B1136" s="1" t="n">
        <v>45245</v>
      </c>
      <c r="C1136" s="1" t="n">
        <v>46169</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58261-2023</t>
        </is>
      </c>
      <c r="B1137" s="1" t="n">
        <v>45245</v>
      </c>
      <c r="C1137" s="1" t="n">
        <v>46169</v>
      </c>
      <c r="D1137" t="inlineStr">
        <is>
          <t>STOCKHOLMS LÄN</t>
        </is>
      </c>
      <c r="E1137" t="inlineStr">
        <is>
          <t>NORRTÄLJE</t>
        </is>
      </c>
      <c r="G1137" t="n">
        <v>53.5</v>
      </c>
      <c r="H1137" t="n">
        <v>0</v>
      </c>
      <c r="I1137" t="n">
        <v>0</v>
      </c>
      <c r="J1137" t="n">
        <v>0</v>
      </c>
      <c r="K1137" t="n">
        <v>0</v>
      </c>
      <c r="L1137" t="n">
        <v>0</v>
      </c>
      <c r="M1137" t="n">
        <v>0</v>
      </c>
      <c r="N1137" t="n">
        <v>0</v>
      </c>
      <c r="O1137" t="n">
        <v>0</v>
      </c>
      <c r="P1137" t="n">
        <v>0</v>
      </c>
      <c r="Q1137" t="n">
        <v>0</v>
      </c>
      <c r="R1137" s="2" t="inlineStr"/>
    </row>
    <row r="1138" ht="15" customHeight="1">
      <c r="A1138" t="inlineStr">
        <is>
          <t>A 29266-2022</t>
        </is>
      </c>
      <c r="B1138" s="1" t="n">
        <v>44750.66068287037</v>
      </c>
      <c r="C1138" s="1" t="n">
        <v>46169</v>
      </c>
      <c r="D1138" t="inlineStr">
        <is>
          <t>STOCKHOLMS LÄN</t>
        </is>
      </c>
      <c r="E1138" t="inlineStr">
        <is>
          <t>NORRTÄLJE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29278-2022</t>
        </is>
      </c>
      <c r="B1139" s="1" t="n">
        <v>44750</v>
      </c>
      <c r="C1139" s="1" t="n">
        <v>46169</v>
      </c>
      <c r="D1139" t="inlineStr">
        <is>
          <t>STOCKHOLMS LÄN</t>
        </is>
      </c>
      <c r="E1139" t="inlineStr">
        <is>
          <t>NORRTÄLJE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37273-2024</t>
        </is>
      </c>
      <c r="B1140" s="1" t="n">
        <v>45540</v>
      </c>
      <c r="C1140" s="1" t="n">
        <v>46169</v>
      </c>
      <c r="D1140" t="inlineStr">
        <is>
          <t>STOCKHOLMS LÄN</t>
        </is>
      </c>
      <c r="E1140" t="inlineStr">
        <is>
          <t>NORRTÄLJE</t>
        </is>
      </c>
      <c r="F1140" t="inlineStr">
        <is>
          <t>Sveaskog</t>
        </is>
      </c>
      <c r="G1140" t="n">
        <v>12.5</v>
      </c>
      <c r="H1140" t="n">
        <v>0</v>
      </c>
      <c r="I1140" t="n">
        <v>0</v>
      </c>
      <c r="J1140" t="n">
        <v>0</v>
      </c>
      <c r="K1140" t="n">
        <v>0</v>
      </c>
      <c r="L1140" t="n">
        <v>0</v>
      </c>
      <c r="M1140" t="n">
        <v>0</v>
      </c>
      <c r="N1140" t="n">
        <v>0</v>
      </c>
      <c r="O1140" t="n">
        <v>0</v>
      </c>
      <c r="P1140" t="n">
        <v>0</v>
      </c>
      <c r="Q1140" t="n">
        <v>0</v>
      </c>
      <c r="R1140" s="2" t="inlineStr"/>
    </row>
    <row r="1141" ht="15" customHeight="1">
      <c r="A1141" t="inlineStr">
        <is>
          <t>A 12908-2025</t>
        </is>
      </c>
      <c r="B1141" s="1" t="n">
        <v>45733.82105324074</v>
      </c>
      <c r="C1141" s="1" t="n">
        <v>46169</v>
      </c>
      <c r="D1141" t="inlineStr">
        <is>
          <t>STOCKHOLMS LÄN</t>
        </is>
      </c>
      <c r="E1141" t="inlineStr">
        <is>
          <t>NORRTÄLJE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23060-2023</t>
        </is>
      </c>
      <c r="B1142" s="1" t="n">
        <v>45075</v>
      </c>
      <c r="C1142" s="1" t="n">
        <v>46169</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32103-2022</t>
        </is>
      </c>
      <c r="B1143" s="1" t="n">
        <v>44778</v>
      </c>
      <c r="C1143" s="1" t="n">
        <v>46169</v>
      </c>
      <c r="D1143" t="inlineStr">
        <is>
          <t>STOCKHOLMS LÄN</t>
        </is>
      </c>
      <c r="E1143" t="inlineStr">
        <is>
          <t>NORRTÄLJE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6401-2024</t>
        </is>
      </c>
      <c r="B1144" s="1" t="n">
        <v>45338</v>
      </c>
      <c r="C1144" s="1" t="n">
        <v>46169</v>
      </c>
      <c r="D1144" t="inlineStr">
        <is>
          <t>STOCKHOLMS LÄN</t>
        </is>
      </c>
      <c r="E1144" t="inlineStr">
        <is>
          <t>NORRTÄLJE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59504-2023</t>
        </is>
      </c>
      <c r="B1145" s="1" t="n">
        <v>45254</v>
      </c>
      <c r="C1145" s="1" t="n">
        <v>46169</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52321-2024</t>
        </is>
      </c>
      <c r="B1146" s="1" t="n">
        <v>45608</v>
      </c>
      <c r="C1146" s="1" t="n">
        <v>46169</v>
      </c>
      <c r="D1146" t="inlineStr">
        <is>
          <t>STOCKHOLMS LÄN</t>
        </is>
      </c>
      <c r="E1146" t="inlineStr">
        <is>
          <t>NORRTÄLJE</t>
        </is>
      </c>
      <c r="G1146" t="n">
        <v>18.1</v>
      </c>
      <c r="H1146" t="n">
        <v>0</v>
      </c>
      <c r="I1146" t="n">
        <v>0</v>
      </c>
      <c r="J1146" t="n">
        <v>0</v>
      </c>
      <c r="K1146" t="n">
        <v>0</v>
      </c>
      <c r="L1146" t="n">
        <v>0</v>
      </c>
      <c r="M1146" t="n">
        <v>0</v>
      </c>
      <c r="N1146" t="n">
        <v>0</v>
      </c>
      <c r="O1146" t="n">
        <v>0</v>
      </c>
      <c r="P1146" t="n">
        <v>0</v>
      </c>
      <c r="Q1146" t="n">
        <v>0</v>
      </c>
      <c r="R1146" s="2" t="inlineStr"/>
    </row>
    <row r="1147" ht="15" customHeight="1">
      <c r="A1147" t="inlineStr">
        <is>
          <t>A 48151-2024</t>
        </is>
      </c>
      <c r="B1147" s="1" t="n">
        <v>45589.68289351852</v>
      </c>
      <c r="C1147" s="1" t="n">
        <v>46169</v>
      </c>
      <c r="D1147" t="inlineStr">
        <is>
          <t>STOCKHOLMS LÄN</t>
        </is>
      </c>
      <c r="E1147" t="inlineStr">
        <is>
          <t>NORRTÄLJE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20370-2025</t>
        </is>
      </c>
      <c r="B1148" s="1" t="n">
        <v>45775.41451388889</v>
      </c>
      <c r="C1148" s="1" t="n">
        <v>46169</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19580-2022</t>
        </is>
      </c>
      <c r="B1149" s="1" t="n">
        <v>44693</v>
      </c>
      <c r="C1149" s="1" t="n">
        <v>46169</v>
      </c>
      <c r="D1149" t="inlineStr">
        <is>
          <t>STOCKHOLMS LÄN</t>
        </is>
      </c>
      <c r="E1149" t="inlineStr">
        <is>
          <t>NORRTÄLJE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30731-2023</t>
        </is>
      </c>
      <c r="B1150" s="1" t="n">
        <v>45112</v>
      </c>
      <c r="C1150" s="1" t="n">
        <v>46169</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4580-2025</t>
        </is>
      </c>
      <c r="B1151" s="1" t="n">
        <v>45687.5038425926</v>
      </c>
      <c r="C1151" s="1" t="n">
        <v>46169</v>
      </c>
      <c r="D1151" t="inlineStr">
        <is>
          <t>STOCKHOLMS LÄN</t>
        </is>
      </c>
      <c r="E1151" t="inlineStr">
        <is>
          <t>NORRTÄLJE</t>
        </is>
      </c>
      <c r="F1151" t="inlineStr">
        <is>
          <t>Holmen skog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31057-2022</t>
        </is>
      </c>
      <c r="B1152" s="1" t="n">
        <v>44769</v>
      </c>
      <c r="C1152" s="1" t="n">
        <v>46169</v>
      </c>
      <c r="D1152" t="inlineStr">
        <is>
          <t>STOCKHOLMS LÄN</t>
        </is>
      </c>
      <c r="E1152" t="inlineStr">
        <is>
          <t>NORRTÄLJE</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31140-2023</t>
        </is>
      </c>
      <c r="B1153" s="1" t="n">
        <v>45113</v>
      </c>
      <c r="C1153" s="1" t="n">
        <v>46169</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31149-2023</t>
        </is>
      </c>
      <c r="B1154" s="1" t="n">
        <v>45113</v>
      </c>
      <c r="C1154" s="1" t="n">
        <v>46169</v>
      </c>
      <c r="D1154" t="inlineStr">
        <is>
          <t>STOCKHOLMS LÄN</t>
        </is>
      </c>
      <c r="E1154" t="inlineStr">
        <is>
          <t>NORRTÄLJE</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4658-2024</t>
        </is>
      </c>
      <c r="B1155" s="1" t="n">
        <v>45328.46336805556</v>
      </c>
      <c r="C1155" s="1" t="n">
        <v>46169</v>
      </c>
      <c r="D1155" t="inlineStr">
        <is>
          <t>STOCKHOLMS LÄN</t>
        </is>
      </c>
      <c r="E1155" t="inlineStr">
        <is>
          <t>NORRTÄLJE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19131-2025</t>
        </is>
      </c>
      <c r="B1156" s="1" t="n">
        <v>45769</v>
      </c>
      <c r="C1156" s="1" t="n">
        <v>46169</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7571-2024</t>
        </is>
      </c>
      <c r="B1157" s="1" t="n">
        <v>45348.46300925926</v>
      </c>
      <c r="C1157" s="1" t="n">
        <v>46169</v>
      </c>
      <c r="D1157" t="inlineStr">
        <is>
          <t>STOCKHOLMS LÄN</t>
        </is>
      </c>
      <c r="E1157" t="inlineStr">
        <is>
          <t>NORRTÄLJE</t>
        </is>
      </c>
      <c r="F1157" t="inlineStr">
        <is>
          <t>Holmen skog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11849-2025</t>
        </is>
      </c>
      <c r="B1158" s="1" t="n">
        <v>45728.38409722222</v>
      </c>
      <c r="C1158" s="1" t="n">
        <v>46169</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40425-2021</t>
        </is>
      </c>
      <c r="B1159" s="1" t="n">
        <v>44419</v>
      </c>
      <c r="C1159" s="1" t="n">
        <v>46169</v>
      </c>
      <c r="D1159" t="inlineStr">
        <is>
          <t>STOCKHOLMS LÄN</t>
        </is>
      </c>
      <c r="E1159" t="inlineStr">
        <is>
          <t>NORRTÄLJE</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58990-2021</t>
        </is>
      </c>
      <c r="B1160" s="1" t="n">
        <v>44490.03621527777</v>
      </c>
      <c r="C1160" s="1" t="n">
        <v>46169</v>
      </c>
      <c r="D1160" t="inlineStr">
        <is>
          <t>STOCKHOLMS LÄN</t>
        </is>
      </c>
      <c r="E1160" t="inlineStr">
        <is>
          <t>NORRTÄLJE</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20790-2025</t>
        </is>
      </c>
      <c r="B1161" s="1" t="n">
        <v>45776.62563657408</v>
      </c>
      <c r="C1161" s="1" t="n">
        <v>46169</v>
      </c>
      <c r="D1161" t="inlineStr">
        <is>
          <t>STOCKHOLMS LÄN</t>
        </is>
      </c>
      <c r="E1161" t="inlineStr">
        <is>
          <t>NORRTÄLJE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20699-2025</t>
        </is>
      </c>
      <c r="B1162" s="1" t="n">
        <v>45776.47346064815</v>
      </c>
      <c r="C1162" s="1" t="n">
        <v>46169</v>
      </c>
      <c r="D1162" t="inlineStr">
        <is>
          <t>STOCKHOLMS LÄN</t>
        </is>
      </c>
      <c r="E1162" t="inlineStr">
        <is>
          <t>NORRTÄLJE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3152-2024</t>
        </is>
      </c>
      <c r="B1163" s="1" t="n">
        <v>45316.60306712963</v>
      </c>
      <c r="C1163" s="1" t="n">
        <v>46169</v>
      </c>
      <c r="D1163" t="inlineStr">
        <is>
          <t>STOCKHOLMS LÄN</t>
        </is>
      </c>
      <c r="E1163" t="inlineStr">
        <is>
          <t>NORRTÄLJE</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59326-2023</t>
        </is>
      </c>
      <c r="B1164" s="1" t="n">
        <v>45253.63089120371</v>
      </c>
      <c r="C1164" s="1" t="n">
        <v>46169</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44836-2023</t>
        </is>
      </c>
      <c r="B1165" s="1" t="n">
        <v>45190.55609953704</v>
      </c>
      <c r="C1165" s="1" t="n">
        <v>46169</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20779-2025</t>
        </is>
      </c>
      <c r="B1166" s="1" t="n">
        <v>45776.59871527777</v>
      </c>
      <c r="C1166" s="1" t="n">
        <v>46169</v>
      </c>
      <c r="D1166" t="inlineStr">
        <is>
          <t>STOCKHOLMS LÄN</t>
        </is>
      </c>
      <c r="E1166" t="inlineStr">
        <is>
          <t>NORRTÄLJE</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21771-2025</t>
        </is>
      </c>
      <c r="B1167" s="1" t="n">
        <v>45783</v>
      </c>
      <c r="C1167" s="1" t="n">
        <v>46169</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c r="A1168" t="inlineStr">
        <is>
          <t>A 21778-2025</t>
        </is>
      </c>
      <c r="B1168" s="1" t="n">
        <v>45783.66429398148</v>
      </c>
      <c r="C1168" s="1" t="n">
        <v>46169</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2026-05-27T10:54:22Z</dcterms:created>
  <dcterms:modified xmlns:dcterms="http://purl.org/dc/terms/" xmlns:xsi="http://www.w3.org/2001/XMLSchema-instance" xsi:type="dcterms:W3CDTF">2026-05-27T10:54:23Z</dcterms:modified>
</cp:coreProperties>
</file>