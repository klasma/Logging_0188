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45887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45887</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45887</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45887</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45887</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45887</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45887</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45887</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45887</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45887</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45887</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45887</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45887</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45887</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45887</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52815-2021</t>
        </is>
      </c>
      <c r="B17" s="1" t="n">
        <v>44467</v>
      </c>
      <c r="C17" s="1" t="n">
        <v>45887</v>
      </c>
      <c r="D17" t="inlineStr">
        <is>
          <t>STOCKHOLMS LÄN</t>
        </is>
      </c>
      <c r="E17" t="inlineStr">
        <is>
          <t>NORRTÄLJE</t>
        </is>
      </c>
      <c r="G17" t="n">
        <v>2.8</v>
      </c>
      <c r="H17" t="n">
        <v>0</v>
      </c>
      <c r="I17" t="n">
        <v>2</v>
      </c>
      <c r="J17" t="n">
        <v>2</v>
      </c>
      <c r="K17" t="n">
        <v>4</v>
      </c>
      <c r="L17" t="n">
        <v>1</v>
      </c>
      <c r="M17" t="n">
        <v>0</v>
      </c>
      <c r="N17" t="n">
        <v>0</v>
      </c>
      <c r="O17" t="n">
        <v>7</v>
      </c>
      <c r="P17" t="n">
        <v>5</v>
      </c>
      <c r="Q17" t="n">
        <v>9</v>
      </c>
      <c r="R17" s="2" t="inlineStr">
        <is>
          <t>Raggtaggsvamp
Gul lammticka
Koppartaggsvamp
Spricktaggsvamp
Svartfjällig musseron
Bittermusseron
Flattoppad klubbsvamp
Diskvaxskivling
Fjällig taggsvamp s.str.</t>
        </is>
      </c>
      <c r="S17">
        <f>HYPERLINK("https://klasma.github.io/Logging_0188/artfynd/A 52815-2021 artfynd.xlsx", "A 52815-2021")</f>
        <v/>
      </c>
      <c r="T17">
        <f>HYPERLINK("https://klasma.github.io/Logging_0188/kartor/A 52815-2021 karta.png", "A 52815-2021")</f>
        <v/>
      </c>
      <c r="V17">
        <f>HYPERLINK("https://klasma.github.io/Logging_0188/klagomål/A 52815-2021 FSC-klagomål.docx", "A 52815-2021")</f>
        <v/>
      </c>
      <c r="W17">
        <f>HYPERLINK("https://klasma.github.io/Logging_0188/klagomålsmail/A 52815-2021 FSC-klagomål mail.docx", "A 52815-2021")</f>
        <v/>
      </c>
      <c r="X17">
        <f>HYPERLINK("https://klasma.github.io/Logging_0188/tillsyn/A 52815-2021 tillsynsbegäran.docx", "A 52815-2021")</f>
        <v/>
      </c>
      <c r="Y17">
        <f>HYPERLINK("https://klasma.github.io/Logging_0188/tillsynsmail/A 52815-2021 tillsynsbegäran mail.docx", "A 52815-2021")</f>
        <v/>
      </c>
    </row>
    <row r="18" ht="15" customHeight="1">
      <c r="A18" t="inlineStr">
        <is>
          <t>A 47274-2024</t>
        </is>
      </c>
      <c r="B18" s="1" t="n">
        <v>45586.88145833334</v>
      </c>
      <c r="C18" s="1" t="n">
        <v>45887</v>
      </c>
      <c r="D18" t="inlineStr">
        <is>
          <t>STOCKHOLMS LÄN</t>
        </is>
      </c>
      <c r="E18" t="inlineStr">
        <is>
          <t>NORRTÄLJE</t>
        </is>
      </c>
      <c r="G18" t="n">
        <v>20.1</v>
      </c>
      <c r="H18" t="n">
        <v>2</v>
      </c>
      <c r="I18" t="n">
        <v>3</v>
      </c>
      <c r="J18" t="n">
        <v>4</v>
      </c>
      <c r="K18" t="n">
        <v>1</v>
      </c>
      <c r="L18" t="n">
        <v>0</v>
      </c>
      <c r="M18" t="n">
        <v>0</v>
      </c>
      <c r="N18" t="n">
        <v>0</v>
      </c>
      <c r="O18" t="n">
        <v>5</v>
      </c>
      <c r="P18" t="n">
        <v>1</v>
      </c>
      <c r="Q18" t="n">
        <v>9</v>
      </c>
      <c r="R18" s="2" t="inlineStr">
        <is>
          <t>Knärot
Grönhjon
Motaggsvamp
Ullticka
Vedskivlav
Dropptaggsvamp
Grönpyrola
Svavelriska
Blåsippa</t>
        </is>
      </c>
      <c r="S18">
        <f>HYPERLINK("https://klasma.github.io/Logging_0188/artfynd/A 47274-2024 artfynd.xlsx", "A 47274-2024")</f>
        <v/>
      </c>
      <c r="T18">
        <f>HYPERLINK("https://klasma.github.io/Logging_0188/kartor/A 47274-2024 karta.png", "A 47274-2024")</f>
        <v/>
      </c>
      <c r="U18">
        <f>HYPERLINK("https://klasma.github.io/Logging_0188/knärot/A 47274-2024 karta knärot.png", "A 47274-2024")</f>
        <v/>
      </c>
      <c r="V18">
        <f>HYPERLINK("https://klasma.github.io/Logging_0188/klagomål/A 47274-2024 FSC-klagomål.docx", "A 47274-2024")</f>
        <v/>
      </c>
      <c r="W18">
        <f>HYPERLINK("https://klasma.github.io/Logging_0188/klagomålsmail/A 47274-2024 FSC-klagomål mail.docx", "A 47274-2024")</f>
        <v/>
      </c>
      <c r="X18">
        <f>HYPERLINK("https://klasma.github.io/Logging_0188/tillsyn/A 47274-2024 tillsynsbegäran.docx", "A 47274-2024")</f>
        <v/>
      </c>
      <c r="Y18">
        <f>HYPERLINK("https://klasma.github.io/Logging_0188/tillsynsmail/A 47274-2024 tillsynsbegäran mail.docx", "A 47274-2024")</f>
        <v/>
      </c>
    </row>
    <row r="19" ht="15" customHeight="1">
      <c r="A19" t="inlineStr">
        <is>
          <t>A 50326-2024</t>
        </is>
      </c>
      <c r="B19" s="1" t="n">
        <v>45600</v>
      </c>
      <c r="C19" s="1" t="n">
        <v>45887</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59582-2024</t>
        </is>
      </c>
      <c r="B20" s="1" t="n">
        <v>45638</v>
      </c>
      <c r="C20" s="1" t="n">
        <v>45887</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45887</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45887</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45887</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45887</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45887</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45887</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45887</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30687-2025</t>
        </is>
      </c>
      <c r="B28" s="1" t="n">
        <v>45831.53390046296</v>
      </c>
      <c r="C28" s="1" t="n">
        <v>45887</v>
      </c>
      <c r="D28" t="inlineStr">
        <is>
          <t>STOCKHOLMS LÄN</t>
        </is>
      </c>
      <c r="E28" t="inlineStr">
        <is>
          <t>NORRTÄLJE</t>
        </is>
      </c>
      <c r="G28" t="n">
        <v>6.7</v>
      </c>
      <c r="H28" t="n">
        <v>1</v>
      </c>
      <c r="I28" t="n">
        <v>2</v>
      </c>
      <c r="J28" t="n">
        <v>2</v>
      </c>
      <c r="K28" t="n">
        <v>0</v>
      </c>
      <c r="L28" t="n">
        <v>0</v>
      </c>
      <c r="M28" t="n">
        <v>0</v>
      </c>
      <c r="N28" t="n">
        <v>0</v>
      </c>
      <c r="O28" t="n">
        <v>2</v>
      </c>
      <c r="P28" t="n">
        <v>0</v>
      </c>
      <c r="Q28" t="n">
        <v>5</v>
      </c>
      <c r="R28" s="2" t="inlineStr">
        <is>
          <t>Ekvaxskivling
Kandelabersvamp
Stinkbrosking
Svart trolldruva
Blåsippa</t>
        </is>
      </c>
      <c r="S28">
        <f>HYPERLINK("https://klasma.github.io/Logging_0188/artfynd/A 30687-2025 artfynd.xlsx", "A 30687-2025")</f>
        <v/>
      </c>
      <c r="T28">
        <f>HYPERLINK("https://klasma.github.io/Logging_0188/kartor/A 30687-2025 karta.png", "A 30687-2025")</f>
        <v/>
      </c>
      <c r="V28">
        <f>HYPERLINK("https://klasma.github.io/Logging_0188/klagomål/A 30687-2025 FSC-klagomål.docx", "A 30687-2025")</f>
        <v/>
      </c>
      <c r="W28">
        <f>HYPERLINK("https://klasma.github.io/Logging_0188/klagomålsmail/A 30687-2025 FSC-klagomål mail.docx", "A 30687-2025")</f>
        <v/>
      </c>
      <c r="X28">
        <f>HYPERLINK("https://klasma.github.io/Logging_0188/tillsyn/A 30687-2025 tillsynsbegäran.docx", "A 30687-2025")</f>
        <v/>
      </c>
      <c r="Y28">
        <f>HYPERLINK("https://klasma.github.io/Logging_0188/tillsynsmail/A 30687-2025 tillsynsbegäran mail.docx", "A 30687-2025")</f>
        <v/>
      </c>
    </row>
    <row r="29" ht="15" customHeight="1">
      <c r="A29" t="inlineStr">
        <is>
          <t>A 15804-2025</t>
        </is>
      </c>
      <c r="B29" s="1" t="n">
        <v>45748.6521875</v>
      </c>
      <c r="C29" s="1" t="n">
        <v>45887</v>
      </c>
      <c r="D29" t="inlineStr">
        <is>
          <t>STOCKHOLMS LÄN</t>
        </is>
      </c>
      <c r="E29" t="inlineStr">
        <is>
          <t>NORRTÄLJE</t>
        </is>
      </c>
      <c r="F29" t="inlineStr">
        <is>
          <t>Holmen skog AB</t>
        </is>
      </c>
      <c r="G29" t="n">
        <v>1.7</v>
      </c>
      <c r="H29" t="n">
        <v>1</v>
      </c>
      <c r="I29" t="n">
        <v>1</v>
      </c>
      <c r="J29" t="n">
        <v>3</v>
      </c>
      <c r="K29" t="n">
        <v>0</v>
      </c>
      <c r="L29" t="n">
        <v>1</v>
      </c>
      <c r="M29" t="n">
        <v>0</v>
      </c>
      <c r="N29" t="n">
        <v>0</v>
      </c>
      <c r="O29" t="n">
        <v>4</v>
      </c>
      <c r="P29" t="n">
        <v>1</v>
      </c>
      <c r="Q29" t="n">
        <v>5</v>
      </c>
      <c r="R29" s="2" t="inlineStr">
        <is>
          <t>Asknätfjäril
Gullklöver
Skogsklocka
Slåtterfibbla
Spetsvaxing</t>
        </is>
      </c>
      <c r="S29">
        <f>HYPERLINK("https://klasma.github.io/Logging_0188/artfynd/A 15804-2025 artfynd.xlsx", "A 15804-2025")</f>
        <v/>
      </c>
      <c r="T29">
        <f>HYPERLINK("https://klasma.github.io/Logging_0188/kartor/A 15804-2025 karta.png", "A 15804-2025")</f>
        <v/>
      </c>
      <c r="V29">
        <f>HYPERLINK("https://klasma.github.io/Logging_0188/klagomål/A 15804-2025 FSC-klagomål.docx", "A 15804-2025")</f>
        <v/>
      </c>
      <c r="W29">
        <f>HYPERLINK("https://klasma.github.io/Logging_0188/klagomålsmail/A 15804-2025 FSC-klagomål mail.docx", "A 15804-2025")</f>
        <v/>
      </c>
      <c r="X29">
        <f>HYPERLINK("https://klasma.github.io/Logging_0188/tillsyn/A 15804-2025 tillsynsbegäran.docx", "A 15804-2025")</f>
        <v/>
      </c>
      <c r="Y29">
        <f>HYPERLINK("https://klasma.github.io/Logging_0188/tillsynsmail/A 15804-2025 tillsynsbegäran mail.docx", "A 15804-2025")</f>
        <v/>
      </c>
    </row>
    <row r="30" ht="15" customHeight="1">
      <c r="A30" t="inlineStr">
        <is>
          <t>A 42457-2020</t>
        </is>
      </c>
      <c r="B30" s="1" t="n">
        <v>44076</v>
      </c>
      <c r="C30" s="1" t="n">
        <v>45887</v>
      </c>
      <c r="D30" t="inlineStr">
        <is>
          <t>STOCKHOLMS LÄN</t>
        </is>
      </c>
      <c r="E30" t="inlineStr">
        <is>
          <t>NORRTÄLJE</t>
        </is>
      </c>
      <c r="F30" t="inlineStr">
        <is>
          <t>Kommuner</t>
        </is>
      </c>
      <c r="G30" t="n">
        <v>3.1</v>
      </c>
      <c r="H30" t="n">
        <v>2</v>
      </c>
      <c r="I30" t="n">
        <v>3</v>
      </c>
      <c r="J30" t="n">
        <v>1</v>
      </c>
      <c r="K30" t="n">
        <v>0</v>
      </c>
      <c r="L30" t="n">
        <v>0</v>
      </c>
      <c r="M30" t="n">
        <v>0</v>
      </c>
      <c r="N30" t="n">
        <v>0</v>
      </c>
      <c r="O30" t="n">
        <v>1</v>
      </c>
      <c r="P30" t="n">
        <v>0</v>
      </c>
      <c r="Q30" t="n">
        <v>5</v>
      </c>
      <c r="R30" s="2" t="inlineStr">
        <is>
          <t>Spillkråka
Granbräken
Jättesvampmal
Thomsons trägnagare
Blåsippa</t>
        </is>
      </c>
      <c r="S30">
        <f>HYPERLINK("https://klasma.github.io/Logging_0188/artfynd/A 42457-2020 artfynd.xlsx", "A 42457-2020")</f>
        <v/>
      </c>
      <c r="T30">
        <f>HYPERLINK("https://klasma.github.io/Logging_0188/kartor/A 42457-2020 karta.png", "A 42457-2020")</f>
        <v/>
      </c>
      <c r="V30">
        <f>HYPERLINK("https://klasma.github.io/Logging_0188/klagomål/A 42457-2020 FSC-klagomål.docx", "A 42457-2020")</f>
        <v/>
      </c>
      <c r="W30">
        <f>HYPERLINK("https://klasma.github.io/Logging_0188/klagomålsmail/A 42457-2020 FSC-klagomål mail.docx", "A 42457-2020")</f>
        <v/>
      </c>
      <c r="X30">
        <f>HYPERLINK("https://klasma.github.io/Logging_0188/tillsyn/A 42457-2020 tillsynsbegäran.docx", "A 42457-2020")</f>
        <v/>
      </c>
      <c r="Y30">
        <f>HYPERLINK("https://klasma.github.io/Logging_0188/tillsynsmail/A 42457-2020 tillsynsbegäran mail.docx", "A 42457-2020")</f>
        <v/>
      </c>
      <c r="Z30">
        <f>HYPERLINK("https://klasma.github.io/Logging_0188/fåglar/A 42457-2020 prioriterade fågelarter.docx", "A 42457-2020")</f>
        <v/>
      </c>
    </row>
    <row r="31" ht="15" customHeight="1">
      <c r="A31" t="inlineStr">
        <is>
          <t>A 21922-2023</t>
        </is>
      </c>
      <c r="B31" s="1" t="n">
        <v>45068</v>
      </c>
      <c r="C31" s="1" t="n">
        <v>45887</v>
      </c>
      <c r="D31" t="inlineStr">
        <is>
          <t>STOCKHOLMS LÄN</t>
        </is>
      </c>
      <c r="E31" t="inlineStr">
        <is>
          <t>NORRTÄLJE</t>
        </is>
      </c>
      <c r="G31" t="n">
        <v>4.9</v>
      </c>
      <c r="H31" t="n">
        <v>2</v>
      </c>
      <c r="I31" t="n">
        <v>2</v>
      </c>
      <c r="J31" t="n">
        <v>1</v>
      </c>
      <c r="K31" t="n">
        <v>0</v>
      </c>
      <c r="L31" t="n">
        <v>0</v>
      </c>
      <c r="M31" t="n">
        <v>0</v>
      </c>
      <c r="N31" t="n">
        <v>0</v>
      </c>
      <c r="O31" t="n">
        <v>1</v>
      </c>
      <c r="P31" t="n">
        <v>0</v>
      </c>
      <c r="Q31" t="n">
        <v>5</v>
      </c>
      <c r="R31" s="2" t="inlineStr">
        <is>
          <t>Asppraktbagge
Stor aspticka
Svavelriska
Blåsippa
Gullviva</t>
        </is>
      </c>
      <c r="S31">
        <f>HYPERLINK("https://klasma.github.io/Logging_0188/artfynd/A 21922-2023 artfynd.xlsx", "A 21922-2023")</f>
        <v/>
      </c>
      <c r="T31">
        <f>HYPERLINK("https://klasma.github.io/Logging_0188/kartor/A 21922-2023 karta.png", "A 21922-2023")</f>
        <v/>
      </c>
      <c r="V31">
        <f>HYPERLINK("https://klasma.github.io/Logging_0188/klagomål/A 21922-2023 FSC-klagomål.docx", "A 21922-2023")</f>
        <v/>
      </c>
      <c r="W31">
        <f>HYPERLINK("https://klasma.github.io/Logging_0188/klagomålsmail/A 21922-2023 FSC-klagomål mail.docx", "A 21922-2023")</f>
        <v/>
      </c>
      <c r="X31">
        <f>HYPERLINK("https://klasma.github.io/Logging_0188/tillsyn/A 21922-2023 tillsynsbegäran.docx", "A 21922-2023")</f>
        <v/>
      </c>
      <c r="Y31">
        <f>HYPERLINK("https://klasma.github.io/Logging_0188/tillsynsmail/A 21922-2023 tillsynsbegäran mail.docx", "A 21922-2023")</f>
        <v/>
      </c>
    </row>
    <row r="32" ht="15" customHeight="1">
      <c r="A32" t="inlineStr">
        <is>
          <t>A 72111-2021</t>
        </is>
      </c>
      <c r="B32" s="1" t="n">
        <v>44544</v>
      </c>
      <c r="C32" s="1" t="n">
        <v>45887</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45887</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45887</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45887</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45887</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10876-2025</t>
        </is>
      </c>
      <c r="B37" s="1" t="n">
        <v>45722</v>
      </c>
      <c r="C37" s="1" t="n">
        <v>45887</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34521-2025</t>
        </is>
      </c>
      <c r="B38" s="1" t="n">
        <v>45847.47052083333</v>
      </c>
      <c r="C38" s="1" t="n">
        <v>45887</v>
      </c>
      <c r="D38" t="inlineStr">
        <is>
          <t>STOCKHOLMS LÄN</t>
        </is>
      </c>
      <c r="E38" t="inlineStr">
        <is>
          <t>NORRTÄLJE</t>
        </is>
      </c>
      <c r="G38" t="n">
        <v>4.3</v>
      </c>
      <c r="H38" t="n">
        <v>0</v>
      </c>
      <c r="I38" t="n">
        <v>2</v>
      </c>
      <c r="J38" t="n">
        <v>2</v>
      </c>
      <c r="K38" t="n">
        <v>0</v>
      </c>
      <c r="L38" t="n">
        <v>0</v>
      </c>
      <c r="M38" t="n">
        <v>0</v>
      </c>
      <c r="N38" t="n">
        <v>0</v>
      </c>
      <c r="O38" t="n">
        <v>2</v>
      </c>
      <c r="P38" t="n">
        <v>0</v>
      </c>
      <c r="Q38" t="n">
        <v>4</v>
      </c>
      <c r="R38" s="2" t="inlineStr">
        <is>
          <t>Kandelabersvamp
Vedtrappmossa
Anisspindling
Stor aspticka</t>
        </is>
      </c>
      <c r="S38">
        <f>HYPERLINK("https://klasma.github.io/Logging_0188/artfynd/A 34521-2025 artfynd.xlsx", "A 34521-2025")</f>
        <v/>
      </c>
      <c r="T38">
        <f>HYPERLINK("https://klasma.github.io/Logging_0188/kartor/A 34521-2025 karta.png", "A 34521-2025")</f>
        <v/>
      </c>
      <c r="V38">
        <f>HYPERLINK("https://klasma.github.io/Logging_0188/klagomål/A 34521-2025 FSC-klagomål.docx", "A 34521-2025")</f>
        <v/>
      </c>
      <c r="W38">
        <f>HYPERLINK("https://klasma.github.io/Logging_0188/klagomålsmail/A 34521-2025 FSC-klagomål mail.docx", "A 34521-2025")</f>
        <v/>
      </c>
      <c r="X38">
        <f>HYPERLINK("https://klasma.github.io/Logging_0188/tillsyn/A 34521-2025 tillsynsbegäran.docx", "A 34521-2025")</f>
        <v/>
      </c>
      <c r="Y38">
        <f>HYPERLINK("https://klasma.github.io/Logging_0188/tillsynsmail/A 34521-2025 tillsynsbegäran mail.docx", "A 34521-2025")</f>
        <v/>
      </c>
    </row>
    <row r="39" ht="15" customHeight="1">
      <c r="A39" t="inlineStr">
        <is>
          <t>A 24052-2021</t>
        </is>
      </c>
      <c r="B39" s="1" t="n">
        <v>44336</v>
      </c>
      <c r="C39" s="1" t="n">
        <v>45887</v>
      </c>
      <c r="D39" t="inlineStr">
        <is>
          <t>STOCKHOLMS LÄN</t>
        </is>
      </c>
      <c r="E39" t="inlineStr">
        <is>
          <t>NORRTÄLJE</t>
        </is>
      </c>
      <c r="G39" t="n">
        <v>8.6</v>
      </c>
      <c r="H39" t="n">
        <v>4</v>
      </c>
      <c r="I39" t="n">
        <v>0</v>
      </c>
      <c r="J39" t="n">
        <v>2</v>
      </c>
      <c r="K39" t="n">
        <v>0</v>
      </c>
      <c r="L39" t="n">
        <v>0</v>
      </c>
      <c r="M39" t="n">
        <v>0</v>
      </c>
      <c r="N39" t="n">
        <v>0</v>
      </c>
      <c r="O39" t="n">
        <v>2</v>
      </c>
      <c r="P39" t="n">
        <v>0</v>
      </c>
      <c r="Q39" t="n">
        <v>4</v>
      </c>
      <c r="R39" s="2" t="inlineStr">
        <is>
          <t>Brunlångöra
Nordfladdermus
Dvärgpipistrell
Större brunfladdermus</t>
        </is>
      </c>
      <c r="S39">
        <f>HYPERLINK("https://klasma.github.io/Logging_0188/artfynd/A 24052-2021 artfynd.xlsx", "A 24052-2021")</f>
        <v/>
      </c>
      <c r="T39">
        <f>HYPERLINK("https://klasma.github.io/Logging_0188/kartor/A 24052-2021 karta.png", "A 24052-2021")</f>
        <v/>
      </c>
      <c r="V39">
        <f>HYPERLINK("https://klasma.github.io/Logging_0188/klagomål/A 24052-2021 FSC-klagomål.docx", "A 24052-2021")</f>
        <v/>
      </c>
      <c r="W39">
        <f>HYPERLINK("https://klasma.github.io/Logging_0188/klagomålsmail/A 24052-2021 FSC-klagomål mail.docx", "A 24052-2021")</f>
        <v/>
      </c>
      <c r="X39">
        <f>HYPERLINK("https://klasma.github.io/Logging_0188/tillsyn/A 24052-2021 tillsynsbegäran.docx", "A 24052-2021")</f>
        <v/>
      </c>
      <c r="Y39">
        <f>HYPERLINK("https://klasma.github.io/Logging_0188/tillsynsmail/A 24052-2021 tillsynsbegäran mail.docx", "A 24052-2021")</f>
        <v/>
      </c>
    </row>
    <row r="40" ht="15" customHeight="1">
      <c r="A40" t="inlineStr">
        <is>
          <t>A 44709-2022</t>
        </is>
      </c>
      <c r="B40" s="1" t="n">
        <v>44839</v>
      </c>
      <c r="C40" s="1" t="n">
        <v>45887</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45887</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45887</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45887</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45887</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54110-2024</t>
        </is>
      </c>
      <c r="B45" s="1" t="n">
        <v>45616.54866898148</v>
      </c>
      <c r="C45" s="1" t="n">
        <v>45887</v>
      </c>
      <c r="D45" t="inlineStr">
        <is>
          <t>STOCKHOLMS LÄN</t>
        </is>
      </c>
      <c r="E45" t="inlineStr">
        <is>
          <t>NORRTÄLJE</t>
        </is>
      </c>
      <c r="G45" t="n">
        <v>6.7</v>
      </c>
      <c r="H45" t="n">
        <v>2</v>
      </c>
      <c r="I45" t="n">
        <v>0</v>
      </c>
      <c r="J45" t="n">
        <v>1</v>
      </c>
      <c r="K45" t="n">
        <v>0</v>
      </c>
      <c r="L45" t="n">
        <v>0</v>
      </c>
      <c r="M45" t="n">
        <v>0</v>
      </c>
      <c r="N45" t="n">
        <v>0</v>
      </c>
      <c r="O45" t="n">
        <v>1</v>
      </c>
      <c r="P45" t="n">
        <v>0</v>
      </c>
      <c r="Q45" t="n">
        <v>3</v>
      </c>
      <c r="R45" s="2" t="inlineStr">
        <is>
          <t>Klasefibbla
Nattviol
Gullviva</t>
        </is>
      </c>
      <c r="S45">
        <f>HYPERLINK("https://klasma.github.io/Logging_0188/artfynd/A 54110-2024 artfynd.xlsx", "A 54110-2024")</f>
        <v/>
      </c>
      <c r="T45">
        <f>HYPERLINK("https://klasma.github.io/Logging_0188/kartor/A 54110-2024 karta.png", "A 54110-2024")</f>
        <v/>
      </c>
      <c r="V45">
        <f>HYPERLINK("https://klasma.github.io/Logging_0188/klagomål/A 54110-2024 FSC-klagomål.docx", "A 54110-2024")</f>
        <v/>
      </c>
      <c r="W45">
        <f>HYPERLINK("https://klasma.github.io/Logging_0188/klagomålsmail/A 54110-2024 FSC-klagomål mail.docx", "A 54110-2024")</f>
        <v/>
      </c>
      <c r="X45">
        <f>HYPERLINK("https://klasma.github.io/Logging_0188/tillsyn/A 54110-2024 tillsynsbegäran.docx", "A 54110-2024")</f>
        <v/>
      </c>
      <c r="Y45">
        <f>HYPERLINK("https://klasma.github.io/Logging_0188/tillsynsmail/A 54110-2024 tillsynsbegäran mail.docx", "A 54110-2024")</f>
        <v/>
      </c>
    </row>
    <row r="46" ht="15" customHeight="1">
      <c r="A46" t="inlineStr">
        <is>
          <t>A 53065-2024</t>
        </is>
      </c>
      <c r="B46" s="1" t="n">
        <v>45611.47233796296</v>
      </c>
      <c r="C46" s="1" t="n">
        <v>45887</v>
      </c>
      <c r="D46" t="inlineStr">
        <is>
          <t>STOCKHOLMS LÄN</t>
        </is>
      </c>
      <c r="E46" t="inlineStr">
        <is>
          <t>NORRTÄLJE</t>
        </is>
      </c>
      <c r="G46" t="n">
        <v>12.3</v>
      </c>
      <c r="H46" t="n">
        <v>0</v>
      </c>
      <c r="I46" t="n">
        <v>1</v>
      </c>
      <c r="J46" t="n">
        <v>1</v>
      </c>
      <c r="K46" t="n">
        <v>1</v>
      </c>
      <c r="L46" t="n">
        <v>0</v>
      </c>
      <c r="M46" t="n">
        <v>0</v>
      </c>
      <c r="N46" t="n">
        <v>0</v>
      </c>
      <c r="O46" t="n">
        <v>2</v>
      </c>
      <c r="P46" t="n">
        <v>1</v>
      </c>
      <c r="Q46" t="n">
        <v>3</v>
      </c>
      <c r="R46" s="2" t="inlineStr">
        <is>
          <t>Aspsplintbock
Grön aspvedbock
Gulröd blankbock</t>
        </is>
      </c>
      <c r="S46">
        <f>HYPERLINK("https://klasma.github.io/Logging_0188/artfynd/A 53065-2024 artfynd.xlsx", "A 53065-2024")</f>
        <v/>
      </c>
      <c r="T46">
        <f>HYPERLINK("https://klasma.github.io/Logging_0188/kartor/A 53065-2024 karta.png", "A 53065-2024")</f>
        <v/>
      </c>
      <c r="V46">
        <f>HYPERLINK("https://klasma.github.io/Logging_0188/klagomål/A 53065-2024 FSC-klagomål.docx", "A 53065-2024")</f>
        <v/>
      </c>
      <c r="W46">
        <f>HYPERLINK("https://klasma.github.io/Logging_0188/klagomålsmail/A 53065-2024 FSC-klagomål mail.docx", "A 53065-2024")</f>
        <v/>
      </c>
      <c r="X46">
        <f>HYPERLINK("https://klasma.github.io/Logging_0188/tillsyn/A 53065-2024 tillsynsbegäran.docx", "A 53065-2024")</f>
        <v/>
      </c>
      <c r="Y46">
        <f>HYPERLINK("https://klasma.github.io/Logging_0188/tillsynsmail/A 53065-2024 tillsynsbegäran mail.docx", "A 53065-2024")</f>
        <v/>
      </c>
    </row>
    <row r="47" ht="15" customHeight="1">
      <c r="A47" t="inlineStr">
        <is>
          <t>A 50618-2022</t>
        </is>
      </c>
      <c r="B47" s="1" t="n">
        <v>44866</v>
      </c>
      <c r="C47" s="1" t="n">
        <v>45887</v>
      </c>
      <c r="D47" t="inlineStr">
        <is>
          <t>STOCKHOLMS LÄN</t>
        </is>
      </c>
      <c r="E47" t="inlineStr">
        <is>
          <t>NORRTÄLJE</t>
        </is>
      </c>
      <c r="G47" t="n">
        <v>7.8</v>
      </c>
      <c r="H47" t="n">
        <v>2</v>
      </c>
      <c r="I47" t="n">
        <v>2</v>
      </c>
      <c r="J47" t="n">
        <v>0</v>
      </c>
      <c r="K47" t="n">
        <v>0</v>
      </c>
      <c r="L47" t="n">
        <v>0</v>
      </c>
      <c r="M47" t="n">
        <v>0</v>
      </c>
      <c r="N47" t="n">
        <v>0</v>
      </c>
      <c r="O47" t="n">
        <v>0</v>
      </c>
      <c r="P47" t="n">
        <v>0</v>
      </c>
      <c r="Q47" t="n">
        <v>3</v>
      </c>
      <c r="R47" s="2" t="inlineStr">
        <is>
          <t>Skogsknipprot
Vårärt
Blåsippa</t>
        </is>
      </c>
      <c r="S47">
        <f>HYPERLINK("https://klasma.github.io/Logging_0188/artfynd/A 50618-2022 artfynd.xlsx", "A 50618-2022")</f>
        <v/>
      </c>
      <c r="T47">
        <f>HYPERLINK("https://klasma.github.io/Logging_0188/kartor/A 50618-2022 karta.png", "A 50618-2022")</f>
        <v/>
      </c>
      <c r="V47">
        <f>HYPERLINK("https://klasma.github.io/Logging_0188/klagomål/A 50618-2022 FSC-klagomål.docx", "A 50618-2022")</f>
        <v/>
      </c>
      <c r="W47">
        <f>HYPERLINK("https://klasma.github.io/Logging_0188/klagomålsmail/A 50618-2022 FSC-klagomål mail.docx", "A 50618-2022")</f>
        <v/>
      </c>
      <c r="X47">
        <f>HYPERLINK("https://klasma.github.io/Logging_0188/tillsyn/A 50618-2022 tillsynsbegäran.docx", "A 50618-2022")</f>
        <v/>
      </c>
      <c r="Y47">
        <f>HYPERLINK("https://klasma.github.io/Logging_0188/tillsynsmail/A 50618-2022 tillsynsbegäran mail.docx", "A 50618-2022")</f>
        <v/>
      </c>
    </row>
    <row r="48" ht="15" customHeight="1">
      <c r="A48" t="inlineStr">
        <is>
          <t>A 29185-2025</t>
        </is>
      </c>
      <c r="B48" s="1" t="n">
        <v>45821</v>
      </c>
      <c r="C48" s="1" t="n">
        <v>45887</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2851-2023</t>
        </is>
      </c>
      <c r="B49" s="1" t="n">
        <v>44945</v>
      </c>
      <c r="C49" s="1" t="n">
        <v>45887</v>
      </c>
      <c r="D49" t="inlineStr">
        <is>
          <t>STOCKHOLMS LÄN</t>
        </is>
      </c>
      <c r="E49" t="inlineStr">
        <is>
          <t>NORRTÄLJE</t>
        </is>
      </c>
      <c r="G49" t="n">
        <v>5.8</v>
      </c>
      <c r="H49" t="n">
        <v>1</v>
      </c>
      <c r="I49" t="n">
        <v>1</v>
      </c>
      <c r="J49" t="n">
        <v>2</v>
      </c>
      <c r="K49" t="n">
        <v>0</v>
      </c>
      <c r="L49" t="n">
        <v>0</v>
      </c>
      <c r="M49" t="n">
        <v>0</v>
      </c>
      <c r="N49" t="n">
        <v>0</v>
      </c>
      <c r="O49" t="n">
        <v>2</v>
      </c>
      <c r="P49" t="n">
        <v>0</v>
      </c>
      <c r="Q49" t="n">
        <v>3</v>
      </c>
      <c r="R49" s="2" t="inlineStr">
        <is>
          <t>Gulsparv
Vedflikmossa
Terpentinmossa</t>
        </is>
      </c>
      <c r="S49">
        <f>HYPERLINK("https://klasma.github.io/Logging_0188/artfynd/A 2851-2023 artfynd.xlsx", "A 2851-2023")</f>
        <v/>
      </c>
      <c r="T49">
        <f>HYPERLINK("https://klasma.github.io/Logging_0188/kartor/A 2851-2023 karta.png", "A 2851-2023")</f>
        <v/>
      </c>
      <c r="V49">
        <f>HYPERLINK("https://klasma.github.io/Logging_0188/klagomål/A 2851-2023 FSC-klagomål.docx", "A 2851-2023")</f>
        <v/>
      </c>
      <c r="W49">
        <f>HYPERLINK("https://klasma.github.io/Logging_0188/klagomålsmail/A 2851-2023 FSC-klagomål mail.docx", "A 2851-2023")</f>
        <v/>
      </c>
      <c r="X49">
        <f>HYPERLINK("https://klasma.github.io/Logging_0188/tillsyn/A 2851-2023 tillsynsbegäran.docx", "A 2851-2023")</f>
        <v/>
      </c>
      <c r="Y49">
        <f>HYPERLINK("https://klasma.github.io/Logging_0188/tillsynsmail/A 2851-2023 tillsynsbegäran mail.docx", "A 2851-2023")</f>
        <v/>
      </c>
      <c r="Z49">
        <f>HYPERLINK("https://klasma.github.io/Logging_0188/fåglar/A 2851-2023 prioriterade fågelarter.docx", "A 2851-2023")</f>
        <v/>
      </c>
    </row>
    <row r="50" ht="15" customHeight="1">
      <c r="A50" t="inlineStr">
        <is>
          <t>A 20185-2022</t>
        </is>
      </c>
      <c r="B50" s="1" t="n">
        <v>44698</v>
      </c>
      <c r="C50" s="1" t="n">
        <v>45887</v>
      </c>
      <c r="D50" t="inlineStr">
        <is>
          <t>STOCKHOLMS LÄN</t>
        </is>
      </c>
      <c r="E50" t="inlineStr">
        <is>
          <t>NORRTÄLJE</t>
        </is>
      </c>
      <c r="G50" t="n">
        <v>8.4</v>
      </c>
      <c r="H50" t="n">
        <v>1</v>
      </c>
      <c r="I50" t="n">
        <v>2</v>
      </c>
      <c r="J50" t="n">
        <v>0</v>
      </c>
      <c r="K50" t="n">
        <v>1</v>
      </c>
      <c r="L50" t="n">
        <v>0</v>
      </c>
      <c r="M50" t="n">
        <v>0</v>
      </c>
      <c r="N50" t="n">
        <v>0</v>
      </c>
      <c r="O50" t="n">
        <v>1</v>
      </c>
      <c r="P50" t="n">
        <v>1</v>
      </c>
      <c r="Q50" t="n">
        <v>3</v>
      </c>
      <c r="R50" s="2" t="inlineStr">
        <is>
          <t>Tallbit
Gullgröppa
Vedticka</t>
        </is>
      </c>
      <c r="S50">
        <f>HYPERLINK("https://klasma.github.io/Logging_0188/artfynd/A 20185-2022 artfynd.xlsx", "A 20185-2022")</f>
        <v/>
      </c>
      <c r="T50">
        <f>HYPERLINK("https://klasma.github.io/Logging_0188/kartor/A 20185-2022 karta.png", "A 20185-2022")</f>
        <v/>
      </c>
      <c r="V50">
        <f>HYPERLINK("https://klasma.github.io/Logging_0188/klagomål/A 20185-2022 FSC-klagomål.docx", "A 20185-2022")</f>
        <v/>
      </c>
      <c r="W50">
        <f>HYPERLINK("https://klasma.github.io/Logging_0188/klagomålsmail/A 20185-2022 FSC-klagomål mail.docx", "A 20185-2022")</f>
        <v/>
      </c>
      <c r="X50">
        <f>HYPERLINK("https://klasma.github.io/Logging_0188/tillsyn/A 20185-2022 tillsynsbegäran.docx", "A 20185-2022")</f>
        <v/>
      </c>
      <c r="Y50">
        <f>HYPERLINK("https://klasma.github.io/Logging_0188/tillsynsmail/A 20185-2022 tillsynsbegäran mail.docx", "A 20185-2022")</f>
        <v/>
      </c>
      <c r="Z50">
        <f>HYPERLINK("https://klasma.github.io/Logging_0188/fåglar/A 20185-2022 prioriterade fågelarter.docx", "A 20185-2022")</f>
        <v/>
      </c>
    </row>
    <row r="51" ht="15" customHeight="1">
      <c r="A51" t="inlineStr">
        <is>
          <t>A 31803-2021</t>
        </is>
      </c>
      <c r="B51" s="1" t="n">
        <v>44370</v>
      </c>
      <c r="C51" s="1" t="n">
        <v>45887</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45887</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45887</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45887</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20016-2025</t>
        </is>
      </c>
      <c r="B55" s="1" t="n">
        <v>45772.31609953703</v>
      </c>
      <c r="C55" s="1" t="n">
        <v>45887</v>
      </c>
      <c r="D55" t="inlineStr">
        <is>
          <t>STOCKHOLMS LÄN</t>
        </is>
      </c>
      <c r="E55" t="inlineStr">
        <is>
          <t>NORRTÄLJE</t>
        </is>
      </c>
      <c r="G55" t="n">
        <v>5.2</v>
      </c>
      <c r="H55" t="n">
        <v>1</v>
      </c>
      <c r="I55" t="n">
        <v>1</v>
      </c>
      <c r="J55" t="n">
        <v>0</v>
      </c>
      <c r="K55" t="n">
        <v>1</v>
      </c>
      <c r="L55" t="n">
        <v>0</v>
      </c>
      <c r="M55" t="n">
        <v>0</v>
      </c>
      <c r="N55" t="n">
        <v>0</v>
      </c>
      <c r="O55" t="n">
        <v>1</v>
      </c>
      <c r="P55" t="n">
        <v>1</v>
      </c>
      <c r="Q55" t="n">
        <v>2</v>
      </c>
      <c r="R55" s="2" t="inlineStr">
        <is>
          <t>Knärot
Grovticka</t>
        </is>
      </c>
      <c r="S55">
        <f>HYPERLINK("https://klasma.github.io/Logging_0188/artfynd/A 20016-2025 artfynd.xlsx", "A 20016-2025")</f>
        <v/>
      </c>
      <c r="T55">
        <f>HYPERLINK("https://klasma.github.io/Logging_0188/kartor/A 20016-2025 karta.png", "A 20016-2025")</f>
        <v/>
      </c>
      <c r="U55">
        <f>HYPERLINK("https://klasma.github.io/Logging_0188/knärot/A 20016-2025 karta knärot.png", "A 20016-2025")</f>
        <v/>
      </c>
      <c r="V55">
        <f>HYPERLINK("https://klasma.github.io/Logging_0188/klagomål/A 20016-2025 FSC-klagomål.docx", "A 20016-2025")</f>
        <v/>
      </c>
      <c r="W55">
        <f>HYPERLINK("https://klasma.github.io/Logging_0188/klagomålsmail/A 20016-2025 FSC-klagomål mail.docx", "A 20016-2025")</f>
        <v/>
      </c>
      <c r="X55">
        <f>HYPERLINK("https://klasma.github.io/Logging_0188/tillsyn/A 20016-2025 tillsynsbegäran.docx", "A 20016-2025")</f>
        <v/>
      </c>
      <c r="Y55">
        <f>HYPERLINK("https://klasma.github.io/Logging_0188/tillsynsmail/A 20016-2025 tillsynsbegäran mail.docx", "A 20016-2025")</f>
        <v/>
      </c>
    </row>
    <row r="56" ht="15" customHeight="1">
      <c r="A56" t="inlineStr">
        <is>
          <t>A 11031-2025</t>
        </is>
      </c>
      <c r="B56" s="1" t="n">
        <v>45723</v>
      </c>
      <c r="C56" s="1" t="n">
        <v>45887</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52360-2024</t>
        </is>
      </c>
      <c r="B57" s="1" t="n">
        <v>45609.37094907407</v>
      </c>
      <c r="C57" s="1" t="n">
        <v>45887</v>
      </c>
      <c r="D57" t="inlineStr">
        <is>
          <t>STOCKHOLMS LÄN</t>
        </is>
      </c>
      <c r="E57" t="inlineStr">
        <is>
          <t>NORRTÄLJE</t>
        </is>
      </c>
      <c r="G57" t="n">
        <v>2.2</v>
      </c>
      <c r="H57" t="n">
        <v>1</v>
      </c>
      <c r="I57" t="n">
        <v>1</v>
      </c>
      <c r="J57" t="n">
        <v>0</v>
      </c>
      <c r="K57" t="n">
        <v>0</v>
      </c>
      <c r="L57" t="n">
        <v>0</v>
      </c>
      <c r="M57" t="n">
        <v>0</v>
      </c>
      <c r="N57" t="n">
        <v>0</v>
      </c>
      <c r="O57" t="n">
        <v>0</v>
      </c>
      <c r="P57" t="n">
        <v>0</v>
      </c>
      <c r="Q57" t="n">
        <v>2</v>
      </c>
      <c r="R57" s="2" t="inlineStr">
        <is>
          <t>Brandticka
Blåsippa</t>
        </is>
      </c>
      <c r="S57">
        <f>HYPERLINK("https://klasma.github.io/Logging_0188/artfynd/A 52360-2024 artfynd.xlsx", "A 52360-2024")</f>
        <v/>
      </c>
      <c r="T57">
        <f>HYPERLINK("https://klasma.github.io/Logging_0188/kartor/A 52360-2024 karta.png", "A 52360-2024")</f>
        <v/>
      </c>
      <c r="V57">
        <f>HYPERLINK("https://klasma.github.io/Logging_0188/klagomål/A 52360-2024 FSC-klagomål.docx", "A 52360-2024")</f>
        <v/>
      </c>
      <c r="W57">
        <f>HYPERLINK("https://klasma.github.io/Logging_0188/klagomålsmail/A 52360-2024 FSC-klagomål mail.docx", "A 52360-2024")</f>
        <v/>
      </c>
      <c r="X57">
        <f>HYPERLINK("https://klasma.github.io/Logging_0188/tillsyn/A 52360-2024 tillsynsbegäran.docx", "A 52360-2024")</f>
        <v/>
      </c>
      <c r="Y57">
        <f>HYPERLINK("https://klasma.github.io/Logging_0188/tillsynsmail/A 52360-2024 tillsynsbegäran mail.docx", "A 52360-2024")</f>
        <v/>
      </c>
    </row>
    <row r="58" ht="15" customHeight="1">
      <c r="A58" t="inlineStr">
        <is>
          <t>A 25731-2025</t>
        </is>
      </c>
      <c r="B58" s="1" t="n">
        <v>45800</v>
      </c>
      <c r="C58" s="1" t="n">
        <v>45887</v>
      </c>
      <c r="D58" t="inlineStr">
        <is>
          <t>STOCKHOLMS LÄN</t>
        </is>
      </c>
      <c r="E58" t="inlineStr">
        <is>
          <t>NORRTÄLJE</t>
        </is>
      </c>
      <c r="G58" t="n">
        <v>11.9</v>
      </c>
      <c r="H58" t="n">
        <v>2</v>
      </c>
      <c r="I58" t="n">
        <v>0</v>
      </c>
      <c r="J58" t="n">
        <v>0</v>
      </c>
      <c r="K58" t="n">
        <v>1</v>
      </c>
      <c r="L58" t="n">
        <v>0</v>
      </c>
      <c r="M58" t="n">
        <v>0</v>
      </c>
      <c r="N58" t="n">
        <v>0</v>
      </c>
      <c r="O58" t="n">
        <v>1</v>
      </c>
      <c r="P58" t="n">
        <v>1</v>
      </c>
      <c r="Q58" t="n">
        <v>2</v>
      </c>
      <c r="R58" s="2" t="inlineStr">
        <is>
          <t>Knärot
Tjäder</t>
        </is>
      </c>
      <c r="S58">
        <f>HYPERLINK("https://klasma.github.io/Logging_0188/artfynd/A 25731-2025 artfynd.xlsx", "A 25731-2025")</f>
        <v/>
      </c>
      <c r="T58">
        <f>HYPERLINK("https://klasma.github.io/Logging_0188/kartor/A 25731-2025 karta.png", "A 25731-2025")</f>
        <v/>
      </c>
      <c r="U58">
        <f>HYPERLINK("https://klasma.github.io/Logging_0188/knärot/A 25731-2025 karta knärot.png", "A 25731-2025")</f>
        <v/>
      </c>
      <c r="V58">
        <f>HYPERLINK("https://klasma.github.io/Logging_0188/klagomål/A 25731-2025 FSC-klagomål.docx", "A 25731-2025")</f>
        <v/>
      </c>
      <c r="W58">
        <f>HYPERLINK("https://klasma.github.io/Logging_0188/klagomålsmail/A 25731-2025 FSC-klagomål mail.docx", "A 25731-2025")</f>
        <v/>
      </c>
      <c r="X58">
        <f>HYPERLINK("https://klasma.github.io/Logging_0188/tillsyn/A 25731-2025 tillsynsbegäran.docx", "A 25731-2025")</f>
        <v/>
      </c>
      <c r="Y58">
        <f>HYPERLINK("https://klasma.github.io/Logging_0188/tillsynsmail/A 25731-2025 tillsynsbegäran mail.docx", "A 25731-2025")</f>
        <v/>
      </c>
      <c r="Z58">
        <f>HYPERLINK("https://klasma.github.io/Logging_0188/fåglar/A 25731-2025 prioriterade fågelarter.docx", "A 25731-2025")</f>
        <v/>
      </c>
    </row>
    <row r="59" ht="15" customHeight="1">
      <c r="A59" t="inlineStr">
        <is>
          <t>A 34524-2025</t>
        </is>
      </c>
      <c r="B59" s="1" t="n">
        <v>45847.47685185185</v>
      </c>
      <c r="C59" s="1" t="n">
        <v>45887</v>
      </c>
      <c r="D59" t="inlineStr">
        <is>
          <t>STOCKHOLMS LÄN</t>
        </is>
      </c>
      <c r="E59" t="inlineStr">
        <is>
          <t>NORRTÄLJE</t>
        </is>
      </c>
      <c r="G59" t="n">
        <v>3.3</v>
      </c>
      <c r="H59" t="n">
        <v>0</v>
      </c>
      <c r="I59" t="n">
        <v>0</v>
      </c>
      <c r="J59" t="n">
        <v>2</v>
      </c>
      <c r="K59" t="n">
        <v>0</v>
      </c>
      <c r="L59" t="n">
        <v>0</v>
      </c>
      <c r="M59" t="n">
        <v>0</v>
      </c>
      <c r="N59" t="n">
        <v>0</v>
      </c>
      <c r="O59" t="n">
        <v>2</v>
      </c>
      <c r="P59" t="n">
        <v>0</v>
      </c>
      <c r="Q59" t="n">
        <v>2</v>
      </c>
      <c r="R59" s="2" t="inlineStr">
        <is>
          <t>Tallticka
Vedtrappmossa</t>
        </is>
      </c>
      <c r="S59">
        <f>HYPERLINK("https://klasma.github.io/Logging_0188/artfynd/A 34524-2025 artfynd.xlsx", "A 34524-2025")</f>
        <v/>
      </c>
      <c r="T59">
        <f>HYPERLINK("https://klasma.github.io/Logging_0188/kartor/A 34524-2025 karta.png", "A 34524-2025")</f>
        <v/>
      </c>
      <c r="V59">
        <f>HYPERLINK("https://klasma.github.io/Logging_0188/klagomål/A 34524-2025 FSC-klagomål.docx", "A 34524-2025")</f>
        <v/>
      </c>
      <c r="W59">
        <f>HYPERLINK("https://klasma.github.io/Logging_0188/klagomålsmail/A 34524-2025 FSC-klagomål mail.docx", "A 34524-2025")</f>
        <v/>
      </c>
      <c r="X59">
        <f>HYPERLINK("https://klasma.github.io/Logging_0188/tillsyn/A 34524-2025 tillsynsbegäran.docx", "A 34524-2025")</f>
        <v/>
      </c>
      <c r="Y59">
        <f>HYPERLINK("https://klasma.github.io/Logging_0188/tillsynsmail/A 34524-2025 tillsynsbegäran mail.docx", "A 34524-2025")</f>
        <v/>
      </c>
    </row>
    <row r="60" ht="15" customHeight="1">
      <c r="A60" t="inlineStr">
        <is>
          <t>A 52825-2023</t>
        </is>
      </c>
      <c r="B60" s="1" t="n">
        <v>45226</v>
      </c>
      <c r="C60" s="1" t="n">
        <v>45887</v>
      </c>
      <c r="D60" t="inlineStr">
        <is>
          <t>STOCKHOLMS LÄN</t>
        </is>
      </c>
      <c r="E60" t="inlineStr">
        <is>
          <t>NORRTÄLJE</t>
        </is>
      </c>
      <c r="G60" t="n">
        <v>1</v>
      </c>
      <c r="H60" t="n">
        <v>0</v>
      </c>
      <c r="I60" t="n">
        <v>2</v>
      </c>
      <c r="J60" t="n">
        <v>0</v>
      </c>
      <c r="K60" t="n">
        <v>0</v>
      </c>
      <c r="L60" t="n">
        <v>0</v>
      </c>
      <c r="M60" t="n">
        <v>0</v>
      </c>
      <c r="N60" t="n">
        <v>0</v>
      </c>
      <c r="O60" t="n">
        <v>0</v>
      </c>
      <c r="P60" t="n">
        <v>0</v>
      </c>
      <c r="Q60" t="n">
        <v>2</v>
      </c>
      <c r="R60" s="2" t="inlineStr">
        <is>
          <t>Fjällig taggsvamp s.str.
Strimspindling</t>
        </is>
      </c>
      <c r="S60">
        <f>HYPERLINK("https://klasma.github.io/Logging_0188/artfynd/A 52825-2023 artfynd.xlsx", "A 52825-2023")</f>
        <v/>
      </c>
      <c r="T60">
        <f>HYPERLINK("https://klasma.github.io/Logging_0188/kartor/A 52825-2023 karta.png", "A 52825-2023")</f>
        <v/>
      </c>
      <c r="V60">
        <f>HYPERLINK("https://klasma.github.io/Logging_0188/klagomål/A 52825-2023 FSC-klagomål.docx", "A 52825-2023")</f>
        <v/>
      </c>
      <c r="W60">
        <f>HYPERLINK("https://klasma.github.io/Logging_0188/klagomålsmail/A 52825-2023 FSC-klagomål mail.docx", "A 52825-2023")</f>
        <v/>
      </c>
      <c r="X60">
        <f>HYPERLINK("https://klasma.github.io/Logging_0188/tillsyn/A 52825-2023 tillsynsbegäran.docx", "A 52825-2023")</f>
        <v/>
      </c>
      <c r="Y60">
        <f>HYPERLINK("https://klasma.github.io/Logging_0188/tillsynsmail/A 52825-2023 tillsynsbegäran mail.docx", "A 52825-2023")</f>
        <v/>
      </c>
    </row>
    <row r="61" ht="15" customHeight="1">
      <c r="A61" t="inlineStr">
        <is>
          <t>A 16260-2022</t>
        </is>
      </c>
      <c r="B61" s="1" t="n">
        <v>44670</v>
      </c>
      <c r="C61" s="1" t="n">
        <v>45887</v>
      </c>
      <c r="D61" t="inlineStr">
        <is>
          <t>STOCKHOLMS LÄN</t>
        </is>
      </c>
      <c r="E61" t="inlineStr">
        <is>
          <t>NORRTÄLJE</t>
        </is>
      </c>
      <c r="G61" t="n">
        <v>6.6</v>
      </c>
      <c r="H61" t="n">
        <v>1</v>
      </c>
      <c r="I61" t="n">
        <v>2</v>
      </c>
      <c r="J61" t="n">
        <v>0</v>
      </c>
      <c r="K61" t="n">
        <v>0</v>
      </c>
      <c r="L61" t="n">
        <v>0</v>
      </c>
      <c r="M61" t="n">
        <v>0</v>
      </c>
      <c r="N61" t="n">
        <v>0</v>
      </c>
      <c r="O61" t="n">
        <v>0</v>
      </c>
      <c r="P61" t="n">
        <v>0</v>
      </c>
      <c r="Q61" t="n">
        <v>2</v>
      </c>
      <c r="R61" s="2" t="inlineStr">
        <is>
          <t>Nästrot
Vårärt</t>
        </is>
      </c>
      <c r="S61">
        <f>HYPERLINK("https://klasma.github.io/Logging_0188/artfynd/A 16260-2022 artfynd.xlsx", "A 16260-2022")</f>
        <v/>
      </c>
      <c r="T61">
        <f>HYPERLINK("https://klasma.github.io/Logging_0188/kartor/A 16260-2022 karta.png", "A 16260-2022")</f>
        <v/>
      </c>
      <c r="V61">
        <f>HYPERLINK("https://klasma.github.io/Logging_0188/klagomål/A 16260-2022 FSC-klagomål.docx", "A 16260-2022")</f>
        <v/>
      </c>
      <c r="W61">
        <f>HYPERLINK("https://klasma.github.io/Logging_0188/klagomålsmail/A 16260-2022 FSC-klagomål mail.docx", "A 16260-2022")</f>
        <v/>
      </c>
      <c r="X61">
        <f>HYPERLINK("https://klasma.github.io/Logging_0188/tillsyn/A 16260-2022 tillsynsbegäran.docx", "A 16260-2022")</f>
        <v/>
      </c>
      <c r="Y61">
        <f>HYPERLINK("https://klasma.github.io/Logging_0188/tillsynsmail/A 16260-2022 tillsynsbegäran mail.docx", "A 16260-2022")</f>
        <v/>
      </c>
    </row>
    <row r="62" ht="15" customHeight="1">
      <c r="A62" t="inlineStr">
        <is>
          <t>A 22190-2024</t>
        </is>
      </c>
      <c r="B62" s="1" t="n">
        <v>45446.35888888889</v>
      </c>
      <c r="C62" s="1" t="n">
        <v>45887</v>
      </c>
      <c r="D62" t="inlineStr">
        <is>
          <t>STOCKHOLMS LÄN</t>
        </is>
      </c>
      <c r="E62" t="inlineStr">
        <is>
          <t>NORRTÄLJE</t>
        </is>
      </c>
      <c r="G62" t="n">
        <v>2.8</v>
      </c>
      <c r="H62" t="n">
        <v>2</v>
      </c>
      <c r="I62" t="n">
        <v>1</v>
      </c>
      <c r="J62" t="n">
        <v>0</v>
      </c>
      <c r="K62" t="n">
        <v>0</v>
      </c>
      <c r="L62" t="n">
        <v>0</v>
      </c>
      <c r="M62" t="n">
        <v>0</v>
      </c>
      <c r="N62" t="n">
        <v>0</v>
      </c>
      <c r="O62" t="n">
        <v>0</v>
      </c>
      <c r="P62" t="n">
        <v>0</v>
      </c>
      <c r="Q62" t="n">
        <v>2</v>
      </c>
      <c r="R62" s="2" t="inlineStr">
        <is>
          <t>Skogsknipprot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52124-2022</t>
        </is>
      </c>
      <c r="B63" s="1" t="n">
        <v>44868</v>
      </c>
      <c r="C63" s="1" t="n">
        <v>45887</v>
      </c>
      <c r="D63" t="inlineStr">
        <is>
          <t>STOCKHOLMS LÄN</t>
        </is>
      </c>
      <c r="E63" t="inlineStr">
        <is>
          <t>NORRTÄLJE</t>
        </is>
      </c>
      <c r="G63" t="n">
        <v>4.8</v>
      </c>
      <c r="H63" t="n">
        <v>1</v>
      </c>
      <c r="I63" t="n">
        <v>0</v>
      </c>
      <c r="J63" t="n">
        <v>1</v>
      </c>
      <c r="K63" t="n">
        <v>0</v>
      </c>
      <c r="L63" t="n">
        <v>0</v>
      </c>
      <c r="M63" t="n">
        <v>0</v>
      </c>
      <c r="N63" t="n">
        <v>0</v>
      </c>
      <c r="O63" t="n">
        <v>1</v>
      </c>
      <c r="P63" t="n">
        <v>0</v>
      </c>
      <c r="Q63" t="n">
        <v>2</v>
      </c>
      <c r="R63" s="2" t="inlineStr">
        <is>
          <t>Kandelabersvamp
Blåsippa</t>
        </is>
      </c>
      <c r="S63">
        <f>HYPERLINK("https://klasma.github.io/Logging_0188/artfynd/A 52124-2022 artfynd.xlsx", "A 52124-2022")</f>
        <v/>
      </c>
      <c r="T63">
        <f>HYPERLINK("https://klasma.github.io/Logging_0188/kartor/A 52124-2022 karta.png", "A 52124-2022")</f>
        <v/>
      </c>
      <c r="V63">
        <f>HYPERLINK("https://klasma.github.io/Logging_0188/klagomål/A 52124-2022 FSC-klagomål.docx", "A 52124-2022")</f>
        <v/>
      </c>
      <c r="W63">
        <f>HYPERLINK("https://klasma.github.io/Logging_0188/klagomålsmail/A 52124-2022 FSC-klagomål mail.docx", "A 52124-2022")</f>
        <v/>
      </c>
      <c r="X63">
        <f>HYPERLINK("https://klasma.github.io/Logging_0188/tillsyn/A 52124-2022 tillsynsbegäran.docx", "A 52124-2022")</f>
        <v/>
      </c>
      <c r="Y63">
        <f>HYPERLINK("https://klasma.github.io/Logging_0188/tillsynsmail/A 52124-2022 tillsynsbegäran mail.docx", "A 52124-2022")</f>
        <v/>
      </c>
    </row>
    <row r="64" ht="15" customHeight="1">
      <c r="A64" t="inlineStr">
        <is>
          <t>A 51980-2022</t>
        </is>
      </c>
      <c r="B64" s="1" t="n">
        <v>44872</v>
      </c>
      <c r="C64" s="1" t="n">
        <v>45887</v>
      </c>
      <c r="D64" t="inlineStr">
        <is>
          <t>STOCKHOLMS LÄN</t>
        </is>
      </c>
      <c r="E64" t="inlineStr">
        <is>
          <t>NORRTÄLJE</t>
        </is>
      </c>
      <c r="G64" t="n">
        <v>7.9</v>
      </c>
      <c r="H64" t="n">
        <v>1</v>
      </c>
      <c r="I64" t="n">
        <v>2</v>
      </c>
      <c r="J64" t="n">
        <v>0</v>
      </c>
      <c r="K64" t="n">
        <v>0</v>
      </c>
      <c r="L64" t="n">
        <v>0</v>
      </c>
      <c r="M64" t="n">
        <v>0</v>
      </c>
      <c r="N64" t="n">
        <v>0</v>
      </c>
      <c r="O64" t="n">
        <v>0</v>
      </c>
      <c r="P64" t="n">
        <v>0</v>
      </c>
      <c r="Q64" t="n">
        <v>2</v>
      </c>
      <c r="R64" s="2" t="inlineStr">
        <is>
          <t>Rödgul trumpetsvamp
Skogsknipprot</t>
        </is>
      </c>
      <c r="S64">
        <f>HYPERLINK("https://klasma.github.io/Logging_0188/artfynd/A 51980-2022 artfynd.xlsx", "A 51980-2022")</f>
        <v/>
      </c>
      <c r="T64">
        <f>HYPERLINK("https://klasma.github.io/Logging_0188/kartor/A 51980-2022 karta.png", "A 51980-2022")</f>
        <v/>
      </c>
      <c r="V64">
        <f>HYPERLINK("https://klasma.github.io/Logging_0188/klagomål/A 51980-2022 FSC-klagomål.docx", "A 51980-2022")</f>
        <v/>
      </c>
      <c r="W64">
        <f>HYPERLINK("https://klasma.github.io/Logging_0188/klagomålsmail/A 51980-2022 FSC-klagomål mail.docx", "A 51980-2022")</f>
        <v/>
      </c>
      <c r="X64">
        <f>HYPERLINK("https://klasma.github.io/Logging_0188/tillsyn/A 51980-2022 tillsynsbegäran.docx", "A 51980-2022")</f>
        <v/>
      </c>
      <c r="Y64">
        <f>HYPERLINK("https://klasma.github.io/Logging_0188/tillsynsmail/A 51980-2022 tillsynsbegäran mail.docx", "A 51980-2022")</f>
        <v/>
      </c>
    </row>
    <row r="65" ht="15" customHeight="1">
      <c r="A65" t="inlineStr">
        <is>
          <t>A 20012-2025</t>
        </is>
      </c>
      <c r="B65" s="1" t="n">
        <v>45772.30234953704</v>
      </c>
      <c r="C65" s="1" t="n">
        <v>45887</v>
      </c>
      <c r="D65" t="inlineStr">
        <is>
          <t>STOCKHOLMS LÄN</t>
        </is>
      </c>
      <c r="E65" t="inlineStr">
        <is>
          <t>NORRTÄLJE</t>
        </is>
      </c>
      <c r="G65" t="n">
        <v>3.8</v>
      </c>
      <c r="H65" t="n">
        <v>0</v>
      </c>
      <c r="I65" t="n">
        <v>2</v>
      </c>
      <c r="J65" t="n">
        <v>0</v>
      </c>
      <c r="K65" t="n">
        <v>0</v>
      </c>
      <c r="L65" t="n">
        <v>0</v>
      </c>
      <c r="M65" t="n">
        <v>0</v>
      </c>
      <c r="N65" t="n">
        <v>0</v>
      </c>
      <c r="O65" t="n">
        <v>0</v>
      </c>
      <c r="P65" t="n">
        <v>0</v>
      </c>
      <c r="Q65" t="n">
        <v>2</v>
      </c>
      <c r="R65" s="2" t="inlineStr">
        <is>
          <t>Barkticka
Stor aspticka</t>
        </is>
      </c>
      <c r="S65">
        <f>HYPERLINK("https://klasma.github.io/Logging_0188/artfynd/A 20012-2025 artfynd.xlsx", "A 20012-2025")</f>
        <v/>
      </c>
      <c r="T65">
        <f>HYPERLINK("https://klasma.github.io/Logging_0188/kartor/A 20012-2025 karta.png", "A 20012-2025")</f>
        <v/>
      </c>
      <c r="V65">
        <f>HYPERLINK("https://klasma.github.io/Logging_0188/klagomål/A 20012-2025 FSC-klagomål.docx", "A 20012-2025")</f>
        <v/>
      </c>
      <c r="W65">
        <f>HYPERLINK("https://klasma.github.io/Logging_0188/klagomålsmail/A 20012-2025 FSC-klagomål mail.docx", "A 20012-2025")</f>
        <v/>
      </c>
      <c r="X65">
        <f>HYPERLINK("https://klasma.github.io/Logging_0188/tillsyn/A 20012-2025 tillsynsbegäran.docx", "A 20012-2025")</f>
        <v/>
      </c>
      <c r="Y65">
        <f>HYPERLINK("https://klasma.github.io/Logging_0188/tillsynsmail/A 20012-2025 tillsynsbegäran mail.docx", "A 20012-2025")</f>
        <v/>
      </c>
    </row>
    <row r="66" ht="15" customHeight="1">
      <c r="A66" t="inlineStr">
        <is>
          <t>A 1547-2022</t>
        </is>
      </c>
      <c r="B66" s="1" t="n">
        <v>44573</v>
      </c>
      <c r="C66" s="1" t="n">
        <v>45887</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45887</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45887</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45887</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45887</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45887</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45887</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19829-2022</t>
        </is>
      </c>
      <c r="B73" s="1" t="n">
        <v>44695.43527777777</v>
      </c>
      <c r="C73" s="1" t="n">
        <v>45887</v>
      </c>
      <c r="D73" t="inlineStr">
        <is>
          <t>STOCKHOLMS LÄN</t>
        </is>
      </c>
      <c r="E73" t="inlineStr">
        <is>
          <t>NORRTÄLJE</t>
        </is>
      </c>
      <c r="G73" t="n">
        <v>2</v>
      </c>
      <c r="H73" t="n">
        <v>1</v>
      </c>
      <c r="I73" t="n">
        <v>1</v>
      </c>
      <c r="J73" t="n">
        <v>0</v>
      </c>
      <c r="K73" t="n">
        <v>0</v>
      </c>
      <c r="L73" t="n">
        <v>0</v>
      </c>
      <c r="M73" t="n">
        <v>0</v>
      </c>
      <c r="N73" t="n">
        <v>0</v>
      </c>
      <c r="O73" t="n">
        <v>0</v>
      </c>
      <c r="P73" t="n">
        <v>0</v>
      </c>
      <c r="Q73" t="n">
        <v>1</v>
      </c>
      <c r="R73" s="2" t="inlineStr">
        <is>
          <t>Guckusko</t>
        </is>
      </c>
      <c r="S73">
        <f>HYPERLINK("https://klasma.github.io/Logging_0188/artfynd/A 19829-2022 artfynd.xlsx", "A 19829-2022")</f>
        <v/>
      </c>
      <c r="T73">
        <f>HYPERLINK("https://klasma.github.io/Logging_0188/kartor/A 19829-2022 karta.png", "A 19829-2022")</f>
        <v/>
      </c>
      <c r="V73">
        <f>HYPERLINK("https://klasma.github.io/Logging_0188/klagomål/A 19829-2022 FSC-klagomål.docx", "A 19829-2022")</f>
        <v/>
      </c>
      <c r="W73">
        <f>HYPERLINK("https://klasma.github.io/Logging_0188/klagomålsmail/A 19829-2022 FSC-klagomål mail.docx", "A 19829-2022")</f>
        <v/>
      </c>
      <c r="X73">
        <f>HYPERLINK("https://klasma.github.io/Logging_0188/tillsyn/A 19829-2022 tillsynsbegäran.docx", "A 19829-2022")</f>
        <v/>
      </c>
      <c r="Y73">
        <f>HYPERLINK("https://klasma.github.io/Logging_0188/tillsynsmail/A 19829-2022 tillsynsbegäran mail.docx", "A 19829-2022")</f>
        <v/>
      </c>
    </row>
    <row r="74" ht="15" customHeight="1">
      <c r="A74" t="inlineStr">
        <is>
          <t>A 21927-2025</t>
        </is>
      </c>
      <c r="B74" s="1" t="n">
        <v>45784.54878472222</v>
      </c>
      <c r="C74" s="1" t="n">
        <v>45887</v>
      </c>
      <c r="D74" t="inlineStr">
        <is>
          <t>STOCKHOLMS LÄN</t>
        </is>
      </c>
      <c r="E74" t="inlineStr">
        <is>
          <t>NORRTÄLJE</t>
        </is>
      </c>
      <c r="G74" t="n">
        <v>3.4</v>
      </c>
      <c r="H74" t="n">
        <v>1</v>
      </c>
      <c r="I74" t="n">
        <v>1</v>
      </c>
      <c r="J74" t="n">
        <v>0</v>
      </c>
      <c r="K74" t="n">
        <v>0</v>
      </c>
      <c r="L74" t="n">
        <v>0</v>
      </c>
      <c r="M74" t="n">
        <v>0</v>
      </c>
      <c r="N74" t="n">
        <v>0</v>
      </c>
      <c r="O74" t="n">
        <v>0</v>
      </c>
      <c r="P74" t="n">
        <v>0</v>
      </c>
      <c r="Q74" t="n">
        <v>1</v>
      </c>
      <c r="R74" s="2" t="inlineStr">
        <is>
          <t>Nästrot</t>
        </is>
      </c>
      <c r="S74">
        <f>HYPERLINK("https://klasma.github.io/Logging_0188/artfynd/A 21927-2025 artfynd.xlsx", "A 21927-2025")</f>
        <v/>
      </c>
      <c r="T74">
        <f>HYPERLINK("https://klasma.github.io/Logging_0188/kartor/A 21927-2025 karta.png", "A 21927-2025")</f>
        <v/>
      </c>
      <c r="V74">
        <f>HYPERLINK("https://klasma.github.io/Logging_0188/klagomål/A 21927-2025 FSC-klagomål.docx", "A 21927-2025")</f>
        <v/>
      </c>
      <c r="W74">
        <f>HYPERLINK("https://klasma.github.io/Logging_0188/klagomålsmail/A 21927-2025 FSC-klagomål mail.docx", "A 21927-2025")</f>
        <v/>
      </c>
      <c r="X74">
        <f>HYPERLINK("https://klasma.github.io/Logging_0188/tillsyn/A 21927-2025 tillsynsbegäran.docx", "A 21927-2025")</f>
        <v/>
      </c>
      <c r="Y74">
        <f>HYPERLINK("https://klasma.github.io/Logging_0188/tillsynsmail/A 21927-2025 tillsynsbegäran mail.docx", "A 21927-2025")</f>
        <v/>
      </c>
    </row>
    <row r="75" ht="15" customHeight="1">
      <c r="A75" t="inlineStr">
        <is>
          <t>A 9955-2022</t>
        </is>
      </c>
      <c r="B75" s="1" t="n">
        <v>44620</v>
      </c>
      <c r="C75" s="1" t="n">
        <v>45887</v>
      </c>
      <c r="D75" t="inlineStr">
        <is>
          <t>STOCKHOLMS LÄN</t>
        </is>
      </c>
      <c r="E75" t="inlineStr">
        <is>
          <t>NORRTÄLJE</t>
        </is>
      </c>
      <c r="G75" t="n">
        <v>7.8</v>
      </c>
      <c r="H75" t="n">
        <v>1</v>
      </c>
      <c r="I75" t="n">
        <v>0</v>
      </c>
      <c r="J75" t="n">
        <v>0</v>
      </c>
      <c r="K75" t="n">
        <v>0</v>
      </c>
      <c r="L75" t="n">
        <v>0</v>
      </c>
      <c r="M75" t="n">
        <v>0</v>
      </c>
      <c r="N75" t="n">
        <v>0</v>
      </c>
      <c r="O75" t="n">
        <v>0</v>
      </c>
      <c r="P75" t="n">
        <v>0</v>
      </c>
      <c r="Q75" t="n">
        <v>1</v>
      </c>
      <c r="R75" s="2" t="inlineStr">
        <is>
          <t>Åkergroda</t>
        </is>
      </c>
      <c r="S75">
        <f>HYPERLINK("https://klasma.github.io/Logging_0188/artfynd/A 9955-2022 artfynd.xlsx", "A 9955-2022")</f>
        <v/>
      </c>
      <c r="T75">
        <f>HYPERLINK("https://klasma.github.io/Logging_0188/kartor/A 9955-2022 karta.png", "A 9955-2022")</f>
        <v/>
      </c>
      <c r="V75">
        <f>HYPERLINK("https://klasma.github.io/Logging_0188/klagomål/A 9955-2022 FSC-klagomål.docx", "A 9955-2022")</f>
        <v/>
      </c>
      <c r="W75">
        <f>HYPERLINK("https://klasma.github.io/Logging_0188/klagomålsmail/A 9955-2022 FSC-klagomål mail.docx", "A 9955-2022")</f>
        <v/>
      </c>
      <c r="X75">
        <f>HYPERLINK("https://klasma.github.io/Logging_0188/tillsyn/A 9955-2022 tillsynsbegäran.docx", "A 9955-2022")</f>
        <v/>
      </c>
      <c r="Y75">
        <f>HYPERLINK("https://klasma.github.io/Logging_0188/tillsynsmail/A 9955-2022 tillsynsbegäran mail.docx", "A 9955-2022")</f>
        <v/>
      </c>
    </row>
    <row r="76" ht="15" customHeight="1">
      <c r="A76" t="inlineStr">
        <is>
          <t>A 47898-2022</t>
        </is>
      </c>
      <c r="B76" s="1" t="n">
        <v>44855</v>
      </c>
      <c r="C76" s="1" t="n">
        <v>45887</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23905-2025</t>
        </is>
      </c>
      <c r="B77" s="1" t="n">
        <v>45794.63298611111</v>
      </c>
      <c r="C77" s="1" t="n">
        <v>45887</v>
      </c>
      <c r="D77" t="inlineStr">
        <is>
          <t>STOCKHOLMS LÄN</t>
        </is>
      </c>
      <c r="E77" t="inlineStr">
        <is>
          <t>NORRTÄLJE</t>
        </is>
      </c>
      <c r="G77" t="n">
        <v>8.4</v>
      </c>
      <c r="H77" t="n">
        <v>1</v>
      </c>
      <c r="I77" t="n">
        <v>0</v>
      </c>
      <c r="J77" t="n">
        <v>0</v>
      </c>
      <c r="K77" t="n">
        <v>0</v>
      </c>
      <c r="L77" t="n">
        <v>0</v>
      </c>
      <c r="M77" t="n">
        <v>0</v>
      </c>
      <c r="N77" t="n">
        <v>0</v>
      </c>
      <c r="O77" t="n">
        <v>0</v>
      </c>
      <c r="P77" t="n">
        <v>0</v>
      </c>
      <c r="Q77" t="n">
        <v>1</v>
      </c>
      <c r="R77" s="2" t="inlineStr">
        <is>
          <t>Blåsippa</t>
        </is>
      </c>
      <c r="S77">
        <f>HYPERLINK("https://klasma.github.io/Logging_0188/artfynd/A 23905-2025 artfynd.xlsx", "A 23905-2025")</f>
        <v/>
      </c>
      <c r="T77">
        <f>HYPERLINK("https://klasma.github.io/Logging_0188/kartor/A 23905-2025 karta.png", "A 23905-2025")</f>
        <v/>
      </c>
      <c r="V77">
        <f>HYPERLINK("https://klasma.github.io/Logging_0188/klagomål/A 23905-2025 FSC-klagomål.docx", "A 23905-2025")</f>
        <v/>
      </c>
      <c r="W77">
        <f>HYPERLINK("https://klasma.github.io/Logging_0188/klagomålsmail/A 23905-2025 FSC-klagomål mail.docx", "A 23905-2025")</f>
        <v/>
      </c>
      <c r="X77">
        <f>HYPERLINK("https://klasma.github.io/Logging_0188/tillsyn/A 23905-2025 tillsynsbegäran.docx", "A 23905-2025")</f>
        <v/>
      </c>
      <c r="Y77">
        <f>HYPERLINK("https://klasma.github.io/Logging_0188/tillsynsmail/A 23905-2025 tillsynsbegäran mail.docx", "A 23905-2025")</f>
        <v/>
      </c>
    </row>
    <row r="78" ht="15" customHeight="1">
      <c r="A78" t="inlineStr">
        <is>
          <t>A 25687-2025</t>
        </is>
      </c>
      <c r="B78" s="1" t="n">
        <v>45800</v>
      </c>
      <c r="C78" s="1" t="n">
        <v>45887</v>
      </c>
      <c r="D78" t="inlineStr">
        <is>
          <t>STOCKHOLMS LÄN</t>
        </is>
      </c>
      <c r="E78" t="inlineStr">
        <is>
          <t>NORRTÄLJE</t>
        </is>
      </c>
      <c r="G78" t="n">
        <v>15.7</v>
      </c>
      <c r="H78" t="n">
        <v>0</v>
      </c>
      <c r="I78" t="n">
        <v>1</v>
      </c>
      <c r="J78" t="n">
        <v>0</v>
      </c>
      <c r="K78" t="n">
        <v>0</v>
      </c>
      <c r="L78" t="n">
        <v>0</v>
      </c>
      <c r="M78" t="n">
        <v>0</v>
      </c>
      <c r="N78" t="n">
        <v>0</v>
      </c>
      <c r="O78" t="n">
        <v>0</v>
      </c>
      <c r="P78" t="n">
        <v>0</v>
      </c>
      <c r="Q78" t="n">
        <v>1</v>
      </c>
      <c r="R78" s="2" t="inlineStr">
        <is>
          <t>Grönpyrola</t>
        </is>
      </c>
      <c r="S78">
        <f>HYPERLINK("https://klasma.github.io/Logging_0188/artfynd/A 25687-2025 artfynd.xlsx", "A 25687-2025")</f>
        <v/>
      </c>
      <c r="T78">
        <f>HYPERLINK("https://klasma.github.io/Logging_0188/kartor/A 25687-2025 karta.png", "A 25687-2025")</f>
        <v/>
      </c>
      <c r="V78">
        <f>HYPERLINK("https://klasma.github.io/Logging_0188/klagomål/A 25687-2025 FSC-klagomål.docx", "A 25687-2025")</f>
        <v/>
      </c>
      <c r="W78">
        <f>HYPERLINK("https://klasma.github.io/Logging_0188/klagomålsmail/A 25687-2025 FSC-klagomål mail.docx", "A 25687-2025")</f>
        <v/>
      </c>
      <c r="X78">
        <f>HYPERLINK("https://klasma.github.io/Logging_0188/tillsyn/A 25687-2025 tillsynsbegäran.docx", "A 25687-2025")</f>
        <v/>
      </c>
      <c r="Y78">
        <f>HYPERLINK("https://klasma.github.io/Logging_0188/tillsynsmail/A 25687-2025 tillsynsbegäran mail.docx", "A 25687-2025")</f>
        <v/>
      </c>
    </row>
    <row r="79" ht="15" customHeight="1">
      <c r="A79" t="inlineStr">
        <is>
          <t>A 35649-2023</t>
        </is>
      </c>
      <c r="B79" s="1" t="n">
        <v>45146</v>
      </c>
      <c r="C79" s="1" t="n">
        <v>45887</v>
      </c>
      <c r="D79" t="inlineStr">
        <is>
          <t>STOCKHOLMS LÄN</t>
        </is>
      </c>
      <c r="E79" t="inlineStr">
        <is>
          <t>NORRTÄLJE</t>
        </is>
      </c>
      <c r="G79" t="n">
        <v>25.1</v>
      </c>
      <c r="H79" t="n">
        <v>0</v>
      </c>
      <c r="I79" t="n">
        <v>0</v>
      </c>
      <c r="J79" t="n">
        <v>1</v>
      </c>
      <c r="K79" t="n">
        <v>0</v>
      </c>
      <c r="L79" t="n">
        <v>0</v>
      </c>
      <c r="M79" t="n">
        <v>0</v>
      </c>
      <c r="N79" t="n">
        <v>0</v>
      </c>
      <c r="O79" t="n">
        <v>1</v>
      </c>
      <c r="P79" t="n">
        <v>0</v>
      </c>
      <c r="Q79" t="n">
        <v>1</v>
      </c>
      <c r="R79" s="2" t="inlineStr">
        <is>
          <t>Månlåsbräken</t>
        </is>
      </c>
      <c r="S79">
        <f>HYPERLINK("https://klasma.github.io/Logging_0188/artfynd/A 35649-2023 artfynd.xlsx", "A 35649-2023")</f>
        <v/>
      </c>
      <c r="T79">
        <f>HYPERLINK("https://klasma.github.io/Logging_0188/kartor/A 35649-2023 karta.png", "A 35649-2023")</f>
        <v/>
      </c>
      <c r="V79">
        <f>HYPERLINK("https://klasma.github.io/Logging_0188/klagomål/A 35649-2023 FSC-klagomål.docx", "A 35649-2023")</f>
        <v/>
      </c>
      <c r="W79">
        <f>HYPERLINK("https://klasma.github.io/Logging_0188/klagomålsmail/A 35649-2023 FSC-klagomål mail.docx", "A 35649-2023")</f>
        <v/>
      </c>
      <c r="X79">
        <f>HYPERLINK("https://klasma.github.io/Logging_0188/tillsyn/A 35649-2023 tillsynsbegäran.docx", "A 35649-2023")</f>
        <v/>
      </c>
      <c r="Y79">
        <f>HYPERLINK("https://klasma.github.io/Logging_0188/tillsynsmail/A 35649-2023 tillsynsbegäran mail.docx", "A 35649-2023")</f>
        <v/>
      </c>
    </row>
    <row r="80" ht="15" customHeight="1">
      <c r="A80" t="inlineStr">
        <is>
          <t>A 35764-2024</t>
        </is>
      </c>
      <c r="B80" s="1" t="n">
        <v>45532</v>
      </c>
      <c r="C80" s="1" t="n">
        <v>45887</v>
      </c>
      <c r="D80" t="inlineStr">
        <is>
          <t>STOCKHOLMS LÄN</t>
        </is>
      </c>
      <c r="E80" t="inlineStr">
        <is>
          <t>NORRTÄLJE</t>
        </is>
      </c>
      <c r="G80" t="n">
        <v>14.2</v>
      </c>
      <c r="H80" t="n">
        <v>1</v>
      </c>
      <c r="I80" t="n">
        <v>0</v>
      </c>
      <c r="J80" t="n">
        <v>0</v>
      </c>
      <c r="K80" t="n">
        <v>1</v>
      </c>
      <c r="L80" t="n">
        <v>0</v>
      </c>
      <c r="M80" t="n">
        <v>0</v>
      </c>
      <c r="N80" t="n">
        <v>0</v>
      </c>
      <c r="O80" t="n">
        <v>1</v>
      </c>
      <c r="P80" t="n">
        <v>1</v>
      </c>
      <c r="Q80" t="n">
        <v>1</v>
      </c>
      <c r="R80" s="2" t="inlineStr">
        <is>
          <t>Knärot</t>
        </is>
      </c>
      <c r="S80">
        <f>HYPERLINK("https://klasma.github.io/Logging_0188/artfynd/A 35764-2024 artfynd.xlsx", "A 35764-2024")</f>
        <v/>
      </c>
      <c r="T80">
        <f>HYPERLINK("https://klasma.github.io/Logging_0188/kartor/A 35764-2024 karta.png", "A 35764-2024")</f>
        <v/>
      </c>
      <c r="U80">
        <f>HYPERLINK("https://klasma.github.io/Logging_0188/knärot/A 35764-2024 karta knärot.png", "A 35764-2024")</f>
        <v/>
      </c>
      <c r="V80">
        <f>HYPERLINK("https://klasma.github.io/Logging_0188/klagomål/A 35764-2024 FSC-klagomål.docx", "A 35764-2024")</f>
        <v/>
      </c>
      <c r="W80">
        <f>HYPERLINK("https://klasma.github.io/Logging_0188/klagomålsmail/A 35764-2024 FSC-klagomål mail.docx", "A 35764-2024")</f>
        <v/>
      </c>
      <c r="X80">
        <f>HYPERLINK("https://klasma.github.io/Logging_0188/tillsyn/A 35764-2024 tillsynsbegäran.docx", "A 35764-2024")</f>
        <v/>
      </c>
      <c r="Y80">
        <f>HYPERLINK("https://klasma.github.io/Logging_0188/tillsynsmail/A 35764-2024 tillsynsbegäran mail.docx", "A 35764-2024")</f>
        <v/>
      </c>
    </row>
    <row r="81" ht="15" customHeight="1">
      <c r="A81" t="inlineStr">
        <is>
          <t>A 25669-2025</t>
        </is>
      </c>
      <c r="B81" s="1" t="n">
        <v>45803.62766203703</v>
      </c>
      <c r="C81" s="1" t="n">
        <v>45887</v>
      </c>
      <c r="D81" t="inlineStr">
        <is>
          <t>STOCKHOLMS LÄN</t>
        </is>
      </c>
      <c r="E81" t="inlineStr">
        <is>
          <t>NORRTÄLJE</t>
        </is>
      </c>
      <c r="F81" t="inlineStr">
        <is>
          <t>Holmen skog AB</t>
        </is>
      </c>
      <c r="G81" t="n">
        <v>3.1</v>
      </c>
      <c r="H81" t="n">
        <v>1</v>
      </c>
      <c r="I81" t="n">
        <v>0</v>
      </c>
      <c r="J81" t="n">
        <v>0</v>
      </c>
      <c r="K81" t="n">
        <v>0</v>
      </c>
      <c r="L81" t="n">
        <v>0</v>
      </c>
      <c r="M81" t="n">
        <v>0</v>
      </c>
      <c r="N81" t="n">
        <v>0</v>
      </c>
      <c r="O81" t="n">
        <v>0</v>
      </c>
      <c r="P81" t="n">
        <v>0</v>
      </c>
      <c r="Q81" t="n">
        <v>1</v>
      </c>
      <c r="R81" s="2" t="inlineStr">
        <is>
          <t>Tjäder</t>
        </is>
      </c>
      <c r="S81">
        <f>HYPERLINK("https://klasma.github.io/Logging_0188/artfynd/A 25669-2025 artfynd.xlsx", "A 25669-2025")</f>
        <v/>
      </c>
      <c r="T81">
        <f>HYPERLINK("https://klasma.github.io/Logging_0188/kartor/A 25669-2025 karta.png", "A 25669-2025")</f>
        <v/>
      </c>
      <c r="V81">
        <f>HYPERLINK("https://klasma.github.io/Logging_0188/klagomål/A 25669-2025 FSC-klagomål.docx", "A 25669-2025")</f>
        <v/>
      </c>
      <c r="W81">
        <f>HYPERLINK("https://klasma.github.io/Logging_0188/klagomålsmail/A 25669-2025 FSC-klagomål mail.docx", "A 25669-2025")</f>
        <v/>
      </c>
      <c r="X81">
        <f>HYPERLINK("https://klasma.github.io/Logging_0188/tillsyn/A 25669-2025 tillsynsbegäran.docx", "A 25669-2025")</f>
        <v/>
      </c>
      <c r="Y81">
        <f>HYPERLINK("https://klasma.github.io/Logging_0188/tillsynsmail/A 25669-2025 tillsynsbegäran mail.docx", "A 25669-2025")</f>
        <v/>
      </c>
      <c r="Z81">
        <f>HYPERLINK("https://klasma.github.io/Logging_0188/fåglar/A 25669-2025 prioriterade fågelarter.docx", "A 25669-2025")</f>
        <v/>
      </c>
    </row>
    <row r="82" ht="15" customHeight="1">
      <c r="A82" t="inlineStr">
        <is>
          <t>A 4595-2023</t>
        </is>
      </c>
      <c r="B82" s="1" t="n">
        <v>44956</v>
      </c>
      <c r="C82" s="1" t="n">
        <v>45887</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4532-2025</t>
        </is>
      </c>
      <c r="B83" s="1" t="n">
        <v>45687.34177083334</v>
      </c>
      <c r="C83" s="1" t="n">
        <v>45887</v>
      </c>
      <c r="D83" t="inlineStr">
        <is>
          <t>STOCKHOLMS LÄN</t>
        </is>
      </c>
      <c r="E83" t="inlineStr">
        <is>
          <t>NORRTÄLJE</t>
        </is>
      </c>
      <c r="F83" t="inlineStr">
        <is>
          <t>Holmen skog AB</t>
        </is>
      </c>
      <c r="G83" t="n">
        <v>6.4</v>
      </c>
      <c r="H83" t="n">
        <v>1</v>
      </c>
      <c r="I83" t="n">
        <v>0</v>
      </c>
      <c r="J83" t="n">
        <v>0</v>
      </c>
      <c r="K83" t="n">
        <v>0</v>
      </c>
      <c r="L83" t="n">
        <v>1</v>
      </c>
      <c r="M83" t="n">
        <v>0</v>
      </c>
      <c r="N83" t="n">
        <v>0</v>
      </c>
      <c r="O83" t="n">
        <v>1</v>
      </c>
      <c r="P83" t="n">
        <v>1</v>
      </c>
      <c r="Q83" t="n">
        <v>1</v>
      </c>
      <c r="R83" s="2" t="inlineStr">
        <is>
          <t>Asknätfjäril</t>
        </is>
      </c>
      <c r="S83">
        <f>HYPERLINK("https://klasma.github.io/Logging_0188/artfynd/A 4532-2025 artfynd.xlsx", "A 4532-2025")</f>
        <v/>
      </c>
      <c r="T83">
        <f>HYPERLINK("https://klasma.github.io/Logging_0188/kartor/A 4532-2025 karta.png", "A 4532-2025")</f>
        <v/>
      </c>
      <c r="V83">
        <f>HYPERLINK("https://klasma.github.io/Logging_0188/klagomål/A 4532-2025 FSC-klagomål.docx", "A 4532-2025")</f>
        <v/>
      </c>
      <c r="W83">
        <f>HYPERLINK("https://klasma.github.io/Logging_0188/klagomålsmail/A 4532-2025 FSC-klagomål mail.docx", "A 4532-2025")</f>
        <v/>
      </c>
      <c r="X83">
        <f>HYPERLINK("https://klasma.github.io/Logging_0188/tillsyn/A 4532-2025 tillsynsbegäran.docx", "A 4532-2025")</f>
        <v/>
      </c>
      <c r="Y83">
        <f>HYPERLINK("https://klasma.github.io/Logging_0188/tillsynsmail/A 4532-2025 tillsynsbegäran mail.docx", "A 4532-2025")</f>
        <v/>
      </c>
    </row>
    <row r="84" ht="15" customHeight="1">
      <c r="A84" t="inlineStr">
        <is>
          <t>A 16870-2025</t>
        </is>
      </c>
      <c r="B84" s="1" t="n">
        <v>45754</v>
      </c>
      <c r="C84" s="1" t="n">
        <v>45887</v>
      </c>
      <c r="D84" t="inlineStr">
        <is>
          <t>STOCKHOLMS LÄN</t>
        </is>
      </c>
      <c r="E84" t="inlineStr">
        <is>
          <t>NORRTÄLJE</t>
        </is>
      </c>
      <c r="G84" t="n">
        <v>24.6</v>
      </c>
      <c r="H84" t="n">
        <v>1</v>
      </c>
      <c r="I84" t="n">
        <v>0</v>
      </c>
      <c r="J84" t="n">
        <v>0</v>
      </c>
      <c r="K84" t="n">
        <v>0</v>
      </c>
      <c r="L84" t="n">
        <v>0</v>
      </c>
      <c r="M84" t="n">
        <v>0</v>
      </c>
      <c r="N84" t="n">
        <v>0</v>
      </c>
      <c r="O84" t="n">
        <v>0</v>
      </c>
      <c r="P84" t="n">
        <v>0</v>
      </c>
      <c r="Q84" t="n">
        <v>1</v>
      </c>
      <c r="R84" s="2" t="inlineStr">
        <is>
          <t>Vanlig groda</t>
        </is>
      </c>
      <c r="S84">
        <f>HYPERLINK("https://klasma.github.io/Logging_0188/artfynd/A 16870-2025 artfynd.xlsx", "A 16870-2025")</f>
        <v/>
      </c>
      <c r="T84">
        <f>HYPERLINK("https://klasma.github.io/Logging_0188/kartor/A 16870-2025 karta.png", "A 16870-2025")</f>
        <v/>
      </c>
      <c r="V84">
        <f>HYPERLINK("https://klasma.github.io/Logging_0188/klagomål/A 16870-2025 FSC-klagomål.docx", "A 16870-2025")</f>
        <v/>
      </c>
      <c r="W84">
        <f>HYPERLINK("https://klasma.github.io/Logging_0188/klagomålsmail/A 16870-2025 FSC-klagomål mail.docx", "A 16870-2025")</f>
        <v/>
      </c>
      <c r="X84">
        <f>HYPERLINK("https://klasma.github.io/Logging_0188/tillsyn/A 16870-2025 tillsynsbegäran.docx", "A 16870-2025")</f>
        <v/>
      </c>
      <c r="Y84">
        <f>HYPERLINK("https://klasma.github.io/Logging_0188/tillsynsmail/A 16870-2025 tillsynsbegäran mail.docx", "A 16870-2025")</f>
        <v/>
      </c>
    </row>
    <row r="85" ht="15" customHeight="1">
      <c r="A85" t="inlineStr">
        <is>
          <t>A 6381-2023</t>
        </is>
      </c>
      <c r="B85" s="1" t="n">
        <v>44965</v>
      </c>
      <c r="C85" s="1" t="n">
        <v>45887</v>
      </c>
      <c r="D85" t="inlineStr">
        <is>
          <t>STOCKHOLMS LÄN</t>
        </is>
      </c>
      <c r="E85" t="inlineStr">
        <is>
          <t>NORRTÄLJE</t>
        </is>
      </c>
      <c r="G85" t="n">
        <v>3.5</v>
      </c>
      <c r="H85" t="n">
        <v>1</v>
      </c>
      <c r="I85" t="n">
        <v>1</v>
      </c>
      <c r="J85" t="n">
        <v>0</v>
      </c>
      <c r="K85" t="n">
        <v>0</v>
      </c>
      <c r="L85" t="n">
        <v>0</v>
      </c>
      <c r="M85" t="n">
        <v>0</v>
      </c>
      <c r="N85" t="n">
        <v>0</v>
      </c>
      <c r="O85" t="n">
        <v>0</v>
      </c>
      <c r="P85" t="n">
        <v>0</v>
      </c>
      <c r="Q85" t="n">
        <v>1</v>
      </c>
      <c r="R85" s="2" t="inlineStr">
        <is>
          <t>Guckusko</t>
        </is>
      </c>
      <c r="S85">
        <f>HYPERLINK("https://klasma.github.io/Logging_0188/artfynd/A 6381-2023 artfynd.xlsx", "A 6381-2023")</f>
        <v/>
      </c>
      <c r="T85">
        <f>HYPERLINK("https://klasma.github.io/Logging_0188/kartor/A 6381-2023 karta.png", "A 6381-2023")</f>
        <v/>
      </c>
      <c r="V85">
        <f>HYPERLINK("https://klasma.github.io/Logging_0188/klagomål/A 6381-2023 FSC-klagomål.docx", "A 6381-2023")</f>
        <v/>
      </c>
      <c r="W85">
        <f>HYPERLINK("https://klasma.github.io/Logging_0188/klagomålsmail/A 6381-2023 FSC-klagomål mail.docx", "A 6381-2023")</f>
        <v/>
      </c>
      <c r="X85">
        <f>HYPERLINK("https://klasma.github.io/Logging_0188/tillsyn/A 6381-2023 tillsynsbegäran.docx", "A 6381-2023")</f>
        <v/>
      </c>
      <c r="Y85">
        <f>HYPERLINK("https://klasma.github.io/Logging_0188/tillsynsmail/A 6381-2023 tillsynsbegäran mail.docx", "A 6381-2023")</f>
        <v/>
      </c>
    </row>
    <row r="86" ht="15" customHeight="1">
      <c r="A86" t="inlineStr">
        <is>
          <t>A 29946-2025</t>
        </is>
      </c>
      <c r="B86" s="1" t="n">
        <v>45826.46392361111</v>
      </c>
      <c r="C86" s="1" t="n">
        <v>45887</v>
      </c>
      <c r="D86" t="inlineStr">
        <is>
          <t>STOCKHOLMS LÄN</t>
        </is>
      </c>
      <c r="E86" t="inlineStr">
        <is>
          <t>NORRTÄLJE</t>
        </is>
      </c>
      <c r="F86" t="inlineStr">
        <is>
          <t>Holmen skog AB</t>
        </is>
      </c>
      <c r="G86" t="n">
        <v>3.6</v>
      </c>
      <c r="H86" t="n">
        <v>1</v>
      </c>
      <c r="I86" t="n">
        <v>0</v>
      </c>
      <c r="J86" t="n">
        <v>0</v>
      </c>
      <c r="K86" t="n">
        <v>0</v>
      </c>
      <c r="L86" t="n">
        <v>1</v>
      </c>
      <c r="M86" t="n">
        <v>0</v>
      </c>
      <c r="N86" t="n">
        <v>0</v>
      </c>
      <c r="O86" t="n">
        <v>1</v>
      </c>
      <c r="P86" t="n">
        <v>1</v>
      </c>
      <c r="Q86" t="n">
        <v>1</v>
      </c>
      <c r="R86" s="2" t="inlineStr">
        <is>
          <t>Asknätfjäril</t>
        </is>
      </c>
      <c r="S86">
        <f>HYPERLINK("https://klasma.github.io/Logging_0188/artfynd/A 29946-2025 artfynd.xlsx", "A 29946-2025")</f>
        <v/>
      </c>
      <c r="T86">
        <f>HYPERLINK("https://klasma.github.io/Logging_0188/kartor/A 29946-2025 karta.png", "A 29946-2025")</f>
        <v/>
      </c>
      <c r="V86">
        <f>HYPERLINK("https://klasma.github.io/Logging_0188/klagomål/A 29946-2025 FSC-klagomål.docx", "A 29946-2025")</f>
        <v/>
      </c>
      <c r="W86">
        <f>HYPERLINK("https://klasma.github.io/Logging_0188/klagomålsmail/A 29946-2025 FSC-klagomål mail.docx", "A 29946-2025")</f>
        <v/>
      </c>
      <c r="X86">
        <f>HYPERLINK("https://klasma.github.io/Logging_0188/tillsyn/A 29946-2025 tillsynsbegäran.docx", "A 29946-2025")</f>
        <v/>
      </c>
      <c r="Y86">
        <f>HYPERLINK("https://klasma.github.io/Logging_0188/tillsynsmail/A 29946-2025 tillsynsbegäran mail.docx", "A 29946-2025")</f>
        <v/>
      </c>
    </row>
    <row r="87" ht="15" customHeight="1">
      <c r="A87" t="inlineStr">
        <is>
          <t>A 14365-2025</t>
        </is>
      </c>
      <c r="B87" s="1" t="n">
        <v>45741.38688657407</v>
      </c>
      <c r="C87" s="1" t="n">
        <v>45887</v>
      </c>
      <c r="D87" t="inlineStr">
        <is>
          <t>STOCKHOLMS LÄN</t>
        </is>
      </c>
      <c r="E87" t="inlineStr">
        <is>
          <t>NORRTÄLJE</t>
        </is>
      </c>
      <c r="G87" t="n">
        <v>2.4</v>
      </c>
      <c r="H87" t="n">
        <v>0</v>
      </c>
      <c r="I87" t="n">
        <v>0</v>
      </c>
      <c r="J87" t="n">
        <v>1</v>
      </c>
      <c r="K87" t="n">
        <v>0</v>
      </c>
      <c r="L87" t="n">
        <v>0</v>
      </c>
      <c r="M87" t="n">
        <v>0</v>
      </c>
      <c r="N87" t="n">
        <v>0</v>
      </c>
      <c r="O87" t="n">
        <v>1</v>
      </c>
      <c r="P87" t="n">
        <v>0</v>
      </c>
      <c r="Q87" t="n">
        <v>1</v>
      </c>
      <c r="R87" s="2" t="inlineStr">
        <is>
          <t>Granticka</t>
        </is>
      </c>
      <c r="S87">
        <f>HYPERLINK("https://klasma.github.io/Logging_0188/artfynd/A 14365-2025 artfynd.xlsx", "A 14365-2025")</f>
        <v/>
      </c>
      <c r="T87">
        <f>HYPERLINK("https://klasma.github.io/Logging_0188/kartor/A 14365-2025 karta.png", "A 14365-2025")</f>
        <v/>
      </c>
      <c r="V87">
        <f>HYPERLINK("https://klasma.github.io/Logging_0188/klagomål/A 14365-2025 FSC-klagomål.docx", "A 14365-2025")</f>
        <v/>
      </c>
      <c r="W87">
        <f>HYPERLINK("https://klasma.github.io/Logging_0188/klagomålsmail/A 14365-2025 FSC-klagomål mail.docx", "A 14365-2025")</f>
        <v/>
      </c>
      <c r="X87">
        <f>HYPERLINK("https://klasma.github.io/Logging_0188/tillsyn/A 14365-2025 tillsynsbegäran.docx", "A 14365-2025")</f>
        <v/>
      </c>
      <c r="Y87">
        <f>HYPERLINK("https://klasma.github.io/Logging_0188/tillsynsmail/A 14365-2025 tillsynsbegäran mail.docx", "A 14365-2025")</f>
        <v/>
      </c>
    </row>
    <row r="88" ht="15" customHeight="1">
      <c r="A88" t="inlineStr">
        <is>
          <t>A 21150-2022</t>
        </is>
      </c>
      <c r="B88" s="1" t="n">
        <v>44704</v>
      </c>
      <c r="C88" s="1" t="n">
        <v>45887</v>
      </c>
      <c r="D88" t="inlineStr">
        <is>
          <t>STOCKHOLMS LÄN</t>
        </is>
      </c>
      <c r="E88" t="inlineStr">
        <is>
          <t>NORRTÄLJE</t>
        </is>
      </c>
      <c r="G88" t="n">
        <v>12.5</v>
      </c>
      <c r="H88" t="n">
        <v>1</v>
      </c>
      <c r="I88" t="n">
        <v>0</v>
      </c>
      <c r="J88" t="n">
        <v>0</v>
      </c>
      <c r="K88" t="n">
        <v>0</v>
      </c>
      <c r="L88" t="n">
        <v>1</v>
      </c>
      <c r="M88" t="n">
        <v>0</v>
      </c>
      <c r="N88" t="n">
        <v>0</v>
      </c>
      <c r="O88" t="n">
        <v>1</v>
      </c>
      <c r="P88" t="n">
        <v>1</v>
      </c>
      <c r="Q88" t="n">
        <v>1</v>
      </c>
      <c r="R88" s="2" t="inlineStr">
        <is>
          <t>Asknätfjäril</t>
        </is>
      </c>
      <c r="S88">
        <f>HYPERLINK("https://klasma.github.io/Logging_0188/artfynd/A 21150-2022 artfynd.xlsx", "A 21150-2022")</f>
        <v/>
      </c>
      <c r="T88">
        <f>HYPERLINK("https://klasma.github.io/Logging_0188/kartor/A 21150-2022 karta.png", "A 21150-2022")</f>
        <v/>
      </c>
      <c r="V88">
        <f>HYPERLINK("https://klasma.github.io/Logging_0188/klagomål/A 21150-2022 FSC-klagomål.docx", "A 21150-2022")</f>
        <v/>
      </c>
      <c r="W88">
        <f>HYPERLINK("https://klasma.github.io/Logging_0188/klagomålsmail/A 21150-2022 FSC-klagomål mail.docx", "A 21150-2022")</f>
        <v/>
      </c>
      <c r="X88">
        <f>HYPERLINK("https://klasma.github.io/Logging_0188/tillsyn/A 21150-2022 tillsynsbegäran.docx", "A 21150-2022")</f>
        <v/>
      </c>
      <c r="Y88">
        <f>HYPERLINK("https://klasma.github.io/Logging_0188/tillsynsmail/A 21150-2022 tillsynsbegäran mail.docx", "A 21150-2022")</f>
        <v/>
      </c>
    </row>
    <row r="89" ht="15" customHeight="1">
      <c r="A89" t="inlineStr">
        <is>
          <t>A 1162-2021</t>
        </is>
      </c>
      <c r="B89" s="1" t="n">
        <v>44207</v>
      </c>
      <c r="C89" s="1" t="n">
        <v>45887</v>
      </c>
      <c r="D89" t="inlineStr">
        <is>
          <t>STOCKHOLMS LÄN</t>
        </is>
      </c>
      <c r="E89" t="inlineStr">
        <is>
          <t>NORRTÄLJE</t>
        </is>
      </c>
      <c r="G89" t="n">
        <v>2.2</v>
      </c>
      <c r="H89" t="n">
        <v>1</v>
      </c>
      <c r="I89" t="n">
        <v>0</v>
      </c>
      <c r="J89" t="n">
        <v>0</v>
      </c>
      <c r="K89" t="n">
        <v>1</v>
      </c>
      <c r="L89" t="n">
        <v>0</v>
      </c>
      <c r="M89" t="n">
        <v>0</v>
      </c>
      <c r="N89" t="n">
        <v>0</v>
      </c>
      <c r="O89" t="n">
        <v>1</v>
      </c>
      <c r="P89" t="n">
        <v>1</v>
      </c>
      <c r="Q89" t="n">
        <v>1</v>
      </c>
      <c r="R89" s="2" t="inlineStr">
        <is>
          <t>Hällebräcka</t>
        </is>
      </c>
      <c r="S89">
        <f>HYPERLINK("https://klasma.github.io/Logging_0188/artfynd/A 1162-2021 artfynd.xlsx", "A 1162-2021")</f>
        <v/>
      </c>
      <c r="T89">
        <f>HYPERLINK("https://klasma.github.io/Logging_0188/kartor/A 1162-2021 karta.png", "A 1162-2021")</f>
        <v/>
      </c>
      <c r="V89">
        <f>HYPERLINK("https://klasma.github.io/Logging_0188/klagomål/A 1162-2021 FSC-klagomål.docx", "A 1162-2021")</f>
        <v/>
      </c>
      <c r="W89">
        <f>HYPERLINK("https://klasma.github.io/Logging_0188/klagomålsmail/A 1162-2021 FSC-klagomål mail.docx", "A 1162-2021")</f>
        <v/>
      </c>
      <c r="X89">
        <f>HYPERLINK("https://klasma.github.io/Logging_0188/tillsyn/A 1162-2021 tillsynsbegäran.docx", "A 1162-2021")</f>
        <v/>
      </c>
      <c r="Y89">
        <f>HYPERLINK("https://klasma.github.io/Logging_0188/tillsynsmail/A 1162-2021 tillsynsbegäran mail.docx", "A 1162-2021")</f>
        <v/>
      </c>
    </row>
    <row r="90" ht="15" customHeight="1">
      <c r="A90" t="inlineStr">
        <is>
          <t>A 26120-2024</t>
        </is>
      </c>
      <c r="B90" s="1" t="n">
        <v>45468.45995370371</v>
      </c>
      <c r="C90" s="1" t="n">
        <v>45887</v>
      </c>
      <c r="D90" t="inlineStr">
        <is>
          <t>STOCKHOLMS LÄN</t>
        </is>
      </c>
      <c r="E90" t="inlineStr">
        <is>
          <t>NORRTÄLJE</t>
        </is>
      </c>
      <c r="G90" t="n">
        <v>1.8</v>
      </c>
      <c r="H90" t="n">
        <v>0</v>
      </c>
      <c r="I90" t="n">
        <v>0</v>
      </c>
      <c r="J90" t="n">
        <v>1</v>
      </c>
      <c r="K90" t="n">
        <v>0</v>
      </c>
      <c r="L90" t="n">
        <v>0</v>
      </c>
      <c r="M90" t="n">
        <v>0</v>
      </c>
      <c r="N90" t="n">
        <v>0</v>
      </c>
      <c r="O90" t="n">
        <v>1</v>
      </c>
      <c r="P90" t="n">
        <v>0</v>
      </c>
      <c r="Q90" t="n">
        <v>1</v>
      </c>
      <c r="R90" s="2" t="inlineStr">
        <is>
          <t>Majviva</t>
        </is>
      </c>
      <c r="S90">
        <f>HYPERLINK("https://klasma.github.io/Logging_0188/artfynd/A 26120-2024 artfynd.xlsx", "A 26120-2024")</f>
        <v/>
      </c>
      <c r="T90">
        <f>HYPERLINK("https://klasma.github.io/Logging_0188/kartor/A 26120-2024 karta.png", "A 26120-2024")</f>
        <v/>
      </c>
      <c r="V90">
        <f>HYPERLINK("https://klasma.github.io/Logging_0188/klagomål/A 26120-2024 FSC-klagomål.docx", "A 26120-2024")</f>
        <v/>
      </c>
      <c r="W90">
        <f>HYPERLINK("https://klasma.github.io/Logging_0188/klagomålsmail/A 26120-2024 FSC-klagomål mail.docx", "A 26120-2024")</f>
        <v/>
      </c>
      <c r="X90">
        <f>HYPERLINK("https://klasma.github.io/Logging_0188/tillsyn/A 26120-2024 tillsynsbegäran.docx", "A 26120-2024")</f>
        <v/>
      </c>
      <c r="Y90">
        <f>HYPERLINK("https://klasma.github.io/Logging_0188/tillsynsmail/A 26120-2024 tillsynsbegäran mail.docx", "A 26120-2024")</f>
        <v/>
      </c>
    </row>
    <row r="91" ht="15" customHeight="1">
      <c r="A91" t="inlineStr">
        <is>
          <t>A 24692-2025</t>
        </is>
      </c>
      <c r="B91" s="1" t="n">
        <v>45798</v>
      </c>
      <c r="C91" s="1" t="n">
        <v>45887</v>
      </c>
      <c r="D91" t="inlineStr">
        <is>
          <t>STOCKHOLMS LÄN</t>
        </is>
      </c>
      <c r="E91" t="inlineStr">
        <is>
          <t>NORRTÄLJE</t>
        </is>
      </c>
      <c r="G91" t="n">
        <v>26.3</v>
      </c>
      <c r="H91" t="n">
        <v>1</v>
      </c>
      <c r="I91" t="n">
        <v>0</v>
      </c>
      <c r="J91" t="n">
        <v>0</v>
      </c>
      <c r="K91" t="n">
        <v>0</v>
      </c>
      <c r="L91" t="n">
        <v>1</v>
      </c>
      <c r="M91" t="n">
        <v>0</v>
      </c>
      <c r="N91" t="n">
        <v>0</v>
      </c>
      <c r="O91" t="n">
        <v>1</v>
      </c>
      <c r="P91" t="n">
        <v>1</v>
      </c>
      <c r="Q91" t="n">
        <v>1</v>
      </c>
      <c r="R91" s="2" t="inlineStr">
        <is>
          <t>Asknätfjäril</t>
        </is>
      </c>
      <c r="S91">
        <f>HYPERLINK("https://klasma.github.io/Logging_0188/artfynd/A 24692-2025 artfynd.xlsx", "A 24692-2025")</f>
        <v/>
      </c>
      <c r="T91">
        <f>HYPERLINK("https://klasma.github.io/Logging_0188/kartor/A 24692-2025 karta.png", "A 24692-2025")</f>
        <v/>
      </c>
      <c r="V91">
        <f>HYPERLINK("https://klasma.github.io/Logging_0188/klagomål/A 24692-2025 FSC-klagomål.docx", "A 24692-2025")</f>
        <v/>
      </c>
      <c r="W91">
        <f>HYPERLINK("https://klasma.github.io/Logging_0188/klagomålsmail/A 24692-2025 FSC-klagomål mail.docx", "A 24692-2025")</f>
        <v/>
      </c>
      <c r="X91">
        <f>HYPERLINK("https://klasma.github.io/Logging_0188/tillsyn/A 24692-2025 tillsynsbegäran.docx", "A 24692-2025")</f>
        <v/>
      </c>
      <c r="Y91">
        <f>HYPERLINK("https://klasma.github.io/Logging_0188/tillsynsmail/A 24692-2025 tillsynsbegäran mail.docx", "A 24692-2025")</f>
        <v/>
      </c>
    </row>
    <row r="92" ht="15" customHeight="1">
      <c r="A92" t="inlineStr">
        <is>
          <t>A 33548-2025</t>
        </is>
      </c>
      <c r="B92" s="1" t="n">
        <v>45841.5721875</v>
      </c>
      <c r="C92" s="1" t="n">
        <v>45887</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11429-2023</t>
        </is>
      </c>
      <c r="B93" s="1" t="n">
        <v>44993</v>
      </c>
      <c r="C93" s="1" t="n">
        <v>45887</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50854-2022</t>
        </is>
      </c>
      <c r="B94" s="1" t="n">
        <v>44863</v>
      </c>
      <c r="C94" s="1" t="n">
        <v>45887</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58888-2021</t>
        </is>
      </c>
      <c r="B95" s="1" t="n">
        <v>44489</v>
      </c>
      <c r="C95" s="1" t="n">
        <v>45887</v>
      </c>
      <c r="D95" t="inlineStr">
        <is>
          <t>STOCKHOLMS LÄN</t>
        </is>
      </c>
      <c r="E95" t="inlineStr">
        <is>
          <t>NORRTÄLJE</t>
        </is>
      </c>
      <c r="F95" t="inlineStr">
        <is>
          <t>Holmen skog AB</t>
        </is>
      </c>
      <c r="G95" t="n">
        <v>2.5</v>
      </c>
      <c r="H95" t="n">
        <v>1</v>
      </c>
      <c r="I95" t="n">
        <v>0</v>
      </c>
      <c r="J95" t="n">
        <v>0</v>
      </c>
      <c r="K95" t="n">
        <v>0</v>
      </c>
      <c r="L95" t="n">
        <v>1</v>
      </c>
      <c r="M95" t="n">
        <v>0</v>
      </c>
      <c r="N95" t="n">
        <v>0</v>
      </c>
      <c r="O95" t="n">
        <v>1</v>
      </c>
      <c r="P95" t="n">
        <v>1</v>
      </c>
      <c r="Q95" t="n">
        <v>1</v>
      </c>
      <c r="R95" s="2" t="inlineStr">
        <is>
          <t>Asknätfjäril</t>
        </is>
      </c>
      <c r="S95">
        <f>HYPERLINK("https://klasma.github.io/Logging_0188/artfynd/A 58888-2021 artfynd.xlsx", "A 58888-2021")</f>
        <v/>
      </c>
      <c r="T95">
        <f>HYPERLINK("https://klasma.github.io/Logging_0188/kartor/A 58888-2021 karta.png", "A 58888-2021")</f>
        <v/>
      </c>
      <c r="V95">
        <f>HYPERLINK("https://klasma.github.io/Logging_0188/klagomål/A 58888-2021 FSC-klagomål.docx", "A 58888-2021")</f>
        <v/>
      </c>
      <c r="W95">
        <f>HYPERLINK("https://klasma.github.io/Logging_0188/klagomålsmail/A 58888-2021 FSC-klagomål mail.docx", "A 58888-2021")</f>
        <v/>
      </c>
      <c r="X95">
        <f>HYPERLINK("https://klasma.github.io/Logging_0188/tillsyn/A 58888-2021 tillsynsbegäran.docx", "A 58888-2021")</f>
        <v/>
      </c>
      <c r="Y95">
        <f>HYPERLINK("https://klasma.github.io/Logging_0188/tillsynsmail/A 58888-2021 tillsynsbegäran mail.docx", "A 58888-2021")</f>
        <v/>
      </c>
    </row>
    <row r="96" ht="15" customHeight="1">
      <c r="A96" t="inlineStr">
        <is>
          <t>A 64456-2023</t>
        </is>
      </c>
      <c r="B96" s="1" t="n">
        <v>45280</v>
      </c>
      <c r="C96" s="1" t="n">
        <v>45887</v>
      </c>
      <c r="D96" t="inlineStr">
        <is>
          <t>STOCKHOLMS LÄN</t>
        </is>
      </c>
      <c r="E96" t="inlineStr">
        <is>
          <t>NORRTÄLJE</t>
        </is>
      </c>
      <c r="G96" t="n">
        <v>2.5</v>
      </c>
      <c r="H96" t="n">
        <v>0</v>
      </c>
      <c r="I96" t="n">
        <v>1</v>
      </c>
      <c r="J96" t="n">
        <v>0</v>
      </c>
      <c r="K96" t="n">
        <v>0</v>
      </c>
      <c r="L96" t="n">
        <v>0</v>
      </c>
      <c r="M96" t="n">
        <v>0</v>
      </c>
      <c r="N96" t="n">
        <v>0</v>
      </c>
      <c r="O96" t="n">
        <v>0</v>
      </c>
      <c r="P96" t="n">
        <v>0</v>
      </c>
      <c r="Q96" t="n">
        <v>1</v>
      </c>
      <c r="R96" s="2" t="inlineStr">
        <is>
          <t>Rödgul trumpetsvamp</t>
        </is>
      </c>
      <c r="S96">
        <f>HYPERLINK("https://klasma.github.io/Logging_0188/artfynd/A 64456-2023 artfynd.xlsx", "A 64456-2023")</f>
        <v/>
      </c>
      <c r="T96">
        <f>HYPERLINK("https://klasma.github.io/Logging_0188/kartor/A 64456-2023 karta.png", "A 64456-2023")</f>
        <v/>
      </c>
      <c r="V96">
        <f>HYPERLINK("https://klasma.github.io/Logging_0188/klagomål/A 64456-2023 FSC-klagomål.docx", "A 64456-2023")</f>
        <v/>
      </c>
      <c r="W96">
        <f>HYPERLINK("https://klasma.github.io/Logging_0188/klagomålsmail/A 64456-2023 FSC-klagomål mail.docx", "A 64456-2023")</f>
        <v/>
      </c>
      <c r="X96">
        <f>HYPERLINK("https://klasma.github.io/Logging_0188/tillsyn/A 64456-2023 tillsynsbegäran.docx", "A 64456-2023")</f>
        <v/>
      </c>
      <c r="Y96">
        <f>HYPERLINK("https://klasma.github.io/Logging_0188/tillsynsmail/A 64456-2023 tillsynsbegäran mail.docx", "A 64456-2023")</f>
        <v/>
      </c>
    </row>
    <row r="97" ht="15" customHeight="1">
      <c r="A97" t="inlineStr">
        <is>
          <t>A 21744-2023</t>
        </is>
      </c>
      <c r="B97" s="1" t="n">
        <v>45065</v>
      </c>
      <c r="C97" s="1" t="n">
        <v>45887</v>
      </c>
      <c r="D97" t="inlineStr">
        <is>
          <t>STOCKHOLMS LÄN</t>
        </is>
      </c>
      <c r="E97" t="inlineStr">
        <is>
          <t>NORRTÄLJE</t>
        </is>
      </c>
      <c r="F97" t="inlineStr">
        <is>
          <t>Holmen skog AB</t>
        </is>
      </c>
      <c r="G97" t="n">
        <v>4.2</v>
      </c>
      <c r="H97" t="n">
        <v>0</v>
      </c>
      <c r="I97" t="n">
        <v>1</v>
      </c>
      <c r="J97" t="n">
        <v>0</v>
      </c>
      <c r="K97" t="n">
        <v>0</v>
      </c>
      <c r="L97" t="n">
        <v>0</v>
      </c>
      <c r="M97" t="n">
        <v>0</v>
      </c>
      <c r="N97" t="n">
        <v>0</v>
      </c>
      <c r="O97" t="n">
        <v>0</v>
      </c>
      <c r="P97" t="n">
        <v>0</v>
      </c>
      <c r="Q97" t="n">
        <v>1</v>
      </c>
      <c r="R97" s="2" t="inlineStr">
        <is>
          <t>Korallblylav</t>
        </is>
      </c>
      <c r="S97">
        <f>HYPERLINK("https://klasma.github.io/Logging_0188/artfynd/A 21744-2023 artfynd.xlsx", "A 21744-2023")</f>
        <v/>
      </c>
      <c r="T97">
        <f>HYPERLINK("https://klasma.github.io/Logging_0188/kartor/A 21744-2023 karta.png", "A 21744-2023")</f>
        <v/>
      </c>
      <c r="V97">
        <f>HYPERLINK("https://klasma.github.io/Logging_0188/klagomål/A 21744-2023 FSC-klagomål.docx", "A 21744-2023")</f>
        <v/>
      </c>
      <c r="W97">
        <f>HYPERLINK("https://klasma.github.io/Logging_0188/klagomålsmail/A 21744-2023 FSC-klagomål mail.docx", "A 21744-2023")</f>
        <v/>
      </c>
      <c r="X97">
        <f>HYPERLINK("https://klasma.github.io/Logging_0188/tillsyn/A 21744-2023 tillsynsbegäran.docx", "A 21744-2023")</f>
        <v/>
      </c>
      <c r="Y97">
        <f>HYPERLINK("https://klasma.github.io/Logging_0188/tillsynsmail/A 21744-2023 tillsynsbegäran mail.docx", "A 21744-2023")</f>
        <v/>
      </c>
    </row>
    <row r="98" ht="15" customHeight="1">
      <c r="A98" t="inlineStr">
        <is>
          <t>A 17952-2022</t>
        </is>
      </c>
      <c r="B98" s="1" t="n">
        <v>44683</v>
      </c>
      <c r="C98" s="1" t="n">
        <v>45887</v>
      </c>
      <c r="D98" t="inlineStr">
        <is>
          <t>STOCKHOLMS LÄN</t>
        </is>
      </c>
      <c r="E98" t="inlineStr">
        <is>
          <t>NORRTÄLJE</t>
        </is>
      </c>
      <c r="G98" t="n">
        <v>51.1</v>
      </c>
      <c r="H98" t="n">
        <v>0</v>
      </c>
      <c r="I98" t="n">
        <v>0</v>
      </c>
      <c r="J98" t="n">
        <v>0</v>
      </c>
      <c r="K98" t="n">
        <v>1</v>
      </c>
      <c r="L98" t="n">
        <v>0</v>
      </c>
      <c r="M98" t="n">
        <v>0</v>
      </c>
      <c r="N98" t="n">
        <v>0</v>
      </c>
      <c r="O98" t="n">
        <v>1</v>
      </c>
      <c r="P98" t="n">
        <v>1</v>
      </c>
      <c r="Q98" t="n">
        <v>1</v>
      </c>
      <c r="R98" s="2" t="inlineStr">
        <is>
          <t>Kattunvisslare</t>
        </is>
      </c>
      <c r="S98">
        <f>HYPERLINK("https://klasma.github.io/Logging_0188/artfynd/A 17952-2022 artfynd.xlsx", "A 17952-2022")</f>
        <v/>
      </c>
      <c r="T98">
        <f>HYPERLINK("https://klasma.github.io/Logging_0188/kartor/A 17952-2022 karta.png", "A 17952-2022")</f>
        <v/>
      </c>
      <c r="V98">
        <f>HYPERLINK("https://klasma.github.io/Logging_0188/klagomål/A 17952-2022 FSC-klagomål.docx", "A 17952-2022")</f>
        <v/>
      </c>
      <c r="W98">
        <f>HYPERLINK("https://klasma.github.io/Logging_0188/klagomålsmail/A 17952-2022 FSC-klagomål mail.docx", "A 17952-2022")</f>
        <v/>
      </c>
      <c r="X98">
        <f>HYPERLINK("https://klasma.github.io/Logging_0188/tillsyn/A 17952-2022 tillsynsbegäran.docx", "A 17952-2022")</f>
        <v/>
      </c>
      <c r="Y98">
        <f>HYPERLINK("https://klasma.github.io/Logging_0188/tillsynsmail/A 17952-2022 tillsynsbegäran mail.docx", "A 17952-2022")</f>
        <v/>
      </c>
    </row>
    <row r="99" ht="15" customHeight="1">
      <c r="A99" t="inlineStr">
        <is>
          <t>A 52611-2024</t>
        </is>
      </c>
      <c r="B99" s="1" t="n">
        <v>45609.83747685186</v>
      </c>
      <c r="C99" s="1" t="n">
        <v>45887</v>
      </c>
      <c r="D99" t="inlineStr">
        <is>
          <t>STOCKHOLMS LÄN</t>
        </is>
      </c>
      <c r="E99" t="inlineStr">
        <is>
          <t>NORRTÄLJE</t>
        </is>
      </c>
      <c r="G99" t="n">
        <v>10.6</v>
      </c>
      <c r="H99" t="n">
        <v>1</v>
      </c>
      <c r="I99" t="n">
        <v>0</v>
      </c>
      <c r="J99" t="n">
        <v>0</v>
      </c>
      <c r="K99" t="n">
        <v>0</v>
      </c>
      <c r="L99" t="n">
        <v>0</v>
      </c>
      <c r="M99" t="n">
        <v>0</v>
      </c>
      <c r="N99" t="n">
        <v>0</v>
      </c>
      <c r="O99" t="n">
        <v>0</v>
      </c>
      <c r="P99" t="n">
        <v>0</v>
      </c>
      <c r="Q99" t="n">
        <v>1</v>
      </c>
      <c r="R99" s="2" t="inlineStr">
        <is>
          <t>Blåsippa</t>
        </is>
      </c>
      <c r="S99">
        <f>HYPERLINK("https://klasma.github.io/Logging_0188/artfynd/A 52611-2024 artfynd.xlsx", "A 52611-2024")</f>
        <v/>
      </c>
      <c r="T99">
        <f>HYPERLINK("https://klasma.github.io/Logging_0188/kartor/A 52611-2024 karta.png", "A 52611-2024")</f>
        <v/>
      </c>
      <c r="V99">
        <f>HYPERLINK("https://klasma.github.io/Logging_0188/klagomål/A 52611-2024 FSC-klagomål.docx", "A 52611-2024")</f>
        <v/>
      </c>
      <c r="W99">
        <f>HYPERLINK("https://klasma.github.io/Logging_0188/klagomålsmail/A 52611-2024 FSC-klagomål mail.docx", "A 52611-2024")</f>
        <v/>
      </c>
      <c r="X99">
        <f>HYPERLINK("https://klasma.github.io/Logging_0188/tillsyn/A 52611-2024 tillsynsbegäran.docx", "A 52611-2024")</f>
        <v/>
      </c>
      <c r="Y99">
        <f>HYPERLINK("https://klasma.github.io/Logging_0188/tillsynsmail/A 52611-2024 tillsynsbegäran mail.docx", "A 52611-2024")</f>
        <v/>
      </c>
    </row>
    <row r="100" ht="15" customHeight="1">
      <c r="A100" t="inlineStr">
        <is>
          <t>A 8371-2025</t>
        </is>
      </c>
      <c r="B100" s="1" t="n">
        <v>45708</v>
      </c>
      <c r="C100" s="1" t="n">
        <v>45887</v>
      </c>
      <c r="D100" t="inlineStr">
        <is>
          <t>STOCKHOLMS LÄN</t>
        </is>
      </c>
      <c r="E100" t="inlineStr">
        <is>
          <t>NORRTÄLJE</t>
        </is>
      </c>
      <c r="F100" t="inlineStr">
        <is>
          <t>Övriga Aktiebolag</t>
        </is>
      </c>
      <c r="G100" t="n">
        <v>2.9</v>
      </c>
      <c r="H100" t="n">
        <v>1</v>
      </c>
      <c r="I100" t="n">
        <v>0</v>
      </c>
      <c r="J100" t="n">
        <v>1</v>
      </c>
      <c r="K100" t="n">
        <v>0</v>
      </c>
      <c r="L100" t="n">
        <v>0</v>
      </c>
      <c r="M100" t="n">
        <v>0</v>
      </c>
      <c r="N100" t="n">
        <v>0</v>
      </c>
      <c r="O100" t="n">
        <v>1</v>
      </c>
      <c r="P100" t="n">
        <v>0</v>
      </c>
      <c r="Q100" t="n">
        <v>1</v>
      </c>
      <c r="R100" s="2" t="inlineStr">
        <is>
          <t>Spillkråka</t>
        </is>
      </c>
      <c r="S100">
        <f>HYPERLINK("https://klasma.github.io/Logging_0188/artfynd/A 8371-2025 artfynd.xlsx", "A 8371-2025")</f>
        <v/>
      </c>
      <c r="T100">
        <f>HYPERLINK("https://klasma.github.io/Logging_0188/kartor/A 8371-2025 karta.png", "A 8371-2025")</f>
        <v/>
      </c>
      <c r="V100">
        <f>HYPERLINK("https://klasma.github.io/Logging_0188/klagomål/A 8371-2025 FSC-klagomål.docx", "A 8371-2025")</f>
        <v/>
      </c>
      <c r="W100">
        <f>HYPERLINK("https://klasma.github.io/Logging_0188/klagomålsmail/A 8371-2025 FSC-klagomål mail.docx", "A 8371-2025")</f>
        <v/>
      </c>
      <c r="X100">
        <f>HYPERLINK("https://klasma.github.io/Logging_0188/tillsyn/A 8371-2025 tillsynsbegäran.docx", "A 8371-2025")</f>
        <v/>
      </c>
      <c r="Y100">
        <f>HYPERLINK("https://klasma.github.io/Logging_0188/tillsynsmail/A 8371-2025 tillsynsbegäran mail.docx", "A 8371-2025")</f>
        <v/>
      </c>
      <c r="Z100">
        <f>HYPERLINK("https://klasma.github.io/Logging_0188/fåglar/A 8371-2025 prioriterade fågelarter.docx", "A 8371-2025")</f>
        <v/>
      </c>
    </row>
    <row r="101" ht="15" customHeight="1">
      <c r="A101" t="inlineStr">
        <is>
          <t>A 23146-2024</t>
        </is>
      </c>
      <c r="B101" s="1" t="n">
        <v>45450.63958333333</v>
      </c>
      <c r="C101" s="1" t="n">
        <v>45887</v>
      </c>
      <c r="D101" t="inlineStr">
        <is>
          <t>STOCKHOLMS LÄN</t>
        </is>
      </c>
      <c r="E101" t="inlineStr">
        <is>
          <t>NORRTÄLJE</t>
        </is>
      </c>
      <c r="F101" t="inlineStr">
        <is>
          <t>Kommuner</t>
        </is>
      </c>
      <c r="G101" t="n">
        <v>6</v>
      </c>
      <c r="H101" t="n">
        <v>0</v>
      </c>
      <c r="I101" t="n">
        <v>0</v>
      </c>
      <c r="J101" t="n">
        <v>1</v>
      </c>
      <c r="K101" t="n">
        <v>0</v>
      </c>
      <c r="L101" t="n">
        <v>0</v>
      </c>
      <c r="M101" t="n">
        <v>0</v>
      </c>
      <c r="N101" t="n">
        <v>0</v>
      </c>
      <c r="O101" t="n">
        <v>1</v>
      </c>
      <c r="P101" t="n">
        <v>0</v>
      </c>
      <c r="Q101" t="n">
        <v>1</v>
      </c>
      <c r="R101" s="2" t="inlineStr">
        <is>
          <t>Motaggsvamp</t>
        </is>
      </c>
      <c r="S101">
        <f>HYPERLINK("https://klasma.github.io/Logging_0188/artfynd/A 23146-2024 artfynd.xlsx", "A 23146-2024")</f>
        <v/>
      </c>
      <c r="T101">
        <f>HYPERLINK("https://klasma.github.io/Logging_0188/kartor/A 23146-2024 karta.png", "A 23146-2024")</f>
        <v/>
      </c>
      <c r="V101">
        <f>HYPERLINK("https://klasma.github.io/Logging_0188/klagomål/A 23146-2024 FSC-klagomål.docx", "A 23146-2024")</f>
        <v/>
      </c>
      <c r="W101">
        <f>HYPERLINK("https://klasma.github.io/Logging_0188/klagomålsmail/A 23146-2024 FSC-klagomål mail.docx", "A 23146-2024")</f>
        <v/>
      </c>
      <c r="X101">
        <f>HYPERLINK("https://klasma.github.io/Logging_0188/tillsyn/A 23146-2024 tillsynsbegäran.docx", "A 23146-2024")</f>
        <v/>
      </c>
      <c r="Y101">
        <f>HYPERLINK("https://klasma.github.io/Logging_0188/tillsynsmail/A 23146-2024 tillsynsbegäran mail.docx", "A 23146-2024")</f>
        <v/>
      </c>
    </row>
    <row r="102" ht="15" customHeight="1">
      <c r="A102" t="inlineStr">
        <is>
          <t>A 52508-2023</t>
        </is>
      </c>
      <c r="B102" s="1" t="n">
        <v>45225</v>
      </c>
      <c r="C102" s="1" t="n">
        <v>45887</v>
      </c>
      <c r="D102" t="inlineStr">
        <is>
          <t>STOCKHOLMS LÄN</t>
        </is>
      </c>
      <c r="E102" t="inlineStr">
        <is>
          <t>NORRTÄLJE</t>
        </is>
      </c>
      <c r="G102" t="n">
        <v>19.7</v>
      </c>
      <c r="H102" t="n">
        <v>1</v>
      </c>
      <c r="I102" t="n">
        <v>0</v>
      </c>
      <c r="J102" t="n">
        <v>0</v>
      </c>
      <c r="K102" t="n">
        <v>1</v>
      </c>
      <c r="L102" t="n">
        <v>0</v>
      </c>
      <c r="M102" t="n">
        <v>0</v>
      </c>
      <c r="N102" t="n">
        <v>0</v>
      </c>
      <c r="O102" t="n">
        <v>1</v>
      </c>
      <c r="P102" t="n">
        <v>1</v>
      </c>
      <c r="Q102" t="n">
        <v>1</v>
      </c>
      <c r="R102" s="2" t="inlineStr">
        <is>
          <t>Svärta</t>
        </is>
      </c>
      <c r="S102">
        <f>HYPERLINK("https://klasma.github.io/Logging_0188/artfynd/A 52508-2023 artfynd.xlsx", "A 52508-2023")</f>
        <v/>
      </c>
      <c r="T102">
        <f>HYPERLINK("https://klasma.github.io/Logging_0188/kartor/A 52508-2023 karta.png", "A 52508-2023")</f>
        <v/>
      </c>
      <c r="V102">
        <f>HYPERLINK("https://klasma.github.io/Logging_0188/klagomål/A 52508-2023 FSC-klagomål.docx", "A 52508-2023")</f>
        <v/>
      </c>
      <c r="W102">
        <f>HYPERLINK("https://klasma.github.io/Logging_0188/klagomålsmail/A 52508-2023 FSC-klagomål mail.docx", "A 52508-2023")</f>
        <v/>
      </c>
      <c r="X102">
        <f>HYPERLINK("https://klasma.github.io/Logging_0188/tillsyn/A 52508-2023 tillsynsbegäran.docx", "A 52508-2023")</f>
        <v/>
      </c>
      <c r="Y102">
        <f>HYPERLINK("https://klasma.github.io/Logging_0188/tillsynsmail/A 52508-2023 tillsynsbegäran mail.docx", "A 52508-2023")</f>
        <v/>
      </c>
    </row>
    <row r="103" ht="15" customHeight="1">
      <c r="A103" t="inlineStr">
        <is>
          <t>A 27538-2024</t>
        </is>
      </c>
      <c r="B103" s="1" t="n">
        <v>45474</v>
      </c>
      <c r="C103" s="1" t="n">
        <v>45887</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45887</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4385-2023</t>
        </is>
      </c>
      <c r="B105" s="1" t="n">
        <v>44955.71322916666</v>
      </c>
      <c r="C105" s="1" t="n">
        <v>45887</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48131-2023</t>
        </is>
      </c>
      <c r="B106" s="1" t="n">
        <v>45205</v>
      </c>
      <c r="C106" s="1" t="n">
        <v>45887</v>
      </c>
      <c r="D106" t="inlineStr">
        <is>
          <t>STOCKHOLMS LÄN</t>
        </is>
      </c>
      <c r="E106" t="inlineStr">
        <is>
          <t>NORRTÄLJE</t>
        </is>
      </c>
      <c r="G106" t="n">
        <v>2.3</v>
      </c>
      <c r="H106" t="n">
        <v>0</v>
      </c>
      <c r="I106" t="n">
        <v>0</v>
      </c>
      <c r="J106" t="n">
        <v>1</v>
      </c>
      <c r="K106" t="n">
        <v>0</v>
      </c>
      <c r="L106" t="n">
        <v>0</v>
      </c>
      <c r="M106" t="n">
        <v>0</v>
      </c>
      <c r="N106" t="n">
        <v>0</v>
      </c>
      <c r="O106" t="n">
        <v>1</v>
      </c>
      <c r="P106" t="n">
        <v>0</v>
      </c>
      <c r="Q106" t="n">
        <v>1</v>
      </c>
      <c r="R106" s="2" t="inlineStr">
        <is>
          <t>Slåtterfibbla</t>
        </is>
      </c>
      <c r="S106">
        <f>HYPERLINK("https://klasma.github.io/Logging_0188/artfynd/A 48131-2023 artfynd.xlsx", "A 48131-2023")</f>
        <v/>
      </c>
      <c r="T106">
        <f>HYPERLINK("https://klasma.github.io/Logging_0188/kartor/A 48131-2023 karta.png", "A 48131-2023")</f>
        <v/>
      </c>
      <c r="V106">
        <f>HYPERLINK("https://klasma.github.io/Logging_0188/klagomål/A 48131-2023 FSC-klagomål.docx", "A 48131-2023")</f>
        <v/>
      </c>
      <c r="W106">
        <f>HYPERLINK("https://klasma.github.io/Logging_0188/klagomålsmail/A 48131-2023 FSC-klagomål mail.docx", "A 48131-2023")</f>
        <v/>
      </c>
      <c r="X106">
        <f>HYPERLINK("https://klasma.github.io/Logging_0188/tillsyn/A 48131-2023 tillsynsbegäran.docx", "A 48131-2023")</f>
        <v/>
      </c>
      <c r="Y106">
        <f>HYPERLINK("https://klasma.github.io/Logging_0188/tillsynsmail/A 48131-2023 tillsynsbegäran mail.docx", "A 48131-2023")</f>
        <v/>
      </c>
    </row>
    <row r="107" ht="15" customHeight="1">
      <c r="A107" t="inlineStr">
        <is>
          <t>A 24330-2023</t>
        </is>
      </c>
      <c r="B107" s="1" t="n">
        <v>45081</v>
      </c>
      <c r="C107" s="1" t="n">
        <v>45887</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45887</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45887</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1970-2021</t>
        </is>
      </c>
      <c r="B110" s="1" t="n">
        <v>44210</v>
      </c>
      <c r="C110" s="1" t="n">
        <v>45887</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45887</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45887</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12877-2022</t>
        </is>
      </c>
      <c r="B113" s="1" t="n">
        <v>44642</v>
      </c>
      <c r="C113" s="1" t="n">
        <v>45887</v>
      </c>
      <c r="D113" t="inlineStr">
        <is>
          <t>STOCKHOLMS LÄN</t>
        </is>
      </c>
      <c r="E113" t="inlineStr">
        <is>
          <t>NORRTÄLJE</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14033-2022</t>
        </is>
      </c>
      <c r="B114" s="1" t="n">
        <v>44650.86518518518</v>
      </c>
      <c r="C114" s="1" t="n">
        <v>45887</v>
      </c>
      <c r="D114" t="inlineStr">
        <is>
          <t>STOCKHOLMS LÄN</t>
        </is>
      </c>
      <c r="E114" t="inlineStr">
        <is>
          <t>NORRTÄLJE</t>
        </is>
      </c>
      <c r="G114" t="n">
        <v>1.3</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45887</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45887</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45887</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45887</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45887</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45887</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40542-2021</t>
        </is>
      </c>
      <c r="B121" s="1" t="n">
        <v>44420</v>
      </c>
      <c r="C121" s="1" t="n">
        <v>45887</v>
      </c>
      <c r="D121" t="inlineStr">
        <is>
          <t>STOCKHOLMS LÄN</t>
        </is>
      </c>
      <c r="E121" t="inlineStr">
        <is>
          <t>NORRTÄLJE</t>
        </is>
      </c>
      <c r="G121" t="n">
        <v>0.4</v>
      </c>
      <c r="H121" t="n">
        <v>0</v>
      </c>
      <c r="I121" t="n">
        <v>0</v>
      </c>
      <c r="J121" t="n">
        <v>0</v>
      </c>
      <c r="K121" t="n">
        <v>0</v>
      </c>
      <c r="L121" t="n">
        <v>0</v>
      </c>
      <c r="M121" t="n">
        <v>0</v>
      </c>
      <c r="N121" t="n">
        <v>0</v>
      </c>
      <c r="O121" t="n">
        <v>0</v>
      </c>
      <c r="P121" t="n">
        <v>0</v>
      </c>
      <c r="Q121" t="n">
        <v>0</v>
      </c>
      <c r="R121" s="2" t="inlineStr"/>
    </row>
    <row r="122" ht="15" customHeight="1">
      <c r="A122" t="inlineStr">
        <is>
          <t>A 40546-2021</t>
        </is>
      </c>
      <c r="B122" s="1" t="n">
        <v>44420</v>
      </c>
      <c r="C122" s="1" t="n">
        <v>45887</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23096-2021</t>
        </is>
      </c>
      <c r="B123" s="1" t="n">
        <v>44330</v>
      </c>
      <c r="C123" s="1" t="n">
        <v>45887</v>
      </c>
      <c r="D123" t="inlineStr">
        <is>
          <t>STOCKHOLMS LÄN</t>
        </is>
      </c>
      <c r="E123" t="inlineStr">
        <is>
          <t>NORRTÄLJE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45887</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31934-2022</t>
        </is>
      </c>
      <c r="B125" s="1" t="n">
        <v>44777</v>
      </c>
      <c r="C125" s="1" t="n">
        <v>45887</v>
      </c>
      <c r="D125" t="inlineStr">
        <is>
          <t>STOCKHOLMS LÄN</t>
        </is>
      </c>
      <c r="E125" t="inlineStr">
        <is>
          <t>NORRTÄLJE</t>
        </is>
      </c>
      <c r="G125" t="n">
        <v>1.2</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45887</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45887</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45887</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45887</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45887</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31283-2022</t>
        </is>
      </c>
      <c r="B131" s="1" t="n">
        <v>44771</v>
      </c>
      <c r="C131" s="1" t="n">
        <v>45887</v>
      </c>
      <c r="D131" t="inlineStr">
        <is>
          <t>STOCKHOLMS LÄN</t>
        </is>
      </c>
      <c r="E131" t="inlineStr">
        <is>
          <t>NORRTÄLJE</t>
        </is>
      </c>
      <c r="G131" t="n">
        <v>0.5</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45887</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45887</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45887</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45887</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45887</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45887</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45887</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45887</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45887</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52133-2022</t>
        </is>
      </c>
      <c r="B141" s="1" t="n">
        <v>44868</v>
      </c>
      <c r="C141" s="1" t="n">
        <v>45887</v>
      </c>
      <c r="D141" t="inlineStr">
        <is>
          <t>STOCKHOLMS LÄN</t>
        </is>
      </c>
      <c r="E141" t="inlineStr">
        <is>
          <t>NORRTÄLJE</t>
        </is>
      </c>
      <c r="G141" t="n">
        <v>11.5</v>
      </c>
      <c r="H141" t="n">
        <v>0</v>
      </c>
      <c r="I141" t="n">
        <v>0</v>
      </c>
      <c r="J141" t="n">
        <v>0</v>
      </c>
      <c r="K141" t="n">
        <v>0</v>
      </c>
      <c r="L141" t="n">
        <v>0</v>
      </c>
      <c r="M141" t="n">
        <v>0</v>
      </c>
      <c r="N141" t="n">
        <v>0</v>
      </c>
      <c r="O141" t="n">
        <v>0</v>
      </c>
      <c r="P141" t="n">
        <v>0</v>
      </c>
      <c r="Q141" t="n">
        <v>0</v>
      </c>
      <c r="R141" s="2" t="inlineStr"/>
    </row>
    <row r="142" ht="15" customHeight="1">
      <c r="A142" t="inlineStr">
        <is>
          <t>A 19283-2021</t>
        </is>
      </c>
      <c r="B142" s="1" t="n">
        <v>44309.47061342592</v>
      </c>
      <c r="C142" s="1" t="n">
        <v>45887</v>
      </c>
      <c r="D142" t="inlineStr">
        <is>
          <t>STOCKHOLMS LÄN</t>
        </is>
      </c>
      <c r="E142" t="inlineStr">
        <is>
          <t>NORRTÄLJE</t>
        </is>
      </c>
      <c r="F142" t="inlineStr">
        <is>
          <t>Holmen skog AB</t>
        </is>
      </c>
      <c r="G142" t="n">
        <v>0.6</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45887</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48496-2020</t>
        </is>
      </c>
      <c r="B144" s="1" t="n">
        <v>44103</v>
      </c>
      <c r="C144" s="1" t="n">
        <v>45887</v>
      </c>
      <c r="D144" t="inlineStr">
        <is>
          <t>STOCKHOLMS LÄN</t>
        </is>
      </c>
      <c r="E144" t="inlineStr">
        <is>
          <t>NORRTÄLJE</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62854-2020</t>
        </is>
      </c>
      <c r="B145" s="1" t="n">
        <v>44161</v>
      </c>
      <c r="C145" s="1" t="n">
        <v>45887</v>
      </c>
      <c r="D145" t="inlineStr">
        <is>
          <t>STOCKHOLMS LÄN</t>
        </is>
      </c>
      <c r="E145" t="inlineStr">
        <is>
          <t>NORRTÄLJE</t>
        </is>
      </c>
      <c r="G145" t="n">
        <v>4.7</v>
      </c>
      <c r="H145" t="n">
        <v>0</v>
      </c>
      <c r="I145" t="n">
        <v>0</v>
      </c>
      <c r="J145" t="n">
        <v>0</v>
      </c>
      <c r="K145" t="n">
        <v>0</v>
      </c>
      <c r="L145" t="n">
        <v>0</v>
      </c>
      <c r="M145" t="n">
        <v>0</v>
      </c>
      <c r="N145" t="n">
        <v>0</v>
      </c>
      <c r="O145" t="n">
        <v>0</v>
      </c>
      <c r="P145" t="n">
        <v>0</v>
      </c>
      <c r="Q145" t="n">
        <v>0</v>
      </c>
      <c r="R145" s="2" t="inlineStr"/>
    </row>
    <row r="146" ht="15" customHeight="1">
      <c r="A146" t="inlineStr">
        <is>
          <t>A 9719-2021</t>
        </is>
      </c>
      <c r="B146" s="1" t="n">
        <v>44252</v>
      </c>
      <c r="C146" s="1" t="n">
        <v>45887</v>
      </c>
      <c r="D146" t="inlineStr">
        <is>
          <t>STOCKHOLMS LÄN</t>
        </is>
      </c>
      <c r="E146" t="inlineStr">
        <is>
          <t>NORRTÄLJE</t>
        </is>
      </c>
      <c r="F146" t="inlineStr">
        <is>
          <t>Holmen skog AB</t>
        </is>
      </c>
      <c r="G146" t="n">
        <v>2</v>
      </c>
      <c r="H146" t="n">
        <v>0</v>
      </c>
      <c r="I146" t="n">
        <v>0</v>
      </c>
      <c r="J146" t="n">
        <v>0</v>
      </c>
      <c r="K146" t="n">
        <v>0</v>
      </c>
      <c r="L146" t="n">
        <v>0</v>
      </c>
      <c r="M146" t="n">
        <v>0</v>
      </c>
      <c r="N146" t="n">
        <v>0</v>
      </c>
      <c r="O146" t="n">
        <v>0</v>
      </c>
      <c r="P146" t="n">
        <v>0</v>
      </c>
      <c r="Q146" t="n">
        <v>0</v>
      </c>
      <c r="R146" s="2" t="inlineStr"/>
    </row>
    <row r="147" ht="15" customHeight="1">
      <c r="A147" t="inlineStr">
        <is>
          <t>A 48384-2021</t>
        </is>
      </c>
      <c r="B147" s="1" t="n">
        <v>44451</v>
      </c>
      <c r="C147" s="1" t="n">
        <v>45887</v>
      </c>
      <c r="D147" t="inlineStr">
        <is>
          <t>STOCKHOLMS LÄN</t>
        </is>
      </c>
      <c r="E147" t="inlineStr">
        <is>
          <t>NORRTÄLJE</t>
        </is>
      </c>
      <c r="G147" t="n">
        <v>1.4</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45887</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60822-2021</t>
        </is>
      </c>
      <c r="B149" s="1" t="n">
        <v>44496</v>
      </c>
      <c r="C149" s="1" t="n">
        <v>45887</v>
      </c>
      <c r="D149" t="inlineStr">
        <is>
          <t>STOCKHOLMS LÄN</t>
        </is>
      </c>
      <c r="E149" t="inlineStr">
        <is>
          <t>NORRTÄLJE</t>
        </is>
      </c>
      <c r="G149" t="n">
        <v>7.6</v>
      </c>
      <c r="H149" t="n">
        <v>0</v>
      </c>
      <c r="I149" t="n">
        <v>0</v>
      </c>
      <c r="J149" t="n">
        <v>0</v>
      </c>
      <c r="K149" t="n">
        <v>0</v>
      </c>
      <c r="L149" t="n">
        <v>0</v>
      </c>
      <c r="M149" t="n">
        <v>0</v>
      </c>
      <c r="N149" t="n">
        <v>0</v>
      </c>
      <c r="O149" t="n">
        <v>0</v>
      </c>
      <c r="P149" t="n">
        <v>0</v>
      </c>
      <c r="Q149" t="n">
        <v>0</v>
      </c>
      <c r="R149" s="2" t="inlineStr"/>
    </row>
    <row r="150" ht="15" customHeight="1">
      <c r="A150" t="inlineStr">
        <is>
          <t>A 48492-2022</t>
        </is>
      </c>
      <c r="B150" s="1" t="n">
        <v>44858</v>
      </c>
      <c r="C150" s="1" t="n">
        <v>45887</v>
      </c>
      <c r="D150" t="inlineStr">
        <is>
          <t>STOCKHOLMS LÄN</t>
        </is>
      </c>
      <c r="E150" t="inlineStr">
        <is>
          <t>NORRTÄLJE</t>
        </is>
      </c>
      <c r="G150" t="n">
        <v>0.7</v>
      </c>
      <c r="H150" t="n">
        <v>0</v>
      </c>
      <c r="I150" t="n">
        <v>0</v>
      </c>
      <c r="J150" t="n">
        <v>0</v>
      </c>
      <c r="K150" t="n">
        <v>0</v>
      </c>
      <c r="L150" t="n">
        <v>0</v>
      </c>
      <c r="M150" t="n">
        <v>0</v>
      </c>
      <c r="N150" t="n">
        <v>0</v>
      </c>
      <c r="O150" t="n">
        <v>0</v>
      </c>
      <c r="P150" t="n">
        <v>0</v>
      </c>
      <c r="Q150" t="n">
        <v>0</v>
      </c>
      <c r="R150" s="2" t="inlineStr"/>
    </row>
    <row r="151" ht="15" customHeight="1">
      <c r="A151" t="inlineStr">
        <is>
          <t>A 8338-2021</t>
        </is>
      </c>
      <c r="B151" s="1" t="n">
        <v>44244</v>
      </c>
      <c r="C151" s="1" t="n">
        <v>45887</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18905-2022</t>
        </is>
      </c>
      <c r="B152" s="1" t="n">
        <v>44690</v>
      </c>
      <c r="C152" s="1" t="n">
        <v>45887</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10711-2022</t>
        </is>
      </c>
      <c r="B153" s="1" t="n">
        <v>44626</v>
      </c>
      <c r="C153" s="1" t="n">
        <v>45887</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17777-2022</t>
        </is>
      </c>
      <c r="B154" s="1" t="n">
        <v>44682.79203703703</v>
      </c>
      <c r="C154" s="1" t="n">
        <v>45887</v>
      </c>
      <c r="D154" t="inlineStr">
        <is>
          <t>STOCKHOLMS LÄN</t>
        </is>
      </c>
      <c r="E154" t="inlineStr">
        <is>
          <t>NORRTÄLJE</t>
        </is>
      </c>
      <c r="G154" t="n">
        <v>3.7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45887</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45887</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45887</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45887</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28209-2022</t>
        </is>
      </c>
      <c r="B159" s="1" t="n">
        <v>44746</v>
      </c>
      <c r="C159" s="1" t="n">
        <v>45887</v>
      </c>
      <c r="D159" t="inlineStr">
        <is>
          <t>STOCKHOLMS LÄN</t>
        </is>
      </c>
      <c r="E159" t="inlineStr">
        <is>
          <t>NORRTÄLJE</t>
        </is>
      </c>
      <c r="G159" t="n">
        <v>0.6</v>
      </c>
      <c r="H159" t="n">
        <v>0</v>
      </c>
      <c r="I159" t="n">
        <v>0</v>
      </c>
      <c r="J159" t="n">
        <v>0</v>
      </c>
      <c r="K159" t="n">
        <v>0</v>
      </c>
      <c r="L159" t="n">
        <v>0</v>
      </c>
      <c r="M159" t="n">
        <v>0</v>
      </c>
      <c r="N159" t="n">
        <v>0</v>
      </c>
      <c r="O159" t="n">
        <v>0</v>
      </c>
      <c r="P159" t="n">
        <v>0</v>
      </c>
      <c r="Q159" t="n">
        <v>0</v>
      </c>
      <c r="R159" s="2" t="inlineStr"/>
    </row>
    <row r="160" ht="15" customHeight="1">
      <c r="A160" t="inlineStr">
        <is>
          <t>A 66907-2020</t>
        </is>
      </c>
      <c r="B160" s="1" t="n">
        <v>44176</v>
      </c>
      <c r="C160" s="1" t="n">
        <v>45887</v>
      </c>
      <c r="D160" t="inlineStr">
        <is>
          <t>STOCKHOLMS LÄN</t>
        </is>
      </c>
      <c r="E160" t="inlineStr">
        <is>
          <t>NORRTÄLJE</t>
        </is>
      </c>
      <c r="G160" t="n">
        <v>1.7</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45887</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2447-2021</t>
        </is>
      </c>
      <c r="B162" s="1" t="n">
        <v>44214</v>
      </c>
      <c r="C162" s="1" t="n">
        <v>45887</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45887</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45887</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45887</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45887</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45887</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45887</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45887</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45887</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45887</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45887</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45887</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14381-2021</t>
        </is>
      </c>
      <c r="B174" s="1" t="n">
        <v>44279</v>
      </c>
      <c r="C174" s="1" t="n">
        <v>45887</v>
      </c>
      <c r="D174" t="inlineStr">
        <is>
          <t>STOCKHOLMS LÄN</t>
        </is>
      </c>
      <c r="E174" t="inlineStr">
        <is>
          <t>NORRTÄLJE</t>
        </is>
      </c>
      <c r="G174" t="n">
        <v>0.9</v>
      </c>
      <c r="H174" t="n">
        <v>0</v>
      </c>
      <c r="I174" t="n">
        <v>0</v>
      </c>
      <c r="J174" t="n">
        <v>0</v>
      </c>
      <c r="K174" t="n">
        <v>0</v>
      </c>
      <c r="L174" t="n">
        <v>0</v>
      </c>
      <c r="M174" t="n">
        <v>0</v>
      </c>
      <c r="N174" t="n">
        <v>0</v>
      </c>
      <c r="O174" t="n">
        <v>0</v>
      </c>
      <c r="P174" t="n">
        <v>0</v>
      </c>
      <c r="Q174" t="n">
        <v>0</v>
      </c>
      <c r="R174" s="2" t="inlineStr"/>
    </row>
    <row r="175" ht="15" customHeight="1">
      <c r="A175" t="inlineStr">
        <is>
          <t>A 20073-2021</t>
        </is>
      </c>
      <c r="B175" s="1" t="n">
        <v>44314</v>
      </c>
      <c r="C175" s="1" t="n">
        <v>45887</v>
      </c>
      <c r="D175" t="inlineStr">
        <is>
          <t>STOCKHOLMS LÄN</t>
        </is>
      </c>
      <c r="E175" t="inlineStr">
        <is>
          <t>NORRTÄLJE</t>
        </is>
      </c>
      <c r="G175" t="n">
        <v>4.6</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45887</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45887</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45887</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45887</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16668-2021</t>
        </is>
      </c>
      <c r="B180" s="1" t="n">
        <v>44294</v>
      </c>
      <c r="C180" s="1" t="n">
        <v>45887</v>
      </c>
      <c r="D180" t="inlineStr">
        <is>
          <t>STOCKHOLMS LÄN</t>
        </is>
      </c>
      <c r="E180" t="inlineStr">
        <is>
          <t>NORRTÄLJE</t>
        </is>
      </c>
      <c r="G180" t="n">
        <v>1.7</v>
      </c>
      <c r="H180" t="n">
        <v>0</v>
      </c>
      <c r="I180" t="n">
        <v>0</v>
      </c>
      <c r="J180" t="n">
        <v>0</v>
      </c>
      <c r="K180" t="n">
        <v>0</v>
      </c>
      <c r="L180" t="n">
        <v>0</v>
      </c>
      <c r="M180" t="n">
        <v>0</v>
      </c>
      <c r="N180" t="n">
        <v>0</v>
      </c>
      <c r="O180" t="n">
        <v>0</v>
      </c>
      <c r="P180" t="n">
        <v>0</v>
      </c>
      <c r="Q180" t="n">
        <v>0</v>
      </c>
      <c r="R180" s="2" t="inlineStr"/>
    </row>
    <row r="181" ht="15" customHeight="1">
      <c r="A181" t="inlineStr">
        <is>
          <t>A 29868-2022</t>
        </is>
      </c>
      <c r="B181" s="1" t="n">
        <v>44756.40881944444</v>
      </c>
      <c r="C181" s="1" t="n">
        <v>45887</v>
      </c>
      <c r="D181" t="inlineStr">
        <is>
          <t>STOCKHOLMS LÄN</t>
        </is>
      </c>
      <c r="E181" t="inlineStr">
        <is>
          <t>NORRTÄLJE</t>
        </is>
      </c>
      <c r="G181" t="n">
        <v>1.8</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45887</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45887</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45887</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45887</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45887</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45887</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45887</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45887</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45887</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45887</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45887</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45887</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45887</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45887</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45887</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45887</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45887</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45887</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45887</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45887</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45887</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19728-2022</t>
        </is>
      </c>
      <c r="B203" s="1" t="n">
        <v>44694.57413194444</v>
      </c>
      <c r="C203" s="1" t="n">
        <v>45887</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17460-2021</t>
        </is>
      </c>
      <c r="B204" s="1" t="n">
        <v>44299</v>
      </c>
      <c r="C204" s="1" t="n">
        <v>45887</v>
      </c>
      <c r="D204" t="inlineStr">
        <is>
          <t>STOCKHOLMS LÄN</t>
        </is>
      </c>
      <c r="E204" t="inlineStr">
        <is>
          <t>NORRTÄLJE</t>
        </is>
      </c>
      <c r="G204" t="n">
        <v>3.2</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45887</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45887</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45887</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30129-2021</t>
        </is>
      </c>
      <c r="B208" s="1" t="n">
        <v>44363.5784375</v>
      </c>
      <c r="C208" s="1" t="n">
        <v>45887</v>
      </c>
      <c r="D208" t="inlineStr">
        <is>
          <t>STOCKHOLMS LÄN</t>
        </is>
      </c>
      <c r="E208" t="inlineStr">
        <is>
          <t>NORRTÄLJE</t>
        </is>
      </c>
      <c r="G208" t="n">
        <v>0.4</v>
      </c>
      <c r="H208" t="n">
        <v>0</v>
      </c>
      <c r="I208" t="n">
        <v>0</v>
      </c>
      <c r="J208" t="n">
        <v>0</v>
      </c>
      <c r="K208" t="n">
        <v>0</v>
      </c>
      <c r="L208" t="n">
        <v>0</v>
      </c>
      <c r="M208" t="n">
        <v>0</v>
      </c>
      <c r="N208" t="n">
        <v>0</v>
      </c>
      <c r="O208" t="n">
        <v>0</v>
      </c>
      <c r="P208" t="n">
        <v>0</v>
      </c>
      <c r="Q208" t="n">
        <v>0</v>
      </c>
      <c r="R208" s="2" t="inlineStr"/>
    </row>
    <row r="209" ht="15" customHeight="1">
      <c r="A209" t="inlineStr">
        <is>
          <t>A 22316-2022</t>
        </is>
      </c>
      <c r="B209" s="1" t="n">
        <v>44712.83118055556</v>
      </c>
      <c r="C209" s="1" t="n">
        <v>45887</v>
      </c>
      <c r="D209" t="inlineStr">
        <is>
          <t>STOCKHOLMS LÄN</t>
        </is>
      </c>
      <c r="E209" t="inlineStr">
        <is>
          <t>NORRTÄLJE</t>
        </is>
      </c>
      <c r="G209" t="n">
        <v>6.3</v>
      </c>
      <c r="H209" t="n">
        <v>0</v>
      </c>
      <c r="I209" t="n">
        <v>0</v>
      </c>
      <c r="J209" t="n">
        <v>0</v>
      </c>
      <c r="K209" t="n">
        <v>0</v>
      </c>
      <c r="L209" t="n">
        <v>0</v>
      </c>
      <c r="M209" t="n">
        <v>0</v>
      </c>
      <c r="N209" t="n">
        <v>0</v>
      </c>
      <c r="O209" t="n">
        <v>0</v>
      </c>
      <c r="P209" t="n">
        <v>0</v>
      </c>
      <c r="Q209" t="n">
        <v>0</v>
      </c>
      <c r="R209" s="2" t="inlineStr"/>
    </row>
    <row r="210" ht="15" customHeight="1">
      <c r="A210" t="inlineStr">
        <is>
          <t>A 31092-2022</t>
        </is>
      </c>
      <c r="B210" s="1" t="n">
        <v>44769.62320601852</v>
      </c>
      <c r="C210" s="1" t="n">
        <v>45887</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9467-2021</t>
        </is>
      </c>
      <c r="B211" s="1" t="n">
        <v>44251.43971064815</v>
      </c>
      <c r="C211" s="1" t="n">
        <v>45887</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45887</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1229-2022</t>
        </is>
      </c>
      <c r="B213" s="1" t="n">
        <v>44572</v>
      </c>
      <c r="C213" s="1" t="n">
        <v>45887</v>
      </c>
      <c r="D213" t="inlineStr">
        <is>
          <t>STOCKHOLMS LÄN</t>
        </is>
      </c>
      <c r="E213" t="inlineStr">
        <is>
          <t>NORRTÄLJE</t>
        </is>
      </c>
      <c r="G213" t="n">
        <v>11.5</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45887</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45541-2022</t>
        </is>
      </c>
      <c r="B215" s="1" t="n">
        <v>44845.47672453704</v>
      </c>
      <c r="C215" s="1" t="n">
        <v>45887</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12779-2021</t>
        </is>
      </c>
      <c r="B216" s="1" t="n">
        <v>44270</v>
      </c>
      <c r="C216" s="1" t="n">
        <v>45887</v>
      </c>
      <c r="D216" t="inlineStr">
        <is>
          <t>STOCKHOLMS LÄN</t>
        </is>
      </c>
      <c r="E216" t="inlineStr">
        <is>
          <t>NORRTÄLJE</t>
        </is>
      </c>
      <c r="G216" t="n">
        <v>10.8</v>
      </c>
      <c r="H216" t="n">
        <v>0</v>
      </c>
      <c r="I216" t="n">
        <v>0</v>
      </c>
      <c r="J216" t="n">
        <v>0</v>
      </c>
      <c r="K216" t="n">
        <v>0</v>
      </c>
      <c r="L216" t="n">
        <v>0</v>
      </c>
      <c r="M216" t="n">
        <v>0</v>
      </c>
      <c r="N216" t="n">
        <v>0</v>
      </c>
      <c r="O216" t="n">
        <v>0</v>
      </c>
      <c r="P216" t="n">
        <v>0</v>
      </c>
      <c r="Q216" t="n">
        <v>0</v>
      </c>
      <c r="R216" s="2" t="inlineStr"/>
    </row>
    <row r="217" ht="15" customHeight="1">
      <c r="A217" t="inlineStr">
        <is>
          <t>A 12782-2021</t>
        </is>
      </c>
      <c r="B217" s="1" t="n">
        <v>44270</v>
      </c>
      <c r="C217" s="1" t="n">
        <v>45887</v>
      </c>
      <c r="D217" t="inlineStr">
        <is>
          <t>STOCKHOLMS LÄN</t>
        </is>
      </c>
      <c r="E217" t="inlineStr">
        <is>
          <t>NORRTÄLJE</t>
        </is>
      </c>
      <c r="G217" t="n">
        <v>3.8</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45887</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45887</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14051-2022</t>
        </is>
      </c>
      <c r="B220" s="1" t="n">
        <v>44650.92714120371</v>
      </c>
      <c r="C220" s="1" t="n">
        <v>45887</v>
      </c>
      <c r="D220" t="inlineStr">
        <is>
          <t>STOCKHOLMS LÄN</t>
        </is>
      </c>
      <c r="E220" t="inlineStr">
        <is>
          <t>NORRTÄLJE</t>
        </is>
      </c>
      <c r="G220" t="n">
        <v>2.3</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45887</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30286-2022</t>
        </is>
      </c>
      <c r="B222" s="1" t="n">
        <v>44760</v>
      </c>
      <c r="C222" s="1" t="n">
        <v>45887</v>
      </c>
      <c r="D222" t="inlineStr">
        <is>
          <t>STOCKHOLMS LÄN</t>
        </is>
      </c>
      <c r="E222" t="inlineStr">
        <is>
          <t>NORRTÄLJE</t>
        </is>
      </c>
      <c r="G222" t="n">
        <v>0.3</v>
      </c>
      <c r="H222" t="n">
        <v>0</v>
      </c>
      <c r="I222" t="n">
        <v>0</v>
      </c>
      <c r="J222" t="n">
        <v>0</v>
      </c>
      <c r="K222" t="n">
        <v>0</v>
      </c>
      <c r="L222" t="n">
        <v>0</v>
      </c>
      <c r="M222" t="n">
        <v>0</v>
      </c>
      <c r="N222" t="n">
        <v>0</v>
      </c>
      <c r="O222" t="n">
        <v>0</v>
      </c>
      <c r="P222" t="n">
        <v>0</v>
      </c>
      <c r="Q222" t="n">
        <v>0</v>
      </c>
      <c r="R222" s="2" t="inlineStr"/>
    </row>
    <row r="223" ht="15" customHeight="1">
      <c r="A223" t="inlineStr">
        <is>
          <t>A 8160-2022</t>
        </is>
      </c>
      <c r="B223" s="1" t="n">
        <v>44609</v>
      </c>
      <c r="C223" s="1" t="n">
        <v>45887</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45887</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45887</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39319-2022</t>
        </is>
      </c>
      <c r="B226" s="1" t="n">
        <v>44817.70516203704</v>
      </c>
      <c r="C226" s="1" t="n">
        <v>45887</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24167-2022</t>
        </is>
      </c>
      <c r="B227" s="1" t="n">
        <v>44725.49491898148</v>
      </c>
      <c r="C227" s="1" t="n">
        <v>45887</v>
      </c>
      <c r="D227" t="inlineStr">
        <is>
          <t>STOCKHOLMS LÄN</t>
        </is>
      </c>
      <c r="E227" t="inlineStr">
        <is>
          <t>NORRTÄLJE</t>
        </is>
      </c>
      <c r="G227" t="n">
        <v>3.4</v>
      </c>
      <c r="H227" t="n">
        <v>0</v>
      </c>
      <c r="I227" t="n">
        <v>0</v>
      </c>
      <c r="J227" t="n">
        <v>0</v>
      </c>
      <c r="K227" t="n">
        <v>0</v>
      </c>
      <c r="L227" t="n">
        <v>0</v>
      </c>
      <c r="M227" t="n">
        <v>0</v>
      </c>
      <c r="N227" t="n">
        <v>0</v>
      </c>
      <c r="O227" t="n">
        <v>0</v>
      </c>
      <c r="P227" t="n">
        <v>0</v>
      </c>
      <c r="Q227" t="n">
        <v>0</v>
      </c>
      <c r="R227" s="2" t="inlineStr"/>
    </row>
    <row r="228" ht="15" customHeight="1">
      <c r="A228" t="inlineStr">
        <is>
          <t>A 42396-2021</t>
        </is>
      </c>
      <c r="B228" s="1" t="n">
        <v>44427</v>
      </c>
      <c r="C228" s="1" t="n">
        <v>45887</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56219-2021</t>
        </is>
      </c>
      <c r="B229" s="1" t="n">
        <v>44477</v>
      </c>
      <c r="C229" s="1" t="n">
        <v>45887</v>
      </c>
      <c r="D229" t="inlineStr">
        <is>
          <t>STOCKHOLMS LÄN</t>
        </is>
      </c>
      <c r="E229" t="inlineStr">
        <is>
          <t>NORRTÄLJE</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5562-2021</t>
        </is>
      </c>
      <c r="B230" s="1" t="n">
        <v>44230</v>
      </c>
      <c r="C230" s="1" t="n">
        <v>45887</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5566-2021</t>
        </is>
      </c>
      <c r="B231" s="1" t="n">
        <v>44230</v>
      </c>
      <c r="C231" s="1" t="n">
        <v>45887</v>
      </c>
      <c r="D231" t="inlineStr">
        <is>
          <t>STOCKHOLMS LÄN</t>
        </is>
      </c>
      <c r="E231" t="inlineStr">
        <is>
          <t>NORRTÄLJE</t>
        </is>
      </c>
      <c r="G231" t="n">
        <v>3.1</v>
      </c>
      <c r="H231" t="n">
        <v>0</v>
      </c>
      <c r="I231" t="n">
        <v>0</v>
      </c>
      <c r="J231" t="n">
        <v>0</v>
      </c>
      <c r="K231" t="n">
        <v>0</v>
      </c>
      <c r="L231" t="n">
        <v>0</v>
      </c>
      <c r="M231" t="n">
        <v>0</v>
      </c>
      <c r="N231" t="n">
        <v>0</v>
      </c>
      <c r="O231" t="n">
        <v>0</v>
      </c>
      <c r="P231" t="n">
        <v>0</v>
      </c>
      <c r="Q231" t="n">
        <v>0</v>
      </c>
      <c r="R231" s="2" t="inlineStr"/>
    </row>
    <row r="232" ht="15" customHeight="1">
      <c r="A232" t="inlineStr">
        <is>
          <t>A 9988-2022</t>
        </is>
      </c>
      <c r="B232" s="1" t="n">
        <v>44621</v>
      </c>
      <c r="C232" s="1" t="n">
        <v>45887</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60733-2021</t>
        </is>
      </c>
      <c r="B233" s="1" t="n">
        <v>44496.77542824074</v>
      </c>
      <c r="C233" s="1" t="n">
        <v>45887</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52139-2022</t>
        </is>
      </c>
      <c r="B234" s="1" t="n">
        <v>44868</v>
      </c>
      <c r="C234" s="1" t="n">
        <v>45887</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9446-2021</t>
        </is>
      </c>
      <c r="B235" s="1" t="n">
        <v>44251</v>
      </c>
      <c r="C235" s="1" t="n">
        <v>45887</v>
      </c>
      <c r="D235" t="inlineStr">
        <is>
          <t>STOCKHOLMS LÄN</t>
        </is>
      </c>
      <c r="E235" t="inlineStr">
        <is>
          <t>NORRTÄLJE</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2732-2022</t>
        </is>
      </c>
      <c r="B236" s="1" t="n">
        <v>44580</v>
      </c>
      <c r="C236" s="1" t="n">
        <v>45887</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45887</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15226-2022</t>
        </is>
      </c>
      <c r="B238" s="1" t="n">
        <v>44658</v>
      </c>
      <c r="C238" s="1" t="n">
        <v>45887</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45887</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48071-2020</t>
        </is>
      </c>
      <c r="B240" s="1" t="n">
        <v>44100</v>
      </c>
      <c r="C240" s="1" t="n">
        <v>45887</v>
      </c>
      <c r="D240" t="inlineStr">
        <is>
          <t>STOCKHOLMS LÄN</t>
        </is>
      </c>
      <c r="E240" t="inlineStr">
        <is>
          <t>NORRTÄLJE</t>
        </is>
      </c>
      <c r="G240" t="n">
        <v>6.8</v>
      </c>
      <c r="H240" t="n">
        <v>0</v>
      </c>
      <c r="I240" t="n">
        <v>0</v>
      </c>
      <c r="J240" t="n">
        <v>0</v>
      </c>
      <c r="K240" t="n">
        <v>0</v>
      </c>
      <c r="L240" t="n">
        <v>0</v>
      </c>
      <c r="M240" t="n">
        <v>0</v>
      </c>
      <c r="N240" t="n">
        <v>0</v>
      </c>
      <c r="O240" t="n">
        <v>0</v>
      </c>
      <c r="P240" t="n">
        <v>0</v>
      </c>
      <c r="Q240" t="n">
        <v>0</v>
      </c>
      <c r="R240" s="2" t="inlineStr"/>
    </row>
    <row r="241" ht="15" customHeight="1">
      <c r="A241" t="inlineStr">
        <is>
          <t>A 53884-2022</t>
        </is>
      </c>
      <c r="B241" s="1" t="n">
        <v>44880.68423611111</v>
      </c>
      <c r="C241" s="1" t="n">
        <v>45887</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3300-2022</t>
        </is>
      </c>
      <c r="B242" s="1" t="n">
        <v>44584.91538194445</v>
      </c>
      <c r="C242" s="1" t="n">
        <v>45887</v>
      </c>
      <c r="D242" t="inlineStr">
        <is>
          <t>STOCKHOLMS LÄN</t>
        </is>
      </c>
      <c r="E242" t="inlineStr">
        <is>
          <t>NORRTÄLJE</t>
        </is>
      </c>
      <c r="G242" t="n">
        <v>0.4</v>
      </c>
      <c r="H242" t="n">
        <v>0</v>
      </c>
      <c r="I242" t="n">
        <v>0</v>
      </c>
      <c r="J242" t="n">
        <v>0</v>
      </c>
      <c r="K242" t="n">
        <v>0</v>
      </c>
      <c r="L242" t="n">
        <v>0</v>
      </c>
      <c r="M242" t="n">
        <v>0</v>
      </c>
      <c r="N242" t="n">
        <v>0</v>
      </c>
      <c r="O242" t="n">
        <v>0</v>
      </c>
      <c r="P242" t="n">
        <v>0</v>
      </c>
      <c r="Q242" t="n">
        <v>0</v>
      </c>
      <c r="R242" s="2" t="inlineStr"/>
    </row>
    <row r="243" ht="15" customHeight="1">
      <c r="A243" t="inlineStr">
        <is>
          <t>A 17388-2022</t>
        </is>
      </c>
      <c r="B243" s="1" t="n">
        <v>44678</v>
      </c>
      <c r="C243" s="1" t="n">
        <v>45887</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12357-2022</t>
        </is>
      </c>
      <c r="B244" s="1" t="n">
        <v>44637</v>
      </c>
      <c r="C244" s="1" t="n">
        <v>45887</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17673-2021</t>
        </is>
      </c>
      <c r="B245" s="1" t="n">
        <v>44300</v>
      </c>
      <c r="C245" s="1" t="n">
        <v>45887</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c r="T245">
        <f>HYPERLINK("https://klasma.github.io/Logging_0188/kartor/A 17673-2021 karta.png", "A 17673-2021")</f>
        <v/>
      </c>
      <c r="V245">
        <f>HYPERLINK("https://klasma.github.io/Logging_0188/klagomål/A 17673-2021 FSC-klagomål.docx", "A 17673-2021")</f>
        <v/>
      </c>
      <c r="W245">
        <f>HYPERLINK("https://klasma.github.io/Logging_0188/klagomålsmail/A 17673-2021 FSC-klagomål mail.docx", "A 17673-2021")</f>
        <v/>
      </c>
      <c r="X245">
        <f>HYPERLINK("https://klasma.github.io/Logging_0188/tillsyn/A 17673-2021 tillsynsbegäran.docx", "A 17673-2021")</f>
        <v/>
      </c>
      <c r="Y245">
        <f>HYPERLINK("https://klasma.github.io/Logging_0188/tillsynsmail/A 17673-2021 tillsynsbegäran mail.docx", "A 17673-2021")</f>
        <v/>
      </c>
      <c r="Z245">
        <f>HYPERLINK("https://klasma.github.io/Logging_0188/fåglar/A 17673-2021 prioriterade fågelarter.docx", "A 17673-2021")</f>
        <v/>
      </c>
    </row>
    <row r="246" ht="15" customHeight="1">
      <c r="A246" t="inlineStr">
        <is>
          <t>A 26335-2022</t>
        </is>
      </c>
      <c r="B246" s="1" t="n">
        <v>44735</v>
      </c>
      <c r="C246" s="1" t="n">
        <v>45887</v>
      </c>
      <c r="D246" t="inlineStr">
        <is>
          <t>STOCKHOLMS LÄN</t>
        </is>
      </c>
      <c r="E246" t="inlineStr">
        <is>
          <t>NORRTÄLJE</t>
        </is>
      </c>
      <c r="G246" t="n">
        <v>3.3</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45887</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38991-2022</t>
        </is>
      </c>
      <c r="B248" s="1" t="n">
        <v>44816.89569444444</v>
      </c>
      <c r="C248" s="1" t="n">
        <v>45887</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45887</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17771-2022</t>
        </is>
      </c>
      <c r="B250" s="1" t="n">
        <v>44682.75924768519</v>
      </c>
      <c r="C250" s="1" t="n">
        <v>45887</v>
      </c>
      <c r="D250" t="inlineStr">
        <is>
          <t>STOCKHOLMS LÄN</t>
        </is>
      </c>
      <c r="E250" t="inlineStr">
        <is>
          <t>NORRTÄLJE</t>
        </is>
      </c>
      <c r="G250" t="n">
        <v>13.3</v>
      </c>
      <c r="H250" t="n">
        <v>0</v>
      </c>
      <c r="I250" t="n">
        <v>0</v>
      </c>
      <c r="J250" t="n">
        <v>0</v>
      </c>
      <c r="K250" t="n">
        <v>0</v>
      </c>
      <c r="L250" t="n">
        <v>0</v>
      </c>
      <c r="M250" t="n">
        <v>0</v>
      </c>
      <c r="N250" t="n">
        <v>0</v>
      </c>
      <c r="O250" t="n">
        <v>0</v>
      </c>
      <c r="P250" t="n">
        <v>0</v>
      </c>
      <c r="Q250" t="n">
        <v>0</v>
      </c>
      <c r="R250" s="2" t="inlineStr"/>
    </row>
    <row r="251" ht="15" customHeight="1">
      <c r="A251" t="inlineStr">
        <is>
          <t>A 17773-2022</t>
        </is>
      </c>
      <c r="B251" s="1" t="n">
        <v>44682.77616898148</v>
      </c>
      <c r="C251" s="1" t="n">
        <v>45887</v>
      </c>
      <c r="D251" t="inlineStr">
        <is>
          <t>STOCKHOLMS LÄN</t>
        </is>
      </c>
      <c r="E251" t="inlineStr">
        <is>
          <t>NORRTÄLJE</t>
        </is>
      </c>
      <c r="G251" t="n">
        <v>10.8</v>
      </c>
      <c r="H251" t="n">
        <v>0</v>
      </c>
      <c r="I251" t="n">
        <v>0</v>
      </c>
      <c r="J251" t="n">
        <v>0</v>
      </c>
      <c r="K251" t="n">
        <v>0</v>
      </c>
      <c r="L251" t="n">
        <v>0</v>
      </c>
      <c r="M251" t="n">
        <v>0</v>
      </c>
      <c r="N251" t="n">
        <v>0</v>
      </c>
      <c r="O251" t="n">
        <v>0</v>
      </c>
      <c r="P251" t="n">
        <v>0</v>
      </c>
      <c r="Q251" t="n">
        <v>0</v>
      </c>
      <c r="R251" s="2" t="inlineStr"/>
    </row>
    <row r="252" ht="15" customHeight="1">
      <c r="A252" t="inlineStr">
        <is>
          <t>A 10521-2022</t>
        </is>
      </c>
      <c r="B252" s="1" t="n">
        <v>44623</v>
      </c>
      <c r="C252" s="1" t="n">
        <v>45887</v>
      </c>
      <c r="D252" t="inlineStr">
        <is>
          <t>STOCKHOLMS LÄN</t>
        </is>
      </c>
      <c r="E252" t="inlineStr">
        <is>
          <t>NORRTÄLJE</t>
        </is>
      </c>
      <c r="G252" t="n">
        <v>2.9</v>
      </c>
      <c r="H252" t="n">
        <v>0</v>
      </c>
      <c r="I252" t="n">
        <v>0</v>
      </c>
      <c r="J252" t="n">
        <v>0</v>
      </c>
      <c r="K252" t="n">
        <v>0</v>
      </c>
      <c r="L252" t="n">
        <v>0</v>
      </c>
      <c r="M252" t="n">
        <v>0</v>
      </c>
      <c r="N252" t="n">
        <v>0</v>
      </c>
      <c r="O252" t="n">
        <v>0</v>
      </c>
      <c r="P252" t="n">
        <v>0</v>
      </c>
      <c r="Q252" t="n">
        <v>0</v>
      </c>
      <c r="R252" s="2" t="inlineStr"/>
    </row>
    <row r="253" ht="15" customHeight="1">
      <c r="A253" t="inlineStr">
        <is>
          <t>A 27217-2021</t>
        </is>
      </c>
      <c r="B253" s="1" t="n">
        <v>44350</v>
      </c>
      <c r="C253" s="1" t="n">
        <v>45887</v>
      </c>
      <c r="D253" t="inlineStr">
        <is>
          <t>STOCKHOLMS LÄN</t>
        </is>
      </c>
      <c r="E253" t="inlineStr">
        <is>
          <t>NORRTÄLJE</t>
        </is>
      </c>
      <c r="G253" t="n">
        <v>5.5</v>
      </c>
      <c r="H253" t="n">
        <v>0</v>
      </c>
      <c r="I253" t="n">
        <v>0</v>
      </c>
      <c r="J253" t="n">
        <v>0</v>
      </c>
      <c r="K253" t="n">
        <v>0</v>
      </c>
      <c r="L253" t="n">
        <v>0</v>
      </c>
      <c r="M253" t="n">
        <v>0</v>
      </c>
      <c r="N253" t="n">
        <v>0</v>
      </c>
      <c r="O253" t="n">
        <v>0</v>
      </c>
      <c r="P253" t="n">
        <v>0</v>
      </c>
      <c r="Q253" t="n">
        <v>0</v>
      </c>
      <c r="R253" s="2" t="inlineStr"/>
    </row>
    <row r="254" ht="15" customHeight="1">
      <c r="A254" t="inlineStr">
        <is>
          <t>A 57957-2020</t>
        </is>
      </c>
      <c r="B254" s="1" t="n">
        <v>44143</v>
      </c>
      <c r="C254" s="1" t="n">
        <v>45887</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30624-2022</t>
        </is>
      </c>
      <c r="B255" s="1" t="n">
        <v>44763.4182175926</v>
      </c>
      <c r="C255" s="1" t="n">
        <v>45887</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45887</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49334-2020</t>
        </is>
      </c>
      <c r="B257" s="1" t="n">
        <v>44105</v>
      </c>
      <c r="C257" s="1" t="n">
        <v>45887</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55982-2020</t>
        </is>
      </c>
      <c r="B258" s="1" t="n">
        <v>44132</v>
      </c>
      <c r="C258" s="1" t="n">
        <v>45887</v>
      </c>
      <c r="D258" t="inlineStr">
        <is>
          <t>STOCKHOLMS LÄN</t>
        </is>
      </c>
      <c r="E258" t="inlineStr">
        <is>
          <t>NORRTÄLJE</t>
        </is>
      </c>
      <c r="G258" t="n">
        <v>11.3</v>
      </c>
      <c r="H258" t="n">
        <v>0</v>
      </c>
      <c r="I258" t="n">
        <v>0</v>
      </c>
      <c r="J258" t="n">
        <v>0</v>
      </c>
      <c r="K258" t="n">
        <v>0</v>
      </c>
      <c r="L258" t="n">
        <v>0</v>
      </c>
      <c r="M258" t="n">
        <v>0</v>
      </c>
      <c r="N258" t="n">
        <v>0</v>
      </c>
      <c r="O258" t="n">
        <v>0</v>
      </c>
      <c r="P258" t="n">
        <v>0</v>
      </c>
      <c r="Q258" t="n">
        <v>0</v>
      </c>
      <c r="R258" s="2" t="inlineStr"/>
    </row>
    <row r="259" ht="15" customHeight="1">
      <c r="A259" t="inlineStr">
        <is>
          <t>A 16117-2022</t>
        </is>
      </c>
      <c r="B259" s="1" t="n">
        <v>44665.65474537037</v>
      </c>
      <c r="C259" s="1" t="n">
        <v>45887</v>
      </c>
      <c r="D259" t="inlineStr">
        <is>
          <t>STOCKHOLMS LÄN</t>
        </is>
      </c>
      <c r="E259" t="inlineStr">
        <is>
          <t>NORRTÄLJE</t>
        </is>
      </c>
      <c r="G259" t="n">
        <v>8.1</v>
      </c>
      <c r="H259" t="n">
        <v>0</v>
      </c>
      <c r="I259" t="n">
        <v>0</v>
      </c>
      <c r="J259" t="n">
        <v>0</v>
      </c>
      <c r="K259" t="n">
        <v>0</v>
      </c>
      <c r="L259" t="n">
        <v>0</v>
      </c>
      <c r="M259" t="n">
        <v>0</v>
      </c>
      <c r="N259" t="n">
        <v>0</v>
      </c>
      <c r="O259" t="n">
        <v>0</v>
      </c>
      <c r="P259" t="n">
        <v>0</v>
      </c>
      <c r="Q259" t="n">
        <v>0</v>
      </c>
      <c r="R259" s="2" t="inlineStr"/>
    </row>
    <row r="260" ht="15" customHeight="1">
      <c r="A260" t="inlineStr">
        <is>
          <t>A 16132-2022</t>
        </is>
      </c>
      <c r="B260" s="1" t="n">
        <v>44665.78351851852</v>
      </c>
      <c r="C260" s="1" t="n">
        <v>45887</v>
      </c>
      <c r="D260" t="inlineStr">
        <is>
          <t>STOCKHOLMS LÄN</t>
        </is>
      </c>
      <c r="E260" t="inlineStr">
        <is>
          <t>NORRTÄLJE</t>
        </is>
      </c>
      <c r="G260" t="n">
        <v>4.4</v>
      </c>
      <c r="H260" t="n">
        <v>0</v>
      </c>
      <c r="I260" t="n">
        <v>0</v>
      </c>
      <c r="J260" t="n">
        <v>0</v>
      </c>
      <c r="K260" t="n">
        <v>0</v>
      </c>
      <c r="L260" t="n">
        <v>0</v>
      </c>
      <c r="M260" t="n">
        <v>0</v>
      </c>
      <c r="N260" t="n">
        <v>0</v>
      </c>
      <c r="O260" t="n">
        <v>0</v>
      </c>
      <c r="P260" t="n">
        <v>0</v>
      </c>
      <c r="Q260" t="n">
        <v>0</v>
      </c>
      <c r="R260" s="2" t="inlineStr"/>
    </row>
    <row r="261" ht="15" customHeight="1">
      <c r="A261" t="inlineStr">
        <is>
          <t>A 52449-2021</t>
        </is>
      </c>
      <c r="B261" s="1" t="n">
        <v>44466.37496527778</v>
      </c>
      <c r="C261" s="1" t="n">
        <v>45887</v>
      </c>
      <c r="D261" t="inlineStr">
        <is>
          <t>STOCKHOLMS LÄN</t>
        </is>
      </c>
      <c r="E261" t="inlineStr">
        <is>
          <t>NORRTÄLJE</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42365-2020</t>
        </is>
      </c>
      <c r="B262" s="1" t="n">
        <v>44076</v>
      </c>
      <c r="C262" s="1" t="n">
        <v>45887</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5513-2022</t>
        </is>
      </c>
      <c r="B263" s="1" t="n">
        <v>44595</v>
      </c>
      <c r="C263" s="1" t="n">
        <v>45887</v>
      </c>
      <c r="D263" t="inlineStr">
        <is>
          <t>STOCKHOLMS LÄN</t>
        </is>
      </c>
      <c r="E263" t="inlineStr">
        <is>
          <t>NORRTÄLJE</t>
        </is>
      </c>
      <c r="G263" t="n">
        <v>0.6</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45887</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33046-2021</t>
        </is>
      </c>
      <c r="B265" s="1" t="n">
        <v>44376</v>
      </c>
      <c r="C265" s="1" t="n">
        <v>45887</v>
      </c>
      <c r="D265" t="inlineStr">
        <is>
          <t>STOCKHOLMS LÄN</t>
        </is>
      </c>
      <c r="E265" t="inlineStr">
        <is>
          <t>NORRTÄLJE</t>
        </is>
      </c>
      <c r="G265" t="n">
        <v>2.1</v>
      </c>
      <c r="H265" t="n">
        <v>0</v>
      </c>
      <c r="I265" t="n">
        <v>0</v>
      </c>
      <c r="J265" t="n">
        <v>0</v>
      </c>
      <c r="K265" t="n">
        <v>0</v>
      </c>
      <c r="L265" t="n">
        <v>0</v>
      </c>
      <c r="M265" t="n">
        <v>0</v>
      </c>
      <c r="N265" t="n">
        <v>0</v>
      </c>
      <c r="O265" t="n">
        <v>0</v>
      </c>
      <c r="P265" t="n">
        <v>0</v>
      </c>
      <c r="Q265" t="n">
        <v>0</v>
      </c>
      <c r="R265" s="2" t="inlineStr"/>
    </row>
    <row r="266" ht="15" customHeight="1">
      <c r="A266" t="inlineStr">
        <is>
          <t>A 60542-2020</t>
        </is>
      </c>
      <c r="B266" s="1" t="n">
        <v>44153</v>
      </c>
      <c r="C266" s="1" t="n">
        <v>45887</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45887</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25463-2021</t>
        </is>
      </c>
      <c r="B268" s="1" t="n">
        <v>44342</v>
      </c>
      <c r="C268" s="1" t="n">
        <v>45887</v>
      </c>
      <c r="D268" t="inlineStr">
        <is>
          <t>STOCKHOLMS LÄN</t>
        </is>
      </c>
      <c r="E268" t="inlineStr">
        <is>
          <t>NORRTÄLJE</t>
        </is>
      </c>
      <c r="F268" t="inlineStr">
        <is>
          <t>Holmen skog AB</t>
        </is>
      </c>
      <c r="G268" t="n">
        <v>1.5</v>
      </c>
      <c r="H268" t="n">
        <v>0</v>
      </c>
      <c r="I268" t="n">
        <v>0</v>
      </c>
      <c r="J268" t="n">
        <v>0</v>
      </c>
      <c r="K268" t="n">
        <v>0</v>
      </c>
      <c r="L268" t="n">
        <v>0</v>
      </c>
      <c r="M268" t="n">
        <v>0</v>
      </c>
      <c r="N268" t="n">
        <v>0</v>
      </c>
      <c r="O268" t="n">
        <v>0</v>
      </c>
      <c r="P268" t="n">
        <v>0</v>
      </c>
      <c r="Q268" t="n">
        <v>0</v>
      </c>
      <c r="R268" s="2" t="inlineStr"/>
    </row>
    <row r="269" ht="15" customHeight="1">
      <c r="A269" t="inlineStr">
        <is>
          <t>A 26328-2022</t>
        </is>
      </c>
      <c r="B269" s="1" t="n">
        <v>44735</v>
      </c>
      <c r="C269" s="1" t="n">
        <v>45887</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66372-2020</t>
        </is>
      </c>
      <c r="B270" s="1" t="n">
        <v>44176</v>
      </c>
      <c r="C270" s="1" t="n">
        <v>45887</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45887</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45887</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23453-2021</t>
        </is>
      </c>
      <c r="B273" s="1" t="n">
        <v>44333</v>
      </c>
      <c r="C273" s="1" t="n">
        <v>45887</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45887</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28042-2022</t>
        </is>
      </c>
      <c r="B275" s="1" t="n">
        <v>44744</v>
      </c>
      <c r="C275" s="1" t="n">
        <v>45887</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45887</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45887</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45887</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45887</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15441-2021</t>
        </is>
      </c>
      <c r="B280" s="1" t="n">
        <v>44284</v>
      </c>
      <c r="C280" s="1" t="n">
        <v>45887</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27214-2021</t>
        </is>
      </c>
      <c r="B281" s="1" t="n">
        <v>44350</v>
      </c>
      <c r="C281" s="1" t="n">
        <v>45887</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12355-2022</t>
        </is>
      </c>
      <c r="B282" s="1" t="n">
        <v>44637</v>
      </c>
      <c r="C282" s="1" t="n">
        <v>45887</v>
      </c>
      <c r="D282" t="inlineStr">
        <is>
          <t>STOCKHOLMS LÄN</t>
        </is>
      </c>
      <c r="E282" t="inlineStr">
        <is>
          <t>NORRTÄLJE</t>
        </is>
      </c>
      <c r="G282" t="n">
        <v>10.4</v>
      </c>
      <c r="H282" t="n">
        <v>0</v>
      </c>
      <c r="I282" t="n">
        <v>0</v>
      </c>
      <c r="J282" t="n">
        <v>0</v>
      </c>
      <c r="K282" t="n">
        <v>0</v>
      </c>
      <c r="L282" t="n">
        <v>0</v>
      </c>
      <c r="M282" t="n">
        <v>0</v>
      </c>
      <c r="N282" t="n">
        <v>0</v>
      </c>
      <c r="O282" t="n">
        <v>0</v>
      </c>
      <c r="P282" t="n">
        <v>0</v>
      </c>
      <c r="Q282" t="n">
        <v>0</v>
      </c>
      <c r="R282" s="2" t="inlineStr"/>
    </row>
    <row r="283" ht="15" customHeight="1">
      <c r="A283" t="inlineStr">
        <is>
          <t>A 41398-2022</t>
        </is>
      </c>
      <c r="B283" s="1" t="n">
        <v>44826</v>
      </c>
      <c r="C283" s="1" t="n">
        <v>45887</v>
      </c>
      <c r="D283" t="inlineStr">
        <is>
          <t>STOCKHOLMS LÄN</t>
        </is>
      </c>
      <c r="E283" t="inlineStr">
        <is>
          <t>NORRTÄLJE</t>
        </is>
      </c>
      <c r="G283" t="n">
        <v>1.4</v>
      </c>
      <c r="H283" t="n">
        <v>0</v>
      </c>
      <c r="I283" t="n">
        <v>0</v>
      </c>
      <c r="J283" t="n">
        <v>0</v>
      </c>
      <c r="K283" t="n">
        <v>0</v>
      </c>
      <c r="L283" t="n">
        <v>0</v>
      </c>
      <c r="M283" t="n">
        <v>0</v>
      </c>
      <c r="N283" t="n">
        <v>0</v>
      </c>
      <c r="O283" t="n">
        <v>0</v>
      </c>
      <c r="P283" t="n">
        <v>0</v>
      </c>
      <c r="Q283" t="n">
        <v>0</v>
      </c>
      <c r="R283" s="2" t="inlineStr"/>
    </row>
    <row r="284" ht="15" customHeight="1">
      <c r="A284" t="inlineStr">
        <is>
          <t>A 22369-2021</t>
        </is>
      </c>
      <c r="B284" s="1" t="n">
        <v>44326</v>
      </c>
      <c r="C284" s="1" t="n">
        <v>45887</v>
      </c>
      <c r="D284" t="inlineStr">
        <is>
          <t>STOCKHOLMS LÄN</t>
        </is>
      </c>
      <c r="E284" t="inlineStr">
        <is>
          <t>NORRTÄLJE</t>
        </is>
      </c>
      <c r="F284" t="inlineStr">
        <is>
          <t>Holmen skog AB</t>
        </is>
      </c>
      <c r="G284" t="n">
        <v>3.4</v>
      </c>
      <c r="H284" t="n">
        <v>0</v>
      </c>
      <c r="I284" t="n">
        <v>0</v>
      </c>
      <c r="J284" t="n">
        <v>0</v>
      </c>
      <c r="K284" t="n">
        <v>0</v>
      </c>
      <c r="L284" t="n">
        <v>0</v>
      </c>
      <c r="M284" t="n">
        <v>0</v>
      </c>
      <c r="N284" t="n">
        <v>0</v>
      </c>
      <c r="O284" t="n">
        <v>0</v>
      </c>
      <c r="P284" t="n">
        <v>0</v>
      </c>
      <c r="Q284" t="n">
        <v>0</v>
      </c>
      <c r="R284" s="2" t="inlineStr"/>
    </row>
    <row r="285" ht="15" customHeight="1">
      <c r="A285" t="inlineStr">
        <is>
          <t>A 7565-2022</t>
        </is>
      </c>
      <c r="B285" s="1" t="n">
        <v>44607</v>
      </c>
      <c r="C285" s="1" t="n">
        <v>45887</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45887</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41822-2021</t>
        </is>
      </c>
      <c r="B287" s="1" t="n">
        <v>44425</v>
      </c>
      <c r="C287" s="1" t="n">
        <v>45887</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41823-2021</t>
        </is>
      </c>
      <c r="B288" s="1" t="n">
        <v>44425</v>
      </c>
      <c r="C288" s="1" t="n">
        <v>45887</v>
      </c>
      <c r="D288" t="inlineStr">
        <is>
          <t>STOCKHOLMS LÄN</t>
        </is>
      </c>
      <c r="E288" t="inlineStr">
        <is>
          <t>NORRTÄLJE</t>
        </is>
      </c>
      <c r="G288" t="n">
        <v>2.4</v>
      </c>
      <c r="H288" t="n">
        <v>0</v>
      </c>
      <c r="I288" t="n">
        <v>0</v>
      </c>
      <c r="J288" t="n">
        <v>0</v>
      </c>
      <c r="K288" t="n">
        <v>0</v>
      </c>
      <c r="L288" t="n">
        <v>0</v>
      </c>
      <c r="M288" t="n">
        <v>0</v>
      </c>
      <c r="N288" t="n">
        <v>0</v>
      </c>
      <c r="O288" t="n">
        <v>0</v>
      </c>
      <c r="P288" t="n">
        <v>0</v>
      </c>
      <c r="Q288" t="n">
        <v>0</v>
      </c>
      <c r="R288" s="2" t="inlineStr"/>
    </row>
    <row r="289" ht="15" customHeight="1">
      <c r="A289" t="inlineStr">
        <is>
          <t>A 67598-2021</t>
        </is>
      </c>
      <c r="B289" s="1" t="n">
        <v>44524</v>
      </c>
      <c r="C289" s="1" t="n">
        <v>45887</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45887</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34520-2021</t>
        </is>
      </c>
      <c r="B291" s="1" t="n">
        <v>44379</v>
      </c>
      <c r="C291" s="1" t="n">
        <v>45887</v>
      </c>
      <c r="D291" t="inlineStr">
        <is>
          <t>STOCKHOLMS LÄN</t>
        </is>
      </c>
      <c r="E291" t="inlineStr">
        <is>
          <t>NORRTÄLJE</t>
        </is>
      </c>
      <c r="G291" t="n">
        <v>1.7</v>
      </c>
      <c r="H291" t="n">
        <v>0</v>
      </c>
      <c r="I291" t="n">
        <v>0</v>
      </c>
      <c r="J291" t="n">
        <v>0</v>
      </c>
      <c r="K291" t="n">
        <v>0</v>
      </c>
      <c r="L291" t="n">
        <v>0</v>
      </c>
      <c r="M291" t="n">
        <v>0</v>
      </c>
      <c r="N291" t="n">
        <v>0</v>
      </c>
      <c r="O291" t="n">
        <v>0</v>
      </c>
      <c r="P291" t="n">
        <v>0</v>
      </c>
      <c r="Q291" t="n">
        <v>0</v>
      </c>
      <c r="R291" s="2" t="inlineStr"/>
    </row>
    <row r="292" ht="15" customHeight="1">
      <c r="A292" t="inlineStr">
        <is>
          <t>A 19398-2021</t>
        </is>
      </c>
      <c r="B292" s="1" t="n">
        <v>44309</v>
      </c>
      <c r="C292" s="1" t="n">
        <v>45887</v>
      </c>
      <c r="D292" t="inlineStr">
        <is>
          <t>STOCKHOLMS LÄN</t>
        </is>
      </c>
      <c r="E292" t="inlineStr">
        <is>
          <t>NORRTÄLJE</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55012-2024</t>
        </is>
      </c>
      <c r="B293" s="1" t="n">
        <v>45621.34813657407</v>
      </c>
      <c r="C293" s="1" t="n">
        <v>45887</v>
      </c>
      <c r="D293" t="inlineStr">
        <is>
          <t>STOCKHOLMS LÄN</t>
        </is>
      </c>
      <c r="E293" t="inlineStr">
        <is>
          <t>NORRTÄLJE</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26639-2023</t>
        </is>
      </c>
      <c r="B294" s="1" t="n">
        <v>45092</v>
      </c>
      <c r="C294" s="1" t="n">
        <v>45887</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1968-2022</t>
        </is>
      </c>
      <c r="B295" s="1" t="n">
        <v>44575.52831018518</v>
      </c>
      <c r="C295" s="1" t="n">
        <v>45887</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12348-2025</t>
        </is>
      </c>
      <c r="B296" s="1" t="n">
        <v>45730.35026620371</v>
      </c>
      <c r="C296" s="1" t="n">
        <v>45887</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20136-2025</t>
        </is>
      </c>
      <c r="B297" s="1" t="n">
        <v>45772.51127314815</v>
      </c>
      <c r="C297" s="1" t="n">
        <v>45887</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15978-2024</t>
        </is>
      </c>
      <c r="B298" s="1" t="n">
        <v>45405.57927083333</v>
      </c>
      <c r="C298" s="1" t="n">
        <v>45887</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5950-2021</t>
        </is>
      </c>
      <c r="B299" s="1" t="n">
        <v>44231</v>
      </c>
      <c r="C299" s="1" t="n">
        <v>45887</v>
      </c>
      <c r="D299" t="inlineStr">
        <is>
          <t>STOCKHOLMS LÄN</t>
        </is>
      </c>
      <c r="E299" t="inlineStr">
        <is>
          <t>NORRTÄLJE</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3444-2023</t>
        </is>
      </c>
      <c r="B300" s="1" t="n">
        <v>44949</v>
      </c>
      <c r="C300" s="1" t="n">
        <v>45887</v>
      </c>
      <c r="D300" t="inlineStr">
        <is>
          <t>STOCKHOLMS LÄN</t>
        </is>
      </c>
      <c r="E300" t="inlineStr">
        <is>
          <t>NORRTÄLJE</t>
        </is>
      </c>
      <c r="G300" t="n">
        <v>5.1</v>
      </c>
      <c r="H300" t="n">
        <v>0</v>
      </c>
      <c r="I300" t="n">
        <v>0</v>
      </c>
      <c r="J300" t="n">
        <v>0</v>
      </c>
      <c r="K300" t="n">
        <v>0</v>
      </c>
      <c r="L300" t="n">
        <v>0</v>
      </c>
      <c r="M300" t="n">
        <v>0</v>
      </c>
      <c r="N300" t="n">
        <v>0</v>
      </c>
      <c r="O300" t="n">
        <v>0</v>
      </c>
      <c r="P300" t="n">
        <v>0</v>
      </c>
      <c r="Q300" t="n">
        <v>0</v>
      </c>
      <c r="R300" s="2" t="inlineStr"/>
    </row>
    <row r="301" ht="15" customHeight="1">
      <c r="A301" t="inlineStr">
        <is>
          <t>A 13148-2021</t>
        </is>
      </c>
      <c r="B301" s="1" t="n">
        <v>44272</v>
      </c>
      <c r="C301" s="1" t="n">
        <v>45887</v>
      </c>
      <c r="D301" t="inlineStr">
        <is>
          <t>STOCKHOLMS LÄN</t>
        </is>
      </c>
      <c r="E301" t="inlineStr">
        <is>
          <t>NORRTÄLJE</t>
        </is>
      </c>
      <c r="G301" t="n">
        <v>12.4</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45887</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45887</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20473-2021</t>
        </is>
      </c>
      <c r="B304" s="1" t="n">
        <v>44315</v>
      </c>
      <c r="C304" s="1" t="n">
        <v>45887</v>
      </c>
      <c r="D304" t="inlineStr">
        <is>
          <t>STOCKHOLMS LÄN</t>
        </is>
      </c>
      <c r="E304" t="inlineStr">
        <is>
          <t>NORRTÄLJE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7603-2025</t>
        </is>
      </c>
      <c r="B305" s="1" t="n">
        <v>45705.66126157407</v>
      </c>
      <c r="C305" s="1" t="n">
        <v>45887</v>
      </c>
      <c r="D305" t="inlineStr">
        <is>
          <t>STOCKHOLMS LÄN</t>
        </is>
      </c>
      <c r="E305" t="inlineStr">
        <is>
          <t>NORRTÄLJE</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3383-2023</t>
        </is>
      </c>
      <c r="B306" s="1" t="n">
        <v>44949</v>
      </c>
      <c r="C306" s="1" t="n">
        <v>45887</v>
      </c>
      <c r="D306" t="inlineStr">
        <is>
          <t>STOCKHOLMS LÄN</t>
        </is>
      </c>
      <c r="E306" t="inlineStr">
        <is>
          <t>NORRTÄLJE</t>
        </is>
      </c>
      <c r="G306" t="n">
        <v>14.6</v>
      </c>
      <c r="H306" t="n">
        <v>0</v>
      </c>
      <c r="I306" t="n">
        <v>0</v>
      </c>
      <c r="J306" t="n">
        <v>0</v>
      </c>
      <c r="K306" t="n">
        <v>0</v>
      </c>
      <c r="L306" t="n">
        <v>0</v>
      </c>
      <c r="M306" t="n">
        <v>0</v>
      </c>
      <c r="N306" t="n">
        <v>0</v>
      </c>
      <c r="O306" t="n">
        <v>0</v>
      </c>
      <c r="P306" t="n">
        <v>0</v>
      </c>
      <c r="Q306" t="n">
        <v>0</v>
      </c>
      <c r="R306" s="2" t="inlineStr"/>
    </row>
    <row r="307" ht="15" customHeight="1">
      <c r="A307" t="inlineStr">
        <is>
          <t>A 12111-2021</t>
        </is>
      </c>
      <c r="B307" s="1" t="n">
        <v>44266</v>
      </c>
      <c r="C307" s="1" t="n">
        <v>45887</v>
      </c>
      <c r="D307" t="inlineStr">
        <is>
          <t>STOCKHOLMS LÄN</t>
        </is>
      </c>
      <c r="E307" t="inlineStr">
        <is>
          <t>NORRTÄLJE</t>
        </is>
      </c>
      <c r="G307" t="n">
        <v>5.5</v>
      </c>
      <c r="H307" t="n">
        <v>0</v>
      </c>
      <c r="I307" t="n">
        <v>0</v>
      </c>
      <c r="J307" t="n">
        <v>0</v>
      </c>
      <c r="K307" t="n">
        <v>0</v>
      </c>
      <c r="L307" t="n">
        <v>0</v>
      </c>
      <c r="M307" t="n">
        <v>0</v>
      </c>
      <c r="N307" t="n">
        <v>0</v>
      </c>
      <c r="O307" t="n">
        <v>0</v>
      </c>
      <c r="P307" t="n">
        <v>0</v>
      </c>
      <c r="Q307" t="n">
        <v>0</v>
      </c>
      <c r="R307" s="2" t="inlineStr"/>
    </row>
    <row r="308" ht="15" customHeight="1">
      <c r="A308" t="inlineStr">
        <is>
          <t>A 33053-2021</t>
        </is>
      </c>
      <c r="B308" s="1" t="n">
        <v>44376</v>
      </c>
      <c r="C308" s="1" t="n">
        <v>45887</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4316-2023</t>
        </is>
      </c>
      <c r="B309" s="1" t="n">
        <v>44953.67443287037</v>
      </c>
      <c r="C309" s="1" t="n">
        <v>45887</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60694-2024</t>
        </is>
      </c>
      <c r="B310" s="1" t="n">
        <v>45644.47878472223</v>
      </c>
      <c r="C310" s="1" t="n">
        <v>45887</v>
      </c>
      <c r="D310" t="inlineStr">
        <is>
          <t>STOCKHOLMS LÄN</t>
        </is>
      </c>
      <c r="E310" t="inlineStr">
        <is>
          <t>NORRTÄLJE</t>
        </is>
      </c>
      <c r="G310" t="n">
        <v>1.1</v>
      </c>
      <c r="H310" t="n">
        <v>0</v>
      </c>
      <c r="I310" t="n">
        <v>0</v>
      </c>
      <c r="J310" t="n">
        <v>0</v>
      </c>
      <c r="K310" t="n">
        <v>0</v>
      </c>
      <c r="L310" t="n">
        <v>0</v>
      </c>
      <c r="M310" t="n">
        <v>0</v>
      </c>
      <c r="N310" t="n">
        <v>0</v>
      </c>
      <c r="O310" t="n">
        <v>0</v>
      </c>
      <c r="P310" t="n">
        <v>0</v>
      </c>
      <c r="Q310" t="n">
        <v>0</v>
      </c>
      <c r="R310" s="2" t="inlineStr"/>
    </row>
    <row r="311" ht="15" customHeight="1">
      <c r="A311" t="inlineStr">
        <is>
          <t>A 20013-2025</t>
        </is>
      </c>
      <c r="B311" s="1" t="n">
        <v>45772.30436342592</v>
      </c>
      <c r="C311" s="1" t="n">
        <v>45887</v>
      </c>
      <c r="D311" t="inlineStr">
        <is>
          <t>STOCKHOLMS LÄN</t>
        </is>
      </c>
      <c r="E311" t="inlineStr">
        <is>
          <t>NORRTÄLJE</t>
        </is>
      </c>
      <c r="G311" t="n">
        <v>2.3</v>
      </c>
      <c r="H311" t="n">
        <v>0</v>
      </c>
      <c r="I311" t="n">
        <v>0</v>
      </c>
      <c r="J311" t="n">
        <v>0</v>
      </c>
      <c r="K311" t="n">
        <v>0</v>
      </c>
      <c r="L311" t="n">
        <v>0</v>
      </c>
      <c r="M311" t="n">
        <v>0</v>
      </c>
      <c r="N311" t="n">
        <v>0</v>
      </c>
      <c r="O311" t="n">
        <v>0</v>
      </c>
      <c r="P311" t="n">
        <v>0</v>
      </c>
      <c r="Q311" t="n">
        <v>0</v>
      </c>
      <c r="R311" s="2" t="inlineStr"/>
    </row>
    <row r="312" ht="15" customHeight="1">
      <c r="A312" t="inlineStr">
        <is>
          <t>A 5839-2023</t>
        </is>
      </c>
      <c r="B312" s="1" t="n">
        <v>44963</v>
      </c>
      <c r="C312" s="1" t="n">
        <v>45887</v>
      </c>
      <c r="D312" t="inlineStr">
        <is>
          <t>STOCKHOLMS LÄN</t>
        </is>
      </c>
      <c r="E312" t="inlineStr">
        <is>
          <t>NORRTÄLJE</t>
        </is>
      </c>
      <c r="G312" t="n">
        <v>3.6</v>
      </c>
      <c r="H312" t="n">
        <v>0</v>
      </c>
      <c r="I312" t="n">
        <v>0</v>
      </c>
      <c r="J312" t="n">
        <v>0</v>
      </c>
      <c r="K312" t="n">
        <v>0</v>
      </c>
      <c r="L312" t="n">
        <v>0</v>
      </c>
      <c r="M312" t="n">
        <v>0</v>
      </c>
      <c r="N312" t="n">
        <v>0</v>
      </c>
      <c r="O312" t="n">
        <v>0</v>
      </c>
      <c r="P312" t="n">
        <v>0</v>
      </c>
      <c r="Q312" t="n">
        <v>0</v>
      </c>
      <c r="R312" s="2" t="inlineStr"/>
    </row>
    <row r="313" ht="15" customHeight="1">
      <c r="A313" t="inlineStr">
        <is>
          <t>A 5158-2024</t>
        </is>
      </c>
      <c r="B313" s="1" t="n">
        <v>45330.50098379629</v>
      </c>
      <c r="C313" s="1" t="n">
        <v>45887</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63161-2023</t>
        </is>
      </c>
      <c r="B314" s="1" t="n">
        <v>45273</v>
      </c>
      <c r="C314" s="1" t="n">
        <v>45887</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25094-2023</t>
        </is>
      </c>
      <c r="B315" s="1" t="n">
        <v>45086.3629050926</v>
      </c>
      <c r="C315" s="1" t="n">
        <v>45887</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59276-2023</t>
        </is>
      </c>
      <c r="B316" s="1" t="n">
        <v>45253.55641203704</v>
      </c>
      <c r="C316" s="1" t="n">
        <v>45887</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13767-2025</t>
        </is>
      </c>
      <c r="B317" s="1" t="n">
        <v>45737.43347222222</v>
      </c>
      <c r="C317" s="1" t="n">
        <v>45887</v>
      </c>
      <c r="D317" t="inlineStr">
        <is>
          <t>STOCKHOLMS LÄN</t>
        </is>
      </c>
      <c r="E317" t="inlineStr">
        <is>
          <t>NORRTÄLJE</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5804-2025</t>
        </is>
      </c>
      <c r="B318" s="1" t="n">
        <v>45694.68207175926</v>
      </c>
      <c r="C318" s="1" t="n">
        <v>45887</v>
      </c>
      <c r="D318" t="inlineStr">
        <is>
          <t>STOCKHOLMS LÄN</t>
        </is>
      </c>
      <c r="E318" t="inlineStr">
        <is>
          <t>NORRTÄLJE</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23271-2023</t>
        </is>
      </c>
      <c r="B319" s="1" t="n">
        <v>45075.91362268518</v>
      </c>
      <c r="C319" s="1" t="n">
        <v>45887</v>
      </c>
      <c r="D319" t="inlineStr">
        <is>
          <t>STOCKHOLMS LÄN</t>
        </is>
      </c>
      <c r="E319" t="inlineStr">
        <is>
          <t>NORRTÄLJE</t>
        </is>
      </c>
      <c r="G319" t="n">
        <v>5.1</v>
      </c>
      <c r="H319" t="n">
        <v>0</v>
      </c>
      <c r="I319" t="n">
        <v>0</v>
      </c>
      <c r="J319" t="n">
        <v>0</v>
      </c>
      <c r="K319" t="n">
        <v>0</v>
      </c>
      <c r="L319" t="n">
        <v>0</v>
      </c>
      <c r="M319" t="n">
        <v>0</v>
      </c>
      <c r="N319" t="n">
        <v>0</v>
      </c>
      <c r="O319" t="n">
        <v>0</v>
      </c>
      <c r="P319" t="n">
        <v>0</v>
      </c>
      <c r="Q319" t="n">
        <v>0</v>
      </c>
      <c r="R319" s="2" t="inlineStr"/>
    </row>
    <row r="320" ht="15" customHeight="1">
      <c r="A320" t="inlineStr">
        <is>
          <t>A 23273-2023</t>
        </is>
      </c>
      <c r="B320" s="1" t="n">
        <v>45075.91971064815</v>
      </c>
      <c r="C320" s="1" t="n">
        <v>45887</v>
      </c>
      <c r="D320" t="inlineStr">
        <is>
          <t>STOCKHOLMS LÄN</t>
        </is>
      </c>
      <c r="E320" t="inlineStr">
        <is>
          <t>NORRTÄLJE</t>
        </is>
      </c>
      <c r="G320" t="n">
        <v>7.5</v>
      </c>
      <c r="H320" t="n">
        <v>0</v>
      </c>
      <c r="I320" t="n">
        <v>0</v>
      </c>
      <c r="J320" t="n">
        <v>0</v>
      </c>
      <c r="K320" t="n">
        <v>0</v>
      </c>
      <c r="L320" t="n">
        <v>0</v>
      </c>
      <c r="M320" t="n">
        <v>0</v>
      </c>
      <c r="N320" t="n">
        <v>0</v>
      </c>
      <c r="O320" t="n">
        <v>0</v>
      </c>
      <c r="P320" t="n">
        <v>0</v>
      </c>
      <c r="Q320" t="n">
        <v>0</v>
      </c>
      <c r="R320" s="2" t="inlineStr"/>
    </row>
    <row r="321" ht="15" customHeight="1">
      <c r="A321" t="inlineStr">
        <is>
          <t>A 51046-2023</t>
        </is>
      </c>
      <c r="B321" s="1" t="n">
        <v>45218</v>
      </c>
      <c r="C321" s="1" t="n">
        <v>45887</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30802-2022</t>
        </is>
      </c>
      <c r="B322" s="1" t="n">
        <v>44764</v>
      </c>
      <c r="C322" s="1" t="n">
        <v>45887</v>
      </c>
      <c r="D322" t="inlineStr">
        <is>
          <t>STOCKHOLMS LÄN</t>
        </is>
      </c>
      <c r="E322" t="inlineStr">
        <is>
          <t>NORRTÄLJE</t>
        </is>
      </c>
      <c r="G322" t="n">
        <v>1.7</v>
      </c>
      <c r="H322" t="n">
        <v>0</v>
      </c>
      <c r="I322" t="n">
        <v>0</v>
      </c>
      <c r="J322" t="n">
        <v>0</v>
      </c>
      <c r="K322" t="n">
        <v>0</v>
      </c>
      <c r="L322" t="n">
        <v>0</v>
      </c>
      <c r="M322" t="n">
        <v>0</v>
      </c>
      <c r="N322" t="n">
        <v>0</v>
      </c>
      <c r="O322" t="n">
        <v>0</v>
      </c>
      <c r="P322" t="n">
        <v>0</v>
      </c>
      <c r="Q322" t="n">
        <v>0</v>
      </c>
      <c r="R322" s="2" t="inlineStr"/>
    </row>
    <row r="323" ht="15" customHeight="1">
      <c r="A323" t="inlineStr">
        <is>
          <t>A 19706-2023</t>
        </is>
      </c>
      <c r="B323" s="1" t="n">
        <v>45051.455</v>
      </c>
      <c r="C323" s="1" t="n">
        <v>45887</v>
      </c>
      <c r="D323" t="inlineStr">
        <is>
          <t>STOCKHOLMS LÄN</t>
        </is>
      </c>
      <c r="E323" t="inlineStr">
        <is>
          <t>NORRTÄLJE</t>
        </is>
      </c>
      <c r="G323" t="n">
        <v>0.2</v>
      </c>
      <c r="H323" t="n">
        <v>0</v>
      </c>
      <c r="I323" t="n">
        <v>0</v>
      </c>
      <c r="J323" t="n">
        <v>0</v>
      </c>
      <c r="K323" t="n">
        <v>0</v>
      </c>
      <c r="L323" t="n">
        <v>0</v>
      </c>
      <c r="M323" t="n">
        <v>0</v>
      </c>
      <c r="N323" t="n">
        <v>0</v>
      </c>
      <c r="O323" t="n">
        <v>0</v>
      </c>
      <c r="P323" t="n">
        <v>0</v>
      </c>
      <c r="Q323" t="n">
        <v>0</v>
      </c>
      <c r="R323" s="2" t="inlineStr"/>
    </row>
    <row r="324" ht="15" customHeight="1">
      <c r="A324" t="inlineStr">
        <is>
          <t>A 47869-2020</t>
        </is>
      </c>
      <c r="B324" s="1" t="n">
        <v>44098</v>
      </c>
      <c r="C324" s="1" t="n">
        <v>45887</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16008-2025</t>
        </is>
      </c>
      <c r="B325" s="1" t="n">
        <v>45749</v>
      </c>
      <c r="C325" s="1" t="n">
        <v>45887</v>
      </c>
      <c r="D325" t="inlineStr">
        <is>
          <t>STOCKHOLMS LÄN</t>
        </is>
      </c>
      <c r="E325" t="inlineStr">
        <is>
          <t>NORRTÄLJE</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41587-2023</t>
        </is>
      </c>
      <c r="B326" s="1" t="n">
        <v>45175</v>
      </c>
      <c r="C326" s="1" t="n">
        <v>45887</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9765-2024</t>
        </is>
      </c>
      <c r="B327" s="1" t="n">
        <v>45362.62811342593</v>
      </c>
      <c r="C327" s="1" t="n">
        <v>45887</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32111-2022</t>
        </is>
      </c>
      <c r="B328" s="1" t="n">
        <v>44778.92797453704</v>
      </c>
      <c r="C328" s="1" t="n">
        <v>45887</v>
      </c>
      <c r="D328" t="inlineStr">
        <is>
          <t>STOCKHOLMS LÄN</t>
        </is>
      </c>
      <c r="E328" t="inlineStr">
        <is>
          <t>NORRTÄLJE</t>
        </is>
      </c>
      <c r="G328" t="n">
        <v>3.1</v>
      </c>
      <c r="H328" t="n">
        <v>0</v>
      </c>
      <c r="I328" t="n">
        <v>0</v>
      </c>
      <c r="J328" t="n">
        <v>0</v>
      </c>
      <c r="K328" t="n">
        <v>0</v>
      </c>
      <c r="L328" t="n">
        <v>0</v>
      </c>
      <c r="M328" t="n">
        <v>0</v>
      </c>
      <c r="N328" t="n">
        <v>0</v>
      </c>
      <c r="O328" t="n">
        <v>0</v>
      </c>
      <c r="P328" t="n">
        <v>0</v>
      </c>
      <c r="Q328" t="n">
        <v>0</v>
      </c>
      <c r="R328" s="2" t="inlineStr"/>
    </row>
    <row r="329" ht="15" customHeight="1">
      <c r="A329" t="inlineStr">
        <is>
          <t>A 24705-2023</t>
        </is>
      </c>
      <c r="B329" s="1" t="n">
        <v>45084.54459490741</v>
      </c>
      <c r="C329" s="1" t="n">
        <v>45887</v>
      </c>
      <c r="D329" t="inlineStr">
        <is>
          <t>STOCKHOLMS LÄN</t>
        </is>
      </c>
      <c r="E329" t="inlineStr">
        <is>
          <t>NORRTÄLJE</t>
        </is>
      </c>
      <c r="G329" t="n">
        <v>1.1</v>
      </c>
      <c r="H329" t="n">
        <v>0</v>
      </c>
      <c r="I329" t="n">
        <v>0</v>
      </c>
      <c r="J329" t="n">
        <v>0</v>
      </c>
      <c r="K329" t="n">
        <v>0</v>
      </c>
      <c r="L329" t="n">
        <v>0</v>
      </c>
      <c r="M329" t="n">
        <v>0</v>
      </c>
      <c r="N329" t="n">
        <v>0</v>
      </c>
      <c r="O329" t="n">
        <v>0</v>
      </c>
      <c r="P329" t="n">
        <v>0</v>
      </c>
      <c r="Q329" t="n">
        <v>0</v>
      </c>
      <c r="R329" s="2" t="inlineStr"/>
    </row>
    <row r="330" ht="15" customHeight="1">
      <c r="A330" t="inlineStr">
        <is>
          <t>A 8736-2024</t>
        </is>
      </c>
      <c r="B330" s="1" t="n">
        <v>45356.4722800926</v>
      </c>
      <c r="C330" s="1" t="n">
        <v>45887</v>
      </c>
      <c r="D330" t="inlineStr">
        <is>
          <t>STOCKHOLMS LÄN</t>
        </is>
      </c>
      <c r="E330" t="inlineStr">
        <is>
          <t>NORRTÄLJE</t>
        </is>
      </c>
      <c r="G330" t="n">
        <v>8.9</v>
      </c>
      <c r="H330" t="n">
        <v>0</v>
      </c>
      <c r="I330" t="n">
        <v>0</v>
      </c>
      <c r="J330" t="n">
        <v>0</v>
      </c>
      <c r="K330" t="n">
        <v>0</v>
      </c>
      <c r="L330" t="n">
        <v>0</v>
      </c>
      <c r="M330" t="n">
        <v>0</v>
      </c>
      <c r="N330" t="n">
        <v>0</v>
      </c>
      <c r="O330" t="n">
        <v>0</v>
      </c>
      <c r="P330" t="n">
        <v>0</v>
      </c>
      <c r="Q330" t="n">
        <v>0</v>
      </c>
      <c r="R330" s="2" t="inlineStr"/>
    </row>
    <row r="331" ht="15" customHeight="1">
      <c r="A331" t="inlineStr">
        <is>
          <t>A 15552-2021</t>
        </is>
      </c>
      <c r="B331" s="1" t="n">
        <v>44285</v>
      </c>
      <c r="C331" s="1" t="n">
        <v>45887</v>
      </c>
      <c r="D331" t="inlineStr">
        <is>
          <t>STOCKHOLMS LÄN</t>
        </is>
      </c>
      <c r="E331" t="inlineStr">
        <is>
          <t>NORRTÄLJE</t>
        </is>
      </c>
      <c r="G331" t="n">
        <v>10</v>
      </c>
      <c r="H331" t="n">
        <v>0</v>
      </c>
      <c r="I331" t="n">
        <v>0</v>
      </c>
      <c r="J331" t="n">
        <v>0</v>
      </c>
      <c r="K331" t="n">
        <v>0</v>
      </c>
      <c r="L331" t="n">
        <v>0</v>
      </c>
      <c r="M331" t="n">
        <v>0</v>
      </c>
      <c r="N331" t="n">
        <v>0</v>
      </c>
      <c r="O331" t="n">
        <v>0</v>
      </c>
      <c r="P331" t="n">
        <v>0</v>
      </c>
      <c r="Q331" t="n">
        <v>0</v>
      </c>
      <c r="R331" s="2" t="inlineStr"/>
    </row>
    <row r="332" ht="15" customHeight="1">
      <c r="A332" t="inlineStr">
        <is>
          <t>A 54358-2022</t>
        </is>
      </c>
      <c r="B332" s="1" t="n">
        <v>44882</v>
      </c>
      <c r="C332" s="1" t="n">
        <v>45887</v>
      </c>
      <c r="D332" t="inlineStr">
        <is>
          <t>STOCKHOLMS LÄN</t>
        </is>
      </c>
      <c r="E332" t="inlineStr">
        <is>
          <t>NORRTÄLJE</t>
        </is>
      </c>
      <c r="G332" t="n">
        <v>3.3</v>
      </c>
      <c r="H332" t="n">
        <v>0</v>
      </c>
      <c r="I332" t="n">
        <v>0</v>
      </c>
      <c r="J332" t="n">
        <v>0</v>
      </c>
      <c r="K332" t="n">
        <v>0</v>
      </c>
      <c r="L332" t="n">
        <v>0</v>
      </c>
      <c r="M332" t="n">
        <v>0</v>
      </c>
      <c r="N332" t="n">
        <v>0</v>
      </c>
      <c r="O332" t="n">
        <v>0</v>
      </c>
      <c r="P332" t="n">
        <v>0</v>
      </c>
      <c r="Q332" t="n">
        <v>0</v>
      </c>
      <c r="R332" s="2" t="inlineStr"/>
    </row>
    <row r="333" ht="15" customHeight="1">
      <c r="A333" t="inlineStr">
        <is>
          <t>A 23749-2024</t>
        </is>
      </c>
      <c r="B333" s="1" t="n">
        <v>45455.33037037037</v>
      </c>
      <c r="C333" s="1" t="n">
        <v>45887</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35691-2023</t>
        </is>
      </c>
      <c r="B334" s="1" t="n">
        <v>45147.65222222222</v>
      </c>
      <c r="C334" s="1" t="n">
        <v>45887</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35693-2023</t>
        </is>
      </c>
      <c r="B335" s="1" t="n">
        <v>45147.65311342593</v>
      </c>
      <c r="C335" s="1" t="n">
        <v>45887</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35698-2023</t>
        </is>
      </c>
      <c r="B336" s="1" t="n">
        <v>45147</v>
      </c>
      <c r="C336" s="1" t="n">
        <v>45887</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47694-2023</t>
        </is>
      </c>
      <c r="B337" s="1" t="n">
        <v>45203.63303240741</v>
      </c>
      <c r="C337" s="1" t="n">
        <v>45887</v>
      </c>
      <c r="D337" t="inlineStr">
        <is>
          <t>STOCKHOLMS LÄN</t>
        </is>
      </c>
      <c r="E337" t="inlineStr">
        <is>
          <t>NORRTÄLJE</t>
        </is>
      </c>
      <c r="G337" t="n">
        <v>5.2</v>
      </c>
      <c r="H337" t="n">
        <v>0</v>
      </c>
      <c r="I337" t="n">
        <v>0</v>
      </c>
      <c r="J337" t="n">
        <v>0</v>
      </c>
      <c r="K337" t="n">
        <v>0</v>
      </c>
      <c r="L337" t="n">
        <v>0</v>
      </c>
      <c r="M337" t="n">
        <v>0</v>
      </c>
      <c r="N337" t="n">
        <v>0</v>
      </c>
      <c r="O337" t="n">
        <v>0</v>
      </c>
      <c r="P337" t="n">
        <v>0</v>
      </c>
      <c r="Q337" t="n">
        <v>0</v>
      </c>
      <c r="R337" s="2" t="inlineStr"/>
    </row>
    <row r="338" ht="15" customHeight="1">
      <c r="A338" t="inlineStr">
        <is>
          <t>A 45255-2022</t>
        </is>
      </c>
      <c r="B338" s="1" t="n">
        <v>44840</v>
      </c>
      <c r="C338" s="1" t="n">
        <v>45887</v>
      </c>
      <c r="D338" t="inlineStr">
        <is>
          <t>STOCKHOLMS LÄN</t>
        </is>
      </c>
      <c r="E338" t="inlineStr">
        <is>
          <t>NORRTÄLJE</t>
        </is>
      </c>
      <c r="G338" t="n">
        <v>4.1</v>
      </c>
      <c r="H338" t="n">
        <v>0</v>
      </c>
      <c r="I338" t="n">
        <v>0</v>
      </c>
      <c r="J338" t="n">
        <v>0</v>
      </c>
      <c r="K338" t="n">
        <v>0</v>
      </c>
      <c r="L338" t="n">
        <v>0</v>
      </c>
      <c r="M338" t="n">
        <v>0</v>
      </c>
      <c r="N338" t="n">
        <v>0</v>
      </c>
      <c r="O338" t="n">
        <v>0</v>
      </c>
      <c r="P338" t="n">
        <v>0</v>
      </c>
      <c r="Q338" t="n">
        <v>0</v>
      </c>
      <c r="R338" s="2" t="inlineStr"/>
    </row>
    <row r="339" ht="15" customHeight="1">
      <c r="A339" t="inlineStr">
        <is>
          <t>A 19915-2024</t>
        </is>
      </c>
      <c r="B339" s="1" t="n">
        <v>45433.58431712963</v>
      </c>
      <c r="C339" s="1" t="n">
        <v>45887</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40656-2022</t>
        </is>
      </c>
      <c r="B340" s="1" t="n">
        <v>44824.36069444445</v>
      </c>
      <c r="C340" s="1" t="n">
        <v>45887</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12629-2024</t>
        </is>
      </c>
      <c r="B341" s="1" t="n">
        <v>45383</v>
      </c>
      <c r="C341" s="1" t="n">
        <v>45887</v>
      </c>
      <c r="D341" t="inlineStr">
        <is>
          <t>STOCKHOLMS LÄN</t>
        </is>
      </c>
      <c r="E341" t="inlineStr">
        <is>
          <t>NORRTÄLJE</t>
        </is>
      </c>
      <c r="G341" t="n">
        <v>2.6</v>
      </c>
      <c r="H341" t="n">
        <v>0</v>
      </c>
      <c r="I341" t="n">
        <v>0</v>
      </c>
      <c r="J341" t="n">
        <v>0</v>
      </c>
      <c r="K341" t="n">
        <v>0</v>
      </c>
      <c r="L341" t="n">
        <v>0</v>
      </c>
      <c r="M341" t="n">
        <v>0</v>
      </c>
      <c r="N341" t="n">
        <v>0</v>
      </c>
      <c r="O341" t="n">
        <v>0</v>
      </c>
      <c r="P341" t="n">
        <v>0</v>
      </c>
      <c r="Q341" t="n">
        <v>0</v>
      </c>
      <c r="R341" s="2" t="inlineStr"/>
    </row>
    <row r="342" ht="15" customHeight="1">
      <c r="A342" t="inlineStr">
        <is>
          <t>A 20428-2024</t>
        </is>
      </c>
      <c r="B342" s="1" t="n">
        <v>45435</v>
      </c>
      <c r="C342" s="1" t="n">
        <v>45887</v>
      </c>
      <c r="D342" t="inlineStr">
        <is>
          <t>STOCKHOLMS LÄN</t>
        </is>
      </c>
      <c r="E342" t="inlineStr">
        <is>
          <t>NORRTÄLJE</t>
        </is>
      </c>
      <c r="G342" t="n">
        <v>3.7</v>
      </c>
      <c r="H342" t="n">
        <v>0</v>
      </c>
      <c r="I342" t="n">
        <v>0</v>
      </c>
      <c r="J342" t="n">
        <v>0</v>
      </c>
      <c r="K342" t="n">
        <v>0</v>
      </c>
      <c r="L342" t="n">
        <v>0</v>
      </c>
      <c r="M342" t="n">
        <v>0</v>
      </c>
      <c r="N342" t="n">
        <v>0</v>
      </c>
      <c r="O342" t="n">
        <v>0</v>
      </c>
      <c r="P342" t="n">
        <v>0</v>
      </c>
      <c r="Q342" t="n">
        <v>0</v>
      </c>
      <c r="R342" s="2" t="inlineStr"/>
    </row>
    <row r="343" ht="15" customHeight="1">
      <c r="A343" t="inlineStr">
        <is>
          <t>A 57037-2022</t>
        </is>
      </c>
      <c r="B343" s="1" t="n">
        <v>44895</v>
      </c>
      <c r="C343" s="1" t="n">
        <v>45887</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40425-2021</t>
        </is>
      </c>
      <c r="B344" s="1" t="n">
        <v>44419</v>
      </c>
      <c r="C344" s="1" t="n">
        <v>45887</v>
      </c>
      <c r="D344" t="inlineStr">
        <is>
          <t>STOCKHOLMS LÄN</t>
        </is>
      </c>
      <c r="E344" t="inlineStr">
        <is>
          <t>NORRTÄLJE</t>
        </is>
      </c>
      <c r="G344" t="n">
        <v>5</v>
      </c>
      <c r="H344" t="n">
        <v>0</v>
      </c>
      <c r="I344" t="n">
        <v>0</v>
      </c>
      <c r="J344" t="n">
        <v>0</v>
      </c>
      <c r="K344" t="n">
        <v>0</v>
      </c>
      <c r="L344" t="n">
        <v>0</v>
      </c>
      <c r="M344" t="n">
        <v>0</v>
      </c>
      <c r="N344" t="n">
        <v>0</v>
      </c>
      <c r="O344" t="n">
        <v>0</v>
      </c>
      <c r="P344" t="n">
        <v>0</v>
      </c>
      <c r="Q344" t="n">
        <v>0</v>
      </c>
      <c r="R344" s="2" t="inlineStr"/>
    </row>
    <row r="345" ht="15" customHeight="1">
      <c r="A345" t="inlineStr">
        <is>
          <t>A 20014-2025</t>
        </is>
      </c>
      <c r="B345" s="1" t="n">
        <v>45772.3078125</v>
      </c>
      <c r="C345" s="1" t="n">
        <v>45887</v>
      </c>
      <c r="D345" t="inlineStr">
        <is>
          <t>STOCKHOLMS LÄN</t>
        </is>
      </c>
      <c r="E345" t="inlineStr">
        <is>
          <t>NORRTÄLJE</t>
        </is>
      </c>
      <c r="G345" t="n">
        <v>4.4</v>
      </c>
      <c r="H345" t="n">
        <v>0</v>
      </c>
      <c r="I345" t="n">
        <v>0</v>
      </c>
      <c r="J345" t="n">
        <v>0</v>
      </c>
      <c r="K345" t="n">
        <v>0</v>
      </c>
      <c r="L345" t="n">
        <v>0</v>
      </c>
      <c r="M345" t="n">
        <v>0</v>
      </c>
      <c r="N345" t="n">
        <v>0</v>
      </c>
      <c r="O345" t="n">
        <v>0</v>
      </c>
      <c r="P345" t="n">
        <v>0</v>
      </c>
      <c r="Q345" t="n">
        <v>0</v>
      </c>
      <c r="R345" s="2" t="inlineStr"/>
    </row>
    <row r="346" ht="15" customHeight="1">
      <c r="A346" t="inlineStr">
        <is>
          <t>A 14762-2024</t>
        </is>
      </c>
      <c r="B346" s="1" t="n">
        <v>45397</v>
      </c>
      <c r="C346" s="1" t="n">
        <v>45887</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73992-2021</t>
        </is>
      </c>
      <c r="B347" s="1" t="n">
        <v>44556</v>
      </c>
      <c r="C347" s="1" t="n">
        <v>45887</v>
      </c>
      <c r="D347" t="inlineStr">
        <is>
          <t>STOCKHOLMS LÄN</t>
        </is>
      </c>
      <c r="E347" t="inlineStr">
        <is>
          <t>NORRTÄLJE</t>
        </is>
      </c>
      <c r="G347" t="n">
        <v>12.5</v>
      </c>
      <c r="H347" t="n">
        <v>0</v>
      </c>
      <c r="I347" t="n">
        <v>0</v>
      </c>
      <c r="J347" t="n">
        <v>0</v>
      </c>
      <c r="K347" t="n">
        <v>0</v>
      </c>
      <c r="L347" t="n">
        <v>0</v>
      </c>
      <c r="M347" t="n">
        <v>0</v>
      </c>
      <c r="N347" t="n">
        <v>0</v>
      </c>
      <c r="O347" t="n">
        <v>0</v>
      </c>
      <c r="P347" t="n">
        <v>0</v>
      </c>
      <c r="Q347" t="n">
        <v>0</v>
      </c>
      <c r="R347" s="2" t="inlineStr"/>
    </row>
    <row r="348" ht="15" customHeight="1">
      <c r="A348" t="inlineStr">
        <is>
          <t>A 27381-2024</t>
        </is>
      </c>
      <c r="B348" s="1" t="n">
        <v>45473.94501157408</v>
      </c>
      <c r="C348" s="1" t="n">
        <v>45887</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56631-2024</t>
        </is>
      </c>
      <c r="B349" s="1" t="n">
        <v>45625</v>
      </c>
      <c r="C349" s="1" t="n">
        <v>45887</v>
      </c>
      <c r="D349" t="inlineStr">
        <is>
          <t>STOCKHOLMS LÄN</t>
        </is>
      </c>
      <c r="E349" t="inlineStr">
        <is>
          <t>NORRTÄLJE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60529-2023</t>
        </is>
      </c>
      <c r="B350" s="1" t="n">
        <v>45259</v>
      </c>
      <c r="C350" s="1" t="n">
        <v>45887</v>
      </c>
      <c r="D350" t="inlineStr">
        <is>
          <t>STOCKHOLMS LÄN</t>
        </is>
      </c>
      <c r="E350" t="inlineStr">
        <is>
          <t>NORRTÄLJE</t>
        </is>
      </c>
      <c r="G350" t="n">
        <v>2.6</v>
      </c>
      <c r="H350" t="n">
        <v>0</v>
      </c>
      <c r="I350" t="n">
        <v>0</v>
      </c>
      <c r="J350" t="n">
        <v>0</v>
      </c>
      <c r="K350" t="n">
        <v>0</v>
      </c>
      <c r="L350" t="n">
        <v>0</v>
      </c>
      <c r="M350" t="n">
        <v>0</v>
      </c>
      <c r="N350" t="n">
        <v>0</v>
      </c>
      <c r="O350" t="n">
        <v>0</v>
      </c>
      <c r="P350" t="n">
        <v>0</v>
      </c>
      <c r="Q350" t="n">
        <v>0</v>
      </c>
      <c r="R350" s="2" t="inlineStr"/>
    </row>
    <row r="351" ht="15" customHeight="1">
      <c r="A351" t="inlineStr">
        <is>
          <t>A 48587-2023</t>
        </is>
      </c>
      <c r="B351" s="1" t="n">
        <v>45208</v>
      </c>
      <c r="C351" s="1" t="n">
        <v>45887</v>
      </c>
      <c r="D351" t="inlineStr">
        <is>
          <t>STOCKHOLMS LÄN</t>
        </is>
      </c>
      <c r="E351" t="inlineStr">
        <is>
          <t>NORRTÄLJE</t>
        </is>
      </c>
      <c r="G351" t="n">
        <v>7</v>
      </c>
      <c r="H351" t="n">
        <v>0</v>
      </c>
      <c r="I351" t="n">
        <v>0</v>
      </c>
      <c r="J351" t="n">
        <v>0</v>
      </c>
      <c r="K351" t="n">
        <v>0</v>
      </c>
      <c r="L351" t="n">
        <v>0</v>
      </c>
      <c r="M351" t="n">
        <v>0</v>
      </c>
      <c r="N351" t="n">
        <v>0</v>
      </c>
      <c r="O351" t="n">
        <v>0</v>
      </c>
      <c r="P351" t="n">
        <v>0</v>
      </c>
      <c r="Q351" t="n">
        <v>0</v>
      </c>
      <c r="R351" s="2" t="inlineStr"/>
    </row>
    <row r="352" ht="15" customHeight="1">
      <c r="A352" t="inlineStr">
        <is>
          <t>A 21329-2022</t>
        </is>
      </c>
      <c r="B352" s="1" t="n">
        <v>44705.60626157407</v>
      </c>
      <c r="C352" s="1" t="n">
        <v>45887</v>
      </c>
      <c r="D352" t="inlineStr">
        <is>
          <t>STOCKHOLMS LÄN</t>
        </is>
      </c>
      <c r="E352" t="inlineStr">
        <is>
          <t>NORRTÄLJE</t>
        </is>
      </c>
      <c r="G352" t="n">
        <v>4.1</v>
      </c>
      <c r="H352" t="n">
        <v>0</v>
      </c>
      <c r="I352" t="n">
        <v>0</v>
      </c>
      <c r="J352" t="n">
        <v>0</v>
      </c>
      <c r="K352" t="n">
        <v>0</v>
      </c>
      <c r="L352" t="n">
        <v>0</v>
      </c>
      <c r="M352" t="n">
        <v>0</v>
      </c>
      <c r="N352" t="n">
        <v>0</v>
      </c>
      <c r="O352" t="n">
        <v>0</v>
      </c>
      <c r="P352" t="n">
        <v>0</v>
      </c>
      <c r="Q352" t="n">
        <v>0</v>
      </c>
      <c r="R352" s="2" t="inlineStr"/>
    </row>
    <row r="353" ht="15" customHeight="1">
      <c r="A353" t="inlineStr">
        <is>
          <t>A 53600-2022</t>
        </is>
      </c>
      <c r="B353" s="1" t="n">
        <v>44879.70518518519</v>
      </c>
      <c r="C353" s="1" t="n">
        <v>45887</v>
      </c>
      <c r="D353" t="inlineStr">
        <is>
          <t>STOCKHOLMS LÄN</t>
        </is>
      </c>
      <c r="E353" t="inlineStr">
        <is>
          <t>NORRTÄLJE</t>
        </is>
      </c>
      <c r="G353" t="n">
        <v>4.3</v>
      </c>
      <c r="H353" t="n">
        <v>0</v>
      </c>
      <c r="I353" t="n">
        <v>0</v>
      </c>
      <c r="J353" t="n">
        <v>0</v>
      </c>
      <c r="K353" t="n">
        <v>0</v>
      </c>
      <c r="L353" t="n">
        <v>0</v>
      </c>
      <c r="M353" t="n">
        <v>0</v>
      </c>
      <c r="N353" t="n">
        <v>0</v>
      </c>
      <c r="O353" t="n">
        <v>0</v>
      </c>
      <c r="P353" t="n">
        <v>0</v>
      </c>
      <c r="Q353" t="n">
        <v>0</v>
      </c>
      <c r="R353" s="2" t="inlineStr"/>
    </row>
    <row r="354" ht="15" customHeight="1">
      <c r="A354" t="inlineStr">
        <is>
          <t>A 23149-2024</t>
        </is>
      </c>
      <c r="B354" s="1" t="n">
        <v>45450.64208333333</v>
      </c>
      <c r="C354" s="1" t="n">
        <v>45887</v>
      </c>
      <c r="D354" t="inlineStr">
        <is>
          <t>STOCKHOLMS LÄN</t>
        </is>
      </c>
      <c r="E354" t="inlineStr">
        <is>
          <t>NORRTÄLJE</t>
        </is>
      </c>
      <c r="F354" t="inlineStr">
        <is>
          <t>Kommuner</t>
        </is>
      </c>
      <c r="G354" t="n">
        <v>1.3</v>
      </c>
      <c r="H354" t="n">
        <v>0</v>
      </c>
      <c r="I354" t="n">
        <v>0</v>
      </c>
      <c r="J354" t="n">
        <v>0</v>
      </c>
      <c r="K354" t="n">
        <v>0</v>
      </c>
      <c r="L354" t="n">
        <v>0</v>
      </c>
      <c r="M354" t="n">
        <v>0</v>
      </c>
      <c r="N354" t="n">
        <v>0</v>
      </c>
      <c r="O354" t="n">
        <v>0</v>
      </c>
      <c r="P354" t="n">
        <v>0</v>
      </c>
      <c r="Q354" t="n">
        <v>0</v>
      </c>
      <c r="R354" s="2" t="inlineStr"/>
    </row>
    <row r="355" ht="15" customHeight="1">
      <c r="A355" t="inlineStr">
        <is>
          <t>A 23151-2024</t>
        </is>
      </c>
      <c r="B355" s="1" t="n">
        <v>45450</v>
      </c>
      <c r="C355" s="1" t="n">
        <v>45887</v>
      </c>
      <c r="D355" t="inlineStr">
        <is>
          <t>STOCKHOLMS LÄN</t>
        </is>
      </c>
      <c r="E355" t="inlineStr">
        <is>
          <t>NORRTÄLJE</t>
        </is>
      </c>
      <c r="F355" t="inlineStr">
        <is>
          <t>Kommuner</t>
        </is>
      </c>
      <c r="G355" t="n">
        <v>1.2</v>
      </c>
      <c r="H355" t="n">
        <v>0</v>
      </c>
      <c r="I355" t="n">
        <v>0</v>
      </c>
      <c r="J355" t="n">
        <v>0</v>
      </c>
      <c r="K355" t="n">
        <v>0</v>
      </c>
      <c r="L355" t="n">
        <v>0</v>
      </c>
      <c r="M355" t="n">
        <v>0</v>
      </c>
      <c r="N355" t="n">
        <v>0</v>
      </c>
      <c r="O355" t="n">
        <v>0</v>
      </c>
      <c r="P355" t="n">
        <v>0</v>
      </c>
      <c r="Q355" t="n">
        <v>0</v>
      </c>
      <c r="R355" s="2" t="inlineStr"/>
    </row>
    <row r="356" ht="15" customHeight="1">
      <c r="A356" t="inlineStr">
        <is>
          <t>A 16913-2025</t>
        </is>
      </c>
      <c r="B356" s="1" t="n">
        <v>45755.36583333334</v>
      </c>
      <c r="C356" s="1" t="n">
        <v>45887</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54276-2021</t>
        </is>
      </c>
      <c r="B357" s="1" t="n">
        <v>44470</v>
      </c>
      <c r="C357" s="1" t="n">
        <v>45887</v>
      </c>
      <c r="D357" t="inlineStr">
        <is>
          <t>STOCKHOLMS LÄN</t>
        </is>
      </c>
      <c r="E357" t="inlineStr">
        <is>
          <t>NORRTÄLJE</t>
        </is>
      </c>
      <c r="G357" t="n">
        <v>7.3</v>
      </c>
      <c r="H357" t="n">
        <v>0</v>
      </c>
      <c r="I357" t="n">
        <v>0</v>
      </c>
      <c r="J357" t="n">
        <v>0</v>
      </c>
      <c r="K357" t="n">
        <v>0</v>
      </c>
      <c r="L357" t="n">
        <v>0</v>
      </c>
      <c r="M357" t="n">
        <v>0</v>
      </c>
      <c r="N357" t="n">
        <v>0</v>
      </c>
      <c r="O357" t="n">
        <v>0</v>
      </c>
      <c r="P357" t="n">
        <v>0</v>
      </c>
      <c r="Q357" t="n">
        <v>0</v>
      </c>
      <c r="R357" s="2" t="inlineStr"/>
    </row>
    <row r="358" ht="15" customHeight="1">
      <c r="A358" t="inlineStr">
        <is>
          <t>A 59326-2023</t>
        </is>
      </c>
      <c r="B358" s="1" t="n">
        <v>45253.63089120371</v>
      </c>
      <c r="C358" s="1" t="n">
        <v>45887</v>
      </c>
      <c r="D358" t="inlineStr">
        <is>
          <t>STOCKHOLMS LÄN</t>
        </is>
      </c>
      <c r="E358" t="inlineStr">
        <is>
          <t>NORRTÄLJE</t>
        </is>
      </c>
      <c r="G358" t="n">
        <v>1.3</v>
      </c>
      <c r="H358" t="n">
        <v>0</v>
      </c>
      <c r="I358" t="n">
        <v>0</v>
      </c>
      <c r="J358" t="n">
        <v>0</v>
      </c>
      <c r="K358" t="n">
        <v>0</v>
      </c>
      <c r="L358" t="n">
        <v>0</v>
      </c>
      <c r="M358" t="n">
        <v>0</v>
      </c>
      <c r="N358" t="n">
        <v>0</v>
      </c>
      <c r="O358" t="n">
        <v>0</v>
      </c>
      <c r="P358" t="n">
        <v>0</v>
      </c>
      <c r="Q358" t="n">
        <v>0</v>
      </c>
      <c r="R358" s="2" t="inlineStr"/>
    </row>
    <row r="359" ht="15" customHeight="1">
      <c r="A359" t="inlineStr">
        <is>
          <t>A 20790-2025</t>
        </is>
      </c>
      <c r="B359" s="1" t="n">
        <v>45776.62563657408</v>
      </c>
      <c r="C359" s="1" t="n">
        <v>45887</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51978-2023</t>
        </is>
      </c>
      <c r="B360" s="1" t="n">
        <v>45223</v>
      </c>
      <c r="C360" s="1" t="n">
        <v>45887</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13051-2021</t>
        </is>
      </c>
      <c r="B361" s="1" t="n">
        <v>44272</v>
      </c>
      <c r="C361" s="1" t="n">
        <v>45887</v>
      </c>
      <c r="D361" t="inlineStr">
        <is>
          <t>STOCKHOLMS LÄN</t>
        </is>
      </c>
      <c r="E361" t="inlineStr">
        <is>
          <t>NORRTÄLJE</t>
        </is>
      </c>
      <c r="G361" t="n">
        <v>9.1</v>
      </c>
      <c r="H361" t="n">
        <v>0</v>
      </c>
      <c r="I361" t="n">
        <v>0</v>
      </c>
      <c r="J361" t="n">
        <v>0</v>
      </c>
      <c r="K361" t="n">
        <v>0</v>
      </c>
      <c r="L361" t="n">
        <v>0</v>
      </c>
      <c r="M361" t="n">
        <v>0</v>
      </c>
      <c r="N361" t="n">
        <v>0</v>
      </c>
      <c r="O361" t="n">
        <v>0</v>
      </c>
      <c r="P361" t="n">
        <v>0</v>
      </c>
      <c r="Q361" t="n">
        <v>0</v>
      </c>
      <c r="R361" s="2" t="inlineStr"/>
    </row>
    <row r="362" ht="15" customHeight="1">
      <c r="A362" t="inlineStr">
        <is>
          <t>A 55755-2023</t>
        </is>
      </c>
      <c r="B362" s="1" t="n">
        <v>45239</v>
      </c>
      <c r="C362" s="1" t="n">
        <v>45887</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3152-2024</t>
        </is>
      </c>
      <c r="B363" s="1" t="n">
        <v>45316.60306712963</v>
      </c>
      <c r="C363" s="1" t="n">
        <v>45887</v>
      </c>
      <c r="D363" t="inlineStr">
        <is>
          <t>STOCKHOLMS LÄN</t>
        </is>
      </c>
      <c r="E363" t="inlineStr">
        <is>
          <t>NORRTÄLJE</t>
        </is>
      </c>
      <c r="G363" t="n">
        <v>7.9</v>
      </c>
      <c r="H363" t="n">
        <v>0</v>
      </c>
      <c r="I363" t="n">
        <v>0</v>
      </c>
      <c r="J363" t="n">
        <v>0</v>
      </c>
      <c r="K363" t="n">
        <v>0</v>
      </c>
      <c r="L363" t="n">
        <v>0</v>
      </c>
      <c r="M363" t="n">
        <v>0</v>
      </c>
      <c r="N363" t="n">
        <v>0</v>
      </c>
      <c r="O363" t="n">
        <v>0</v>
      </c>
      <c r="P363" t="n">
        <v>0</v>
      </c>
      <c r="Q363" t="n">
        <v>0</v>
      </c>
      <c r="R363" s="2" t="inlineStr"/>
    </row>
    <row r="364" ht="15" customHeight="1">
      <c r="A364" t="inlineStr">
        <is>
          <t>A 10090-2022</t>
        </is>
      </c>
      <c r="B364" s="1" t="n">
        <v>44621</v>
      </c>
      <c r="C364" s="1" t="n">
        <v>45887</v>
      </c>
      <c r="D364" t="inlineStr">
        <is>
          <t>STOCKHOLMS LÄN</t>
        </is>
      </c>
      <c r="E364" t="inlineStr">
        <is>
          <t>NORRTÄLJE</t>
        </is>
      </c>
      <c r="G364" t="n">
        <v>5.2</v>
      </c>
      <c r="H364" t="n">
        <v>0</v>
      </c>
      <c r="I364" t="n">
        <v>0</v>
      </c>
      <c r="J364" t="n">
        <v>0</v>
      </c>
      <c r="K364" t="n">
        <v>0</v>
      </c>
      <c r="L364" t="n">
        <v>0</v>
      </c>
      <c r="M364" t="n">
        <v>0</v>
      </c>
      <c r="N364" t="n">
        <v>0</v>
      </c>
      <c r="O364" t="n">
        <v>0</v>
      </c>
      <c r="P364" t="n">
        <v>0</v>
      </c>
      <c r="Q364" t="n">
        <v>0</v>
      </c>
      <c r="R364" s="2" t="inlineStr"/>
    </row>
    <row r="365" ht="15" customHeight="1">
      <c r="A365" t="inlineStr">
        <is>
          <t>A 20699-2025</t>
        </is>
      </c>
      <c r="B365" s="1" t="n">
        <v>45776.47346064815</v>
      </c>
      <c r="C365" s="1" t="n">
        <v>45887</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20692-2025</t>
        </is>
      </c>
      <c r="B366" s="1" t="n">
        <v>45776.46369212963</v>
      </c>
      <c r="C366" s="1" t="n">
        <v>45887</v>
      </c>
      <c r="D366" t="inlineStr">
        <is>
          <t>STOCKHOLMS LÄN</t>
        </is>
      </c>
      <c r="E366" t="inlineStr">
        <is>
          <t>NORRTÄLJE</t>
        </is>
      </c>
      <c r="G366" t="n">
        <v>2.1</v>
      </c>
      <c r="H366" t="n">
        <v>0</v>
      </c>
      <c r="I366" t="n">
        <v>0</v>
      </c>
      <c r="J366" t="n">
        <v>0</v>
      </c>
      <c r="K366" t="n">
        <v>0</v>
      </c>
      <c r="L366" t="n">
        <v>0</v>
      </c>
      <c r="M366" t="n">
        <v>0</v>
      </c>
      <c r="N366" t="n">
        <v>0</v>
      </c>
      <c r="O366" t="n">
        <v>0</v>
      </c>
      <c r="P366" t="n">
        <v>0</v>
      </c>
      <c r="Q366" t="n">
        <v>0</v>
      </c>
      <c r="R366" s="2" t="inlineStr"/>
    </row>
    <row r="367" ht="15" customHeight="1">
      <c r="A367" t="inlineStr">
        <is>
          <t>A 13785-2024</t>
        </is>
      </c>
      <c r="B367" s="1" t="n">
        <v>45391.3395949074</v>
      </c>
      <c r="C367" s="1" t="n">
        <v>45887</v>
      </c>
      <c r="D367" t="inlineStr">
        <is>
          <t>STOCKHOLMS LÄN</t>
        </is>
      </c>
      <c r="E367" t="inlineStr">
        <is>
          <t>NORRTÄLJE</t>
        </is>
      </c>
      <c r="G367" t="n">
        <v>5</v>
      </c>
      <c r="H367" t="n">
        <v>0</v>
      </c>
      <c r="I367" t="n">
        <v>0</v>
      </c>
      <c r="J367" t="n">
        <v>0</v>
      </c>
      <c r="K367" t="n">
        <v>0</v>
      </c>
      <c r="L367" t="n">
        <v>0</v>
      </c>
      <c r="M367" t="n">
        <v>0</v>
      </c>
      <c r="N367" t="n">
        <v>0</v>
      </c>
      <c r="O367" t="n">
        <v>0</v>
      </c>
      <c r="P367" t="n">
        <v>0</v>
      </c>
      <c r="Q367" t="n">
        <v>0</v>
      </c>
      <c r="R367" s="2" t="inlineStr"/>
    </row>
    <row r="368" ht="15" customHeight="1">
      <c r="A368" t="inlineStr">
        <is>
          <t>A 45549-2022</t>
        </is>
      </c>
      <c r="B368" s="1" t="n">
        <v>44845.48064814815</v>
      </c>
      <c r="C368" s="1" t="n">
        <v>45887</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20779-2025</t>
        </is>
      </c>
      <c r="B369" s="1" t="n">
        <v>45776.59871527777</v>
      </c>
      <c r="C369" s="1" t="n">
        <v>45887</v>
      </c>
      <c r="D369" t="inlineStr">
        <is>
          <t>STOCKHOLMS LÄN</t>
        </is>
      </c>
      <c r="E369" t="inlineStr">
        <is>
          <t>NORRTÄLJE</t>
        </is>
      </c>
      <c r="G369" t="n">
        <v>6.9</v>
      </c>
      <c r="H369" t="n">
        <v>0</v>
      </c>
      <c r="I369" t="n">
        <v>0</v>
      </c>
      <c r="J369" t="n">
        <v>0</v>
      </c>
      <c r="K369" t="n">
        <v>0</v>
      </c>
      <c r="L369" t="n">
        <v>0</v>
      </c>
      <c r="M369" t="n">
        <v>0</v>
      </c>
      <c r="N369" t="n">
        <v>0</v>
      </c>
      <c r="O369" t="n">
        <v>0</v>
      </c>
      <c r="P369" t="n">
        <v>0</v>
      </c>
      <c r="Q369" t="n">
        <v>0</v>
      </c>
      <c r="R369" s="2" t="inlineStr"/>
    </row>
    <row r="370" ht="15" customHeight="1">
      <c r="A370" t="inlineStr">
        <is>
          <t>A 42955-2022</t>
        </is>
      </c>
      <c r="B370" s="1" t="n">
        <v>44833.40876157407</v>
      </c>
      <c r="C370" s="1" t="n">
        <v>45887</v>
      </c>
      <c r="D370" t="inlineStr">
        <is>
          <t>STOCKHOLMS LÄN</t>
        </is>
      </c>
      <c r="E370" t="inlineStr">
        <is>
          <t>NORRTÄLJE</t>
        </is>
      </c>
      <c r="G370" t="n">
        <v>13.1</v>
      </c>
      <c r="H370" t="n">
        <v>0</v>
      </c>
      <c r="I370" t="n">
        <v>0</v>
      </c>
      <c r="J370" t="n">
        <v>0</v>
      </c>
      <c r="K370" t="n">
        <v>0</v>
      </c>
      <c r="L370" t="n">
        <v>0</v>
      </c>
      <c r="M370" t="n">
        <v>0</v>
      </c>
      <c r="N370" t="n">
        <v>0</v>
      </c>
      <c r="O370" t="n">
        <v>0</v>
      </c>
      <c r="P370" t="n">
        <v>0</v>
      </c>
      <c r="Q370" t="n">
        <v>0</v>
      </c>
      <c r="R370" s="2" t="inlineStr"/>
    </row>
    <row r="371" ht="15" customHeight="1">
      <c r="A371" t="inlineStr">
        <is>
          <t>A 51116-2022</t>
        </is>
      </c>
      <c r="B371" s="1" t="n">
        <v>44868.45741898148</v>
      </c>
      <c r="C371" s="1" t="n">
        <v>45887</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44836-2023</t>
        </is>
      </c>
      <c r="B372" s="1" t="n">
        <v>45190.55609953704</v>
      </c>
      <c r="C372" s="1" t="n">
        <v>45887</v>
      </c>
      <c r="D372" t="inlineStr">
        <is>
          <t>STOCKHOLMS LÄN</t>
        </is>
      </c>
      <c r="E372" t="inlineStr">
        <is>
          <t>NORRTÄLJE</t>
        </is>
      </c>
      <c r="G372" t="n">
        <v>2.3</v>
      </c>
      <c r="H372" t="n">
        <v>0</v>
      </c>
      <c r="I372" t="n">
        <v>0</v>
      </c>
      <c r="J372" t="n">
        <v>0</v>
      </c>
      <c r="K372" t="n">
        <v>0</v>
      </c>
      <c r="L372" t="n">
        <v>0</v>
      </c>
      <c r="M372" t="n">
        <v>0</v>
      </c>
      <c r="N372" t="n">
        <v>0</v>
      </c>
      <c r="O372" t="n">
        <v>0</v>
      </c>
      <c r="P372" t="n">
        <v>0</v>
      </c>
      <c r="Q372" t="n">
        <v>0</v>
      </c>
      <c r="R372" s="2" t="inlineStr"/>
    </row>
    <row r="373" ht="15" customHeight="1">
      <c r="A373" t="inlineStr">
        <is>
          <t>A 20698-2025</t>
        </is>
      </c>
      <c r="B373" s="1" t="n">
        <v>45776.47122685185</v>
      </c>
      <c r="C373" s="1" t="n">
        <v>45887</v>
      </c>
      <c r="D373" t="inlineStr">
        <is>
          <t>STOCKHOLMS LÄN</t>
        </is>
      </c>
      <c r="E373" t="inlineStr">
        <is>
          <t>NORRTÄLJE</t>
        </is>
      </c>
      <c r="G373" t="n">
        <v>1.7</v>
      </c>
      <c r="H373" t="n">
        <v>0</v>
      </c>
      <c r="I373" t="n">
        <v>0</v>
      </c>
      <c r="J373" t="n">
        <v>0</v>
      </c>
      <c r="K373" t="n">
        <v>0</v>
      </c>
      <c r="L373" t="n">
        <v>0</v>
      </c>
      <c r="M373" t="n">
        <v>0</v>
      </c>
      <c r="N373" t="n">
        <v>0</v>
      </c>
      <c r="O373" t="n">
        <v>0</v>
      </c>
      <c r="P373" t="n">
        <v>0</v>
      </c>
      <c r="Q373" t="n">
        <v>0</v>
      </c>
      <c r="R373" s="2" t="inlineStr"/>
    </row>
    <row r="374" ht="15" customHeight="1">
      <c r="A374" t="inlineStr">
        <is>
          <t>A 29972-2024</t>
        </is>
      </c>
      <c r="B374" s="1" t="n">
        <v>45485</v>
      </c>
      <c r="C374" s="1" t="n">
        <v>45887</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28809-2023</t>
        </is>
      </c>
      <c r="B375" s="1" t="n">
        <v>45104</v>
      </c>
      <c r="C375" s="1" t="n">
        <v>45887</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28813-2023</t>
        </is>
      </c>
      <c r="B376" s="1" t="n">
        <v>45104</v>
      </c>
      <c r="C376" s="1" t="n">
        <v>45887</v>
      </c>
      <c r="D376" t="inlineStr">
        <is>
          <t>STOCKHOLMS LÄN</t>
        </is>
      </c>
      <c r="E376" t="inlineStr">
        <is>
          <t>NORRTÄLJE</t>
        </is>
      </c>
      <c r="G376" t="n">
        <v>0.9</v>
      </c>
      <c r="H376" t="n">
        <v>0</v>
      </c>
      <c r="I376" t="n">
        <v>0</v>
      </c>
      <c r="J376" t="n">
        <v>0</v>
      </c>
      <c r="K376" t="n">
        <v>0</v>
      </c>
      <c r="L376" t="n">
        <v>0</v>
      </c>
      <c r="M376" t="n">
        <v>0</v>
      </c>
      <c r="N376" t="n">
        <v>0</v>
      </c>
      <c r="O376" t="n">
        <v>0</v>
      </c>
      <c r="P376" t="n">
        <v>0</v>
      </c>
      <c r="Q376" t="n">
        <v>0</v>
      </c>
      <c r="R376" s="2" t="inlineStr"/>
    </row>
    <row r="377" ht="15" customHeight="1">
      <c r="A377" t="inlineStr">
        <is>
          <t>A 19131-2025</t>
        </is>
      </c>
      <c r="B377" s="1" t="n">
        <v>45769</v>
      </c>
      <c r="C377" s="1" t="n">
        <v>45887</v>
      </c>
      <c r="D377" t="inlineStr">
        <is>
          <t>STOCKHOLMS LÄN</t>
        </is>
      </c>
      <c r="E377" t="inlineStr">
        <is>
          <t>NORRTÄLJE</t>
        </is>
      </c>
      <c r="G377" t="n">
        <v>1.6</v>
      </c>
      <c r="H377" t="n">
        <v>0</v>
      </c>
      <c r="I377" t="n">
        <v>0</v>
      </c>
      <c r="J377" t="n">
        <v>0</v>
      </c>
      <c r="K377" t="n">
        <v>0</v>
      </c>
      <c r="L377" t="n">
        <v>0</v>
      </c>
      <c r="M377" t="n">
        <v>0</v>
      </c>
      <c r="N377" t="n">
        <v>0</v>
      </c>
      <c r="O377" t="n">
        <v>0</v>
      </c>
      <c r="P377" t="n">
        <v>0</v>
      </c>
      <c r="Q377" t="n">
        <v>0</v>
      </c>
      <c r="R377" s="2" t="inlineStr"/>
    </row>
    <row r="378" ht="15" customHeight="1">
      <c r="A378" t="inlineStr">
        <is>
          <t>A 11929-2024</t>
        </is>
      </c>
      <c r="B378" s="1" t="n">
        <v>45376.64532407407</v>
      </c>
      <c r="C378" s="1" t="n">
        <v>45887</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40761-2024</t>
        </is>
      </c>
      <c r="B379" s="1" t="n">
        <v>45558.46283564815</v>
      </c>
      <c r="C379" s="1" t="n">
        <v>45887</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64145-2021</t>
        </is>
      </c>
      <c r="B380" s="1" t="n">
        <v>44510</v>
      </c>
      <c r="C380" s="1" t="n">
        <v>45887</v>
      </c>
      <c r="D380" t="inlineStr">
        <is>
          <t>STOCKHOLMS LÄN</t>
        </is>
      </c>
      <c r="E380" t="inlineStr">
        <is>
          <t>NORRTÄLJE</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45451-2024</t>
        </is>
      </c>
      <c r="B381" s="1" t="n">
        <v>45576</v>
      </c>
      <c r="C381" s="1" t="n">
        <v>45887</v>
      </c>
      <c r="D381" t="inlineStr">
        <is>
          <t>STOCKHOLMS LÄN</t>
        </is>
      </c>
      <c r="E381" t="inlineStr">
        <is>
          <t>NORRTÄLJE</t>
        </is>
      </c>
      <c r="G381" t="n">
        <v>1.3</v>
      </c>
      <c r="H381" t="n">
        <v>0</v>
      </c>
      <c r="I381" t="n">
        <v>0</v>
      </c>
      <c r="J381" t="n">
        <v>0</v>
      </c>
      <c r="K381" t="n">
        <v>0</v>
      </c>
      <c r="L381" t="n">
        <v>0</v>
      </c>
      <c r="M381" t="n">
        <v>0</v>
      </c>
      <c r="N381" t="n">
        <v>0</v>
      </c>
      <c r="O381" t="n">
        <v>0</v>
      </c>
      <c r="P381" t="n">
        <v>0</v>
      </c>
      <c r="Q381" t="n">
        <v>0</v>
      </c>
      <c r="R381" s="2" t="inlineStr"/>
    </row>
    <row r="382" ht="15" customHeight="1">
      <c r="A382" t="inlineStr">
        <is>
          <t>A 21771-2025</t>
        </is>
      </c>
      <c r="B382" s="1" t="n">
        <v>45783</v>
      </c>
      <c r="C382" s="1" t="n">
        <v>45887</v>
      </c>
      <c r="D382" t="inlineStr">
        <is>
          <t>STOCKHOLMS LÄN</t>
        </is>
      </c>
      <c r="E382" t="inlineStr">
        <is>
          <t>NORRTÄLJE</t>
        </is>
      </c>
      <c r="G382" t="n">
        <v>0.7</v>
      </c>
      <c r="H382" t="n">
        <v>0</v>
      </c>
      <c r="I382" t="n">
        <v>0</v>
      </c>
      <c r="J382" t="n">
        <v>0</v>
      </c>
      <c r="K382" t="n">
        <v>0</v>
      </c>
      <c r="L382" t="n">
        <v>0</v>
      </c>
      <c r="M382" t="n">
        <v>0</v>
      </c>
      <c r="N382" t="n">
        <v>0</v>
      </c>
      <c r="O382" t="n">
        <v>0</v>
      </c>
      <c r="P382" t="n">
        <v>0</v>
      </c>
      <c r="Q382" t="n">
        <v>0</v>
      </c>
      <c r="R382" s="2" t="inlineStr"/>
    </row>
    <row r="383" ht="15" customHeight="1">
      <c r="A383" t="inlineStr">
        <is>
          <t>A 49327-2020</t>
        </is>
      </c>
      <c r="B383" s="1" t="n">
        <v>44105</v>
      </c>
      <c r="C383" s="1" t="n">
        <v>45887</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21778-2025</t>
        </is>
      </c>
      <c r="B384" s="1" t="n">
        <v>45783.66429398148</v>
      </c>
      <c r="C384" s="1" t="n">
        <v>45887</v>
      </c>
      <c r="D384" t="inlineStr">
        <is>
          <t>STOCKHOLMS LÄN</t>
        </is>
      </c>
      <c r="E384" t="inlineStr">
        <is>
          <t>NORRTÄLJE</t>
        </is>
      </c>
      <c r="G384" t="n">
        <v>2</v>
      </c>
      <c r="H384" t="n">
        <v>0</v>
      </c>
      <c r="I384" t="n">
        <v>0</v>
      </c>
      <c r="J384" t="n">
        <v>0</v>
      </c>
      <c r="K384" t="n">
        <v>0</v>
      </c>
      <c r="L384" t="n">
        <v>0</v>
      </c>
      <c r="M384" t="n">
        <v>0</v>
      </c>
      <c r="N384" t="n">
        <v>0</v>
      </c>
      <c r="O384" t="n">
        <v>0</v>
      </c>
      <c r="P384" t="n">
        <v>0</v>
      </c>
      <c r="Q384" t="n">
        <v>0</v>
      </c>
      <c r="R384" s="2" t="inlineStr"/>
    </row>
    <row r="385" ht="15" customHeight="1">
      <c r="A385" t="inlineStr">
        <is>
          <t>A 21679-2025</t>
        </is>
      </c>
      <c r="B385" s="1" t="n">
        <v>45783.48878472222</v>
      </c>
      <c r="C385" s="1" t="n">
        <v>45887</v>
      </c>
      <c r="D385" t="inlineStr">
        <is>
          <t>STOCKHOLMS LÄN</t>
        </is>
      </c>
      <c r="E385" t="inlineStr">
        <is>
          <t>NORRTÄLJE</t>
        </is>
      </c>
      <c r="G385" t="n">
        <v>17.5</v>
      </c>
      <c r="H385" t="n">
        <v>0</v>
      </c>
      <c r="I385" t="n">
        <v>0</v>
      </c>
      <c r="J385" t="n">
        <v>0</v>
      </c>
      <c r="K385" t="n">
        <v>0</v>
      </c>
      <c r="L385" t="n">
        <v>0</v>
      </c>
      <c r="M385" t="n">
        <v>0</v>
      </c>
      <c r="N385" t="n">
        <v>0</v>
      </c>
      <c r="O385" t="n">
        <v>0</v>
      </c>
      <c r="P385" t="n">
        <v>0</v>
      </c>
      <c r="Q385" t="n">
        <v>0</v>
      </c>
      <c r="R385" s="2" t="inlineStr"/>
    </row>
    <row r="386" ht="15" customHeight="1">
      <c r="A386" t="inlineStr">
        <is>
          <t>A 17843-2024</t>
        </is>
      </c>
      <c r="B386" s="1" t="n">
        <v>45418</v>
      </c>
      <c r="C386" s="1" t="n">
        <v>45887</v>
      </c>
      <c r="D386" t="inlineStr">
        <is>
          <t>STOCKHOLMS LÄN</t>
        </is>
      </c>
      <c r="E386" t="inlineStr">
        <is>
          <t>NORRTÄLJE</t>
        </is>
      </c>
      <c r="G386" t="n">
        <v>5.4</v>
      </c>
      <c r="H386" t="n">
        <v>0</v>
      </c>
      <c r="I386" t="n">
        <v>0</v>
      </c>
      <c r="J386" t="n">
        <v>0</v>
      </c>
      <c r="K386" t="n">
        <v>0</v>
      </c>
      <c r="L386" t="n">
        <v>0</v>
      </c>
      <c r="M386" t="n">
        <v>0</v>
      </c>
      <c r="N386" t="n">
        <v>0</v>
      </c>
      <c r="O386" t="n">
        <v>0</v>
      </c>
      <c r="P386" t="n">
        <v>0</v>
      </c>
      <c r="Q386" t="n">
        <v>0</v>
      </c>
      <c r="R386" s="2" t="inlineStr"/>
    </row>
    <row r="387" ht="15" customHeight="1">
      <c r="A387" t="inlineStr">
        <is>
          <t>A 23692-2024</t>
        </is>
      </c>
      <c r="B387" s="1" t="n">
        <v>45454.65774305556</v>
      </c>
      <c r="C387" s="1" t="n">
        <v>45887</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12902-2024</t>
        </is>
      </c>
      <c r="B388" s="1" t="n">
        <v>45385.38146990741</v>
      </c>
      <c r="C388" s="1" t="n">
        <v>45887</v>
      </c>
      <c r="D388" t="inlineStr">
        <is>
          <t>STOCKHOLMS LÄN</t>
        </is>
      </c>
      <c r="E388" t="inlineStr">
        <is>
          <t>NORRTÄLJE</t>
        </is>
      </c>
      <c r="G388" t="n">
        <v>3.7</v>
      </c>
      <c r="H388" t="n">
        <v>0</v>
      </c>
      <c r="I388" t="n">
        <v>0</v>
      </c>
      <c r="J388" t="n">
        <v>0</v>
      </c>
      <c r="K388" t="n">
        <v>0</v>
      </c>
      <c r="L388" t="n">
        <v>0</v>
      </c>
      <c r="M388" t="n">
        <v>0</v>
      </c>
      <c r="N388" t="n">
        <v>0</v>
      </c>
      <c r="O388" t="n">
        <v>0</v>
      </c>
      <c r="P388" t="n">
        <v>0</v>
      </c>
      <c r="Q388" t="n">
        <v>0</v>
      </c>
      <c r="R388" s="2" t="inlineStr"/>
    </row>
    <row r="389" ht="15" customHeight="1">
      <c r="A389" t="inlineStr">
        <is>
          <t>A 12890-2024</t>
        </is>
      </c>
      <c r="B389" s="1" t="n">
        <v>45385.36243055556</v>
      </c>
      <c r="C389" s="1" t="n">
        <v>45887</v>
      </c>
      <c r="D389" t="inlineStr">
        <is>
          <t>STOCKHOLMS LÄN</t>
        </is>
      </c>
      <c r="E389" t="inlineStr">
        <is>
          <t>NORRTÄLJE</t>
        </is>
      </c>
      <c r="G389" t="n">
        <v>1.3</v>
      </c>
      <c r="H389" t="n">
        <v>0</v>
      </c>
      <c r="I389" t="n">
        <v>0</v>
      </c>
      <c r="J389" t="n">
        <v>0</v>
      </c>
      <c r="K389" t="n">
        <v>0</v>
      </c>
      <c r="L389" t="n">
        <v>0</v>
      </c>
      <c r="M389" t="n">
        <v>0</v>
      </c>
      <c r="N389" t="n">
        <v>0</v>
      </c>
      <c r="O389" t="n">
        <v>0</v>
      </c>
      <c r="P389" t="n">
        <v>0</v>
      </c>
      <c r="Q389" t="n">
        <v>0</v>
      </c>
      <c r="R389" s="2" t="inlineStr"/>
    </row>
    <row r="390" ht="15" customHeight="1">
      <c r="A390" t="inlineStr">
        <is>
          <t>A 29841-2024</t>
        </is>
      </c>
      <c r="B390" s="1" t="n">
        <v>45485.60261574074</v>
      </c>
      <c r="C390" s="1" t="n">
        <v>45887</v>
      </c>
      <c r="D390" t="inlineStr">
        <is>
          <t>STOCKHOLMS LÄN</t>
        </is>
      </c>
      <c r="E390" t="inlineStr">
        <is>
          <t>NORRTÄLJE</t>
        </is>
      </c>
      <c r="G390" t="n">
        <v>15.9</v>
      </c>
      <c r="H390" t="n">
        <v>0</v>
      </c>
      <c r="I390" t="n">
        <v>0</v>
      </c>
      <c r="J390" t="n">
        <v>0</v>
      </c>
      <c r="K390" t="n">
        <v>0</v>
      </c>
      <c r="L390" t="n">
        <v>0</v>
      </c>
      <c r="M390" t="n">
        <v>0</v>
      </c>
      <c r="N390" t="n">
        <v>0</v>
      </c>
      <c r="O390" t="n">
        <v>0</v>
      </c>
      <c r="P390" t="n">
        <v>0</v>
      </c>
      <c r="Q390" t="n">
        <v>0</v>
      </c>
      <c r="R390" s="2" t="inlineStr"/>
    </row>
    <row r="391" ht="15" customHeight="1">
      <c r="A391" t="inlineStr">
        <is>
          <t>A 39237-2024</t>
        </is>
      </c>
      <c r="B391" s="1" t="n">
        <v>45549</v>
      </c>
      <c r="C391" s="1" t="n">
        <v>45887</v>
      </c>
      <c r="D391" t="inlineStr">
        <is>
          <t>STOCKHOLMS LÄN</t>
        </is>
      </c>
      <c r="E391" t="inlineStr">
        <is>
          <t>NORRTÄLJE</t>
        </is>
      </c>
      <c r="G391" t="n">
        <v>13.3</v>
      </c>
      <c r="H391" t="n">
        <v>0</v>
      </c>
      <c r="I391" t="n">
        <v>0</v>
      </c>
      <c r="J391" t="n">
        <v>0</v>
      </c>
      <c r="K391" t="n">
        <v>0</v>
      </c>
      <c r="L391" t="n">
        <v>0</v>
      </c>
      <c r="M391" t="n">
        <v>0</v>
      </c>
      <c r="N391" t="n">
        <v>0</v>
      </c>
      <c r="O391" t="n">
        <v>0</v>
      </c>
      <c r="P391" t="n">
        <v>0</v>
      </c>
      <c r="Q391" t="n">
        <v>0</v>
      </c>
      <c r="R391" s="2" t="inlineStr"/>
    </row>
    <row r="392" ht="15" customHeight="1">
      <c r="A392" t="inlineStr">
        <is>
          <t>A 36430-2024</t>
        </is>
      </c>
      <c r="B392" s="1" t="n">
        <v>45536</v>
      </c>
      <c r="C392" s="1" t="n">
        <v>45887</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44891-2023</t>
        </is>
      </c>
      <c r="B393" s="1" t="n">
        <v>45187</v>
      </c>
      <c r="C393" s="1" t="n">
        <v>45887</v>
      </c>
      <c r="D393" t="inlineStr">
        <is>
          <t>STOCKHOLMS LÄN</t>
        </is>
      </c>
      <c r="E393" t="inlineStr">
        <is>
          <t>NORRTÄLJE</t>
        </is>
      </c>
      <c r="G393" t="n">
        <v>15</v>
      </c>
      <c r="H393" t="n">
        <v>0</v>
      </c>
      <c r="I393" t="n">
        <v>0</v>
      </c>
      <c r="J393" t="n">
        <v>0</v>
      </c>
      <c r="K393" t="n">
        <v>0</v>
      </c>
      <c r="L393" t="n">
        <v>0</v>
      </c>
      <c r="M393" t="n">
        <v>0</v>
      </c>
      <c r="N393" t="n">
        <v>0</v>
      </c>
      <c r="O393" t="n">
        <v>0</v>
      </c>
      <c r="P393" t="n">
        <v>0</v>
      </c>
      <c r="Q393" t="n">
        <v>0</v>
      </c>
      <c r="R393" s="2" t="inlineStr"/>
    </row>
    <row r="394" ht="15" customHeight="1">
      <c r="A394" t="inlineStr">
        <is>
          <t>A 13268-2025</t>
        </is>
      </c>
      <c r="B394" s="1" t="n">
        <v>45735</v>
      </c>
      <c r="C394" s="1" t="n">
        <v>45887</v>
      </c>
      <c r="D394" t="inlineStr">
        <is>
          <t>STOCKHOLMS LÄN</t>
        </is>
      </c>
      <c r="E394" t="inlineStr">
        <is>
          <t>NORRTÄLJE</t>
        </is>
      </c>
      <c r="G394" t="n">
        <v>11.4</v>
      </c>
      <c r="H394" t="n">
        <v>0</v>
      </c>
      <c r="I394" t="n">
        <v>0</v>
      </c>
      <c r="J394" t="n">
        <v>0</v>
      </c>
      <c r="K394" t="n">
        <v>0</v>
      </c>
      <c r="L394" t="n">
        <v>0</v>
      </c>
      <c r="M394" t="n">
        <v>0</v>
      </c>
      <c r="N394" t="n">
        <v>0</v>
      </c>
      <c r="O394" t="n">
        <v>0</v>
      </c>
      <c r="P394" t="n">
        <v>0</v>
      </c>
      <c r="Q394" t="n">
        <v>0</v>
      </c>
      <c r="R394" s="2" t="inlineStr"/>
    </row>
    <row r="395" ht="15" customHeight="1">
      <c r="A395" t="inlineStr">
        <is>
          <t>A 46073-2024</t>
        </is>
      </c>
      <c r="B395" s="1" t="n">
        <v>45581</v>
      </c>
      <c r="C395" s="1" t="n">
        <v>45887</v>
      </c>
      <c r="D395" t="inlineStr">
        <is>
          <t>STOCKHOLMS LÄN</t>
        </is>
      </c>
      <c r="E395" t="inlineStr">
        <is>
          <t>NORRTÄLJE</t>
        </is>
      </c>
      <c r="G395" t="n">
        <v>2</v>
      </c>
      <c r="H395" t="n">
        <v>0</v>
      </c>
      <c r="I395" t="n">
        <v>0</v>
      </c>
      <c r="J395" t="n">
        <v>0</v>
      </c>
      <c r="K395" t="n">
        <v>0</v>
      </c>
      <c r="L395" t="n">
        <v>0</v>
      </c>
      <c r="M395" t="n">
        <v>0</v>
      </c>
      <c r="N395" t="n">
        <v>0</v>
      </c>
      <c r="O395" t="n">
        <v>0</v>
      </c>
      <c r="P395" t="n">
        <v>0</v>
      </c>
      <c r="Q395" t="n">
        <v>0</v>
      </c>
      <c r="R395" s="2" t="inlineStr"/>
    </row>
    <row r="396" ht="15" customHeight="1">
      <c r="A396" t="inlineStr">
        <is>
          <t>A 41172-2023</t>
        </is>
      </c>
      <c r="B396" s="1" t="n">
        <v>45170</v>
      </c>
      <c r="C396" s="1" t="n">
        <v>45887</v>
      </c>
      <c r="D396" t="inlineStr">
        <is>
          <t>STOCKHOLMS LÄN</t>
        </is>
      </c>
      <c r="E396" t="inlineStr">
        <is>
          <t>NORRTÄLJE</t>
        </is>
      </c>
      <c r="G396" t="n">
        <v>1.6</v>
      </c>
      <c r="H396" t="n">
        <v>0</v>
      </c>
      <c r="I396" t="n">
        <v>0</v>
      </c>
      <c r="J396" t="n">
        <v>0</v>
      </c>
      <c r="K396" t="n">
        <v>0</v>
      </c>
      <c r="L396" t="n">
        <v>0</v>
      </c>
      <c r="M396" t="n">
        <v>0</v>
      </c>
      <c r="N396" t="n">
        <v>0</v>
      </c>
      <c r="O396" t="n">
        <v>0</v>
      </c>
      <c r="P396" t="n">
        <v>0</v>
      </c>
      <c r="Q396" t="n">
        <v>0</v>
      </c>
      <c r="R396" s="2" t="inlineStr"/>
    </row>
    <row r="397" ht="15" customHeight="1">
      <c r="A397" t="inlineStr">
        <is>
          <t>A 8414-2025</t>
        </is>
      </c>
      <c r="B397" s="1" t="n">
        <v>45709.39361111111</v>
      </c>
      <c r="C397" s="1" t="n">
        <v>45887</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67921-2021</t>
        </is>
      </c>
      <c r="B398" s="1" t="n">
        <v>44525</v>
      </c>
      <c r="C398" s="1" t="n">
        <v>45887</v>
      </c>
      <c r="D398" t="inlineStr">
        <is>
          <t>STOCKHOLMS LÄN</t>
        </is>
      </c>
      <c r="E398" t="inlineStr">
        <is>
          <t>NORRTÄLJE</t>
        </is>
      </c>
      <c r="G398" t="n">
        <v>6.3</v>
      </c>
      <c r="H398" t="n">
        <v>0</v>
      </c>
      <c r="I398" t="n">
        <v>0</v>
      </c>
      <c r="J398" t="n">
        <v>0</v>
      </c>
      <c r="K398" t="n">
        <v>0</v>
      </c>
      <c r="L398" t="n">
        <v>0</v>
      </c>
      <c r="M398" t="n">
        <v>0</v>
      </c>
      <c r="N398" t="n">
        <v>0</v>
      </c>
      <c r="O398" t="n">
        <v>0</v>
      </c>
      <c r="P398" t="n">
        <v>0</v>
      </c>
      <c r="Q398" t="n">
        <v>0</v>
      </c>
      <c r="R398" s="2" t="inlineStr"/>
    </row>
    <row r="399" ht="15" customHeight="1">
      <c r="A399" t="inlineStr">
        <is>
          <t>A 72704-2021</t>
        </is>
      </c>
      <c r="B399" s="1" t="n">
        <v>44546</v>
      </c>
      <c r="C399" s="1" t="n">
        <v>45887</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65499-2021</t>
        </is>
      </c>
      <c r="B400" s="1" t="n">
        <v>44516</v>
      </c>
      <c r="C400" s="1" t="n">
        <v>45887</v>
      </c>
      <c r="D400" t="inlineStr">
        <is>
          <t>STOCKHOLMS LÄN</t>
        </is>
      </c>
      <c r="E400" t="inlineStr">
        <is>
          <t>NORRTÄLJE</t>
        </is>
      </c>
      <c r="F400" t="inlineStr">
        <is>
          <t>Kommuner</t>
        </is>
      </c>
      <c r="G400" t="n">
        <v>5.2</v>
      </c>
      <c r="H400" t="n">
        <v>0</v>
      </c>
      <c r="I400" t="n">
        <v>0</v>
      </c>
      <c r="J400" t="n">
        <v>0</v>
      </c>
      <c r="K400" t="n">
        <v>0</v>
      </c>
      <c r="L400" t="n">
        <v>0</v>
      </c>
      <c r="M400" t="n">
        <v>0</v>
      </c>
      <c r="N400" t="n">
        <v>0</v>
      </c>
      <c r="O400" t="n">
        <v>0</v>
      </c>
      <c r="P400" t="n">
        <v>0</v>
      </c>
      <c r="Q400" t="n">
        <v>0</v>
      </c>
      <c r="R400" s="2" t="inlineStr"/>
    </row>
    <row r="401" ht="15" customHeight="1">
      <c r="A401" t="inlineStr">
        <is>
          <t>A 65511-2021</t>
        </is>
      </c>
      <c r="B401" s="1" t="n">
        <v>44516.40674768519</v>
      </c>
      <c r="C401" s="1" t="n">
        <v>45887</v>
      </c>
      <c r="D401" t="inlineStr">
        <is>
          <t>STOCKHOLMS LÄN</t>
        </is>
      </c>
      <c r="E401" t="inlineStr">
        <is>
          <t>NORRTÄLJE</t>
        </is>
      </c>
      <c r="F401" t="inlineStr">
        <is>
          <t>Kommuner</t>
        </is>
      </c>
      <c r="G401" t="n">
        <v>2.8</v>
      </c>
      <c r="H401" t="n">
        <v>0</v>
      </c>
      <c r="I401" t="n">
        <v>0</v>
      </c>
      <c r="J401" t="n">
        <v>0</v>
      </c>
      <c r="K401" t="n">
        <v>0</v>
      </c>
      <c r="L401" t="n">
        <v>0</v>
      </c>
      <c r="M401" t="n">
        <v>0</v>
      </c>
      <c r="N401" t="n">
        <v>0</v>
      </c>
      <c r="O401" t="n">
        <v>0</v>
      </c>
      <c r="P401" t="n">
        <v>0</v>
      </c>
      <c r="Q401" t="n">
        <v>0</v>
      </c>
      <c r="R401" s="2" t="inlineStr"/>
    </row>
    <row r="402" ht="15" customHeight="1">
      <c r="A402" t="inlineStr">
        <is>
          <t>A 26113-2024</t>
        </is>
      </c>
      <c r="B402" s="1" t="n">
        <v>45468.45541666666</v>
      </c>
      <c r="C402" s="1" t="n">
        <v>45887</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26116-2024</t>
        </is>
      </c>
      <c r="B403" s="1" t="n">
        <v>45468.45747685185</v>
      </c>
      <c r="C403" s="1" t="n">
        <v>45887</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52686-2024</t>
        </is>
      </c>
      <c r="B404" s="1" t="n">
        <v>45610.39271990741</v>
      </c>
      <c r="C404" s="1" t="n">
        <v>45887</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44032-2024</t>
        </is>
      </c>
      <c r="B405" s="1" t="n">
        <v>45572.57828703704</v>
      </c>
      <c r="C405" s="1" t="n">
        <v>45887</v>
      </c>
      <c r="D405" t="inlineStr">
        <is>
          <t>STOCKHOLMS LÄN</t>
        </is>
      </c>
      <c r="E405" t="inlineStr">
        <is>
          <t>NORRTÄLJE</t>
        </is>
      </c>
      <c r="G405" t="n">
        <v>8.6</v>
      </c>
      <c r="H405" t="n">
        <v>0</v>
      </c>
      <c r="I405" t="n">
        <v>0</v>
      </c>
      <c r="J405" t="n">
        <v>0</v>
      </c>
      <c r="K405" t="n">
        <v>0</v>
      </c>
      <c r="L405" t="n">
        <v>0</v>
      </c>
      <c r="M405" t="n">
        <v>0</v>
      </c>
      <c r="N405" t="n">
        <v>0</v>
      </c>
      <c r="O405" t="n">
        <v>0</v>
      </c>
      <c r="P405" t="n">
        <v>0</v>
      </c>
      <c r="Q405" t="n">
        <v>0</v>
      </c>
      <c r="R405" s="2" t="inlineStr"/>
    </row>
    <row r="406" ht="15" customHeight="1">
      <c r="A406" t="inlineStr">
        <is>
          <t>A 24563-2024</t>
        </is>
      </c>
      <c r="B406" s="1" t="n">
        <v>45460.44347222222</v>
      </c>
      <c r="C406" s="1" t="n">
        <v>45887</v>
      </c>
      <c r="D406" t="inlineStr">
        <is>
          <t>STOCKHOLMS LÄN</t>
        </is>
      </c>
      <c r="E406" t="inlineStr">
        <is>
          <t>NORRTÄLJE</t>
        </is>
      </c>
      <c r="G406" t="n">
        <v>1.9</v>
      </c>
      <c r="H406" t="n">
        <v>0</v>
      </c>
      <c r="I406" t="n">
        <v>0</v>
      </c>
      <c r="J406" t="n">
        <v>0</v>
      </c>
      <c r="K406" t="n">
        <v>0</v>
      </c>
      <c r="L406" t="n">
        <v>0</v>
      </c>
      <c r="M406" t="n">
        <v>0</v>
      </c>
      <c r="N406" t="n">
        <v>0</v>
      </c>
      <c r="O406" t="n">
        <v>0</v>
      </c>
      <c r="P406" t="n">
        <v>0</v>
      </c>
      <c r="Q406" t="n">
        <v>0</v>
      </c>
      <c r="R406" s="2" t="inlineStr"/>
    </row>
    <row r="407" ht="15" customHeight="1">
      <c r="A407" t="inlineStr">
        <is>
          <t>A 31105-2022</t>
        </is>
      </c>
      <c r="B407" s="1" t="n">
        <v>44769.66039351852</v>
      </c>
      <c r="C407" s="1" t="n">
        <v>45887</v>
      </c>
      <c r="D407" t="inlineStr">
        <is>
          <t>STOCKHOLMS LÄN</t>
        </is>
      </c>
      <c r="E407" t="inlineStr">
        <is>
          <t>NORRTÄLJE</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22202-2025</t>
        </is>
      </c>
      <c r="B408" s="1" t="n">
        <v>45785.65300925926</v>
      </c>
      <c r="C408" s="1" t="n">
        <v>45887</v>
      </c>
      <c r="D408" t="inlineStr">
        <is>
          <t>STOCKHOLMS LÄN</t>
        </is>
      </c>
      <c r="E408" t="inlineStr">
        <is>
          <t>NORRTÄLJE</t>
        </is>
      </c>
      <c r="G408" t="n">
        <v>10.2</v>
      </c>
      <c r="H408" t="n">
        <v>0</v>
      </c>
      <c r="I408" t="n">
        <v>0</v>
      </c>
      <c r="J408" t="n">
        <v>0</v>
      </c>
      <c r="K408" t="n">
        <v>0</v>
      </c>
      <c r="L408" t="n">
        <v>0</v>
      </c>
      <c r="M408" t="n">
        <v>0</v>
      </c>
      <c r="N408" t="n">
        <v>0</v>
      </c>
      <c r="O408" t="n">
        <v>0</v>
      </c>
      <c r="P408" t="n">
        <v>0</v>
      </c>
      <c r="Q408" t="n">
        <v>0</v>
      </c>
      <c r="R408" s="2" t="inlineStr"/>
    </row>
    <row r="409" ht="15" customHeight="1">
      <c r="A409" t="inlineStr">
        <is>
          <t>A 36625-2024</t>
        </is>
      </c>
      <c r="B409" s="1" t="n">
        <v>45537</v>
      </c>
      <c r="C409" s="1" t="n">
        <v>45887</v>
      </c>
      <c r="D409" t="inlineStr">
        <is>
          <t>STOCKHOLMS LÄN</t>
        </is>
      </c>
      <c r="E409" t="inlineStr">
        <is>
          <t>NORRTÄLJE</t>
        </is>
      </c>
      <c r="G409" t="n">
        <v>3.8</v>
      </c>
      <c r="H409" t="n">
        <v>0</v>
      </c>
      <c r="I409" t="n">
        <v>0</v>
      </c>
      <c r="J409" t="n">
        <v>0</v>
      </c>
      <c r="K409" t="n">
        <v>0</v>
      </c>
      <c r="L409" t="n">
        <v>0</v>
      </c>
      <c r="M409" t="n">
        <v>0</v>
      </c>
      <c r="N409" t="n">
        <v>0</v>
      </c>
      <c r="O409" t="n">
        <v>0</v>
      </c>
      <c r="P409" t="n">
        <v>0</v>
      </c>
      <c r="Q409" t="n">
        <v>0</v>
      </c>
      <c r="R409" s="2" t="inlineStr"/>
    </row>
    <row r="410" ht="15" customHeight="1">
      <c r="A410" t="inlineStr">
        <is>
          <t>A 45746-2024</t>
        </is>
      </c>
      <c r="B410" s="1" t="n">
        <v>45579</v>
      </c>
      <c r="C410" s="1" t="n">
        <v>45887</v>
      </c>
      <c r="D410" t="inlineStr">
        <is>
          <t>STOCKHOLMS LÄN</t>
        </is>
      </c>
      <c r="E410" t="inlineStr">
        <is>
          <t>NORRTÄLJE</t>
        </is>
      </c>
      <c r="G410" t="n">
        <v>3.3</v>
      </c>
      <c r="H410" t="n">
        <v>0</v>
      </c>
      <c r="I410" t="n">
        <v>0</v>
      </c>
      <c r="J410" t="n">
        <v>0</v>
      </c>
      <c r="K410" t="n">
        <v>0</v>
      </c>
      <c r="L410" t="n">
        <v>0</v>
      </c>
      <c r="M410" t="n">
        <v>0</v>
      </c>
      <c r="N410" t="n">
        <v>0</v>
      </c>
      <c r="O410" t="n">
        <v>0</v>
      </c>
      <c r="P410" t="n">
        <v>0</v>
      </c>
      <c r="Q410" t="n">
        <v>0</v>
      </c>
      <c r="R410" s="2" t="inlineStr"/>
    </row>
    <row r="411" ht="15" customHeight="1">
      <c r="A411" t="inlineStr">
        <is>
          <t>A 62644-2023</t>
        </is>
      </c>
      <c r="B411" s="1" t="n">
        <v>45271</v>
      </c>
      <c r="C411" s="1" t="n">
        <v>45887</v>
      </c>
      <c r="D411" t="inlineStr">
        <is>
          <t>STOCKHOLMS LÄN</t>
        </is>
      </c>
      <c r="E411" t="inlineStr">
        <is>
          <t>NORRTÄLJE</t>
        </is>
      </c>
      <c r="G411" t="n">
        <v>1.1</v>
      </c>
      <c r="H411" t="n">
        <v>0</v>
      </c>
      <c r="I411" t="n">
        <v>0</v>
      </c>
      <c r="J411" t="n">
        <v>0</v>
      </c>
      <c r="K411" t="n">
        <v>0</v>
      </c>
      <c r="L411" t="n">
        <v>0</v>
      </c>
      <c r="M411" t="n">
        <v>0</v>
      </c>
      <c r="N411" t="n">
        <v>0</v>
      </c>
      <c r="O411" t="n">
        <v>0</v>
      </c>
      <c r="P411" t="n">
        <v>0</v>
      </c>
      <c r="Q411" t="n">
        <v>0</v>
      </c>
      <c r="R411" s="2" t="inlineStr"/>
    </row>
    <row r="412" ht="15" customHeight="1">
      <c r="A412" t="inlineStr">
        <is>
          <t>A 60185-2024</t>
        </is>
      </c>
      <c r="B412" s="1" t="n">
        <v>45642.64634259259</v>
      </c>
      <c r="C412" s="1" t="n">
        <v>45887</v>
      </c>
      <c r="D412" t="inlineStr">
        <is>
          <t>STOCKHOLMS LÄN</t>
        </is>
      </c>
      <c r="E412" t="inlineStr">
        <is>
          <t>NORRTÄLJE</t>
        </is>
      </c>
      <c r="G412" t="n">
        <v>0.3</v>
      </c>
      <c r="H412" t="n">
        <v>0</v>
      </c>
      <c r="I412" t="n">
        <v>0</v>
      </c>
      <c r="J412" t="n">
        <v>0</v>
      </c>
      <c r="K412" t="n">
        <v>0</v>
      </c>
      <c r="L412" t="n">
        <v>0</v>
      </c>
      <c r="M412" t="n">
        <v>0</v>
      </c>
      <c r="N412" t="n">
        <v>0</v>
      </c>
      <c r="O412" t="n">
        <v>0</v>
      </c>
      <c r="P412" t="n">
        <v>0</v>
      </c>
      <c r="Q412" t="n">
        <v>0</v>
      </c>
      <c r="R412" s="2" t="inlineStr"/>
    </row>
    <row r="413" ht="15" customHeight="1">
      <c r="A413" t="inlineStr">
        <is>
          <t>A 30719-2025</t>
        </is>
      </c>
      <c r="B413" s="1" t="n">
        <v>45831.56521990741</v>
      </c>
      <c r="C413" s="1" t="n">
        <v>45887</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60765-2023</t>
        </is>
      </c>
      <c r="B414" s="1" t="n">
        <v>45260</v>
      </c>
      <c r="C414" s="1" t="n">
        <v>45887</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12268-2022</t>
        </is>
      </c>
      <c r="B415" s="1" t="n">
        <v>44637</v>
      </c>
      <c r="C415" s="1" t="n">
        <v>45887</v>
      </c>
      <c r="D415" t="inlineStr">
        <is>
          <t>STOCKHOLMS LÄN</t>
        </is>
      </c>
      <c r="E415" t="inlineStr">
        <is>
          <t>NORRTÄLJE</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8400-2024</t>
        </is>
      </c>
      <c r="B416" s="1" t="n">
        <v>45352.74090277778</v>
      </c>
      <c r="C416" s="1" t="n">
        <v>45887</v>
      </c>
      <c r="D416" t="inlineStr">
        <is>
          <t>STOCKHOLMS LÄN</t>
        </is>
      </c>
      <c r="E416" t="inlineStr">
        <is>
          <t>NORRTÄLJE</t>
        </is>
      </c>
      <c r="G416" t="n">
        <v>4.7</v>
      </c>
      <c r="H416" t="n">
        <v>0</v>
      </c>
      <c r="I416" t="n">
        <v>0</v>
      </c>
      <c r="J416" t="n">
        <v>0</v>
      </c>
      <c r="K416" t="n">
        <v>0</v>
      </c>
      <c r="L416" t="n">
        <v>0</v>
      </c>
      <c r="M416" t="n">
        <v>0</v>
      </c>
      <c r="N416" t="n">
        <v>0</v>
      </c>
      <c r="O416" t="n">
        <v>0</v>
      </c>
      <c r="P416" t="n">
        <v>0</v>
      </c>
      <c r="Q416" t="n">
        <v>0</v>
      </c>
      <c r="R416" s="2" t="inlineStr"/>
    </row>
    <row r="417" ht="15" customHeight="1">
      <c r="A417" t="inlineStr">
        <is>
          <t>A 2182-2022</t>
        </is>
      </c>
      <c r="B417" s="1" t="n">
        <v>44578</v>
      </c>
      <c r="C417" s="1" t="n">
        <v>45887</v>
      </c>
      <c r="D417" t="inlineStr">
        <is>
          <t>STOCKHOLMS LÄN</t>
        </is>
      </c>
      <c r="E417" t="inlineStr">
        <is>
          <t>NORRTÄLJE</t>
        </is>
      </c>
      <c r="G417" t="n">
        <v>7.2</v>
      </c>
      <c r="H417" t="n">
        <v>0</v>
      </c>
      <c r="I417" t="n">
        <v>0</v>
      </c>
      <c r="J417" t="n">
        <v>0</v>
      </c>
      <c r="K417" t="n">
        <v>0</v>
      </c>
      <c r="L417" t="n">
        <v>0</v>
      </c>
      <c r="M417" t="n">
        <v>0</v>
      </c>
      <c r="N417" t="n">
        <v>0</v>
      </c>
      <c r="O417" t="n">
        <v>0</v>
      </c>
      <c r="P417" t="n">
        <v>0</v>
      </c>
      <c r="Q417" t="n">
        <v>0</v>
      </c>
      <c r="R417" s="2" t="inlineStr"/>
    </row>
    <row r="418" ht="15" customHeight="1">
      <c r="A418" t="inlineStr">
        <is>
          <t>A 22832-2021</t>
        </is>
      </c>
      <c r="B418" s="1" t="n">
        <v>44325</v>
      </c>
      <c r="C418" s="1" t="n">
        <v>45887</v>
      </c>
      <c r="D418" t="inlineStr">
        <is>
          <t>STOCKHOLMS LÄN</t>
        </is>
      </c>
      <c r="E418" t="inlineStr">
        <is>
          <t>NORRTÄLJE</t>
        </is>
      </c>
      <c r="G418" t="n">
        <v>6.8</v>
      </c>
      <c r="H418" t="n">
        <v>0</v>
      </c>
      <c r="I418" t="n">
        <v>0</v>
      </c>
      <c r="J418" t="n">
        <v>0</v>
      </c>
      <c r="K418" t="n">
        <v>0</v>
      </c>
      <c r="L418" t="n">
        <v>0</v>
      </c>
      <c r="M418" t="n">
        <v>0</v>
      </c>
      <c r="N418" t="n">
        <v>0</v>
      </c>
      <c r="O418" t="n">
        <v>0</v>
      </c>
      <c r="P418" t="n">
        <v>0</v>
      </c>
      <c r="Q418" t="n">
        <v>0</v>
      </c>
      <c r="R418" s="2" t="inlineStr"/>
    </row>
    <row r="419" ht="15" customHeight="1">
      <c r="A419" t="inlineStr">
        <is>
          <t>A 51315-2021</t>
        </is>
      </c>
      <c r="B419" s="1" t="n">
        <v>44461</v>
      </c>
      <c r="C419" s="1" t="n">
        <v>45887</v>
      </c>
      <c r="D419" t="inlineStr">
        <is>
          <t>STOCKHOLMS LÄN</t>
        </is>
      </c>
      <c r="E419" t="inlineStr">
        <is>
          <t>NORRTÄLJE</t>
        </is>
      </c>
      <c r="F419" t="inlineStr">
        <is>
          <t>Holmen skog AB</t>
        </is>
      </c>
      <c r="G419" t="n">
        <v>2.2</v>
      </c>
      <c r="H419" t="n">
        <v>0</v>
      </c>
      <c r="I419" t="n">
        <v>0</v>
      </c>
      <c r="J419" t="n">
        <v>0</v>
      </c>
      <c r="K419" t="n">
        <v>0</v>
      </c>
      <c r="L419" t="n">
        <v>0</v>
      </c>
      <c r="M419" t="n">
        <v>0</v>
      </c>
      <c r="N419" t="n">
        <v>0</v>
      </c>
      <c r="O419" t="n">
        <v>0</v>
      </c>
      <c r="P419" t="n">
        <v>0</v>
      </c>
      <c r="Q419" t="n">
        <v>0</v>
      </c>
      <c r="R419" s="2" t="inlineStr"/>
    </row>
    <row r="420" ht="15" customHeight="1">
      <c r="A420" t="inlineStr">
        <is>
          <t>A 22008-2024</t>
        </is>
      </c>
      <c r="B420" s="1" t="n">
        <v>45443</v>
      </c>
      <c r="C420" s="1" t="n">
        <v>45887</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16620-2024</t>
        </is>
      </c>
      <c r="B421" s="1" t="n">
        <v>45408.57707175926</v>
      </c>
      <c r="C421" s="1" t="n">
        <v>45887</v>
      </c>
      <c r="D421" t="inlineStr">
        <is>
          <t>STOCKHOLMS LÄN</t>
        </is>
      </c>
      <c r="E421" t="inlineStr">
        <is>
          <t>NORRTÄLJE</t>
        </is>
      </c>
      <c r="G421" t="n">
        <v>2.7</v>
      </c>
      <c r="H421" t="n">
        <v>0</v>
      </c>
      <c r="I421" t="n">
        <v>0</v>
      </c>
      <c r="J421" t="n">
        <v>0</v>
      </c>
      <c r="K421" t="n">
        <v>0</v>
      </c>
      <c r="L421" t="n">
        <v>0</v>
      </c>
      <c r="M421" t="n">
        <v>0</v>
      </c>
      <c r="N421" t="n">
        <v>0</v>
      </c>
      <c r="O421" t="n">
        <v>0</v>
      </c>
      <c r="P421" t="n">
        <v>0</v>
      </c>
      <c r="Q421" t="n">
        <v>0</v>
      </c>
      <c r="R421" s="2" t="inlineStr"/>
    </row>
    <row r="422" ht="15" customHeight="1">
      <c r="A422" t="inlineStr">
        <is>
          <t>A 58277-2023</t>
        </is>
      </c>
      <c r="B422" s="1" t="n">
        <v>45245</v>
      </c>
      <c r="C422" s="1" t="n">
        <v>45887</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9480-2025</t>
        </is>
      </c>
      <c r="B423" s="1" t="n">
        <v>45715</v>
      </c>
      <c r="C423" s="1" t="n">
        <v>45887</v>
      </c>
      <c r="D423" t="inlineStr">
        <is>
          <t>STOCKHOLMS LÄN</t>
        </is>
      </c>
      <c r="E423" t="inlineStr">
        <is>
          <t>NORRTÄLJE</t>
        </is>
      </c>
      <c r="F423" t="inlineStr">
        <is>
          <t>Övriga Aktiebolag</t>
        </is>
      </c>
      <c r="G423" t="n">
        <v>3.9</v>
      </c>
      <c r="H423" t="n">
        <v>0</v>
      </c>
      <c r="I423" t="n">
        <v>0</v>
      </c>
      <c r="J423" t="n">
        <v>0</v>
      </c>
      <c r="K423" t="n">
        <v>0</v>
      </c>
      <c r="L423" t="n">
        <v>0</v>
      </c>
      <c r="M423" t="n">
        <v>0</v>
      </c>
      <c r="N423" t="n">
        <v>0</v>
      </c>
      <c r="O423" t="n">
        <v>0</v>
      </c>
      <c r="P423" t="n">
        <v>0</v>
      </c>
      <c r="Q423" t="n">
        <v>0</v>
      </c>
      <c r="R423" s="2" t="inlineStr"/>
    </row>
    <row r="424" ht="15" customHeight="1">
      <c r="A424" t="inlineStr">
        <is>
          <t>A 22416-2025</t>
        </is>
      </c>
      <c r="B424" s="1" t="n">
        <v>45786.55645833333</v>
      </c>
      <c r="C424" s="1" t="n">
        <v>45887</v>
      </c>
      <c r="D424" t="inlineStr">
        <is>
          <t>STOCKHOLMS LÄN</t>
        </is>
      </c>
      <c r="E424" t="inlineStr">
        <is>
          <t>NORRTÄLJE</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58785-2024</t>
        </is>
      </c>
      <c r="B425" s="1" t="n">
        <v>45635.88849537037</v>
      </c>
      <c r="C425" s="1" t="n">
        <v>45887</v>
      </c>
      <c r="D425" t="inlineStr">
        <is>
          <t>STOCKHOLMS LÄN</t>
        </is>
      </c>
      <c r="E425" t="inlineStr">
        <is>
          <t>NORRTÄLJE</t>
        </is>
      </c>
      <c r="G425" t="n">
        <v>3.3</v>
      </c>
      <c r="H425" t="n">
        <v>0</v>
      </c>
      <c r="I425" t="n">
        <v>0</v>
      </c>
      <c r="J425" t="n">
        <v>0</v>
      </c>
      <c r="K425" t="n">
        <v>0</v>
      </c>
      <c r="L425" t="n">
        <v>0</v>
      </c>
      <c r="M425" t="n">
        <v>0</v>
      </c>
      <c r="N425" t="n">
        <v>0</v>
      </c>
      <c r="O425" t="n">
        <v>0</v>
      </c>
      <c r="P425" t="n">
        <v>0</v>
      </c>
      <c r="Q425" t="n">
        <v>0</v>
      </c>
      <c r="R425" s="2" t="inlineStr"/>
    </row>
    <row r="426" ht="15" customHeight="1">
      <c r="A426" t="inlineStr">
        <is>
          <t>A 49898-2020</t>
        </is>
      </c>
      <c r="B426" s="1" t="n">
        <v>44108</v>
      </c>
      <c r="C426" s="1" t="n">
        <v>45887</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4322-2023</t>
        </is>
      </c>
      <c r="B427" s="1" t="n">
        <v>44953.69298611111</v>
      </c>
      <c r="C427" s="1" t="n">
        <v>45887</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35916-2024</t>
        </is>
      </c>
      <c r="B428" s="1" t="n">
        <v>45533</v>
      </c>
      <c r="C428" s="1" t="n">
        <v>45887</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38889-2024</t>
        </is>
      </c>
      <c r="B429" s="1" t="n">
        <v>45547</v>
      </c>
      <c r="C429" s="1" t="n">
        <v>45887</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57216-2020</t>
        </is>
      </c>
      <c r="B430" s="1" t="n">
        <v>44139.54078703704</v>
      </c>
      <c r="C430" s="1" t="n">
        <v>45887</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3299-2022</t>
        </is>
      </c>
      <c r="B431" s="1" t="n">
        <v>44584.91001157407</v>
      </c>
      <c r="C431" s="1" t="n">
        <v>45887</v>
      </c>
      <c r="D431" t="inlineStr">
        <is>
          <t>STOCKHOLMS LÄN</t>
        </is>
      </c>
      <c r="E431" t="inlineStr">
        <is>
          <t>NORRTÄLJE</t>
        </is>
      </c>
      <c r="G431" t="n">
        <v>2.7</v>
      </c>
      <c r="H431" t="n">
        <v>0</v>
      </c>
      <c r="I431" t="n">
        <v>0</v>
      </c>
      <c r="J431" t="n">
        <v>0</v>
      </c>
      <c r="K431" t="n">
        <v>0</v>
      </c>
      <c r="L431" t="n">
        <v>0</v>
      </c>
      <c r="M431" t="n">
        <v>0</v>
      </c>
      <c r="N431" t="n">
        <v>0</v>
      </c>
      <c r="O431" t="n">
        <v>0</v>
      </c>
      <c r="P431" t="n">
        <v>0</v>
      </c>
      <c r="Q431" t="n">
        <v>0</v>
      </c>
      <c r="R431" s="2" t="inlineStr"/>
    </row>
    <row r="432" ht="15" customHeight="1">
      <c r="A432" t="inlineStr">
        <is>
          <t>A 42075-2023</t>
        </is>
      </c>
      <c r="B432" s="1" t="n">
        <v>45177</v>
      </c>
      <c r="C432" s="1" t="n">
        <v>45887</v>
      </c>
      <c r="D432" t="inlineStr">
        <is>
          <t>STOCKHOLMS LÄN</t>
        </is>
      </c>
      <c r="E432" t="inlineStr">
        <is>
          <t>NORRTÄLJE</t>
        </is>
      </c>
      <c r="G432" t="n">
        <v>2.5</v>
      </c>
      <c r="H432" t="n">
        <v>0</v>
      </c>
      <c r="I432" t="n">
        <v>0</v>
      </c>
      <c r="J432" t="n">
        <v>0</v>
      </c>
      <c r="K432" t="n">
        <v>0</v>
      </c>
      <c r="L432" t="n">
        <v>0</v>
      </c>
      <c r="M432" t="n">
        <v>0</v>
      </c>
      <c r="N432" t="n">
        <v>0</v>
      </c>
      <c r="O432" t="n">
        <v>0</v>
      </c>
      <c r="P432" t="n">
        <v>0</v>
      </c>
      <c r="Q432" t="n">
        <v>0</v>
      </c>
      <c r="R432" s="2" t="inlineStr"/>
    </row>
    <row r="433" ht="15" customHeight="1">
      <c r="A433" t="inlineStr">
        <is>
          <t>A 10676-2025</t>
        </is>
      </c>
      <c r="B433" s="1" t="n">
        <v>45721.88684027778</v>
      </c>
      <c r="C433" s="1" t="n">
        <v>45887</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62998-2023</t>
        </is>
      </c>
      <c r="B434" s="1" t="n">
        <v>45272.64479166667</v>
      </c>
      <c r="C434" s="1" t="n">
        <v>45887</v>
      </c>
      <c r="D434" t="inlineStr">
        <is>
          <t>STOCKHOLMS LÄN</t>
        </is>
      </c>
      <c r="E434" t="inlineStr">
        <is>
          <t>NORRTÄLJE</t>
        </is>
      </c>
      <c r="G434" t="n">
        <v>16.3</v>
      </c>
      <c r="H434" t="n">
        <v>0</v>
      </c>
      <c r="I434" t="n">
        <v>0</v>
      </c>
      <c r="J434" t="n">
        <v>0</v>
      </c>
      <c r="K434" t="n">
        <v>0</v>
      </c>
      <c r="L434" t="n">
        <v>0</v>
      </c>
      <c r="M434" t="n">
        <v>0</v>
      </c>
      <c r="N434" t="n">
        <v>0</v>
      </c>
      <c r="O434" t="n">
        <v>0</v>
      </c>
      <c r="P434" t="n">
        <v>0</v>
      </c>
      <c r="Q434" t="n">
        <v>0</v>
      </c>
      <c r="R434" s="2" t="inlineStr"/>
    </row>
    <row r="435" ht="15" customHeight="1">
      <c r="A435" t="inlineStr">
        <is>
          <t>A 63015-2023</t>
        </is>
      </c>
      <c r="B435" s="1" t="n">
        <v>45272</v>
      </c>
      <c r="C435" s="1" t="n">
        <v>45887</v>
      </c>
      <c r="D435" t="inlineStr">
        <is>
          <t>STOCKHOLMS LÄN</t>
        </is>
      </c>
      <c r="E435" t="inlineStr">
        <is>
          <t>NORRTÄLJE</t>
        </is>
      </c>
      <c r="G435" t="n">
        <v>13.1</v>
      </c>
      <c r="H435" t="n">
        <v>0</v>
      </c>
      <c r="I435" t="n">
        <v>0</v>
      </c>
      <c r="J435" t="n">
        <v>0</v>
      </c>
      <c r="K435" t="n">
        <v>0</v>
      </c>
      <c r="L435" t="n">
        <v>0</v>
      </c>
      <c r="M435" t="n">
        <v>0</v>
      </c>
      <c r="N435" t="n">
        <v>0</v>
      </c>
      <c r="O435" t="n">
        <v>0</v>
      </c>
      <c r="P435" t="n">
        <v>0</v>
      </c>
      <c r="Q435" t="n">
        <v>0</v>
      </c>
      <c r="R435" s="2" t="inlineStr"/>
    </row>
    <row r="436" ht="15" customHeight="1">
      <c r="A436" t="inlineStr">
        <is>
          <t>A 50154-2024</t>
        </is>
      </c>
      <c r="B436" s="1" t="n">
        <v>45600.4558912037</v>
      </c>
      <c r="C436" s="1" t="n">
        <v>45887</v>
      </c>
      <c r="D436" t="inlineStr">
        <is>
          <t>STOCKHOLMS LÄN</t>
        </is>
      </c>
      <c r="E436" t="inlineStr">
        <is>
          <t>NORRTÄLJE</t>
        </is>
      </c>
      <c r="G436" t="n">
        <v>2.5</v>
      </c>
      <c r="H436" t="n">
        <v>0</v>
      </c>
      <c r="I436" t="n">
        <v>0</v>
      </c>
      <c r="J436" t="n">
        <v>0</v>
      </c>
      <c r="K436" t="n">
        <v>0</v>
      </c>
      <c r="L436" t="n">
        <v>0</v>
      </c>
      <c r="M436" t="n">
        <v>0</v>
      </c>
      <c r="N436" t="n">
        <v>0</v>
      </c>
      <c r="O436" t="n">
        <v>0</v>
      </c>
      <c r="P436" t="n">
        <v>0</v>
      </c>
      <c r="Q436" t="n">
        <v>0</v>
      </c>
      <c r="R436" s="2" t="inlineStr"/>
    </row>
    <row r="437" ht="15" customHeight="1">
      <c r="A437" t="inlineStr">
        <is>
          <t>A 37273-2024</t>
        </is>
      </c>
      <c r="B437" s="1" t="n">
        <v>45540</v>
      </c>
      <c r="C437" s="1" t="n">
        <v>45887</v>
      </c>
      <c r="D437" t="inlineStr">
        <is>
          <t>STOCKHOLMS LÄN</t>
        </is>
      </c>
      <c r="E437" t="inlineStr">
        <is>
          <t>NORRTÄLJE</t>
        </is>
      </c>
      <c r="F437" t="inlineStr">
        <is>
          <t>Sveaskog</t>
        </is>
      </c>
      <c r="G437" t="n">
        <v>12.5</v>
      </c>
      <c r="H437" t="n">
        <v>0</v>
      </c>
      <c r="I437" t="n">
        <v>0</v>
      </c>
      <c r="J437" t="n">
        <v>0</v>
      </c>
      <c r="K437" t="n">
        <v>0</v>
      </c>
      <c r="L437" t="n">
        <v>0</v>
      </c>
      <c r="M437" t="n">
        <v>0</v>
      </c>
      <c r="N437" t="n">
        <v>0</v>
      </c>
      <c r="O437" t="n">
        <v>0</v>
      </c>
      <c r="P437" t="n">
        <v>0</v>
      </c>
      <c r="Q437" t="n">
        <v>0</v>
      </c>
      <c r="R437" s="2" t="inlineStr"/>
    </row>
    <row r="438" ht="15" customHeight="1">
      <c r="A438" t="inlineStr">
        <is>
          <t>A 37550-2022</t>
        </is>
      </c>
      <c r="B438" s="1" t="n">
        <v>44809</v>
      </c>
      <c r="C438" s="1" t="n">
        <v>45887</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12901-2024</t>
        </is>
      </c>
      <c r="B439" s="1" t="n">
        <v>45385.37922453704</v>
      </c>
      <c r="C439" s="1" t="n">
        <v>45887</v>
      </c>
      <c r="D439" t="inlineStr">
        <is>
          <t>STOCKHOLMS LÄN</t>
        </is>
      </c>
      <c r="E439" t="inlineStr">
        <is>
          <t>NORRTÄLJE</t>
        </is>
      </c>
      <c r="G439" t="n">
        <v>2.7</v>
      </c>
      <c r="H439" t="n">
        <v>0</v>
      </c>
      <c r="I439" t="n">
        <v>0</v>
      </c>
      <c r="J439" t="n">
        <v>0</v>
      </c>
      <c r="K439" t="n">
        <v>0</v>
      </c>
      <c r="L439" t="n">
        <v>0</v>
      </c>
      <c r="M439" t="n">
        <v>0</v>
      </c>
      <c r="N439" t="n">
        <v>0</v>
      </c>
      <c r="O439" t="n">
        <v>0</v>
      </c>
      <c r="P439" t="n">
        <v>0</v>
      </c>
      <c r="Q439" t="n">
        <v>0</v>
      </c>
      <c r="R439" s="2" t="inlineStr"/>
    </row>
    <row r="440" ht="15" customHeight="1">
      <c r="A440" t="inlineStr">
        <is>
          <t>A 12301-2025</t>
        </is>
      </c>
      <c r="B440" s="1" t="n">
        <v>45729.7271875</v>
      </c>
      <c r="C440" s="1" t="n">
        <v>45887</v>
      </c>
      <c r="D440" t="inlineStr">
        <is>
          <t>STOCKHOLMS LÄN</t>
        </is>
      </c>
      <c r="E440" t="inlineStr">
        <is>
          <t>NORRTÄLJE</t>
        </is>
      </c>
      <c r="G440" t="n">
        <v>3.2</v>
      </c>
      <c r="H440" t="n">
        <v>0</v>
      </c>
      <c r="I440" t="n">
        <v>0</v>
      </c>
      <c r="J440" t="n">
        <v>0</v>
      </c>
      <c r="K440" t="n">
        <v>0</v>
      </c>
      <c r="L440" t="n">
        <v>0</v>
      </c>
      <c r="M440" t="n">
        <v>0</v>
      </c>
      <c r="N440" t="n">
        <v>0</v>
      </c>
      <c r="O440" t="n">
        <v>0</v>
      </c>
      <c r="P440" t="n">
        <v>0</v>
      </c>
      <c r="Q440" t="n">
        <v>0</v>
      </c>
      <c r="R440" s="2" t="inlineStr"/>
    </row>
    <row r="441" ht="15" customHeight="1">
      <c r="A441" t="inlineStr">
        <is>
          <t>A 47431-2023</t>
        </is>
      </c>
      <c r="B441" s="1" t="n">
        <v>45202</v>
      </c>
      <c r="C441" s="1" t="n">
        <v>45887</v>
      </c>
      <c r="D441" t="inlineStr">
        <is>
          <t>STOCKHOLMS LÄN</t>
        </is>
      </c>
      <c r="E441" t="inlineStr">
        <is>
          <t>NORRTÄLJE</t>
        </is>
      </c>
      <c r="F441" t="inlineStr">
        <is>
          <t>Naturvårdsverket</t>
        </is>
      </c>
      <c r="G441" t="n">
        <v>1.2</v>
      </c>
      <c r="H441" t="n">
        <v>0</v>
      </c>
      <c r="I441" t="n">
        <v>0</v>
      </c>
      <c r="J441" t="n">
        <v>0</v>
      </c>
      <c r="K441" t="n">
        <v>0</v>
      </c>
      <c r="L441" t="n">
        <v>0</v>
      </c>
      <c r="M441" t="n">
        <v>0</v>
      </c>
      <c r="N441" t="n">
        <v>0</v>
      </c>
      <c r="O441" t="n">
        <v>0</v>
      </c>
      <c r="P441" t="n">
        <v>0</v>
      </c>
      <c r="Q441" t="n">
        <v>0</v>
      </c>
      <c r="R441" s="2" t="inlineStr"/>
    </row>
    <row r="442" ht="15" customHeight="1">
      <c r="A442" t="inlineStr">
        <is>
          <t>A 8950-2025</t>
        </is>
      </c>
      <c r="B442" s="1" t="n">
        <v>45713</v>
      </c>
      <c r="C442" s="1" t="n">
        <v>45887</v>
      </c>
      <c r="D442" t="inlineStr">
        <is>
          <t>STOCKHOLMS LÄN</t>
        </is>
      </c>
      <c r="E442" t="inlineStr">
        <is>
          <t>NORRTÄLJE</t>
        </is>
      </c>
      <c r="F442" t="inlineStr">
        <is>
          <t>Övriga Aktiebolag</t>
        </is>
      </c>
      <c r="G442" t="n">
        <v>3.6</v>
      </c>
      <c r="H442" t="n">
        <v>0</v>
      </c>
      <c r="I442" t="n">
        <v>0</v>
      </c>
      <c r="J442" t="n">
        <v>0</v>
      </c>
      <c r="K442" t="n">
        <v>0</v>
      </c>
      <c r="L442" t="n">
        <v>0</v>
      </c>
      <c r="M442" t="n">
        <v>0</v>
      </c>
      <c r="N442" t="n">
        <v>0</v>
      </c>
      <c r="O442" t="n">
        <v>0</v>
      </c>
      <c r="P442" t="n">
        <v>0</v>
      </c>
      <c r="Q442" t="n">
        <v>0</v>
      </c>
      <c r="R442" s="2" t="inlineStr"/>
    </row>
    <row r="443" ht="15" customHeight="1">
      <c r="A443" t="inlineStr">
        <is>
          <t>A 34773-2022</t>
        </is>
      </c>
      <c r="B443" s="1" t="n">
        <v>44795</v>
      </c>
      <c r="C443" s="1" t="n">
        <v>45887</v>
      </c>
      <c r="D443" t="inlineStr">
        <is>
          <t>STOCKHOLMS LÄN</t>
        </is>
      </c>
      <c r="E443" t="inlineStr">
        <is>
          <t>NORRTÄLJE</t>
        </is>
      </c>
      <c r="G443" t="n">
        <v>3.9</v>
      </c>
      <c r="H443" t="n">
        <v>0</v>
      </c>
      <c r="I443" t="n">
        <v>0</v>
      </c>
      <c r="J443" t="n">
        <v>0</v>
      </c>
      <c r="K443" t="n">
        <v>0</v>
      </c>
      <c r="L443" t="n">
        <v>0</v>
      </c>
      <c r="M443" t="n">
        <v>0</v>
      </c>
      <c r="N443" t="n">
        <v>0</v>
      </c>
      <c r="O443" t="n">
        <v>0</v>
      </c>
      <c r="P443" t="n">
        <v>0</v>
      </c>
      <c r="Q443" t="n">
        <v>0</v>
      </c>
      <c r="R443" s="2" t="inlineStr"/>
    </row>
    <row r="444" ht="15" customHeight="1">
      <c r="A444" t="inlineStr">
        <is>
          <t>A 20730-2024</t>
        </is>
      </c>
      <c r="B444" s="1" t="n">
        <v>45436</v>
      </c>
      <c r="C444" s="1" t="n">
        <v>45887</v>
      </c>
      <c r="D444" t="inlineStr">
        <is>
          <t>STOCKHOLMS LÄN</t>
        </is>
      </c>
      <c r="E444" t="inlineStr">
        <is>
          <t>NORRTÄLJE</t>
        </is>
      </c>
      <c r="G444" t="n">
        <v>7.3</v>
      </c>
      <c r="H444" t="n">
        <v>0</v>
      </c>
      <c r="I444" t="n">
        <v>0</v>
      </c>
      <c r="J444" t="n">
        <v>0</v>
      </c>
      <c r="K444" t="n">
        <v>0</v>
      </c>
      <c r="L444" t="n">
        <v>0</v>
      </c>
      <c r="M444" t="n">
        <v>0</v>
      </c>
      <c r="N444" t="n">
        <v>0</v>
      </c>
      <c r="O444" t="n">
        <v>0</v>
      </c>
      <c r="P444" t="n">
        <v>0</v>
      </c>
      <c r="Q444" t="n">
        <v>0</v>
      </c>
      <c r="R444" s="2" t="inlineStr"/>
    </row>
    <row r="445" ht="15" customHeight="1">
      <c r="A445" t="inlineStr">
        <is>
          <t>A 23263-2023</t>
        </is>
      </c>
      <c r="B445" s="1" t="n">
        <v>45075</v>
      </c>
      <c r="C445" s="1" t="n">
        <v>45887</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23264-2023</t>
        </is>
      </c>
      <c r="B446" s="1" t="n">
        <v>45075</v>
      </c>
      <c r="C446" s="1" t="n">
        <v>45887</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23267-2023</t>
        </is>
      </c>
      <c r="B447" s="1" t="n">
        <v>45075.90934027778</v>
      </c>
      <c r="C447" s="1" t="n">
        <v>45887</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33175-2024</t>
        </is>
      </c>
      <c r="B448" s="1" t="n">
        <v>45518</v>
      </c>
      <c r="C448" s="1" t="n">
        <v>45887</v>
      </c>
      <c r="D448" t="inlineStr">
        <is>
          <t>STOCKHOLMS LÄN</t>
        </is>
      </c>
      <c r="E448" t="inlineStr">
        <is>
          <t>NORRTÄLJE</t>
        </is>
      </c>
      <c r="G448" t="n">
        <v>2.1</v>
      </c>
      <c r="H448" t="n">
        <v>0</v>
      </c>
      <c r="I448" t="n">
        <v>0</v>
      </c>
      <c r="J448" t="n">
        <v>0</v>
      </c>
      <c r="K448" t="n">
        <v>0</v>
      </c>
      <c r="L448" t="n">
        <v>0</v>
      </c>
      <c r="M448" t="n">
        <v>0</v>
      </c>
      <c r="N448" t="n">
        <v>0</v>
      </c>
      <c r="O448" t="n">
        <v>0</v>
      </c>
      <c r="P448" t="n">
        <v>0</v>
      </c>
      <c r="Q448" t="n">
        <v>0</v>
      </c>
      <c r="R448" s="2" t="inlineStr"/>
    </row>
    <row r="449" ht="15" customHeight="1">
      <c r="A449" t="inlineStr">
        <is>
          <t>A 13283-2025</t>
        </is>
      </c>
      <c r="B449" s="1" t="n">
        <v>45735</v>
      </c>
      <c r="C449" s="1" t="n">
        <v>45887</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25654-2023</t>
        </is>
      </c>
      <c r="B450" s="1" t="n">
        <v>45089</v>
      </c>
      <c r="C450" s="1" t="n">
        <v>45887</v>
      </c>
      <c r="D450" t="inlineStr">
        <is>
          <t>STOCKHOLMS LÄN</t>
        </is>
      </c>
      <c r="E450" t="inlineStr">
        <is>
          <t>NORRTÄLJE</t>
        </is>
      </c>
      <c r="G450" t="n">
        <v>2.1</v>
      </c>
      <c r="H450" t="n">
        <v>0</v>
      </c>
      <c r="I450" t="n">
        <v>0</v>
      </c>
      <c r="J450" t="n">
        <v>0</v>
      </c>
      <c r="K450" t="n">
        <v>0</v>
      </c>
      <c r="L450" t="n">
        <v>0</v>
      </c>
      <c r="M450" t="n">
        <v>0</v>
      </c>
      <c r="N450" t="n">
        <v>0</v>
      </c>
      <c r="O450" t="n">
        <v>0</v>
      </c>
      <c r="P450" t="n">
        <v>0</v>
      </c>
      <c r="Q450" t="n">
        <v>0</v>
      </c>
      <c r="R450" s="2" t="inlineStr"/>
    </row>
    <row r="451" ht="15" customHeight="1">
      <c r="A451" t="inlineStr">
        <is>
          <t>A 27831-2024</t>
        </is>
      </c>
      <c r="B451" s="1" t="n">
        <v>45475.61896990741</v>
      </c>
      <c r="C451" s="1" t="n">
        <v>45887</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23262-2023</t>
        </is>
      </c>
      <c r="B452" s="1" t="n">
        <v>45075.90270833333</v>
      </c>
      <c r="C452" s="1" t="n">
        <v>45887</v>
      </c>
      <c r="D452" t="inlineStr">
        <is>
          <t>STOCKHOLMS LÄN</t>
        </is>
      </c>
      <c r="E452" t="inlineStr">
        <is>
          <t>NORRTÄLJE</t>
        </is>
      </c>
      <c r="F452" t="inlineStr">
        <is>
          <t>Kommuner</t>
        </is>
      </c>
      <c r="G452" t="n">
        <v>1.9</v>
      </c>
      <c r="H452" t="n">
        <v>0</v>
      </c>
      <c r="I452" t="n">
        <v>0</v>
      </c>
      <c r="J452" t="n">
        <v>0</v>
      </c>
      <c r="K452" t="n">
        <v>0</v>
      </c>
      <c r="L452" t="n">
        <v>0</v>
      </c>
      <c r="M452" t="n">
        <v>0</v>
      </c>
      <c r="N452" t="n">
        <v>0</v>
      </c>
      <c r="O452" t="n">
        <v>0</v>
      </c>
      <c r="P452" t="n">
        <v>0</v>
      </c>
      <c r="Q452" t="n">
        <v>0</v>
      </c>
      <c r="R452" s="2" t="inlineStr"/>
    </row>
    <row r="453" ht="15" customHeight="1">
      <c r="A453" t="inlineStr">
        <is>
          <t>A 47758-2023</t>
        </is>
      </c>
      <c r="B453" s="1" t="n">
        <v>45203.83891203703</v>
      </c>
      <c r="C453" s="1" t="n">
        <v>45887</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48151-2024</t>
        </is>
      </c>
      <c r="B454" s="1" t="n">
        <v>45589.68289351852</v>
      </c>
      <c r="C454" s="1" t="n">
        <v>45887</v>
      </c>
      <c r="D454" t="inlineStr">
        <is>
          <t>STOCKHOLMS LÄN</t>
        </is>
      </c>
      <c r="E454" t="inlineStr">
        <is>
          <t>NORRTÄLJE</t>
        </is>
      </c>
      <c r="G454" t="n">
        <v>1.6</v>
      </c>
      <c r="H454" t="n">
        <v>0</v>
      </c>
      <c r="I454" t="n">
        <v>0</v>
      </c>
      <c r="J454" t="n">
        <v>0</v>
      </c>
      <c r="K454" t="n">
        <v>0</v>
      </c>
      <c r="L454" t="n">
        <v>0</v>
      </c>
      <c r="M454" t="n">
        <v>0</v>
      </c>
      <c r="N454" t="n">
        <v>0</v>
      </c>
      <c r="O454" t="n">
        <v>0</v>
      </c>
      <c r="P454" t="n">
        <v>0</v>
      </c>
      <c r="Q454" t="n">
        <v>0</v>
      </c>
      <c r="R454" s="2" t="inlineStr"/>
    </row>
    <row r="455" ht="15" customHeight="1">
      <c r="A455" t="inlineStr">
        <is>
          <t>A 23268-2023</t>
        </is>
      </c>
      <c r="B455" s="1" t="n">
        <v>45075.91042824074</v>
      </c>
      <c r="C455" s="1" t="n">
        <v>45887</v>
      </c>
      <c r="D455" t="inlineStr">
        <is>
          <t>STOCKHOLMS LÄN</t>
        </is>
      </c>
      <c r="E455" t="inlineStr">
        <is>
          <t>NORRTÄLJE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23270-2023</t>
        </is>
      </c>
      <c r="B456" s="1" t="n">
        <v>45075.91265046296</v>
      </c>
      <c r="C456" s="1" t="n">
        <v>45887</v>
      </c>
      <c r="D456" t="inlineStr">
        <is>
          <t>STOCKHOLMS LÄN</t>
        </is>
      </c>
      <c r="E456" t="inlineStr">
        <is>
          <t>NORRTÄLJE</t>
        </is>
      </c>
      <c r="G456" t="n">
        <v>12.3</v>
      </c>
      <c r="H456" t="n">
        <v>0</v>
      </c>
      <c r="I456" t="n">
        <v>0</v>
      </c>
      <c r="J456" t="n">
        <v>0</v>
      </c>
      <c r="K456" t="n">
        <v>0</v>
      </c>
      <c r="L456" t="n">
        <v>0</v>
      </c>
      <c r="M456" t="n">
        <v>0</v>
      </c>
      <c r="N456" t="n">
        <v>0</v>
      </c>
      <c r="O456" t="n">
        <v>0</v>
      </c>
      <c r="P456" t="n">
        <v>0</v>
      </c>
      <c r="Q456" t="n">
        <v>0</v>
      </c>
      <c r="R456" s="2" t="inlineStr"/>
    </row>
    <row r="457" ht="15" customHeight="1">
      <c r="A457" t="inlineStr">
        <is>
          <t>A 23274-2023</t>
        </is>
      </c>
      <c r="B457" s="1" t="n">
        <v>45075.92153935185</v>
      </c>
      <c r="C457" s="1" t="n">
        <v>45887</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21803-2022</t>
        </is>
      </c>
      <c r="B458" s="1" t="n">
        <v>44708.67822916667</v>
      </c>
      <c r="C458" s="1" t="n">
        <v>45887</v>
      </c>
      <c r="D458" t="inlineStr">
        <is>
          <t>STOCKHOLMS LÄN</t>
        </is>
      </c>
      <c r="E458" t="inlineStr">
        <is>
          <t>NORRTÄLJE</t>
        </is>
      </c>
      <c r="G458" t="n">
        <v>1.8</v>
      </c>
      <c r="H458" t="n">
        <v>0</v>
      </c>
      <c r="I458" t="n">
        <v>0</v>
      </c>
      <c r="J458" t="n">
        <v>0</v>
      </c>
      <c r="K458" t="n">
        <v>0</v>
      </c>
      <c r="L458" t="n">
        <v>0</v>
      </c>
      <c r="M458" t="n">
        <v>0</v>
      </c>
      <c r="N458" t="n">
        <v>0</v>
      </c>
      <c r="O458" t="n">
        <v>0</v>
      </c>
      <c r="P458" t="n">
        <v>0</v>
      </c>
      <c r="Q458" t="n">
        <v>0</v>
      </c>
      <c r="R458" s="2" t="inlineStr"/>
    </row>
    <row r="459" ht="15" customHeight="1">
      <c r="A459" t="inlineStr">
        <is>
          <t>A 5831-2022</t>
        </is>
      </c>
      <c r="B459" s="1" t="n">
        <v>44596</v>
      </c>
      <c r="C459" s="1" t="n">
        <v>45887</v>
      </c>
      <c r="D459" t="inlineStr">
        <is>
          <t>STOCKHOLMS LÄN</t>
        </is>
      </c>
      <c r="E459" t="inlineStr">
        <is>
          <t>NORRTÄLJE</t>
        </is>
      </c>
      <c r="G459" t="n">
        <v>4.8</v>
      </c>
      <c r="H459" t="n">
        <v>0</v>
      </c>
      <c r="I459" t="n">
        <v>0</v>
      </c>
      <c r="J459" t="n">
        <v>0</v>
      </c>
      <c r="K459" t="n">
        <v>0</v>
      </c>
      <c r="L459" t="n">
        <v>0</v>
      </c>
      <c r="M459" t="n">
        <v>0</v>
      </c>
      <c r="N459" t="n">
        <v>0</v>
      </c>
      <c r="O459" t="n">
        <v>0</v>
      </c>
      <c r="P459" t="n">
        <v>0</v>
      </c>
      <c r="Q459" t="n">
        <v>0</v>
      </c>
      <c r="R459" s="2" t="inlineStr"/>
    </row>
    <row r="460" ht="15" customHeight="1">
      <c r="A460" t="inlineStr">
        <is>
          <t>A 33279-2025</t>
        </is>
      </c>
      <c r="B460" s="1" t="n">
        <v>45840.70885416667</v>
      </c>
      <c r="C460" s="1" t="n">
        <v>45887</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24687-2025</t>
        </is>
      </c>
      <c r="B461" s="1" t="n">
        <v>45798.66767361111</v>
      </c>
      <c r="C461" s="1" t="n">
        <v>45887</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22359-2025</t>
        </is>
      </c>
      <c r="B462" s="1" t="n">
        <v>45786</v>
      </c>
      <c r="C462" s="1" t="n">
        <v>45887</v>
      </c>
      <c r="D462" t="inlineStr">
        <is>
          <t>STOCKHOLMS LÄN</t>
        </is>
      </c>
      <c r="E462" t="inlineStr">
        <is>
          <t>NORRTÄLJE</t>
        </is>
      </c>
      <c r="G462" t="n">
        <v>5</v>
      </c>
      <c r="H462" t="n">
        <v>0</v>
      </c>
      <c r="I462" t="n">
        <v>0</v>
      </c>
      <c r="J462" t="n">
        <v>0</v>
      </c>
      <c r="K462" t="n">
        <v>0</v>
      </c>
      <c r="L462" t="n">
        <v>0</v>
      </c>
      <c r="M462" t="n">
        <v>0</v>
      </c>
      <c r="N462" t="n">
        <v>0</v>
      </c>
      <c r="O462" t="n">
        <v>0</v>
      </c>
      <c r="P462" t="n">
        <v>0</v>
      </c>
      <c r="Q462" t="n">
        <v>0</v>
      </c>
      <c r="R462" s="2" t="inlineStr"/>
    </row>
    <row r="463" ht="15" customHeight="1">
      <c r="A463" t="inlineStr">
        <is>
          <t>A 58853-2024</t>
        </is>
      </c>
      <c r="B463" s="1" t="n">
        <v>45636.38974537037</v>
      </c>
      <c r="C463" s="1" t="n">
        <v>45887</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24690-2025</t>
        </is>
      </c>
      <c r="B464" s="1" t="n">
        <v>45798.67082175926</v>
      </c>
      <c r="C464" s="1" t="n">
        <v>45887</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24638-2025</t>
        </is>
      </c>
      <c r="B465" s="1" t="n">
        <v>45798</v>
      </c>
      <c r="C465" s="1" t="n">
        <v>45887</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24683-2025</t>
        </is>
      </c>
      <c r="B466" s="1" t="n">
        <v>45798.66104166667</v>
      </c>
      <c r="C466" s="1" t="n">
        <v>45887</v>
      </c>
      <c r="D466" t="inlineStr">
        <is>
          <t>STOCKHOLMS LÄN</t>
        </is>
      </c>
      <c r="E466" t="inlineStr">
        <is>
          <t>NORRTÄLJE</t>
        </is>
      </c>
      <c r="G466" t="n">
        <v>7.9</v>
      </c>
      <c r="H466" t="n">
        <v>0</v>
      </c>
      <c r="I466" t="n">
        <v>0</v>
      </c>
      <c r="J466" t="n">
        <v>0</v>
      </c>
      <c r="K466" t="n">
        <v>0</v>
      </c>
      <c r="L466" t="n">
        <v>0</v>
      </c>
      <c r="M466" t="n">
        <v>0</v>
      </c>
      <c r="N466" t="n">
        <v>0</v>
      </c>
      <c r="O466" t="n">
        <v>0</v>
      </c>
      <c r="P466" t="n">
        <v>0</v>
      </c>
      <c r="Q466" t="n">
        <v>0</v>
      </c>
      <c r="R466" s="2" t="inlineStr"/>
    </row>
    <row r="467" ht="15" customHeight="1">
      <c r="A467" t="inlineStr">
        <is>
          <t>A 24351-2025</t>
        </is>
      </c>
      <c r="B467" s="1" t="n">
        <v>45797.58399305555</v>
      </c>
      <c r="C467" s="1" t="n">
        <v>45887</v>
      </c>
      <c r="D467" t="inlineStr">
        <is>
          <t>STOCKHOLMS LÄN</t>
        </is>
      </c>
      <c r="E467" t="inlineStr">
        <is>
          <t>NORRTÄLJE</t>
        </is>
      </c>
      <c r="G467" t="n">
        <v>1.5</v>
      </c>
      <c r="H467" t="n">
        <v>0</v>
      </c>
      <c r="I467" t="n">
        <v>0</v>
      </c>
      <c r="J467" t="n">
        <v>0</v>
      </c>
      <c r="K467" t="n">
        <v>0</v>
      </c>
      <c r="L467" t="n">
        <v>0</v>
      </c>
      <c r="M467" t="n">
        <v>0</v>
      </c>
      <c r="N467" t="n">
        <v>0</v>
      </c>
      <c r="O467" t="n">
        <v>0</v>
      </c>
      <c r="P467" t="n">
        <v>0</v>
      </c>
      <c r="Q467" t="n">
        <v>0</v>
      </c>
      <c r="R467" s="2" t="inlineStr"/>
    </row>
    <row r="468" ht="15" customHeight="1">
      <c r="A468" t="inlineStr">
        <is>
          <t>A 59712-2024</t>
        </is>
      </c>
      <c r="B468" s="1" t="n">
        <v>45639.45166666667</v>
      </c>
      <c r="C468" s="1" t="n">
        <v>45887</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24350-2025</t>
        </is>
      </c>
      <c r="B469" s="1" t="n">
        <v>45797.58350694444</v>
      </c>
      <c r="C469" s="1" t="n">
        <v>45887</v>
      </c>
      <c r="D469" t="inlineStr">
        <is>
          <t>STOCKHOLMS LÄN</t>
        </is>
      </c>
      <c r="E469" t="inlineStr">
        <is>
          <t>NORRTÄLJE</t>
        </is>
      </c>
      <c r="G469" t="n">
        <v>4.5</v>
      </c>
      <c r="H469" t="n">
        <v>0</v>
      </c>
      <c r="I469" t="n">
        <v>0</v>
      </c>
      <c r="J469" t="n">
        <v>0</v>
      </c>
      <c r="K469" t="n">
        <v>0</v>
      </c>
      <c r="L469" t="n">
        <v>0</v>
      </c>
      <c r="M469" t="n">
        <v>0</v>
      </c>
      <c r="N469" t="n">
        <v>0</v>
      </c>
      <c r="O469" t="n">
        <v>0</v>
      </c>
      <c r="P469" t="n">
        <v>0</v>
      </c>
      <c r="Q469" t="n">
        <v>0</v>
      </c>
      <c r="R469" s="2" t="inlineStr"/>
    </row>
    <row r="470" ht="15" customHeight="1">
      <c r="A470" t="inlineStr">
        <is>
          <t>A 59721-2024</t>
        </is>
      </c>
      <c r="B470" s="1" t="n">
        <v>45639.47385416667</v>
      </c>
      <c r="C470" s="1" t="n">
        <v>45887</v>
      </c>
      <c r="D470" t="inlineStr">
        <is>
          <t>STOCKHOLMS LÄN</t>
        </is>
      </c>
      <c r="E470" t="inlineStr">
        <is>
          <t>NORRTÄLJE</t>
        </is>
      </c>
      <c r="G470" t="n">
        <v>4.6</v>
      </c>
      <c r="H470" t="n">
        <v>0</v>
      </c>
      <c r="I470" t="n">
        <v>0</v>
      </c>
      <c r="J470" t="n">
        <v>0</v>
      </c>
      <c r="K470" t="n">
        <v>0</v>
      </c>
      <c r="L470" t="n">
        <v>0</v>
      </c>
      <c r="M470" t="n">
        <v>0</v>
      </c>
      <c r="N470" t="n">
        <v>0</v>
      </c>
      <c r="O470" t="n">
        <v>0</v>
      </c>
      <c r="P470" t="n">
        <v>0</v>
      </c>
      <c r="Q470" t="n">
        <v>0</v>
      </c>
      <c r="R470" s="2" t="inlineStr"/>
    </row>
    <row r="471" ht="15" customHeight="1">
      <c r="A471" t="inlineStr">
        <is>
          <t>A 28603-2024</t>
        </is>
      </c>
      <c r="B471" s="1" t="n">
        <v>45478.42887731481</v>
      </c>
      <c r="C471" s="1" t="n">
        <v>45887</v>
      </c>
      <c r="D471" t="inlineStr">
        <is>
          <t>STOCKHOLMS LÄN</t>
        </is>
      </c>
      <c r="E471" t="inlineStr">
        <is>
          <t>NORRTÄLJE</t>
        </is>
      </c>
      <c r="G471" t="n">
        <v>5.6</v>
      </c>
      <c r="H471" t="n">
        <v>0</v>
      </c>
      <c r="I471" t="n">
        <v>0</v>
      </c>
      <c r="J471" t="n">
        <v>0</v>
      </c>
      <c r="K471" t="n">
        <v>0</v>
      </c>
      <c r="L471" t="n">
        <v>0</v>
      </c>
      <c r="M471" t="n">
        <v>0</v>
      </c>
      <c r="N471" t="n">
        <v>0</v>
      </c>
      <c r="O471" t="n">
        <v>0</v>
      </c>
      <c r="P471" t="n">
        <v>0</v>
      </c>
      <c r="Q471" t="n">
        <v>0</v>
      </c>
      <c r="R471" s="2" t="inlineStr"/>
    </row>
    <row r="472" ht="15" customHeight="1">
      <c r="A472" t="inlineStr">
        <is>
          <t>A 60884-2024</t>
        </is>
      </c>
      <c r="B472" s="1" t="n">
        <v>45644.90815972222</v>
      </c>
      <c r="C472" s="1" t="n">
        <v>45887</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25702-2025</t>
        </is>
      </c>
      <c r="B473" s="1" t="n">
        <v>45800</v>
      </c>
      <c r="C473" s="1" t="n">
        <v>45887</v>
      </c>
      <c r="D473" t="inlineStr">
        <is>
          <t>STOCKHOLMS LÄN</t>
        </is>
      </c>
      <c r="E473" t="inlineStr">
        <is>
          <t>NORRTÄLJE</t>
        </is>
      </c>
      <c r="G473" t="n">
        <v>5.3</v>
      </c>
      <c r="H473" t="n">
        <v>0</v>
      </c>
      <c r="I473" t="n">
        <v>0</v>
      </c>
      <c r="J473" t="n">
        <v>0</v>
      </c>
      <c r="K473" t="n">
        <v>0</v>
      </c>
      <c r="L473" t="n">
        <v>0</v>
      </c>
      <c r="M473" t="n">
        <v>0</v>
      </c>
      <c r="N473" t="n">
        <v>0</v>
      </c>
      <c r="O473" t="n">
        <v>0</v>
      </c>
      <c r="P473" t="n">
        <v>0</v>
      </c>
      <c r="Q473" t="n">
        <v>0</v>
      </c>
      <c r="R473" s="2" t="inlineStr"/>
    </row>
    <row r="474" ht="15" customHeight="1">
      <c r="A474" t="inlineStr">
        <is>
          <t>A 23150-2024</t>
        </is>
      </c>
      <c r="B474" s="1" t="n">
        <v>45450.64643518518</v>
      </c>
      <c r="C474" s="1" t="n">
        <v>45887</v>
      </c>
      <c r="D474" t="inlineStr">
        <is>
          <t>STOCKHOLMS LÄN</t>
        </is>
      </c>
      <c r="E474" t="inlineStr">
        <is>
          <t>NORRTÄLJE</t>
        </is>
      </c>
      <c r="F474" t="inlineStr">
        <is>
          <t>Kommuner</t>
        </is>
      </c>
      <c r="G474" t="n">
        <v>2.7</v>
      </c>
      <c r="H474" t="n">
        <v>0</v>
      </c>
      <c r="I474" t="n">
        <v>0</v>
      </c>
      <c r="J474" t="n">
        <v>0</v>
      </c>
      <c r="K474" t="n">
        <v>0</v>
      </c>
      <c r="L474" t="n">
        <v>0</v>
      </c>
      <c r="M474" t="n">
        <v>0</v>
      </c>
      <c r="N474" t="n">
        <v>0</v>
      </c>
      <c r="O474" t="n">
        <v>0</v>
      </c>
      <c r="P474" t="n">
        <v>0</v>
      </c>
      <c r="Q474" t="n">
        <v>0</v>
      </c>
      <c r="R474" s="2" t="inlineStr"/>
    </row>
    <row r="475" ht="15" customHeight="1">
      <c r="A475" t="inlineStr">
        <is>
          <t>A 59878-2024</t>
        </is>
      </c>
      <c r="B475" s="1" t="n">
        <v>45640.60240740741</v>
      </c>
      <c r="C475" s="1" t="n">
        <v>45887</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25709-2025</t>
        </is>
      </c>
      <c r="B476" s="1" t="n">
        <v>45800</v>
      </c>
      <c r="C476" s="1" t="n">
        <v>45887</v>
      </c>
      <c r="D476" t="inlineStr">
        <is>
          <t>STOCKHOLMS LÄN</t>
        </is>
      </c>
      <c r="E476" t="inlineStr">
        <is>
          <t>NORRTÄLJE</t>
        </is>
      </c>
      <c r="G476" t="n">
        <v>4.6</v>
      </c>
      <c r="H476" t="n">
        <v>0</v>
      </c>
      <c r="I476" t="n">
        <v>0</v>
      </c>
      <c r="J476" t="n">
        <v>0</v>
      </c>
      <c r="K476" t="n">
        <v>0</v>
      </c>
      <c r="L476" t="n">
        <v>0</v>
      </c>
      <c r="M476" t="n">
        <v>0</v>
      </c>
      <c r="N476" t="n">
        <v>0</v>
      </c>
      <c r="O476" t="n">
        <v>0</v>
      </c>
      <c r="P476" t="n">
        <v>0</v>
      </c>
      <c r="Q476" t="n">
        <v>0</v>
      </c>
      <c r="R476" s="2" t="inlineStr"/>
    </row>
    <row r="477" ht="15" customHeight="1">
      <c r="A477" t="inlineStr">
        <is>
          <t>A 25721-2025</t>
        </is>
      </c>
      <c r="B477" s="1" t="n">
        <v>45800</v>
      </c>
      <c r="C477" s="1" t="n">
        <v>45887</v>
      </c>
      <c r="D477" t="inlineStr">
        <is>
          <t>STOCKHOLMS LÄN</t>
        </is>
      </c>
      <c r="E477" t="inlineStr">
        <is>
          <t>NORRTÄLJE</t>
        </is>
      </c>
      <c r="G477" t="n">
        <v>6</v>
      </c>
      <c r="H477" t="n">
        <v>0</v>
      </c>
      <c r="I477" t="n">
        <v>0</v>
      </c>
      <c r="J477" t="n">
        <v>0</v>
      </c>
      <c r="K477" t="n">
        <v>0</v>
      </c>
      <c r="L477" t="n">
        <v>0</v>
      </c>
      <c r="M477" t="n">
        <v>0</v>
      </c>
      <c r="N477" t="n">
        <v>0</v>
      </c>
      <c r="O477" t="n">
        <v>0</v>
      </c>
      <c r="P477" t="n">
        <v>0</v>
      </c>
      <c r="Q477" t="n">
        <v>0</v>
      </c>
      <c r="R477" s="2" t="inlineStr"/>
    </row>
    <row r="478" ht="15" customHeight="1">
      <c r="A478" t="inlineStr">
        <is>
          <t>A 50182-2024</t>
        </is>
      </c>
      <c r="B478" s="1" t="n">
        <v>45600.47275462963</v>
      </c>
      <c r="C478" s="1" t="n">
        <v>45887</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2549-2022</t>
        </is>
      </c>
      <c r="B479" s="1" t="n">
        <v>44580</v>
      </c>
      <c r="C479" s="1" t="n">
        <v>45887</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24835-2025</t>
        </is>
      </c>
      <c r="B480" s="1" t="n">
        <v>45799</v>
      </c>
      <c r="C480" s="1" t="n">
        <v>45887</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31140-2023</t>
        </is>
      </c>
      <c r="B481" s="1" t="n">
        <v>45113</v>
      </c>
      <c r="C481" s="1" t="n">
        <v>45887</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31149-2023</t>
        </is>
      </c>
      <c r="B482" s="1" t="n">
        <v>45113</v>
      </c>
      <c r="C482" s="1" t="n">
        <v>45887</v>
      </c>
      <c r="D482" t="inlineStr">
        <is>
          <t>STOCKHOLMS LÄN</t>
        </is>
      </c>
      <c r="E482" t="inlineStr">
        <is>
          <t>NORRTÄLJE</t>
        </is>
      </c>
      <c r="G482" t="n">
        <v>7.1</v>
      </c>
      <c r="H482" t="n">
        <v>0</v>
      </c>
      <c r="I482" t="n">
        <v>0</v>
      </c>
      <c r="J482" t="n">
        <v>0</v>
      </c>
      <c r="K482" t="n">
        <v>0</v>
      </c>
      <c r="L482" t="n">
        <v>0</v>
      </c>
      <c r="M482" t="n">
        <v>0</v>
      </c>
      <c r="N482" t="n">
        <v>0</v>
      </c>
      <c r="O482" t="n">
        <v>0</v>
      </c>
      <c r="P482" t="n">
        <v>0</v>
      </c>
      <c r="Q482" t="n">
        <v>0</v>
      </c>
      <c r="R482" s="2" t="inlineStr"/>
    </row>
    <row r="483" ht="15" customHeight="1">
      <c r="A483" t="inlineStr">
        <is>
          <t>A 16835-2022</t>
        </is>
      </c>
      <c r="B483" s="1" t="n">
        <v>44673</v>
      </c>
      <c r="C483" s="1" t="n">
        <v>45887</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25733-2025</t>
        </is>
      </c>
      <c r="B484" s="1" t="n">
        <v>45800</v>
      </c>
      <c r="C484" s="1" t="n">
        <v>45887</v>
      </c>
      <c r="D484" t="inlineStr">
        <is>
          <t>STOCKHOLMS LÄN</t>
        </is>
      </c>
      <c r="E484" t="inlineStr">
        <is>
          <t>NORRTÄLJE</t>
        </is>
      </c>
      <c r="G484" t="n">
        <v>2.2</v>
      </c>
      <c r="H484" t="n">
        <v>0</v>
      </c>
      <c r="I484" t="n">
        <v>0</v>
      </c>
      <c r="J484" t="n">
        <v>0</v>
      </c>
      <c r="K484" t="n">
        <v>0</v>
      </c>
      <c r="L484" t="n">
        <v>0</v>
      </c>
      <c r="M484" t="n">
        <v>0</v>
      </c>
      <c r="N484" t="n">
        <v>0</v>
      </c>
      <c r="O484" t="n">
        <v>0</v>
      </c>
      <c r="P484" t="n">
        <v>0</v>
      </c>
      <c r="Q484" t="n">
        <v>0</v>
      </c>
      <c r="R484" s="2" t="inlineStr"/>
    </row>
    <row r="485" ht="15" customHeight="1">
      <c r="A485" t="inlineStr">
        <is>
          <t>A 25725-2025</t>
        </is>
      </c>
      <c r="B485" s="1" t="n">
        <v>45800</v>
      </c>
      <c r="C485" s="1" t="n">
        <v>45887</v>
      </c>
      <c r="D485" t="inlineStr">
        <is>
          <t>STOCKHOLMS LÄN</t>
        </is>
      </c>
      <c r="E485" t="inlineStr">
        <is>
          <t>NORRTÄLJE</t>
        </is>
      </c>
      <c r="G485" t="n">
        <v>5.2</v>
      </c>
      <c r="H485" t="n">
        <v>0</v>
      </c>
      <c r="I485" t="n">
        <v>0</v>
      </c>
      <c r="J485" t="n">
        <v>0</v>
      </c>
      <c r="K485" t="n">
        <v>0</v>
      </c>
      <c r="L485" t="n">
        <v>0</v>
      </c>
      <c r="M485" t="n">
        <v>0</v>
      </c>
      <c r="N485" t="n">
        <v>0</v>
      </c>
      <c r="O485" t="n">
        <v>0</v>
      </c>
      <c r="P485" t="n">
        <v>0</v>
      </c>
      <c r="Q485" t="n">
        <v>0</v>
      </c>
      <c r="R485" s="2" t="inlineStr"/>
    </row>
    <row r="486" ht="15" customHeight="1">
      <c r="A486" t="inlineStr">
        <is>
          <t>A 13701-2022</t>
        </is>
      </c>
      <c r="B486" s="1" t="n">
        <v>44648</v>
      </c>
      <c r="C486" s="1" t="n">
        <v>45887</v>
      </c>
      <c r="D486" t="inlineStr">
        <is>
          <t>STOCKHOLMS LÄN</t>
        </is>
      </c>
      <c r="E486" t="inlineStr">
        <is>
          <t>NORRTÄLJE</t>
        </is>
      </c>
      <c r="G486" t="n">
        <v>1.6</v>
      </c>
      <c r="H486" t="n">
        <v>0</v>
      </c>
      <c r="I486" t="n">
        <v>0</v>
      </c>
      <c r="J486" t="n">
        <v>0</v>
      </c>
      <c r="K486" t="n">
        <v>0</v>
      </c>
      <c r="L486" t="n">
        <v>0</v>
      </c>
      <c r="M486" t="n">
        <v>0</v>
      </c>
      <c r="N486" t="n">
        <v>0</v>
      </c>
      <c r="O486" t="n">
        <v>0</v>
      </c>
      <c r="P486" t="n">
        <v>0</v>
      </c>
      <c r="Q486" t="n">
        <v>0</v>
      </c>
      <c r="R486" s="2" t="inlineStr"/>
    </row>
    <row r="487" ht="15" customHeight="1">
      <c r="A487" t="inlineStr">
        <is>
          <t>A 25571-2025</t>
        </is>
      </c>
      <c r="B487" s="1" t="n">
        <v>45803.4675</v>
      </c>
      <c r="C487" s="1" t="n">
        <v>45887</v>
      </c>
      <c r="D487" t="inlineStr">
        <is>
          <t>STOCKHOLMS LÄN</t>
        </is>
      </c>
      <c r="E487" t="inlineStr">
        <is>
          <t>NORRTÄLJE</t>
        </is>
      </c>
      <c r="G487" t="n">
        <v>5.4</v>
      </c>
      <c r="H487" t="n">
        <v>0</v>
      </c>
      <c r="I487" t="n">
        <v>0</v>
      </c>
      <c r="J487" t="n">
        <v>0</v>
      </c>
      <c r="K487" t="n">
        <v>0</v>
      </c>
      <c r="L487" t="n">
        <v>0</v>
      </c>
      <c r="M487" t="n">
        <v>0</v>
      </c>
      <c r="N487" t="n">
        <v>0</v>
      </c>
      <c r="O487" t="n">
        <v>0</v>
      </c>
      <c r="P487" t="n">
        <v>0</v>
      </c>
      <c r="Q487" t="n">
        <v>0</v>
      </c>
      <c r="R487" s="2" t="inlineStr"/>
    </row>
    <row r="488" ht="15" customHeight="1">
      <c r="A488" t="inlineStr">
        <is>
          <t>A 13089-2022</t>
        </is>
      </c>
      <c r="B488" s="1" t="n">
        <v>44643</v>
      </c>
      <c r="C488" s="1" t="n">
        <v>45887</v>
      </c>
      <c r="D488" t="inlineStr">
        <is>
          <t>STOCKHOLMS LÄN</t>
        </is>
      </c>
      <c r="E488" t="inlineStr">
        <is>
          <t>NORRTÄLJE</t>
        </is>
      </c>
      <c r="G488" t="n">
        <v>4.5</v>
      </c>
      <c r="H488" t="n">
        <v>0</v>
      </c>
      <c r="I488" t="n">
        <v>0</v>
      </c>
      <c r="J488" t="n">
        <v>0</v>
      </c>
      <c r="K488" t="n">
        <v>0</v>
      </c>
      <c r="L488" t="n">
        <v>0</v>
      </c>
      <c r="M488" t="n">
        <v>0</v>
      </c>
      <c r="N488" t="n">
        <v>0</v>
      </c>
      <c r="O488" t="n">
        <v>0</v>
      </c>
      <c r="P488" t="n">
        <v>0</v>
      </c>
      <c r="Q488" t="n">
        <v>0</v>
      </c>
      <c r="R488" s="2" t="inlineStr"/>
    </row>
    <row r="489" ht="15" customHeight="1">
      <c r="A489" t="inlineStr">
        <is>
          <t>A 53561-2023</t>
        </is>
      </c>
      <c r="B489" s="1" t="n">
        <v>45224</v>
      </c>
      <c r="C489" s="1" t="n">
        <v>45887</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25270-2025</t>
        </is>
      </c>
      <c r="B490" s="1" t="n">
        <v>45800</v>
      </c>
      <c r="C490" s="1" t="n">
        <v>45887</v>
      </c>
      <c r="D490" t="inlineStr">
        <is>
          <t>STOCKHOLMS LÄN</t>
        </is>
      </c>
      <c r="E490" t="inlineStr">
        <is>
          <t>NORRTÄLJE</t>
        </is>
      </c>
      <c r="F490" t="inlineStr">
        <is>
          <t>Övriga Aktiebolag</t>
        </is>
      </c>
      <c r="G490" t="n">
        <v>30</v>
      </c>
      <c r="H490" t="n">
        <v>0</v>
      </c>
      <c r="I490" t="n">
        <v>0</v>
      </c>
      <c r="J490" t="n">
        <v>0</v>
      </c>
      <c r="K490" t="n">
        <v>0</v>
      </c>
      <c r="L490" t="n">
        <v>0</v>
      </c>
      <c r="M490" t="n">
        <v>0</v>
      </c>
      <c r="N490" t="n">
        <v>0</v>
      </c>
      <c r="O490" t="n">
        <v>0</v>
      </c>
      <c r="P490" t="n">
        <v>0</v>
      </c>
      <c r="Q490" t="n">
        <v>0</v>
      </c>
      <c r="R490" s="2" t="inlineStr"/>
    </row>
    <row r="491" ht="15" customHeight="1">
      <c r="A491" t="inlineStr">
        <is>
          <t>A 25712-2025</t>
        </is>
      </c>
      <c r="B491" s="1" t="n">
        <v>45803.69228009259</v>
      </c>
      <c r="C491" s="1" t="n">
        <v>45887</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41218-2024</t>
        </is>
      </c>
      <c r="B492" s="1" t="n">
        <v>45559.54706018518</v>
      </c>
      <c r="C492" s="1" t="n">
        <v>45887</v>
      </c>
      <c r="D492" t="inlineStr">
        <is>
          <t>STOCKHOLMS LÄN</t>
        </is>
      </c>
      <c r="E492" t="inlineStr">
        <is>
          <t>NORRTÄLJE</t>
        </is>
      </c>
      <c r="G492" t="n">
        <v>6</v>
      </c>
      <c r="H492" t="n">
        <v>0</v>
      </c>
      <c r="I492" t="n">
        <v>0</v>
      </c>
      <c r="J492" t="n">
        <v>0</v>
      </c>
      <c r="K492" t="n">
        <v>0</v>
      </c>
      <c r="L492" t="n">
        <v>0</v>
      </c>
      <c r="M492" t="n">
        <v>0</v>
      </c>
      <c r="N492" t="n">
        <v>0</v>
      </c>
      <c r="O492" t="n">
        <v>0</v>
      </c>
      <c r="P492" t="n">
        <v>0</v>
      </c>
      <c r="Q492" t="n">
        <v>0</v>
      </c>
      <c r="R492" s="2" t="inlineStr"/>
    </row>
    <row r="493" ht="15" customHeight="1">
      <c r="A493" t="inlineStr">
        <is>
          <t>A 5732-2023</t>
        </is>
      </c>
      <c r="B493" s="1" t="n">
        <v>44962</v>
      </c>
      <c r="C493" s="1" t="n">
        <v>45887</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25609-2023</t>
        </is>
      </c>
      <c r="B494" s="1" t="n">
        <v>45089</v>
      </c>
      <c r="C494" s="1" t="n">
        <v>45887</v>
      </c>
      <c r="D494" t="inlineStr">
        <is>
          <t>STOCKHOLMS LÄN</t>
        </is>
      </c>
      <c r="E494" t="inlineStr">
        <is>
          <t>NORRTÄLJE</t>
        </is>
      </c>
      <c r="G494" t="n">
        <v>2.5</v>
      </c>
      <c r="H494" t="n">
        <v>0</v>
      </c>
      <c r="I494" t="n">
        <v>0</v>
      </c>
      <c r="J494" t="n">
        <v>0</v>
      </c>
      <c r="K494" t="n">
        <v>0</v>
      </c>
      <c r="L494" t="n">
        <v>0</v>
      </c>
      <c r="M494" t="n">
        <v>0</v>
      </c>
      <c r="N494" t="n">
        <v>0</v>
      </c>
      <c r="O494" t="n">
        <v>0</v>
      </c>
      <c r="P494" t="n">
        <v>0</v>
      </c>
      <c r="Q494" t="n">
        <v>0</v>
      </c>
      <c r="R494" s="2" t="inlineStr"/>
    </row>
    <row r="495" ht="15" customHeight="1">
      <c r="A495" t="inlineStr">
        <is>
          <t>A 26051-2025</t>
        </is>
      </c>
      <c r="B495" s="1" t="n">
        <v>45804.74479166666</v>
      </c>
      <c r="C495" s="1" t="n">
        <v>45887</v>
      </c>
      <c r="D495" t="inlineStr">
        <is>
          <t>STOCKHOLMS LÄN</t>
        </is>
      </c>
      <c r="E495" t="inlineStr">
        <is>
          <t>NORRTÄLJE</t>
        </is>
      </c>
      <c r="G495" t="n">
        <v>3.2</v>
      </c>
      <c r="H495" t="n">
        <v>0</v>
      </c>
      <c r="I495" t="n">
        <v>0</v>
      </c>
      <c r="J495" t="n">
        <v>0</v>
      </c>
      <c r="K495" t="n">
        <v>0</v>
      </c>
      <c r="L495" t="n">
        <v>0</v>
      </c>
      <c r="M495" t="n">
        <v>0</v>
      </c>
      <c r="N495" t="n">
        <v>0</v>
      </c>
      <c r="O495" t="n">
        <v>0</v>
      </c>
      <c r="P495" t="n">
        <v>0</v>
      </c>
      <c r="Q495" t="n">
        <v>0</v>
      </c>
      <c r="R495" s="2" t="inlineStr"/>
    </row>
    <row r="496" ht="15" customHeight="1">
      <c r="A496" t="inlineStr">
        <is>
          <t>A 39238-2024</t>
        </is>
      </c>
      <c r="B496" s="1" t="n">
        <v>45549</v>
      </c>
      <c r="C496" s="1" t="n">
        <v>45887</v>
      </c>
      <c r="D496" t="inlineStr">
        <is>
          <t>STOCKHOLMS LÄN</t>
        </is>
      </c>
      <c r="E496" t="inlineStr">
        <is>
          <t>NORRTÄLJE</t>
        </is>
      </c>
      <c r="G496" t="n">
        <v>3.6</v>
      </c>
      <c r="H496" t="n">
        <v>0</v>
      </c>
      <c r="I496" t="n">
        <v>0</v>
      </c>
      <c r="J496" t="n">
        <v>0</v>
      </c>
      <c r="K496" t="n">
        <v>0</v>
      </c>
      <c r="L496" t="n">
        <v>0</v>
      </c>
      <c r="M496" t="n">
        <v>0</v>
      </c>
      <c r="N496" t="n">
        <v>0</v>
      </c>
      <c r="O496" t="n">
        <v>0</v>
      </c>
      <c r="P496" t="n">
        <v>0</v>
      </c>
      <c r="Q496" t="n">
        <v>0</v>
      </c>
      <c r="R496" s="2" t="inlineStr"/>
    </row>
    <row r="497" ht="15" customHeight="1">
      <c r="A497" t="inlineStr">
        <is>
          <t>A 38449-2022</t>
        </is>
      </c>
      <c r="B497" s="1" t="n">
        <v>44813</v>
      </c>
      <c r="C497" s="1" t="n">
        <v>45887</v>
      </c>
      <c r="D497" t="inlineStr">
        <is>
          <t>STOCKHOLMS LÄN</t>
        </is>
      </c>
      <c r="E497" t="inlineStr">
        <is>
          <t>NORRTÄLJE</t>
        </is>
      </c>
      <c r="G497" t="n">
        <v>4.2</v>
      </c>
      <c r="H497" t="n">
        <v>0</v>
      </c>
      <c r="I497" t="n">
        <v>0</v>
      </c>
      <c r="J497" t="n">
        <v>0</v>
      </c>
      <c r="K497" t="n">
        <v>0</v>
      </c>
      <c r="L497" t="n">
        <v>0</v>
      </c>
      <c r="M497" t="n">
        <v>0</v>
      </c>
      <c r="N497" t="n">
        <v>0</v>
      </c>
      <c r="O497" t="n">
        <v>0</v>
      </c>
      <c r="P497" t="n">
        <v>0</v>
      </c>
      <c r="Q497" t="n">
        <v>0</v>
      </c>
      <c r="R497" s="2" t="inlineStr"/>
    </row>
    <row r="498" ht="15" customHeight="1">
      <c r="A498" t="inlineStr">
        <is>
          <t>A 38759-2022</t>
        </is>
      </c>
      <c r="B498" s="1" t="n">
        <v>44816</v>
      </c>
      <c r="C498" s="1" t="n">
        <v>45887</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23998-2024</t>
        </is>
      </c>
      <c r="B499" s="1" t="n">
        <v>45456</v>
      </c>
      <c r="C499" s="1" t="n">
        <v>45887</v>
      </c>
      <c r="D499" t="inlineStr">
        <is>
          <t>STOCKHOLMS LÄN</t>
        </is>
      </c>
      <c r="E499" t="inlineStr">
        <is>
          <t>NORRTÄLJE</t>
        </is>
      </c>
      <c r="G499" t="n">
        <v>2.3</v>
      </c>
      <c r="H499" t="n">
        <v>0</v>
      </c>
      <c r="I499" t="n">
        <v>0</v>
      </c>
      <c r="J499" t="n">
        <v>0</v>
      </c>
      <c r="K499" t="n">
        <v>0</v>
      </c>
      <c r="L499" t="n">
        <v>0</v>
      </c>
      <c r="M499" t="n">
        <v>0</v>
      </c>
      <c r="N499" t="n">
        <v>0</v>
      </c>
      <c r="O499" t="n">
        <v>0</v>
      </c>
      <c r="P499" t="n">
        <v>0</v>
      </c>
      <c r="Q499" t="n">
        <v>0</v>
      </c>
      <c r="R499" s="2" t="inlineStr"/>
    </row>
    <row r="500" ht="15" customHeight="1">
      <c r="A500" t="inlineStr">
        <is>
          <t>A 25697-2025</t>
        </is>
      </c>
      <c r="B500" s="1" t="n">
        <v>45803.66587962963</v>
      </c>
      <c r="C500" s="1" t="n">
        <v>45887</v>
      </c>
      <c r="D500" t="inlineStr">
        <is>
          <t>STOCKHOLMS LÄN</t>
        </is>
      </c>
      <c r="E500" t="inlineStr">
        <is>
          <t>NORRTÄLJE</t>
        </is>
      </c>
      <c r="G500" t="n">
        <v>2.5</v>
      </c>
      <c r="H500" t="n">
        <v>0</v>
      </c>
      <c r="I500" t="n">
        <v>0</v>
      </c>
      <c r="J500" t="n">
        <v>0</v>
      </c>
      <c r="K500" t="n">
        <v>0</v>
      </c>
      <c r="L500" t="n">
        <v>0</v>
      </c>
      <c r="M500" t="n">
        <v>0</v>
      </c>
      <c r="N500" t="n">
        <v>0</v>
      </c>
      <c r="O500" t="n">
        <v>0</v>
      </c>
      <c r="P500" t="n">
        <v>0</v>
      </c>
      <c r="Q500" t="n">
        <v>0</v>
      </c>
      <c r="R500" s="2" t="inlineStr"/>
    </row>
    <row r="501" ht="15" customHeight="1">
      <c r="A501" t="inlineStr">
        <is>
          <t>A 54504-2024</t>
        </is>
      </c>
      <c r="B501" s="1" t="n">
        <v>45617.58453703704</v>
      </c>
      <c r="C501" s="1" t="n">
        <v>45887</v>
      </c>
      <c r="D501" t="inlineStr">
        <is>
          <t>STOCKHOLMS LÄN</t>
        </is>
      </c>
      <c r="E501" t="inlineStr">
        <is>
          <t>NORRTÄLJE</t>
        </is>
      </c>
      <c r="G501" t="n">
        <v>3.4</v>
      </c>
      <c r="H501" t="n">
        <v>0</v>
      </c>
      <c r="I501" t="n">
        <v>0</v>
      </c>
      <c r="J501" t="n">
        <v>0</v>
      </c>
      <c r="K501" t="n">
        <v>0</v>
      </c>
      <c r="L501" t="n">
        <v>0</v>
      </c>
      <c r="M501" t="n">
        <v>0</v>
      </c>
      <c r="N501" t="n">
        <v>0</v>
      </c>
      <c r="O501" t="n">
        <v>0</v>
      </c>
      <c r="P501" t="n">
        <v>0</v>
      </c>
      <c r="Q501" t="n">
        <v>0</v>
      </c>
      <c r="R501" s="2" t="inlineStr"/>
    </row>
    <row r="502" ht="15" customHeight="1">
      <c r="A502" t="inlineStr">
        <is>
          <t>A 32595-2023</t>
        </is>
      </c>
      <c r="B502" s="1" t="n">
        <v>45121</v>
      </c>
      <c r="C502" s="1" t="n">
        <v>45887</v>
      </c>
      <c r="D502" t="inlineStr">
        <is>
          <t>STOCKHOLMS LÄN</t>
        </is>
      </c>
      <c r="E502" t="inlineStr">
        <is>
          <t>NORRTÄLJE</t>
        </is>
      </c>
      <c r="G502" t="n">
        <v>2.4</v>
      </c>
      <c r="H502" t="n">
        <v>0</v>
      </c>
      <c r="I502" t="n">
        <v>0</v>
      </c>
      <c r="J502" t="n">
        <v>0</v>
      </c>
      <c r="K502" t="n">
        <v>0</v>
      </c>
      <c r="L502" t="n">
        <v>0</v>
      </c>
      <c r="M502" t="n">
        <v>0</v>
      </c>
      <c r="N502" t="n">
        <v>0</v>
      </c>
      <c r="O502" t="n">
        <v>0</v>
      </c>
      <c r="P502" t="n">
        <v>0</v>
      </c>
      <c r="Q502" t="n">
        <v>0</v>
      </c>
      <c r="R502" s="2" t="inlineStr"/>
    </row>
    <row r="503" ht="15" customHeight="1">
      <c r="A503" t="inlineStr">
        <is>
          <t>A 34006-2025</t>
        </is>
      </c>
      <c r="B503" s="1" t="n">
        <v>45844.62609953704</v>
      </c>
      <c r="C503" s="1" t="n">
        <v>45887</v>
      </c>
      <c r="D503" t="inlineStr">
        <is>
          <t>STOCKHOLMS LÄN</t>
        </is>
      </c>
      <c r="E503" t="inlineStr">
        <is>
          <t>NORRTÄLJE</t>
        </is>
      </c>
      <c r="G503" t="n">
        <v>2.3</v>
      </c>
      <c r="H503" t="n">
        <v>0</v>
      </c>
      <c r="I503" t="n">
        <v>0</v>
      </c>
      <c r="J503" t="n">
        <v>0</v>
      </c>
      <c r="K503" t="n">
        <v>0</v>
      </c>
      <c r="L503" t="n">
        <v>0</v>
      </c>
      <c r="M503" t="n">
        <v>0</v>
      </c>
      <c r="N503" t="n">
        <v>0</v>
      </c>
      <c r="O503" t="n">
        <v>0</v>
      </c>
      <c r="P503" t="n">
        <v>0</v>
      </c>
      <c r="Q503" t="n">
        <v>0</v>
      </c>
      <c r="R503" s="2" t="inlineStr"/>
    </row>
    <row r="504" ht="15" customHeight="1">
      <c r="A504" t="inlineStr">
        <is>
          <t>A 11332-2025</t>
        </is>
      </c>
      <c r="B504" s="1" t="n">
        <v>45726.48152777777</v>
      </c>
      <c r="C504" s="1" t="n">
        <v>45887</v>
      </c>
      <c r="D504" t="inlineStr">
        <is>
          <t>STOCKHOLMS LÄN</t>
        </is>
      </c>
      <c r="E504" t="inlineStr">
        <is>
          <t>NORRTÄLJE</t>
        </is>
      </c>
      <c r="G504" t="n">
        <v>4.6</v>
      </c>
      <c r="H504" t="n">
        <v>0</v>
      </c>
      <c r="I504" t="n">
        <v>0</v>
      </c>
      <c r="J504" t="n">
        <v>0</v>
      </c>
      <c r="K504" t="n">
        <v>0</v>
      </c>
      <c r="L504" t="n">
        <v>0</v>
      </c>
      <c r="M504" t="n">
        <v>0</v>
      </c>
      <c r="N504" t="n">
        <v>0</v>
      </c>
      <c r="O504" t="n">
        <v>0</v>
      </c>
      <c r="P504" t="n">
        <v>0</v>
      </c>
      <c r="Q504" t="n">
        <v>0</v>
      </c>
      <c r="R504" s="2" t="inlineStr"/>
    </row>
    <row r="505" ht="15" customHeight="1">
      <c r="A505" t="inlineStr">
        <is>
          <t>A 47259-2024</t>
        </is>
      </c>
      <c r="B505" s="1" t="n">
        <v>45586</v>
      </c>
      <c r="C505" s="1" t="n">
        <v>45887</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34010-2025</t>
        </is>
      </c>
      <c r="B506" s="1" t="n">
        <v>45844.91234953704</v>
      </c>
      <c r="C506" s="1" t="n">
        <v>45887</v>
      </c>
      <c r="D506" t="inlineStr">
        <is>
          <t>STOCKHOLMS LÄN</t>
        </is>
      </c>
      <c r="E506" t="inlineStr">
        <is>
          <t>NORRTÄLJE</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33569-2023</t>
        </is>
      </c>
      <c r="B507" s="1" t="n">
        <v>45131.666875</v>
      </c>
      <c r="C507" s="1" t="n">
        <v>45887</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50569-2022</t>
        </is>
      </c>
      <c r="B508" s="1" t="n">
        <v>44866.63775462963</v>
      </c>
      <c r="C508" s="1" t="n">
        <v>45887</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13718-2022</t>
        </is>
      </c>
      <c r="B509" s="1" t="n">
        <v>44649</v>
      </c>
      <c r="C509" s="1" t="n">
        <v>45887</v>
      </c>
      <c r="D509" t="inlineStr">
        <is>
          <t>STOCKHOLMS LÄN</t>
        </is>
      </c>
      <c r="E509" t="inlineStr">
        <is>
          <t>NORRTÄLJE</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61363-2020</t>
        </is>
      </c>
      <c r="B510" s="1" t="n">
        <v>44155.69458333333</v>
      </c>
      <c r="C510" s="1" t="n">
        <v>45887</v>
      </c>
      <c r="D510" t="inlineStr">
        <is>
          <t>STOCKHOLMS LÄN</t>
        </is>
      </c>
      <c r="E510" t="inlineStr">
        <is>
          <t>NORRTÄLJE</t>
        </is>
      </c>
      <c r="G510" t="n">
        <v>2.3</v>
      </c>
      <c r="H510" t="n">
        <v>0</v>
      </c>
      <c r="I510" t="n">
        <v>0</v>
      </c>
      <c r="J510" t="n">
        <v>0</v>
      </c>
      <c r="K510" t="n">
        <v>0</v>
      </c>
      <c r="L510" t="n">
        <v>0</v>
      </c>
      <c r="M510" t="n">
        <v>0</v>
      </c>
      <c r="N510" t="n">
        <v>0</v>
      </c>
      <c r="O510" t="n">
        <v>0</v>
      </c>
      <c r="P510" t="n">
        <v>0</v>
      </c>
      <c r="Q510" t="n">
        <v>0</v>
      </c>
      <c r="R510" s="2" t="inlineStr"/>
    </row>
    <row r="511" ht="15" customHeight="1">
      <c r="A511" t="inlineStr">
        <is>
          <t>A 34478-2025</t>
        </is>
      </c>
      <c r="B511" s="1" t="n">
        <v>45847.37414351852</v>
      </c>
      <c r="C511" s="1" t="n">
        <v>45887</v>
      </c>
      <c r="D511" t="inlineStr">
        <is>
          <t>STOCKHOLMS LÄN</t>
        </is>
      </c>
      <c r="E511" t="inlineStr">
        <is>
          <t>NORRTÄLJE</t>
        </is>
      </c>
      <c r="F511" t="inlineStr">
        <is>
          <t>Övriga Aktiebolag</t>
        </is>
      </c>
      <c r="G511" t="n">
        <v>10.8</v>
      </c>
      <c r="H511" t="n">
        <v>0</v>
      </c>
      <c r="I511" t="n">
        <v>0</v>
      </c>
      <c r="J511" t="n">
        <v>0</v>
      </c>
      <c r="K511" t="n">
        <v>0</v>
      </c>
      <c r="L511" t="n">
        <v>0</v>
      </c>
      <c r="M511" t="n">
        <v>0</v>
      </c>
      <c r="N511" t="n">
        <v>0</v>
      </c>
      <c r="O511" t="n">
        <v>0</v>
      </c>
      <c r="P511" t="n">
        <v>0</v>
      </c>
      <c r="Q511" t="n">
        <v>0</v>
      </c>
      <c r="R511" s="2" t="inlineStr"/>
    </row>
    <row r="512" ht="15" customHeight="1">
      <c r="A512" t="inlineStr">
        <is>
          <t>A 22833-2024</t>
        </is>
      </c>
      <c r="B512" s="1" t="n">
        <v>45448.56746527777</v>
      </c>
      <c r="C512" s="1" t="n">
        <v>45887</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60224-2023</t>
        </is>
      </c>
      <c r="B513" s="1" t="n">
        <v>45257</v>
      </c>
      <c r="C513" s="1" t="n">
        <v>45887</v>
      </c>
      <c r="D513" t="inlineStr">
        <is>
          <t>STOCKHOLMS LÄN</t>
        </is>
      </c>
      <c r="E513" t="inlineStr">
        <is>
          <t>NORRTÄLJE</t>
        </is>
      </c>
      <c r="G513" t="n">
        <v>8.1</v>
      </c>
      <c r="H513" t="n">
        <v>0</v>
      </c>
      <c r="I513" t="n">
        <v>0</v>
      </c>
      <c r="J513" t="n">
        <v>0</v>
      </c>
      <c r="K513" t="n">
        <v>0</v>
      </c>
      <c r="L513" t="n">
        <v>0</v>
      </c>
      <c r="M513" t="n">
        <v>0</v>
      </c>
      <c r="N513" t="n">
        <v>0</v>
      </c>
      <c r="O513" t="n">
        <v>0</v>
      </c>
      <c r="P513" t="n">
        <v>0</v>
      </c>
      <c r="Q513" t="n">
        <v>0</v>
      </c>
      <c r="R513" s="2" t="inlineStr"/>
    </row>
    <row r="514" ht="15" customHeight="1">
      <c r="A514" t="inlineStr">
        <is>
          <t>A 17785-2024</t>
        </is>
      </c>
      <c r="B514" s="1" t="n">
        <v>45418.6968287037</v>
      </c>
      <c r="C514" s="1" t="n">
        <v>45887</v>
      </c>
      <c r="D514" t="inlineStr">
        <is>
          <t>STOCKHOLMS LÄN</t>
        </is>
      </c>
      <c r="E514" t="inlineStr">
        <is>
          <t>NORRTÄLJE</t>
        </is>
      </c>
      <c r="G514" t="n">
        <v>1</v>
      </c>
      <c r="H514" t="n">
        <v>0</v>
      </c>
      <c r="I514" t="n">
        <v>0</v>
      </c>
      <c r="J514" t="n">
        <v>0</v>
      </c>
      <c r="K514" t="n">
        <v>0</v>
      </c>
      <c r="L514" t="n">
        <v>0</v>
      </c>
      <c r="M514" t="n">
        <v>0</v>
      </c>
      <c r="N514" t="n">
        <v>0</v>
      </c>
      <c r="O514" t="n">
        <v>0</v>
      </c>
      <c r="P514" t="n">
        <v>0</v>
      </c>
      <c r="Q514" t="n">
        <v>0</v>
      </c>
      <c r="R514" s="2" t="inlineStr"/>
    </row>
    <row r="515" ht="15" customHeight="1">
      <c r="A515" t="inlineStr">
        <is>
          <t>A 54259-2023</t>
        </is>
      </c>
      <c r="B515" s="1" t="n">
        <v>45232</v>
      </c>
      <c r="C515" s="1" t="n">
        <v>45887</v>
      </c>
      <c r="D515" t="inlineStr">
        <is>
          <t>STOCKHOLMS LÄN</t>
        </is>
      </c>
      <c r="E515" t="inlineStr">
        <is>
          <t>NORRTÄLJE</t>
        </is>
      </c>
      <c r="G515" t="n">
        <v>1</v>
      </c>
      <c r="H515" t="n">
        <v>0</v>
      </c>
      <c r="I515" t="n">
        <v>0</v>
      </c>
      <c r="J515" t="n">
        <v>0</v>
      </c>
      <c r="K515" t="n">
        <v>0</v>
      </c>
      <c r="L515" t="n">
        <v>0</v>
      </c>
      <c r="M515" t="n">
        <v>0</v>
      </c>
      <c r="N515" t="n">
        <v>0</v>
      </c>
      <c r="O515" t="n">
        <v>0</v>
      </c>
      <c r="P515" t="n">
        <v>0</v>
      </c>
      <c r="Q515" t="n">
        <v>0</v>
      </c>
      <c r="R515" s="2" t="inlineStr"/>
    </row>
    <row r="516" ht="15" customHeight="1">
      <c r="A516" t="inlineStr">
        <is>
          <t>A 34528-2025</t>
        </is>
      </c>
      <c r="B516" s="1" t="n">
        <v>45847.48436342592</v>
      </c>
      <c r="C516" s="1" t="n">
        <v>45887</v>
      </c>
      <c r="D516" t="inlineStr">
        <is>
          <t>STOCKHOLMS LÄN</t>
        </is>
      </c>
      <c r="E516" t="inlineStr">
        <is>
          <t>NORRTÄLJE</t>
        </is>
      </c>
      <c r="G516" t="n">
        <v>1</v>
      </c>
      <c r="H516" t="n">
        <v>0</v>
      </c>
      <c r="I516" t="n">
        <v>0</v>
      </c>
      <c r="J516" t="n">
        <v>0</v>
      </c>
      <c r="K516" t="n">
        <v>0</v>
      </c>
      <c r="L516" t="n">
        <v>0</v>
      </c>
      <c r="M516" t="n">
        <v>0</v>
      </c>
      <c r="N516" t="n">
        <v>0</v>
      </c>
      <c r="O516" t="n">
        <v>0</v>
      </c>
      <c r="P516" t="n">
        <v>0</v>
      </c>
      <c r="Q516" t="n">
        <v>0</v>
      </c>
      <c r="R516" s="2" t="inlineStr"/>
    </row>
    <row r="517" ht="15" customHeight="1">
      <c r="A517" t="inlineStr">
        <is>
          <t>A 13171-2025</t>
        </is>
      </c>
      <c r="B517" s="1" t="n">
        <v>45735.36594907408</v>
      </c>
      <c r="C517" s="1" t="n">
        <v>45887</v>
      </c>
      <c r="D517" t="inlineStr">
        <is>
          <t>STOCKHOLMS LÄN</t>
        </is>
      </c>
      <c r="E517" t="inlineStr">
        <is>
          <t>NORRTÄLJE</t>
        </is>
      </c>
      <c r="G517" t="n">
        <v>5.1</v>
      </c>
      <c r="H517" t="n">
        <v>0</v>
      </c>
      <c r="I517" t="n">
        <v>0</v>
      </c>
      <c r="J517" t="n">
        <v>0</v>
      </c>
      <c r="K517" t="n">
        <v>0</v>
      </c>
      <c r="L517" t="n">
        <v>0</v>
      </c>
      <c r="M517" t="n">
        <v>0</v>
      </c>
      <c r="N517" t="n">
        <v>0</v>
      </c>
      <c r="O517" t="n">
        <v>0</v>
      </c>
      <c r="P517" t="n">
        <v>0</v>
      </c>
      <c r="Q517" t="n">
        <v>0</v>
      </c>
      <c r="R517" s="2" t="inlineStr"/>
    </row>
    <row r="518" ht="15" customHeight="1">
      <c r="A518" t="inlineStr">
        <is>
          <t>A 12299-2025</t>
        </is>
      </c>
      <c r="B518" s="1" t="n">
        <v>45729.71065972222</v>
      </c>
      <c r="C518" s="1" t="n">
        <v>45887</v>
      </c>
      <c r="D518" t="inlineStr">
        <is>
          <t>STOCKHOLMS LÄN</t>
        </is>
      </c>
      <c r="E518" t="inlineStr">
        <is>
          <t>NORRTÄLJE</t>
        </is>
      </c>
      <c r="F518" t="inlineStr">
        <is>
          <t>Holmen skog AB</t>
        </is>
      </c>
      <c r="G518" t="n">
        <v>6.9</v>
      </c>
      <c r="H518" t="n">
        <v>0</v>
      </c>
      <c r="I518" t="n">
        <v>0</v>
      </c>
      <c r="J518" t="n">
        <v>0</v>
      </c>
      <c r="K518" t="n">
        <v>0</v>
      </c>
      <c r="L518" t="n">
        <v>0</v>
      </c>
      <c r="M518" t="n">
        <v>0</v>
      </c>
      <c r="N518" t="n">
        <v>0</v>
      </c>
      <c r="O518" t="n">
        <v>0</v>
      </c>
      <c r="P518" t="n">
        <v>0</v>
      </c>
      <c r="Q518" t="n">
        <v>0</v>
      </c>
      <c r="R518" s="2" t="inlineStr"/>
    </row>
    <row r="519" ht="15" customHeight="1">
      <c r="A519" t="inlineStr">
        <is>
          <t>A 11900-2024</t>
        </is>
      </c>
      <c r="B519" s="1" t="n">
        <v>45376.55484953704</v>
      </c>
      <c r="C519" s="1" t="n">
        <v>45887</v>
      </c>
      <c r="D519" t="inlineStr">
        <is>
          <t>STOCKHOLMS LÄN</t>
        </is>
      </c>
      <c r="E519" t="inlineStr">
        <is>
          <t>NORRTÄLJE</t>
        </is>
      </c>
      <c r="G519" t="n">
        <v>4.2</v>
      </c>
      <c r="H519" t="n">
        <v>0</v>
      </c>
      <c r="I519" t="n">
        <v>0</v>
      </c>
      <c r="J519" t="n">
        <v>0</v>
      </c>
      <c r="K519" t="n">
        <v>0</v>
      </c>
      <c r="L519" t="n">
        <v>0</v>
      </c>
      <c r="M519" t="n">
        <v>0</v>
      </c>
      <c r="N519" t="n">
        <v>0</v>
      </c>
      <c r="O519" t="n">
        <v>0</v>
      </c>
      <c r="P519" t="n">
        <v>0</v>
      </c>
      <c r="Q519" t="n">
        <v>0</v>
      </c>
      <c r="R519" s="2" t="inlineStr"/>
    </row>
    <row r="520" ht="15" customHeight="1">
      <c r="A520" t="inlineStr">
        <is>
          <t>A 29684-2021</t>
        </is>
      </c>
      <c r="B520" s="1" t="n">
        <v>44362.37172453704</v>
      </c>
      <c r="C520" s="1" t="n">
        <v>45887</v>
      </c>
      <c r="D520" t="inlineStr">
        <is>
          <t>STOCKHOLMS LÄN</t>
        </is>
      </c>
      <c r="E520" t="inlineStr">
        <is>
          <t>NORRTÄLJE</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39854-2022</t>
        </is>
      </c>
      <c r="B521" s="1" t="n">
        <v>44819</v>
      </c>
      <c r="C521" s="1" t="n">
        <v>45887</v>
      </c>
      <c r="D521" t="inlineStr">
        <is>
          <t>STOCKHOLMS LÄN</t>
        </is>
      </c>
      <c r="E521" t="inlineStr">
        <is>
          <t>NORRTÄLJE</t>
        </is>
      </c>
      <c r="G521" t="n">
        <v>4.4</v>
      </c>
      <c r="H521" t="n">
        <v>0</v>
      </c>
      <c r="I521" t="n">
        <v>0</v>
      </c>
      <c r="J521" t="n">
        <v>0</v>
      </c>
      <c r="K521" t="n">
        <v>0</v>
      </c>
      <c r="L521" t="n">
        <v>0</v>
      </c>
      <c r="M521" t="n">
        <v>0</v>
      </c>
      <c r="N521" t="n">
        <v>0</v>
      </c>
      <c r="O521" t="n">
        <v>0</v>
      </c>
      <c r="P521" t="n">
        <v>0</v>
      </c>
      <c r="Q521" t="n">
        <v>0</v>
      </c>
      <c r="R521" s="2" t="inlineStr"/>
    </row>
    <row r="522" ht="15" customHeight="1">
      <c r="A522" t="inlineStr">
        <is>
          <t>A 21386-2023</t>
        </is>
      </c>
      <c r="B522" s="1" t="n">
        <v>45063.35880787037</v>
      </c>
      <c r="C522" s="1" t="n">
        <v>45887</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13137-2024</t>
        </is>
      </c>
      <c r="B523" s="1" t="n">
        <v>45386.34175925926</v>
      </c>
      <c r="C523" s="1" t="n">
        <v>45887</v>
      </c>
      <c r="D523" t="inlineStr">
        <is>
          <t>STOCKHOLMS LÄN</t>
        </is>
      </c>
      <c r="E523" t="inlineStr">
        <is>
          <t>NORRTÄLJE</t>
        </is>
      </c>
      <c r="G523" t="n">
        <v>5</v>
      </c>
      <c r="H523" t="n">
        <v>0</v>
      </c>
      <c r="I523" t="n">
        <v>0</v>
      </c>
      <c r="J523" t="n">
        <v>0</v>
      </c>
      <c r="K523" t="n">
        <v>0</v>
      </c>
      <c r="L523" t="n">
        <v>0</v>
      </c>
      <c r="M523" t="n">
        <v>0</v>
      </c>
      <c r="N523" t="n">
        <v>0</v>
      </c>
      <c r="O523" t="n">
        <v>0</v>
      </c>
      <c r="P523" t="n">
        <v>0</v>
      </c>
      <c r="Q523" t="n">
        <v>0</v>
      </c>
      <c r="R523" s="2" t="inlineStr"/>
    </row>
    <row r="524" ht="15" customHeight="1">
      <c r="A524" t="inlineStr">
        <is>
          <t>A 4593-2023</t>
        </is>
      </c>
      <c r="B524" s="1" t="n">
        <v>44956</v>
      </c>
      <c r="C524" s="1" t="n">
        <v>45887</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43300-2023</t>
        </is>
      </c>
      <c r="B525" s="1" t="n">
        <v>45183</v>
      </c>
      <c r="C525" s="1" t="n">
        <v>45887</v>
      </c>
      <c r="D525" t="inlineStr">
        <is>
          <t>STOCKHOLMS LÄN</t>
        </is>
      </c>
      <c r="E525" t="inlineStr">
        <is>
          <t>NORRTÄLJE</t>
        </is>
      </c>
      <c r="G525" t="n">
        <v>2.3</v>
      </c>
      <c r="H525" t="n">
        <v>0</v>
      </c>
      <c r="I525" t="n">
        <v>0</v>
      </c>
      <c r="J525" t="n">
        <v>0</v>
      </c>
      <c r="K525" t="n">
        <v>0</v>
      </c>
      <c r="L525" t="n">
        <v>0</v>
      </c>
      <c r="M525" t="n">
        <v>0</v>
      </c>
      <c r="N525" t="n">
        <v>0</v>
      </c>
      <c r="O525" t="n">
        <v>0</v>
      </c>
      <c r="P525" t="n">
        <v>0</v>
      </c>
      <c r="Q525" t="n">
        <v>0</v>
      </c>
      <c r="R525" s="2" t="inlineStr"/>
    </row>
    <row r="526" ht="15" customHeight="1">
      <c r="A526" t="inlineStr">
        <is>
          <t>A 13276-2022</t>
        </is>
      </c>
      <c r="B526" s="1" t="n">
        <v>44644</v>
      </c>
      <c r="C526" s="1" t="n">
        <v>45887</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54396-2021</t>
        </is>
      </c>
      <c r="B527" s="1" t="n">
        <v>44472</v>
      </c>
      <c r="C527" s="1" t="n">
        <v>45887</v>
      </c>
      <c r="D527" t="inlineStr">
        <is>
          <t>STOCKHOLMS LÄN</t>
        </is>
      </c>
      <c r="E527" t="inlineStr">
        <is>
          <t>NORRTÄLJE</t>
        </is>
      </c>
      <c r="G527" t="n">
        <v>2.6</v>
      </c>
      <c r="H527" t="n">
        <v>0</v>
      </c>
      <c r="I527" t="n">
        <v>0</v>
      </c>
      <c r="J527" t="n">
        <v>0</v>
      </c>
      <c r="K527" t="n">
        <v>0</v>
      </c>
      <c r="L527" t="n">
        <v>0</v>
      </c>
      <c r="M527" t="n">
        <v>0</v>
      </c>
      <c r="N527" t="n">
        <v>0</v>
      </c>
      <c r="O527" t="n">
        <v>0</v>
      </c>
      <c r="P527" t="n">
        <v>0</v>
      </c>
      <c r="Q527" t="n">
        <v>0</v>
      </c>
      <c r="R527" s="2" t="inlineStr"/>
    </row>
    <row r="528" ht="15" customHeight="1">
      <c r="A528" t="inlineStr">
        <is>
          <t>A 32071-2023</t>
        </is>
      </c>
      <c r="B528" s="1" t="n">
        <v>45119.57728009259</v>
      </c>
      <c r="C528" s="1" t="n">
        <v>45887</v>
      </c>
      <c r="D528" t="inlineStr">
        <is>
          <t>STOCKHOLMS LÄN</t>
        </is>
      </c>
      <c r="E528" t="inlineStr">
        <is>
          <t>NORRTÄLJE</t>
        </is>
      </c>
      <c r="G528" t="n">
        <v>6.5</v>
      </c>
      <c r="H528" t="n">
        <v>0</v>
      </c>
      <c r="I528" t="n">
        <v>0</v>
      </c>
      <c r="J528" t="n">
        <v>0</v>
      </c>
      <c r="K528" t="n">
        <v>0</v>
      </c>
      <c r="L528" t="n">
        <v>0</v>
      </c>
      <c r="M528" t="n">
        <v>0</v>
      </c>
      <c r="N528" t="n">
        <v>0</v>
      </c>
      <c r="O528" t="n">
        <v>0</v>
      </c>
      <c r="P528" t="n">
        <v>0</v>
      </c>
      <c r="Q528" t="n">
        <v>0</v>
      </c>
      <c r="R528" s="2" t="inlineStr"/>
    </row>
    <row r="529" ht="15" customHeight="1">
      <c r="A529" t="inlineStr">
        <is>
          <t>A 26675-2025</t>
        </is>
      </c>
      <c r="B529" s="1" t="n">
        <v>45810.42393518519</v>
      </c>
      <c r="C529" s="1" t="n">
        <v>45887</v>
      </c>
      <c r="D529" t="inlineStr">
        <is>
          <t>STOCKHOLMS LÄN</t>
        </is>
      </c>
      <c r="E529" t="inlineStr">
        <is>
          <t>NORRTÄLJE</t>
        </is>
      </c>
      <c r="G529" t="n">
        <v>2.7</v>
      </c>
      <c r="H529" t="n">
        <v>0</v>
      </c>
      <c r="I529" t="n">
        <v>0</v>
      </c>
      <c r="J529" t="n">
        <v>0</v>
      </c>
      <c r="K529" t="n">
        <v>0</v>
      </c>
      <c r="L529" t="n">
        <v>0</v>
      </c>
      <c r="M529" t="n">
        <v>0</v>
      </c>
      <c r="N529" t="n">
        <v>0</v>
      </c>
      <c r="O529" t="n">
        <v>0</v>
      </c>
      <c r="P529" t="n">
        <v>0</v>
      </c>
      <c r="Q529" t="n">
        <v>0</v>
      </c>
      <c r="R529" s="2" t="inlineStr"/>
    </row>
    <row r="530" ht="15" customHeight="1">
      <c r="A530" t="inlineStr">
        <is>
          <t>A 11900-2022</t>
        </is>
      </c>
      <c r="B530" s="1" t="n">
        <v>44635</v>
      </c>
      <c r="C530" s="1" t="n">
        <v>45887</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25681-2024</t>
        </is>
      </c>
      <c r="B531" s="1" t="n">
        <v>45463.80486111111</v>
      </c>
      <c r="C531" s="1" t="n">
        <v>45887</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14724-2022</t>
        </is>
      </c>
      <c r="B532" s="1" t="n">
        <v>44656</v>
      </c>
      <c r="C532" s="1" t="n">
        <v>45887</v>
      </c>
      <c r="D532" t="inlineStr">
        <is>
          <t>STOCKHOLMS LÄN</t>
        </is>
      </c>
      <c r="E532" t="inlineStr">
        <is>
          <t>NORRTÄLJE</t>
        </is>
      </c>
      <c r="F532" t="inlineStr">
        <is>
          <t>Sveaskog</t>
        </is>
      </c>
      <c r="G532" t="n">
        <v>9</v>
      </c>
      <c r="H532" t="n">
        <v>0</v>
      </c>
      <c r="I532" t="n">
        <v>0</v>
      </c>
      <c r="J532" t="n">
        <v>0</v>
      </c>
      <c r="K532" t="n">
        <v>0</v>
      </c>
      <c r="L532" t="n">
        <v>0</v>
      </c>
      <c r="M532" t="n">
        <v>0</v>
      </c>
      <c r="N532" t="n">
        <v>0</v>
      </c>
      <c r="O532" t="n">
        <v>0</v>
      </c>
      <c r="P532" t="n">
        <v>0</v>
      </c>
      <c r="Q532" t="n">
        <v>0</v>
      </c>
      <c r="R532" s="2" t="inlineStr"/>
    </row>
    <row r="533" ht="15" customHeight="1">
      <c r="A533" t="inlineStr">
        <is>
          <t>A 4580-2025</t>
        </is>
      </c>
      <c r="B533" s="1" t="n">
        <v>45687.5038425926</v>
      </c>
      <c r="C533" s="1" t="n">
        <v>45887</v>
      </c>
      <c r="D533" t="inlineStr">
        <is>
          <t>STOCKHOLMS LÄN</t>
        </is>
      </c>
      <c r="E533" t="inlineStr">
        <is>
          <t>NORRTÄLJE</t>
        </is>
      </c>
      <c r="F533" t="inlineStr">
        <is>
          <t>Holmen skog AB</t>
        </is>
      </c>
      <c r="G533" t="n">
        <v>4.8</v>
      </c>
      <c r="H533" t="n">
        <v>0</v>
      </c>
      <c r="I533" t="n">
        <v>0</v>
      </c>
      <c r="J533" t="n">
        <v>0</v>
      </c>
      <c r="K533" t="n">
        <v>0</v>
      </c>
      <c r="L533" t="n">
        <v>0</v>
      </c>
      <c r="M533" t="n">
        <v>0</v>
      </c>
      <c r="N533" t="n">
        <v>0</v>
      </c>
      <c r="O533" t="n">
        <v>0</v>
      </c>
      <c r="P533" t="n">
        <v>0</v>
      </c>
      <c r="Q533" t="n">
        <v>0</v>
      </c>
      <c r="R533" s="2" t="inlineStr"/>
    </row>
    <row r="534" ht="15" customHeight="1">
      <c r="A534" t="inlineStr">
        <is>
          <t>A 16202-2022</t>
        </is>
      </c>
      <c r="B534" s="1" t="n">
        <v>44670</v>
      </c>
      <c r="C534" s="1" t="n">
        <v>45887</v>
      </c>
      <c r="D534" t="inlineStr">
        <is>
          <t>STOCKHOLMS LÄN</t>
        </is>
      </c>
      <c r="E534" t="inlineStr">
        <is>
          <t>NORRTÄLJE</t>
        </is>
      </c>
      <c r="G534" t="n">
        <v>1.5</v>
      </c>
      <c r="H534" t="n">
        <v>0</v>
      </c>
      <c r="I534" t="n">
        <v>0</v>
      </c>
      <c r="J534" t="n">
        <v>0</v>
      </c>
      <c r="K534" t="n">
        <v>0</v>
      </c>
      <c r="L534" t="n">
        <v>0</v>
      </c>
      <c r="M534" t="n">
        <v>0</v>
      </c>
      <c r="N534" t="n">
        <v>0</v>
      </c>
      <c r="O534" t="n">
        <v>0</v>
      </c>
      <c r="P534" t="n">
        <v>0</v>
      </c>
      <c r="Q534" t="n">
        <v>0</v>
      </c>
      <c r="R534" s="2" t="inlineStr"/>
    </row>
    <row r="535" ht="15" customHeight="1">
      <c r="A535" t="inlineStr">
        <is>
          <t>A 6003-2025</t>
        </is>
      </c>
      <c r="B535" s="1" t="n">
        <v>45695.57881944445</v>
      </c>
      <c r="C535" s="1" t="n">
        <v>45887</v>
      </c>
      <c r="D535" t="inlineStr">
        <is>
          <t>STOCKHOLMS LÄN</t>
        </is>
      </c>
      <c r="E535" t="inlineStr">
        <is>
          <t>NORRTÄLJE</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52321-2024</t>
        </is>
      </c>
      <c r="B536" s="1" t="n">
        <v>45608</v>
      </c>
      <c r="C536" s="1" t="n">
        <v>45887</v>
      </c>
      <c r="D536" t="inlineStr">
        <is>
          <t>STOCKHOLMS LÄN</t>
        </is>
      </c>
      <c r="E536" t="inlineStr">
        <is>
          <t>NORRTÄLJE</t>
        </is>
      </c>
      <c r="G536" t="n">
        <v>18.1</v>
      </c>
      <c r="H536" t="n">
        <v>0</v>
      </c>
      <c r="I536" t="n">
        <v>0</v>
      </c>
      <c r="J536" t="n">
        <v>0</v>
      </c>
      <c r="K536" t="n">
        <v>0</v>
      </c>
      <c r="L536" t="n">
        <v>0</v>
      </c>
      <c r="M536" t="n">
        <v>0</v>
      </c>
      <c r="N536" t="n">
        <v>0</v>
      </c>
      <c r="O536" t="n">
        <v>0</v>
      </c>
      <c r="P536" t="n">
        <v>0</v>
      </c>
      <c r="Q536" t="n">
        <v>0</v>
      </c>
      <c r="R536" s="2" t="inlineStr"/>
    </row>
    <row r="537" ht="15" customHeight="1">
      <c r="A537" t="inlineStr">
        <is>
          <t>A 24245-2024</t>
        </is>
      </c>
      <c r="B537" s="1" t="n">
        <v>45457</v>
      </c>
      <c r="C537" s="1" t="n">
        <v>45887</v>
      </c>
      <c r="D537" t="inlineStr">
        <is>
          <t>STOCKHOLMS LÄN</t>
        </is>
      </c>
      <c r="E537" t="inlineStr">
        <is>
          <t>NORRTÄLJE</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26115-2024</t>
        </is>
      </c>
      <c r="B538" s="1" t="n">
        <v>45468.45628472222</v>
      </c>
      <c r="C538" s="1" t="n">
        <v>45887</v>
      </c>
      <c r="D538" t="inlineStr">
        <is>
          <t>STOCKHOLMS LÄN</t>
        </is>
      </c>
      <c r="E538" t="inlineStr">
        <is>
          <t>NORRTÄLJE</t>
        </is>
      </c>
      <c r="G538" t="n">
        <v>0.3</v>
      </c>
      <c r="H538" t="n">
        <v>0</v>
      </c>
      <c r="I538" t="n">
        <v>0</v>
      </c>
      <c r="J538" t="n">
        <v>0</v>
      </c>
      <c r="K538" t="n">
        <v>0</v>
      </c>
      <c r="L538" t="n">
        <v>0</v>
      </c>
      <c r="M538" t="n">
        <v>0</v>
      </c>
      <c r="N538" t="n">
        <v>0</v>
      </c>
      <c r="O538" t="n">
        <v>0</v>
      </c>
      <c r="P538" t="n">
        <v>0</v>
      </c>
      <c r="Q538" t="n">
        <v>0</v>
      </c>
      <c r="R538" s="2" t="inlineStr"/>
    </row>
    <row r="539" ht="15" customHeight="1">
      <c r="A539" t="inlineStr">
        <is>
          <t>A 54558-2024</t>
        </is>
      </c>
      <c r="B539" s="1" t="n">
        <v>45617.62358796296</v>
      </c>
      <c r="C539" s="1" t="n">
        <v>45887</v>
      </c>
      <c r="D539" t="inlineStr">
        <is>
          <t>STOCKHOLMS LÄN</t>
        </is>
      </c>
      <c r="E539" t="inlineStr">
        <is>
          <t>NORRTÄLJE</t>
        </is>
      </c>
      <c r="G539" t="n">
        <v>1.2</v>
      </c>
      <c r="H539" t="n">
        <v>0</v>
      </c>
      <c r="I539" t="n">
        <v>0</v>
      </c>
      <c r="J539" t="n">
        <v>0</v>
      </c>
      <c r="K539" t="n">
        <v>0</v>
      </c>
      <c r="L539" t="n">
        <v>0</v>
      </c>
      <c r="M539" t="n">
        <v>0</v>
      </c>
      <c r="N539" t="n">
        <v>0</v>
      </c>
      <c r="O539" t="n">
        <v>0</v>
      </c>
      <c r="P539" t="n">
        <v>0</v>
      </c>
      <c r="Q539" t="n">
        <v>0</v>
      </c>
      <c r="R539" s="2" t="inlineStr"/>
    </row>
    <row r="540" ht="15" customHeight="1">
      <c r="A540" t="inlineStr">
        <is>
          <t>A 42361-2020</t>
        </is>
      </c>
      <c r="B540" s="1" t="n">
        <v>44076</v>
      </c>
      <c r="C540" s="1" t="n">
        <v>45887</v>
      </c>
      <c r="D540" t="inlineStr">
        <is>
          <t>STOCKHOLMS LÄN</t>
        </is>
      </c>
      <c r="E540" t="inlineStr">
        <is>
          <t>NORRTÄLJE</t>
        </is>
      </c>
      <c r="G540" t="n">
        <v>2.1</v>
      </c>
      <c r="H540" t="n">
        <v>0</v>
      </c>
      <c r="I540" t="n">
        <v>0</v>
      </c>
      <c r="J540" t="n">
        <v>0</v>
      </c>
      <c r="K540" t="n">
        <v>0</v>
      </c>
      <c r="L540" t="n">
        <v>0</v>
      </c>
      <c r="M540" t="n">
        <v>0</v>
      </c>
      <c r="N540" t="n">
        <v>0</v>
      </c>
      <c r="O540" t="n">
        <v>0</v>
      </c>
      <c r="P540" t="n">
        <v>0</v>
      </c>
      <c r="Q540" t="n">
        <v>0</v>
      </c>
      <c r="R540" s="2" t="inlineStr"/>
    </row>
    <row r="541" ht="15" customHeight="1">
      <c r="A541" t="inlineStr">
        <is>
          <t>A 22157-2023</t>
        </is>
      </c>
      <c r="B541" s="1" t="n">
        <v>45069</v>
      </c>
      <c r="C541" s="1" t="n">
        <v>45887</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c r="U541">
        <f>HYPERLINK("https://klasma.github.io/Logging_0188/knärot/A 22157-2023 karta knärot.png", "A 22157-2023")</f>
        <v/>
      </c>
      <c r="V541">
        <f>HYPERLINK("https://klasma.github.io/Logging_0188/klagomål/A 22157-2023 FSC-klagomål.docx", "A 22157-2023")</f>
        <v/>
      </c>
      <c r="W541">
        <f>HYPERLINK("https://klasma.github.io/Logging_0188/klagomålsmail/A 22157-2023 FSC-klagomål mail.docx", "A 22157-2023")</f>
        <v/>
      </c>
      <c r="X541">
        <f>HYPERLINK("https://klasma.github.io/Logging_0188/tillsyn/A 22157-2023 tillsynsbegäran.docx", "A 22157-2023")</f>
        <v/>
      </c>
      <c r="Y541">
        <f>HYPERLINK("https://klasma.github.io/Logging_0188/tillsynsmail/A 22157-2023 tillsynsbegäran mail.docx", "A 22157-2023")</f>
        <v/>
      </c>
    </row>
    <row r="542" ht="15" customHeight="1">
      <c r="A542" t="inlineStr">
        <is>
          <t>A 48633-2023</t>
        </is>
      </c>
      <c r="B542" s="1" t="n">
        <v>45208.58004629629</v>
      </c>
      <c r="C542" s="1" t="n">
        <v>45887</v>
      </c>
      <c r="D542" t="inlineStr">
        <is>
          <t>STOCKHOLMS LÄN</t>
        </is>
      </c>
      <c r="E542" t="inlineStr">
        <is>
          <t>NORRTÄLJE</t>
        </is>
      </c>
      <c r="G542" t="n">
        <v>3.3</v>
      </c>
      <c r="H542" t="n">
        <v>0</v>
      </c>
      <c r="I542" t="n">
        <v>0</v>
      </c>
      <c r="J542" t="n">
        <v>0</v>
      </c>
      <c r="K542" t="n">
        <v>0</v>
      </c>
      <c r="L542" t="n">
        <v>0</v>
      </c>
      <c r="M542" t="n">
        <v>0</v>
      </c>
      <c r="N542" t="n">
        <v>0</v>
      </c>
      <c r="O542" t="n">
        <v>0</v>
      </c>
      <c r="P542" t="n">
        <v>0</v>
      </c>
      <c r="Q542" t="n">
        <v>0</v>
      </c>
      <c r="R542" s="2" t="inlineStr"/>
    </row>
    <row r="543" ht="15" customHeight="1">
      <c r="A543" t="inlineStr">
        <is>
          <t>A 23061-2025</t>
        </is>
      </c>
      <c r="B543" s="1" t="n">
        <v>45790.81410879629</v>
      </c>
      <c r="C543" s="1" t="n">
        <v>45887</v>
      </c>
      <c r="D543" t="inlineStr">
        <is>
          <t>STOCKHOLMS LÄN</t>
        </is>
      </c>
      <c r="E543" t="inlineStr">
        <is>
          <t>NORRTÄLJE</t>
        </is>
      </c>
      <c r="G543" t="n">
        <v>1.4</v>
      </c>
      <c r="H543" t="n">
        <v>0</v>
      </c>
      <c r="I543" t="n">
        <v>0</v>
      </c>
      <c r="J543" t="n">
        <v>0</v>
      </c>
      <c r="K543" t="n">
        <v>0</v>
      </c>
      <c r="L543" t="n">
        <v>0</v>
      </c>
      <c r="M543" t="n">
        <v>0</v>
      </c>
      <c r="N543" t="n">
        <v>0</v>
      </c>
      <c r="O543" t="n">
        <v>0</v>
      </c>
      <c r="P543" t="n">
        <v>0</v>
      </c>
      <c r="Q543" t="n">
        <v>0</v>
      </c>
      <c r="R543" s="2" t="inlineStr"/>
    </row>
    <row r="544" ht="15" customHeight="1">
      <c r="A544" t="inlineStr">
        <is>
          <t>A 19057-2024</t>
        </is>
      </c>
      <c r="B544" s="1" t="n">
        <v>45427.88731481481</v>
      </c>
      <c r="C544" s="1" t="n">
        <v>45887</v>
      </c>
      <c r="D544" t="inlineStr">
        <is>
          <t>STOCKHOLMS LÄN</t>
        </is>
      </c>
      <c r="E544" t="inlineStr">
        <is>
          <t>NORRTÄLJE</t>
        </is>
      </c>
      <c r="G544" t="n">
        <v>3</v>
      </c>
      <c r="H544" t="n">
        <v>0</v>
      </c>
      <c r="I544" t="n">
        <v>0</v>
      </c>
      <c r="J544" t="n">
        <v>0</v>
      </c>
      <c r="K544" t="n">
        <v>0</v>
      </c>
      <c r="L544" t="n">
        <v>0</v>
      </c>
      <c r="M544" t="n">
        <v>0</v>
      </c>
      <c r="N544" t="n">
        <v>0</v>
      </c>
      <c r="O544" t="n">
        <v>0</v>
      </c>
      <c r="P544" t="n">
        <v>0</v>
      </c>
      <c r="Q544" t="n">
        <v>0</v>
      </c>
      <c r="R544" s="2" t="inlineStr"/>
    </row>
    <row r="545" ht="15" customHeight="1">
      <c r="A545" t="inlineStr">
        <is>
          <t>A 47419-2023</t>
        </is>
      </c>
      <c r="B545" s="1" t="n">
        <v>45202.65660879629</v>
      </c>
      <c r="C545" s="1" t="n">
        <v>45887</v>
      </c>
      <c r="D545" t="inlineStr">
        <is>
          <t>STOCKHOLMS LÄN</t>
        </is>
      </c>
      <c r="E545" t="inlineStr">
        <is>
          <t>NORRTÄLJE</t>
        </is>
      </c>
      <c r="G545" t="n">
        <v>11.4</v>
      </c>
      <c r="H545" t="n">
        <v>0</v>
      </c>
      <c r="I545" t="n">
        <v>0</v>
      </c>
      <c r="J545" t="n">
        <v>0</v>
      </c>
      <c r="K545" t="n">
        <v>0</v>
      </c>
      <c r="L545" t="n">
        <v>0</v>
      </c>
      <c r="M545" t="n">
        <v>0</v>
      </c>
      <c r="N545" t="n">
        <v>0</v>
      </c>
      <c r="O545" t="n">
        <v>0</v>
      </c>
      <c r="P545" t="n">
        <v>0</v>
      </c>
      <c r="Q545" t="n">
        <v>0</v>
      </c>
      <c r="R545" s="2" t="inlineStr"/>
    </row>
    <row r="546" ht="15" customHeight="1">
      <c r="A546" t="inlineStr">
        <is>
          <t>A 26747-2025</t>
        </is>
      </c>
      <c r="B546" s="1" t="n">
        <v>45810.5333912037</v>
      </c>
      <c r="C546" s="1" t="n">
        <v>45887</v>
      </c>
      <c r="D546" t="inlineStr">
        <is>
          <t>STOCKHOLMS LÄN</t>
        </is>
      </c>
      <c r="E546" t="inlineStr">
        <is>
          <t>NORRTÄLJE</t>
        </is>
      </c>
      <c r="G546" t="n">
        <v>1.9</v>
      </c>
      <c r="H546" t="n">
        <v>0</v>
      </c>
      <c r="I546" t="n">
        <v>0</v>
      </c>
      <c r="J546" t="n">
        <v>0</v>
      </c>
      <c r="K546" t="n">
        <v>0</v>
      </c>
      <c r="L546" t="n">
        <v>0</v>
      </c>
      <c r="M546" t="n">
        <v>0</v>
      </c>
      <c r="N546" t="n">
        <v>0</v>
      </c>
      <c r="O546" t="n">
        <v>0</v>
      </c>
      <c r="P546" t="n">
        <v>0</v>
      </c>
      <c r="Q546" t="n">
        <v>0</v>
      </c>
      <c r="R546" s="2" t="inlineStr"/>
    </row>
    <row r="547" ht="15" customHeight="1">
      <c r="A547" t="inlineStr">
        <is>
          <t>A 652-2025</t>
        </is>
      </c>
      <c r="B547" s="1" t="n">
        <v>45664</v>
      </c>
      <c r="C547" s="1" t="n">
        <v>45887</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54273-2021</t>
        </is>
      </c>
      <c r="B548" s="1" t="n">
        <v>44470.72987268519</v>
      </c>
      <c r="C548" s="1" t="n">
        <v>45887</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43212-2022</t>
        </is>
      </c>
      <c r="B549" s="1" t="n">
        <v>44834.38636574074</v>
      </c>
      <c r="C549" s="1" t="n">
        <v>45887</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10653-2022</t>
        </is>
      </c>
      <c r="B550" s="1" t="n">
        <v>44624.59434027778</v>
      </c>
      <c r="C550" s="1" t="n">
        <v>45887</v>
      </c>
      <c r="D550" t="inlineStr">
        <is>
          <t>STOCKHOLMS LÄN</t>
        </is>
      </c>
      <c r="E550" t="inlineStr">
        <is>
          <t>NORRTÄLJE</t>
        </is>
      </c>
      <c r="G550" t="n">
        <v>2.3</v>
      </c>
      <c r="H550" t="n">
        <v>0</v>
      </c>
      <c r="I550" t="n">
        <v>0</v>
      </c>
      <c r="J550" t="n">
        <v>0</v>
      </c>
      <c r="K550" t="n">
        <v>0</v>
      </c>
      <c r="L550" t="n">
        <v>0</v>
      </c>
      <c r="M550" t="n">
        <v>0</v>
      </c>
      <c r="N550" t="n">
        <v>0</v>
      </c>
      <c r="O550" t="n">
        <v>0</v>
      </c>
      <c r="P550" t="n">
        <v>0</v>
      </c>
      <c r="Q550" t="n">
        <v>0</v>
      </c>
      <c r="R550" s="2" t="inlineStr"/>
    </row>
    <row r="551" ht="15" customHeight="1">
      <c r="A551" t="inlineStr">
        <is>
          <t>A 51720-2020</t>
        </is>
      </c>
      <c r="B551" s="1" t="n">
        <v>44113</v>
      </c>
      <c r="C551" s="1" t="n">
        <v>45887</v>
      </c>
      <c r="D551" t="inlineStr">
        <is>
          <t>STOCKHOLMS LÄN</t>
        </is>
      </c>
      <c r="E551" t="inlineStr">
        <is>
          <t>NORRTÄLJE</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35695-2023</t>
        </is>
      </c>
      <c r="B552" s="1" t="n">
        <v>45147.65407407407</v>
      </c>
      <c r="C552" s="1" t="n">
        <v>45887</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18665-2022</t>
        </is>
      </c>
      <c r="B553" s="1" t="n">
        <v>44687</v>
      </c>
      <c r="C553" s="1" t="n">
        <v>45887</v>
      </c>
      <c r="D553" t="inlineStr">
        <is>
          <t>STOCKHOLMS LÄN</t>
        </is>
      </c>
      <c r="E553" t="inlineStr">
        <is>
          <t>NORRTÄLJE</t>
        </is>
      </c>
      <c r="F553" t="inlineStr">
        <is>
          <t>Kyrkan</t>
        </is>
      </c>
      <c r="G553" t="n">
        <v>1.1</v>
      </c>
      <c r="H553" t="n">
        <v>0</v>
      </c>
      <c r="I553" t="n">
        <v>0</v>
      </c>
      <c r="J553" t="n">
        <v>0</v>
      </c>
      <c r="K553" t="n">
        <v>0</v>
      </c>
      <c r="L553" t="n">
        <v>0</v>
      </c>
      <c r="M553" t="n">
        <v>0</v>
      </c>
      <c r="N553" t="n">
        <v>0</v>
      </c>
      <c r="O553" t="n">
        <v>0</v>
      </c>
      <c r="P553" t="n">
        <v>0</v>
      </c>
      <c r="Q553" t="n">
        <v>0</v>
      </c>
      <c r="R553" s="2" t="inlineStr"/>
    </row>
    <row r="554" ht="15" customHeight="1">
      <c r="A554" t="inlineStr">
        <is>
          <t>A 17574-2025</t>
        </is>
      </c>
      <c r="B554" s="1" t="n">
        <v>45757.65178240741</v>
      </c>
      <c r="C554" s="1" t="n">
        <v>45887</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20370-2025</t>
        </is>
      </c>
      <c r="B555" s="1" t="n">
        <v>45775.41451388889</v>
      </c>
      <c r="C555" s="1" t="n">
        <v>45887</v>
      </c>
      <c r="D555" t="inlineStr">
        <is>
          <t>STOCKHOLMS LÄN</t>
        </is>
      </c>
      <c r="E555" t="inlineStr">
        <is>
          <t>NORRTÄLJE</t>
        </is>
      </c>
      <c r="G555" t="n">
        <v>2.9</v>
      </c>
      <c r="H555" t="n">
        <v>0</v>
      </c>
      <c r="I555" t="n">
        <v>0</v>
      </c>
      <c r="J555" t="n">
        <v>0</v>
      </c>
      <c r="K555" t="n">
        <v>0</v>
      </c>
      <c r="L555" t="n">
        <v>0</v>
      </c>
      <c r="M555" t="n">
        <v>0</v>
      </c>
      <c r="N555" t="n">
        <v>0</v>
      </c>
      <c r="O555" t="n">
        <v>0</v>
      </c>
      <c r="P555" t="n">
        <v>0</v>
      </c>
      <c r="Q555" t="n">
        <v>0</v>
      </c>
      <c r="R555" s="2" t="inlineStr"/>
    </row>
    <row r="556" ht="15" customHeight="1">
      <c r="A556" t="inlineStr">
        <is>
          <t>A 34295-2024</t>
        </is>
      </c>
      <c r="B556" s="1" t="n">
        <v>45524</v>
      </c>
      <c r="C556" s="1" t="n">
        <v>45887</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19982-2022</t>
        </is>
      </c>
      <c r="B557" s="1" t="n">
        <v>44697</v>
      </c>
      <c r="C557" s="1" t="n">
        <v>45887</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35438-2023</t>
        </is>
      </c>
      <c r="B558" s="1" t="n">
        <v>45146</v>
      </c>
      <c r="C558" s="1" t="n">
        <v>45887</v>
      </c>
      <c r="D558" t="inlineStr">
        <is>
          <t>STOCKHOLMS LÄN</t>
        </is>
      </c>
      <c r="E558" t="inlineStr">
        <is>
          <t>NORRTÄLJE</t>
        </is>
      </c>
      <c r="F558" t="inlineStr">
        <is>
          <t>Kommuner</t>
        </is>
      </c>
      <c r="G558" t="n">
        <v>1.9</v>
      </c>
      <c r="H558" t="n">
        <v>0</v>
      </c>
      <c r="I558" t="n">
        <v>0</v>
      </c>
      <c r="J558" t="n">
        <v>0</v>
      </c>
      <c r="K558" t="n">
        <v>0</v>
      </c>
      <c r="L558" t="n">
        <v>0</v>
      </c>
      <c r="M558" t="n">
        <v>0</v>
      </c>
      <c r="N558" t="n">
        <v>0</v>
      </c>
      <c r="O558" t="n">
        <v>0</v>
      </c>
      <c r="P558" t="n">
        <v>0</v>
      </c>
      <c r="Q558" t="n">
        <v>0</v>
      </c>
      <c r="R558" s="2" t="inlineStr"/>
    </row>
    <row r="559" ht="15" customHeight="1">
      <c r="A559" t="inlineStr">
        <is>
          <t>A 6537-2024</t>
        </is>
      </c>
      <c r="B559" s="1" t="n">
        <v>45341.39853009259</v>
      </c>
      <c r="C559" s="1" t="n">
        <v>45887</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35110-2025</t>
        </is>
      </c>
      <c r="B560" s="1" t="n">
        <v>45852.58030092593</v>
      </c>
      <c r="C560" s="1" t="n">
        <v>45887</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33878-2024</t>
        </is>
      </c>
      <c r="B561" s="1" t="n">
        <v>45522.44414351852</v>
      </c>
      <c r="C561" s="1" t="n">
        <v>45887</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29369-2024</t>
        </is>
      </c>
      <c r="B562" s="1" t="n">
        <v>45483.57244212963</v>
      </c>
      <c r="C562" s="1" t="n">
        <v>45887</v>
      </c>
      <c r="D562" t="inlineStr">
        <is>
          <t>STOCKHOLMS LÄN</t>
        </is>
      </c>
      <c r="E562" t="inlineStr">
        <is>
          <t>NORRTÄLJE</t>
        </is>
      </c>
      <c r="G562" t="n">
        <v>15.9</v>
      </c>
      <c r="H562" t="n">
        <v>0</v>
      </c>
      <c r="I562" t="n">
        <v>0</v>
      </c>
      <c r="J562" t="n">
        <v>0</v>
      </c>
      <c r="K562" t="n">
        <v>0</v>
      </c>
      <c r="L562" t="n">
        <v>0</v>
      </c>
      <c r="M562" t="n">
        <v>0</v>
      </c>
      <c r="N562" t="n">
        <v>0</v>
      </c>
      <c r="O562" t="n">
        <v>0</v>
      </c>
      <c r="P562" t="n">
        <v>0</v>
      </c>
      <c r="Q562" t="n">
        <v>0</v>
      </c>
      <c r="R562" s="2" t="inlineStr"/>
    </row>
    <row r="563" ht="15" customHeight="1">
      <c r="A563" t="inlineStr">
        <is>
          <t>A 48066-2020</t>
        </is>
      </c>
      <c r="B563" s="1" t="n">
        <v>44100</v>
      </c>
      <c r="C563" s="1" t="n">
        <v>45887</v>
      </c>
      <c r="D563" t="inlineStr">
        <is>
          <t>STOCKHOLMS LÄN</t>
        </is>
      </c>
      <c r="E563" t="inlineStr">
        <is>
          <t>NORRTÄLJE</t>
        </is>
      </c>
      <c r="G563" t="n">
        <v>3.7</v>
      </c>
      <c r="H563" t="n">
        <v>0</v>
      </c>
      <c r="I563" t="n">
        <v>0</v>
      </c>
      <c r="J563" t="n">
        <v>0</v>
      </c>
      <c r="K563" t="n">
        <v>0</v>
      </c>
      <c r="L563" t="n">
        <v>0</v>
      </c>
      <c r="M563" t="n">
        <v>0</v>
      </c>
      <c r="N563" t="n">
        <v>0</v>
      </c>
      <c r="O563" t="n">
        <v>0</v>
      </c>
      <c r="P563" t="n">
        <v>0</v>
      </c>
      <c r="Q563" t="n">
        <v>0</v>
      </c>
      <c r="R563" s="2" t="inlineStr"/>
    </row>
    <row r="564" ht="15" customHeight="1">
      <c r="A564" t="inlineStr">
        <is>
          <t>A 52260-2022</t>
        </is>
      </c>
      <c r="B564" s="1" t="n">
        <v>44869</v>
      </c>
      <c r="C564" s="1" t="n">
        <v>45887</v>
      </c>
      <c r="D564" t="inlineStr">
        <is>
          <t>STOCKHOLMS LÄN</t>
        </is>
      </c>
      <c r="E564" t="inlineStr">
        <is>
          <t>NORRTÄLJE</t>
        </is>
      </c>
      <c r="G564" t="n">
        <v>3.1</v>
      </c>
      <c r="H564" t="n">
        <v>0</v>
      </c>
      <c r="I564" t="n">
        <v>0</v>
      </c>
      <c r="J564" t="n">
        <v>0</v>
      </c>
      <c r="K564" t="n">
        <v>0</v>
      </c>
      <c r="L564" t="n">
        <v>0</v>
      </c>
      <c r="M564" t="n">
        <v>0</v>
      </c>
      <c r="N564" t="n">
        <v>0</v>
      </c>
      <c r="O564" t="n">
        <v>0</v>
      </c>
      <c r="P564" t="n">
        <v>0</v>
      </c>
      <c r="Q564" t="n">
        <v>0</v>
      </c>
      <c r="R564" s="2" t="inlineStr"/>
    </row>
    <row r="565" ht="15" customHeight="1">
      <c r="A565" t="inlineStr">
        <is>
          <t>A 26702-2025</t>
        </is>
      </c>
      <c r="B565" s="1" t="n">
        <v>45810.45236111111</v>
      </c>
      <c r="C565" s="1" t="n">
        <v>45887</v>
      </c>
      <c r="D565" t="inlineStr">
        <is>
          <t>STOCKHOLMS LÄN</t>
        </is>
      </c>
      <c r="E565" t="inlineStr">
        <is>
          <t>NORRTÄLJE</t>
        </is>
      </c>
      <c r="G565" t="n">
        <v>7.3</v>
      </c>
      <c r="H565" t="n">
        <v>0</v>
      </c>
      <c r="I565" t="n">
        <v>0</v>
      </c>
      <c r="J565" t="n">
        <v>0</v>
      </c>
      <c r="K565" t="n">
        <v>0</v>
      </c>
      <c r="L565" t="n">
        <v>0</v>
      </c>
      <c r="M565" t="n">
        <v>0</v>
      </c>
      <c r="N565" t="n">
        <v>0</v>
      </c>
      <c r="O565" t="n">
        <v>0</v>
      </c>
      <c r="P565" t="n">
        <v>0</v>
      </c>
      <c r="Q565" t="n">
        <v>0</v>
      </c>
      <c r="R565" s="2" t="inlineStr"/>
    </row>
    <row r="566" ht="15" customHeight="1">
      <c r="A566" t="inlineStr">
        <is>
          <t>A 26703-2025</t>
        </is>
      </c>
      <c r="B566" s="1" t="n">
        <v>45810.45263888889</v>
      </c>
      <c r="C566" s="1" t="n">
        <v>45887</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4183-2025</t>
        </is>
      </c>
      <c r="B567" s="1" t="n">
        <v>45685.44592592592</v>
      </c>
      <c r="C567" s="1" t="n">
        <v>45887</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11893-2024</t>
        </is>
      </c>
      <c r="B568" s="1" t="n">
        <v>45376.54115740741</v>
      </c>
      <c r="C568" s="1" t="n">
        <v>45887</v>
      </c>
      <c r="D568" t="inlineStr">
        <is>
          <t>STOCKHOLMS LÄN</t>
        </is>
      </c>
      <c r="E568" t="inlineStr">
        <is>
          <t>NORRTÄLJE</t>
        </is>
      </c>
      <c r="G568" t="n">
        <v>9.9</v>
      </c>
      <c r="H568" t="n">
        <v>0</v>
      </c>
      <c r="I568" t="n">
        <v>0</v>
      </c>
      <c r="J568" t="n">
        <v>0</v>
      </c>
      <c r="K568" t="n">
        <v>0</v>
      </c>
      <c r="L568" t="n">
        <v>0</v>
      </c>
      <c r="M568" t="n">
        <v>0</v>
      </c>
      <c r="N568" t="n">
        <v>0</v>
      </c>
      <c r="O568" t="n">
        <v>0</v>
      </c>
      <c r="P568" t="n">
        <v>0</v>
      </c>
      <c r="Q568" t="n">
        <v>0</v>
      </c>
      <c r="R568" s="2" t="inlineStr"/>
    </row>
    <row r="569" ht="15" customHeight="1">
      <c r="A569" t="inlineStr">
        <is>
          <t>A 17556-2025</t>
        </is>
      </c>
      <c r="B569" s="1" t="n">
        <v>45757.62482638889</v>
      </c>
      <c r="C569" s="1" t="n">
        <v>45887</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55058-2021</t>
        </is>
      </c>
      <c r="B570" s="1" t="n">
        <v>44474.62141203704</v>
      </c>
      <c r="C570" s="1" t="n">
        <v>45887</v>
      </c>
      <c r="D570" t="inlineStr">
        <is>
          <t>STOCKHOLMS LÄN</t>
        </is>
      </c>
      <c r="E570" t="inlineStr">
        <is>
          <t>NORRTÄLJE</t>
        </is>
      </c>
      <c r="G570" t="n">
        <v>1.9</v>
      </c>
      <c r="H570" t="n">
        <v>0</v>
      </c>
      <c r="I570" t="n">
        <v>0</v>
      </c>
      <c r="J570" t="n">
        <v>0</v>
      </c>
      <c r="K570" t="n">
        <v>0</v>
      </c>
      <c r="L570" t="n">
        <v>0</v>
      </c>
      <c r="M570" t="n">
        <v>0</v>
      </c>
      <c r="N570" t="n">
        <v>0</v>
      </c>
      <c r="O570" t="n">
        <v>0</v>
      </c>
      <c r="P570" t="n">
        <v>0</v>
      </c>
      <c r="Q570" t="n">
        <v>0</v>
      </c>
      <c r="R570" s="2" t="inlineStr"/>
    </row>
    <row r="571" ht="15" customHeight="1">
      <c r="A571" t="inlineStr">
        <is>
          <t>A 41335-2023</t>
        </is>
      </c>
      <c r="B571" s="1" t="n">
        <v>45174.68702546296</v>
      </c>
      <c r="C571" s="1" t="n">
        <v>45887</v>
      </c>
      <c r="D571" t="inlineStr">
        <is>
          <t>STOCKHOLMS LÄN</t>
        </is>
      </c>
      <c r="E571" t="inlineStr">
        <is>
          <t>NORRTÄLJE</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40192-2023</t>
        </is>
      </c>
      <c r="B572" s="1" t="n">
        <v>45169</v>
      </c>
      <c r="C572" s="1" t="n">
        <v>45887</v>
      </c>
      <c r="D572" t="inlineStr">
        <is>
          <t>STOCKHOLMS LÄN</t>
        </is>
      </c>
      <c r="E572" t="inlineStr">
        <is>
          <t>NORRTÄLJE</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4484-2025</t>
        </is>
      </c>
      <c r="B573" s="1" t="n">
        <v>45686.65545138889</v>
      </c>
      <c r="C573" s="1" t="n">
        <v>45887</v>
      </c>
      <c r="D573" t="inlineStr">
        <is>
          <t>STOCKHOLMS LÄN</t>
        </is>
      </c>
      <c r="E573" t="inlineStr">
        <is>
          <t>NORRTÄLJE</t>
        </is>
      </c>
      <c r="G573" t="n">
        <v>1.9</v>
      </c>
      <c r="H573" t="n">
        <v>0</v>
      </c>
      <c r="I573" t="n">
        <v>0</v>
      </c>
      <c r="J573" t="n">
        <v>0</v>
      </c>
      <c r="K573" t="n">
        <v>0</v>
      </c>
      <c r="L573" t="n">
        <v>0</v>
      </c>
      <c r="M573" t="n">
        <v>0</v>
      </c>
      <c r="N573" t="n">
        <v>0</v>
      </c>
      <c r="O573" t="n">
        <v>0</v>
      </c>
      <c r="P573" t="n">
        <v>0</v>
      </c>
      <c r="Q573" t="n">
        <v>0</v>
      </c>
      <c r="R573" s="2" t="inlineStr"/>
    </row>
    <row r="574" ht="15" customHeight="1">
      <c r="A574" t="inlineStr">
        <is>
          <t>A 10511-2025</t>
        </is>
      </c>
      <c r="B574" s="1" t="n">
        <v>45721.40780092592</v>
      </c>
      <c r="C574" s="1" t="n">
        <v>45887</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8419-2025</t>
        </is>
      </c>
      <c r="B575" s="1" t="n">
        <v>45709.40231481481</v>
      </c>
      <c r="C575" s="1" t="n">
        <v>45887</v>
      </c>
      <c r="D575" t="inlineStr">
        <is>
          <t>STOCKHOLMS LÄN</t>
        </is>
      </c>
      <c r="E575" t="inlineStr">
        <is>
          <t>NORRTÄLJE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21480-2022</t>
        </is>
      </c>
      <c r="B576" s="1" t="n">
        <v>44704</v>
      </c>
      <c r="C576" s="1" t="n">
        <v>45887</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4035-2023</t>
        </is>
      </c>
      <c r="B577" s="1" t="n">
        <v>44952.57989583333</v>
      </c>
      <c r="C577" s="1" t="n">
        <v>45887</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26644-2024</t>
        </is>
      </c>
      <c r="B578" s="1" t="n">
        <v>45469</v>
      </c>
      <c r="C578" s="1" t="n">
        <v>45887</v>
      </c>
      <c r="D578" t="inlineStr">
        <is>
          <t>STOCKHOLMS LÄN</t>
        </is>
      </c>
      <c r="E578" t="inlineStr">
        <is>
          <t>NORRTÄLJE</t>
        </is>
      </c>
      <c r="G578" t="n">
        <v>4.3</v>
      </c>
      <c r="H578" t="n">
        <v>0</v>
      </c>
      <c r="I578" t="n">
        <v>0</v>
      </c>
      <c r="J578" t="n">
        <v>0</v>
      </c>
      <c r="K578" t="n">
        <v>0</v>
      </c>
      <c r="L578" t="n">
        <v>0</v>
      </c>
      <c r="M578" t="n">
        <v>0</v>
      </c>
      <c r="N578" t="n">
        <v>0</v>
      </c>
      <c r="O578" t="n">
        <v>0</v>
      </c>
      <c r="P578" t="n">
        <v>0</v>
      </c>
      <c r="Q578" t="n">
        <v>0</v>
      </c>
      <c r="R578" s="2" t="inlineStr"/>
    </row>
    <row r="579" ht="15" customHeight="1">
      <c r="A579" t="inlineStr">
        <is>
          <t>A 26668-2024</t>
        </is>
      </c>
      <c r="B579" s="1" t="n">
        <v>45469</v>
      </c>
      <c r="C579" s="1" t="n">
        <v>45887</v>
      </c>
      <c r="D579" t="inlineStr">
        <is>
          <t>STOCKHOLMS LÄN</t>
        </is>
      </c>
      <c r="E579" t="inlineStr">
        <is>
          <t>NORRTÄLJE</t>
        </is>
      </c>
      <c r="G579" t="n">
        <v>4.8</v>
      </c>
      <c r="H579" t="n">
        <v>0</v>
      </c>
      <c r="I579" t="n">
        <v>0</v>
      </c>
      <c r="J579" t="n">
        <v>0</v>
      </c>
      <c r="K579" t="n">
        <v>0</v>
      </c>
      <c r="L579" t="n">
        <v>0</v>
      </c>
      <c r="M579" t="n">
        <v>0</v>
      </c>
      <c r="N579" t="n">
        <v>0</v>
      </c>
      <c r="O579" t="n">
        <v>0</v>
      </c>
      <c r="P579" t="n">
        <v>0</v>
      </c>
      <c r="Q579" t="n">
        <v>0</v>
      </c>
      <c r="R579" s="2" t="inlineStr"/>
    </row>
    <row r="580" ht="15" customHeight="1">
      <c r="A580" t="inlineStr">
        <is>
          <t>A 26708-2025</t>
        </is>
      </c>
      <c r="B580" s="1" t="n">
        <v>45810.45633101852</v>
      </c>
      <c r="C580" s="1" t="n">
        <v>45887</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27040-2025</t>
        </is>
      </c>
      <c r="B581" s="1" t="n">
        <v>45811.60451388889</v>
      </c>
      <c r="C581" s="1" t="n">
        <v>45887</v>
      </c>
      <c r="D581" t="inlineStr">
        <is>
          <t>STOCKHOLMS LÄN</t>
        </is>
      </c>
      <c r="E581" t="inlineStr">
        <is>
          <t>NORRTÄLJE</t>
        </is>
      </c>
      <c r="G581" t="n">
        <v>4.3</v>
      </c>
      <c r="H581" t="n">
        <v>0</v>
      </c>
      <c r="I581" t="n">
        <v>0</v>
      </c>
      <c r="J581" t="n">
        <v>0</v>
      </c>
      <c r="K581" t="n">
        <v>0</v>
      </c>
      <c r="L581" t="n">
        <v>0</v>
      </c>
      <c r="M581" t="n">
        <v>0</v>
      </c>
      <c r="N581" t="n">
        <v>0</v>
      </c>
      <c r="O581" t="n">
        <v>0</v>
      </c>
      <c r="P581" t="n">
        <v>0</v>
      </c>
      <c r="Q581" t="n">
        <v>0</v>
      </c>
      <c r="R581" s="2" t="inlineStr"/>
    </row>
    <row r="582" ht="15" customHeight="1">
      <c r="A582" t="inlineStr">
        <is>
          <t>A 1654-2025</t>
        </is>
      </c>
      <c r="B582" s="1" t="n">
        <v>45670.65921296296</v>
      </c>
      <c r="C582" s="1" t="n">
        <v>45887</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48686-2023</t>
        </is>
      </c>
      <c r="B583" s="1" t="n">
        <v>45208</v>
      </c>
      <c r="C583" s="1" t="n">
        <v>45887</v>
      </c>
      <c r="D583" t="inlineStr">
        <is>
          <t>STOCKHOLMS LÄN</t>
        </is>
      </c>
      <c r="E583" t="inlineStr">
        <is>
          <t>NORRTÄLJE</t>
        </is>
      </c>
      <c r="G583" t="n">
        <v>6</v>
      </c>
      <c r="H583" t="n">
        <v>0</v>
      </c>
      <c r="I583" t="n">
        <v>0</v>
      </c>
      <c r="J583" t="n">
        <v>0</v>
      </c>
      <c r="K583" t="n">
        <v>0</v>
      </c>
      <c r="L583" t="n">
        <v>0</v>
      </c>
      <c r="M583" t="n">
        <v>0</v>
      </c>
      <c r="N583" t="n">
        <v>0</v>
      </c>
      <c r="O583" t="n">
        <v>0</v>
      </c>
      <c r="P583" t="n">
        <v>0</v>
      </c>
      <c r="Q583" t="n">
        <v>0</v>
      </c>
      <c r="R583" s="2" t="inlineStr"/>
    </row>
    <row r="584" ht="15" customHeight="1">
      <c r="A584" t="inlineStr">
        <is>
          <t>A 48691-2023</t>
        </is>
      </c>
      <c r="B584" s="1" t="n">
        <v>45208</v>
      </c>
      <c r="C584" s="1" t="n">
        <v>45887</v>
      </c>
      <c r="D584" t="inlineStr">
        <is>
          <t>STOCKHOLMS LÄN</t>
        </is>
      </c>
      <c r="E584" t="inlineStr">
        <is>
          <t>NORRTÄLJE</t>
        </is>
      </c>
      <c r="G584" t="n">
        <v>5.8</v>
      </c>
      <c r="H584" t="n">
        <v>0</v>
      </c>
      <c r="I584" t="n">
        <v>0</v>
      </c>
      <c r="J584" t="n">
        <v>0</v>
      </c>
      <c r="K584" t="n">
        <v>0</v>
      </c>
      <c r="L584" t="n">
        <v>0</v>
      </c>
      <c r="M584" t="n">
        <v>0</v>
      </c>
      <c r="N584" t="n">
        <v>0</v>
      </c>
      <c r="O584" t="n">
        <v>0</v>
      </c>
      <c r="P584" t="n">
        <v>0</v>
      </c>
      <c r="Q584" t="n">
        <v>0</v>
      </c>
      <c r="R584" s="2" t="inlineStr"/>
    </row>
    <row r="585" ht="15" customHeight="1">
      <c r="A585" t="inlineStr">
        <is>
          <t>A 55243-2023</t>
        </is>
      </c>
      <c r="B585" s="1" t="n">
        <v>45237</v>
      </c>
      <c r="C585" s="1" t="n">
        <v>45887</v>
      </c>
      <c r="D585" t="inlineStr">
        <is>
          <t>STOCKHOLMS LÄN</t>
        </is>
      </c>
      <c r="E585" t="inlineStr">
        <is>
          <t>NORRTÄLJE</t>
        </is>
      </c>
      <c r="G585" t="n">
        <v>6.5</v>
      </c>
      <c r="H585" t="n">
        <v>0</v>
      </c>
      <c r="I585" t="n">
        <v>0</v>
      </c>
      <c r="J585" t="n">
        <v>0</v>
      </c>
      <c r="K585" t="n">
        <v>0</v>
      </c>
      <c r="L585" t="n">
        <v>0</v>
      </c>
      <c r="M585" t="n">
        <v>0</v>
      </c>
      <c r="N585" t="n">
        <v>0</v>
      </c>
      <c r="O585" t="n">
        <v>0</v>
      </c>
      <c r="P585" t="n">
        <v>0</v>
      </c>
      <c r="Q585" t="n">
        <v>0</v>
      </c>
      <c r="R585" s="2" t="inlineStr"/>
    </row>
    <row r="586" ht="15" customHeight="1">
      <c r="A586" t="inlineStr">
        <is>
          <t>A 35210-2023</t>
        </is>
      </c>
      <c r="B586" s="1" t="n">
        <v>45145.63584490741</v>
      </c>
      <c r="C586" s="1" t="n">
        <v>45887</v>
      </c>
      <c r="D586" t="inlineStr">
        <is>
          <t>STOCKHOLMS LÄN</t>
        </is>
      </c>
      <c r="E586" t="inlineStr">
        <is>
          <t>NORRTÄLJE</t>
        </is>
      </c>
      <c r="G586" t="n">
        <v>1.2</v>
      </c>
      <c r="H586" t="n">
        <v>0</v>
      </c>
      <c r="I586" t="n">
        <v>0</v>
      </c>
      <c r="J586" t="n">
        <v>0</v>
      </c>
      <c r="K586" t="n">
        <v>0</v>
      </c>
      <c r="L586" t="n">
        <v>0</v>
      </c>
      <c r="M586" t="n">
        <v>0</v>
      </c>
      <c r="N586" t="n">
        <v>0</v>
      </c>
      <c r="O586" t="n">
        <v>0</v>
      </c>
      <c r="P586" t="n">
        <v>0</v>
      </c>
      <c r="Q586" t="n">
        <v>0</v>
      </c>
      <c r="R586" s="2" t="inlineStr"/>
    </row>
    <row r="587" ht="15" customHeight="1">
      <c r="A587" t="inlineStr">
        <is>
          <t>A 6678-2025</t>
        </is>
      </c>
      <c r="B587" s="1" t="n">
        <v>45700</v>
      </c>
      <c r="C587" s="1" t="n">
        <v>45887</v>
      </c>
      <c r="D587" t="inlineStr">
        <is>
          <t>STOCKHOLMS LÄN</t>
        </is>
      </c>
      <c r="E587" t="inlineStr">
        <is>
          <t>NORRTÄLJE</t>
        </is>
      </c>
      <c r="F587" t="inlineStr">
        <is>
          <t>Övriga Aktiebolag</t>
        </is>
      </c>
      <c r="G587" t="n">
        <v>6.6</v>
      </c>
      <c r="H587" t="n">
        <v>0</v>
      </c>
      <c r="I587" t="n">
        <v>0</v>
      </c>
      <c r="J587" t="n">
        <v>0</v>
      </c>
      <c r="K587" t="n">
        <v>0</v>
      </c>
      <c r="L587" t="n">
        <v>0</v>
      </c>
      <c r="M587" t="n">
        <v>0</v>
      </c>
      <c r="N587" t="n">
        <v>0</v>
      </c>
      <c r="O587" t="n">
        <v>0</v>
      </c>
      <c r="P587" t="n">
        <v>0</v>
      </c>
      <c r="Q587" t="n">
        <v>0</v>
      </c>
      <c r="R587" s="2" t="inlineStr"/>
    </row>
    <row r="588" ht="15" customHeight="1">
      <c r="A588" t="inlineStr">
        <is>
          <t>A 17612-2022</t>
        </is>
      </c>
      <c r="B588" s="1" t="n">
        <v>44680</v>
      </c>
      <c r="C588" s="1" t="n">
        <v>45887</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37085-2021</t>
        </is>
      </c>
      <c r="B589" s="1" t="n">
        <v>44395</v>
      </c>
      <c r="C589" s="1" t="n">
        <v>45887</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55890-2020</t>
        </is>
      </c>
      <c r="B590" s="1" t="n">
        <v>44132</v>
      </c>
      <c r="C590" s="1" t="n">
        <v>45887</v>
      </c>
      <c r="D590" t="inlineStr">
        <is>
          <t>STOCKHOLMS LÄN</t>
        </is>
      </c>
      <c r="E590" t="inlineStr">
        <is>
          <t>NORRTÄLJE</t>
        </is>
      </c>
      <c r="G590" t="n">
        <v>1.2</v>
      </c>
      <c r="H590" t="n">
        <v>0</v>
      </c>
      <c r="I590" t="n">
        <v>0</v>
      </c>
      <c r="J590" t="n">
        <v>0</v>
      </c>
      <c r="K590" t="n">
        <v>0</v>
      </c>
      <c r="L590" t="n">
        <v>0</v>
      </c>
      <c r="M590" t="n">
        <v>0</v>
      </c>
      <c r="N590" t="n">
        <v>0</v>
      </c>
      <c r="O590" t="n">
        <v>0</v>
      </c>
      <c r="P590" t="n">
        <v>0</v>
      </c>
      <c r="Q590" t="n">
        <v>0</v>
      </c>
      <c r="R590" s="2" t="inlineStr"/>
    </row>
    <row r="591" ht="15" customHeight="1">
      <c r="A591" t="inlineStr">
        <is>
          <t>A 58297-2023</t>
        </is>
      </c>
      <c r="B591" s="1" t="n">
        <v>45245</v>
      </c>
      <c r="C591" s="1" t="n">
        <v>45887</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35478-2025</t>
        </is>
      </c>
      <c r="B592" s="1" t="n">
        <v>45855.68413194444</v>
      </c>
      <c r="C592" s="1" t="n">
        <v>45887</v>
      </c>
      <c r="D592" t="inlineStr">
        <is>
          <t>STOCKHOLMS LÄN</t>
        </is>
      </c>
      <c r="E592" t="inlineStr">
        <is>
          <t>NORRTÄLJE</t>
        </is>
      </c>
      <c r="F592" t="inlineStr">
        <is>
          <t>Holmen skog AB</t>
        </is>
      </c>
      <c r="G592" t="n">
        <v>2.7</v>
      </c>
      <c r="H592" t="n">
        <v>0</v>
      </c>
      <c r="I592" t="n">
        <v>0</v>
      </c>
      <c r="J592" t="n">
        <v>0</v>
      </c>
      <c r="K592" t="n">
        <v>0</v>
      </c>
      <c r="L592" t="n">
        <v>0</v>
      </c>
      <c r="M592" t="n">
        <v>0</v>
      </c>
      <c r="N592" t="n">
        <v>0</v>
      </c>
      <c r="O592" t="n">
        <v>0</v>
      </c>
      <c r="P592" t="n">
        <v>0</v>
      </c>
      <c r="Q592" t="n">
        <v>0</v>
      </c>
      <c r="R592" s="2" t="inlineStr"/>
    </row>
    <row r="593" ht="15" customHeight="1">
      <c r="A593" t="inlineStr">
        <is>
          <t>A 35451-2025</t>
        </is>
      </c>
      <c r="B593" s="1" t="n">
        <v>45855.57033564815</v>
      </c>
      <c r="C593" s="1" t="n">
        <v>45887</v>
      </c>
      <c r="D593" t="inlineStr">
        <is>
          <t>STOCKHOLMS LÄN</t>
        </is>
      </c>
      <c r="E593" t="inlineStr">
        <is>
          <t>NORRTÄLJE</t>
        </is>
      </c>
      <c r="F593" t="inlineStr">
        <is>
          <t>Holmen skog AB</t>
        </is>
      </c>
      <c r="G593" t="n">
        <v>7.4</v>
      </c>
      <c r="H593" t="n">
        <v>0</v>
      </c>
      <c r="I593" t="n">
        <v>0</v>
      </c>
      <c r="J593" t="n">
        <v>0</v>
      </c>
      <c r="K593" t="n">
        <v>0</v>
      </c>
      <c r="L593" t="n">
        <v>0</v>
      </c>
      <c r="M593" t="n">
        <v>0</v>
      </c>
      <c r="N593" t="n">
        <v>0</v>
      </c>
      <c r="O593" t="n">
        <v>0</v>
      </c>
      <c r="P593" t="n">
        <v>0</v>
      </c>
      <c r="Q593" t="n">
        <v>0</v>
      </c>
      <c r="R593" s="2" t="inlineStr"/>
    </row>
    <row r="594" ht="15" customHeight="1">
      <c r="A594" t="inlineStr">
        <is>
          <t>A 27677-2025</t>
        </is>
      </c>
      <c r="B594" s="1" t="n">
        <v>45813.63650462963</v>
      </c>
      <c r="C594" s="1" t="n">
        <v>45887</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21726-2022</t>
        </is>
      </c>
      <c r="B595" s="1" t="n">
        <v>44708</v>
      </c>
      <c r="C595" s="1" t="n">
        <v>45887</v>
      </c>
      <c r="D595" t="inlineStr">
        <is>
          <t>STOCKHOLMS LÄN</t>
        </is>
      </c>
      <c r="E595" t="inlineStr">
        <is>
          <t>NORRTÄLJE</t>
        </is>
      </c>
      <c r="G595" t="n">
        <v>0.2</v>
      </c>
      <c r="H595" t="n">
        <v>0</v>
      </c>
      <c r="I595" t="n">
        <v>0</v>
      </c>
      <c r="J595" t="n">
        <v>0</v>
      </c>
      <c r="K595" t="n">
        <v>0</v>
      </c>
      <c r="L595" t="n">
        <v>0</v>
      </c>
      <c r="M595" t="n">
        <v>0</v>
      </c>
      <c r="N595" t="n">
        <v>0</v>
      </c>
      <c r="O595" t="n">
        <v>0</v>
      </c>
      <c r="P595" t="n">
        <v>0</v>
      </c>
      <c r="Q595" t="n">
        <v>0</v>
      </c>
      <c r="R595" s="2" t="inlineStr"/>
    </row>
    <row r="596" ht="15" customHeight="1">
      <c r="A596" t="inlineStr">
        <is>
          <t>A 21739-2022</t>
        </is>
      </c>
      <c r="B596" s="1" t="n">
        <v>44708.36708333333</v>
      </c>
      <c r="C596" s="1" t="n">
        <v>45887</v>
      </c>
      <c r="D596" t="inlineStr">
        <is>
          <t>STOCKHOLMS LÄN</t>
        </is>
      </c>
      <c r="E596" t="inlineStr">
        <is>
          <t>NORRTÄLJE</t>
        </is>
      </c>
      <c r="F596" t="inlineStr">
        <is>
          <t>Holmen skog AB</t>
        </is>
      </c>
      <c r="G596" t="n">
        <v>1.1</v>
      </c>
      <c r="H596" t="n">
        <v>0</v>
      </c>
      <c r="I596" t="n">
        <v>0</v>
      </c>
      <c r="J596" t="n">
        <v>0</v>
      </c>
      <c r="K596" t="n">
        <v>0</v>
      </c>
      <c r="L596" t="n">
        <v>0</v>
      </c>
      <c r="M596" t="n">
        <v>0</v>
      </c>
      <c r="N596" t="n">
        <v>0</v>
      </c>
      <c r="O596" t="n">
        <v>0</v>
      </c>
      <c r="P596" t="n">
        <v>0</v>
      </c>
      <c r="Q596" t="n">
        <v>0</v>
      </c>
      <c r="R596" s="2" t="inlineStr"/>
    </row>
    <row r="597" ht="15" customHeight="1">
      <c r="A597" t="inlineStr">
        <is>
          <t>A 27697-2025</t>
        </is>
      </c>
      <c r="B597" s="1" t="n">
        <v>45813.66961805556</v>
      </c>
      <c r="C597" s="1" t="n">
        <v>45887</v>
      </c>
      <c r="D597" t="inlineStr">
        <is>
          <t>STOCKHOLMS LÄN</t>
        </is>
      </c>
      <c r="E597" t="inlineStr">
        <is>
          <t>NORRTÄLJE</t>
        </is>
      </c>
      <c r="G597" t="n">
        <v>6.2</v>
      </c>
      <c r="H597" t="n">
        <v>0</v>
      </c>
      <c r="I597" t="n">
        <v>0</v>
      </c>
      <c r="J597" t="n">
        <v>0</v>
      </c>
      <c r="K597" t="n">
        <v>0</v>
      </c>
      <c r="L597" t="n">
        <v>0</v>
      </c>
      <c r="M597" t="n">
        <v>0</v>
      </c>
      <c r="N597" t="n">
        <v>0</v>
      </c>
      <c r="O597" t="n">
        <v>0</v>
      </c>
      <c r="P597" t="n">
        <v>0</v>
      </c>
      <c r="Q597" t="n">
        <v>0</v>
      </c>
      <c r="R597" s="2" t="inlineStr"/>
    </row>
    <row r="598" ht="15" customHeight="1">
      <c r="A598" t="inlineStr">
        <is>
          <t>A 27700-2025</t>
        </is>
      </c>
      <c r="B598" s="1" t="n">
        <v>45813.6799537037</v>
      </c>
      <c r="C598" s="1" t="n">
        <v>45887</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35479-2025</t>
        </is>
      </c>
      <c r="B599" s="1" t="n">
        <v>45855.69387731481</v>
      </c>
      <c r="C599" s="1" t="n">
        <v>45887</v>
      </c>
      <c r="D599" t="inlineStr">
        <is>
          <t>STOCKHOLMS LÄN</t>
        </is>
      </c>
      <c r="E599" t="inlineStr">
        <is>
          <t>NORRTÄLJE</t>
        </is>
      </c>
      <c r="F599" t="inlineStr">
        <is>
          <t>Holmen skog AB</t>
        </is>
      </c>
      <c r="G599" t="n">
        <v>1.8</v>
      </c>
      <c r="H599" t="n">
        <v>0</v>
      </c>
      <c r="I599" t="n">
        <v>0</v>
      </c>
      <c r="J599" t="n">
        <v>0</v>
      </c>
      <c r="K599" t="n">
        <v>0</v>
      </c>
      <c r="L599" t="n">
        <v>0</v>
      </c>
      <c r="M599" t="n">
        <v>0</v>
      </c>
      <c r="N599" t="n">
        <v>0</v>
      </c>
      <c r="O599" t="n">
        <v>0</v>
      </c>
      <c r="P599" t="n">
        <v>0</v>
      </c>
      <c r="Q599" t="n">
        <v>0</v>
      </c>
      <c r="R599" s="2" t="inlineStr"/>
    </row>
    <row r="600" ht="15" customHeight="1">
      <c r="A600" t="inlineStr">
        <is>
          <t>A 46988-2024</t>
        </is>
      </c>
      <c r="B600" s="1" t="n">
        <v>45586</v>
      </c>
      <c r="C600" s="1" t="n">
        <v>45887</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27554-2025</t>
        </is>
      </c>
      <c r="B601" s="1" t="n">
        <v>45813.4709375</v>
      </c>
      <c r="C601" s="1" t="n">
        <v>45887</v>
      </c>
      <c r="D601" t="inlineStr">
        <is>
          <t>STOCKHOLMS LÄN</t>
        </is>
      </c>
      <c r="E601" t="inlineStr">
        <is>
          <t>NORRTÄLJE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71552-2021</t>
        </is>
      </c>
      <c r="B602" s="1" t="n">
        <v>44540</v>
      </c>
      <c r="C602" s="1" t="n">
        <v>45887</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17382-2024</t>
        </is>
      </c>
      <c r="B603" s="1" t="n">
        <v>45414.65855324074</v>
      </c>
      <c r="C603" s="1" t="n">
        <v>45887</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56166-2020</t>
        </is>
      </c>
      <c r="B604" s="1" t="n">
        <v>44133</v>
      </c>
      <c r="C604" s="1" t="n">
        <v>45887</v>
      </c>
      <c r="D604" t="inlineStr">
        <is>
          <t>STOCKHOLMS LÄN</t>
        </is>
      </c>
      <c r="E604" t="inlineStr">
        <is>
          <t>NORRTÄLJE</t>
        </is>
      </c>
      <c r="G604" t="n">
        <v>4.4</v>
      </c>
      <c r="H604" t="n">
        <v>0</v>
      </c>
      <c r="I604" t="n">
        <v>0</v>
      </c>
      <c r="J604" t="n">
        <v>0</v>
      </c>
      <c r="K604" t="n">
        <v>0</v>
      </c>
      <c r="L604" t="n">
        <v>0</v>
      </c>
      <c r="M604" t="n">
        <v>0</v>
      </c>
      <c r="N604" t="n">
        <v>0</v>
      </c>
      <c r="O604" t="n">
        <v>0</v>
      </c>
      <c r="P604" t="n">
        <v>0</v>
      </c>
      <c r="Q604" t="n">
        <v>0</v>
      </c>
      <c r="R604" s="2" t="inlineStr"/>
    </row>
    <row r="605" ht="15" customHeight="1">
      <c r="A605" t="inlineStr">
        <is>
          <t>A 28182-2022</t>
        </is>
      </c>
      <c r="B605" s="1" t="n">
        <v>44746.58530092592</v>
      </c>
      <c r="C605" s="1" t="n">
        <v>45887</v>
      </c>
      <c r="D605" t="inlineStr">
        <is>
          <t>STOCKHOLMS LÄN</t>
        </is>
      </c>
      <c r="E605" t="inlineStr">
        <is>
          <t>NORRTÄLJE</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25557-2023</t>
        </is>
      </c>
      <c r="B606" s="1" t="n">
        <v>45089</v>
      </c>
      <c r="C606" s="1" t="n">
        <v>45887</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9914-2023</t>
        </is>
      </c>
      <c r="B607" s="1" t="n">
        <v>44985</v>
      </c>
      <c r="C607" s="1" t="n">
        <v>45887</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60525-2022</t>
        </is>
      </c>
      <c r="B608" s="1" t="n">
        <v>44904</v>
      </c>
      <c r="C608" s="1" t="n">
        <v>45887</v>
      </c>
      <c r="D608" t="inlineStr">
        <is>
          <t>STOCKHOLMS LÄN</t>
        </is>
      </c>
      <c r="E608" t="inlineStr">
        <is>
          <t>NORRTÄLJE</t>
        </is>
      </c>
      <c r="G608" t="n">
        <v>13.4</v>
      </c>
      <c r="H608" t="n">
        <v>0</v>
      </c>
      <c r="I608" t="n">
        <v>0</v>
      </c>
      <c r="J608" t="n">
        <v>0</v>
      </c>
      <c r="K608" t="n">
        <v>0</v>
      </c>
      <c r="L608" t="n">
        <v>0</v>
      </c>
      <c r="M608" t="n">
        <v>0</v>
      </c>
      <c r="N608" t="n">
        <v>0</v>
      </c>
      <c r="O608" t="n">
        <v>0</v>
      </c>
      <c r="P608" t="n">
        <v>0</v>
      </c>
      <c r="Q608" t="n">
        <v>0</v>
      </c>
      <c r="R608" s="2" t="inlineStr"/>
    </row>
    <row r="609" ht="15" customHeight="1">
      <c r="A609" t="inlineStr">
        <is>
          <t>A 57987-2020</t>
        </is>
      </c>
      <c r="B609" s="1" t="n">
        <v>44143</v>
      </c>
      <c r="C609" s="1" t="n">
        <v>45887</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11901-2024</t>
        </is>
      </c>
      <c r="B610" s="1" t="n">
        <v>45376.55638888889</v>
      </c>
      <c r="C610" s="1" t="n">
        <v>45887</v>
      </c>
      <c r="D610" t="inlineStr">
        <is>
          <t>STOCKHOLMS LÄN</t>
        </is>
      </c>
      <c r="E610" t="inlineStr">
        <is>
          <t>NORRTÄLJE</t>
        </is>
      </c>
      <c r="F610" t="inlineStr">
        <is>
          <t>Holmen skog AB</t>
        </is>
      </c>
      <c r="G610" t="n">
        <v>3.5</v>
      </c>
      <c r="H610" t="n">
        <v>0</v>
      </c>
      <c r="I610" t="n">
        <v>0</v>
      </c>
      <c r="J610" t="n">
        <v>0</v>
      </c>
      <c r="K610" t="n">
        <v>0</v>
      </c>
      <c r="L610" t="n">
        <v>0</v>
      </c>
      <c r="M610" t="n">
        <v>0</v>
      </c>
      <c r="N610" t="n">
        <v>0</v>
      </c>
      <c r="O610" t="n">
        <v>0</v>
      </c>
      <c r="P610" t="n">
        <v>0</v>
      </c>
      <c r="Q610" t="n">
        <v>0</v>
      </c>
      <c r="R610" s="2" t="inlineStr"/>
    </row>
    <row r="611" ht="15" customHeight="1">
      <c r="A611" t="inlineStr">
        <is>
          <t>A 58302-2022</t>
        </is>
      </c>
      <c r="B611" s="1" t="n">
        <v>44901</v>
      </c>
      <c r="C611" s="1" t="n">
        <v>45887</v>
      </c>
      <c r="D611" t="inlineStr">
        <is>
          <t>STOCKHOLMS LÄN</t>
        </is>
      </c>
      <c r="E611" t="inlineStr">
        <is>
          <t>NORRTÄLJE</t>
        </is>
      </c>
      <c r="G611" t="n">
        <v>3.9</v>
      </c>
      <c r="H611" t="n">
        <v>0</v>
      </c>
      <c r="I611" t="n">
        <v>0</v>
      </c>
      <c r="J611" t="n">
        <v>0</v>
      </c>
      <c r="K611" t="n">
        <v>0</v>
      </c>
      <c r="L611" t="n">
        <v>0</v>
      </c>
      <c r="M611" t="n">
        <v>0</v>
      </c>
      <c r="N611" t="n">
        <v>0</v>
      </c>
      <c r="O611" t="n">
        <v>0</v>
      </c>
      <c r="P611" t="n">
        <v>0</v>
      </c>
      <c r="Q611" t="n">
        <v>0</v>
      </c>
      <c r="R611" s="2" t="inlineStr"/>
    </row>
    <row r="612" ht="15" customHeight="1">
      <c r="A612" t="inlineStr">
        <is>
          <t>A 3283-2025</t>
        </is>
      </c>
      <c r="B612" s="1" t="n">
        <v>45679</v>
      </c>
      <c r="C612" s="1" t="n">
        <v>45887</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18092-2022</t>
        </is>
      </c>
      <c r="B613" s="1" t="n">
        <v>44684</v>
      </c>
      <c r="C613" s="1" t="n">
        <v>45887</v>
      </c>
      <c r="D613" t="inlineStr">
        <is>
          <t>STOCKHOLMS LÄN</t>
        </is>
      </c>
      <c r="E613" t="inlineStr">
        <is>
          <t>NORRTÄLJE</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33295-2023</t>
        </is>
      </c>
      <c r="B614" s="1" t="n">
        <v>45127.69371527778</v>
      </c>
      <c r="C614" s="1" t="n">
        <v>45887</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27802-2025</t>
        </is>
      </c>
      <c r="B615" s="1" t="n">
        <v>45817.2565625</v>
      </c>
      <c r="C615" s="1" t="n">
        <v>45887</v>
      </c>
      <c r="D615" t="inlineStr">
        <is>
          <t>STOCKHOLMS LÄN</t>
        </is>
      </c>
      <c r="E615" t="inlineStr">
        <is>
          <t>NORRTÄLJE</t>
        </is>
      </c>
      <c r="G615" t="n">
        <v>3</v>
      </c>
      <c r="H615" t="n">
        <v>0</v>
      </c>
      <c r="I615" t="n">
        <v>0</v>
      </c>
      <c r="J615" t="n">
        <v>0</v>
      </c>
      <c r="K615" t="n">
        <v>0</v>
      </c>
      <c r="L615" t="n">
        <v>0</v>
      </c>
      <c r="M615" t="n">
        <v>0</v>
      </c>
      <c r="N615" t="n">
        <v>0</v>
      </c>
      <c r="O615" t="n">
        <v>0</v>
      </c>
      <c r="P615" t="n">
        <v>0</v>
      </c>
      <c r="Q615" t="n">
        <v>0</v>
      </c>
      <c r="R615" s="2" t="inlineStr"/>
    </row>
    <row r="616" ht="15" customHeight="1">
      <c r="A616" t="inlineStr">
        <is>
          <t>A 27806-2025</t>
        </is>
      </c>
      <c r="B616" s="1" t="n">
        <v>45817.30329861111</v>
      </c>
      <c r="C616" s="1" t="n">
        <v>45887</v>
      </c>
      <c r="D616" t="inlineStr">
        <is>
          <t>STOCKHOLMS LÄN</t>
        </is>
      </c>
      <c r="E616" t="inlineStr">
        <is>
          <t>NORRTÄLJE</t>
        </is>
      </c>
      <c r="G616" t="n">
        <v>3</v>
      </c>
      <c r="H616" t="n">
        <v>0</v>
      </c>
      <c r="I616" t="n">
        <v>0</v>
      </c>
      <c r="J616" t="n">
        <v>0</v>
      </c>
      <c r="K616" t="n">
        <v>0</v>
      </c>
      <c r="L616" t="n">
        <v>0</v>
      </c>
      <c r="M616" t="n">
        <v>0</v>
      </c>
      <c r="N616" t="n">
        <v>0</v>
      </c>
      <c r="O616" t="n">
        <v>0</v>
      </c>
      <c r="P616" t="n">
        <v>0</v>
      </c>
      <c r="Q616" t="n">
        <v>0</v>
      </c>
      <c r="R616" s="2" t="inlineStr"/>
    </row>
    <row r="617" ht="15" customHeight="1">
      <c r="A617" t="inlineStr">
        <is>
          <t>A 27808-2025</t>
        </is>
      </c>
      <c r="B617" s="1" t="n">
        <v>45817.31085648148</v>
      </c>
      <c r="C617" s="1" t="n">
        <v>45887</v>
      </c>
      <c r="D617" t="inlineStr">
        <is>
          <t>STOCKHOLMS LÄN</t>
        </is>
      </c>
      <c r="E617" t="inlineStr">
        <is>
          <t>NORRTÄLJE</t>
        </is>
      </c>
      <c r="G617" t="n">
        <v>1.8</v>
      </c>
      <c r="H617" t="n">
        <v>0</v>
      </c>
      <c r="I617" t="n">
        <v>0</v>
      </c>
      <c r="J617" t="n">
        <v>0</v>
      </c>
      <c r="K617" t="n">
        <v>0</v>
      </c>
      <c r="L617" t="n">
        <v>0</v>
      </c>
      <c r="M617" t="n">
        <v>0</v>
      </c>
      <c r="N617" t="n">
        <v>0</v>
      </c>
      <c r="O617" t="n">
        <v>0</v>
      </c>
      <c r="P617" t="n">
        <v>0</v>
      </c>
      <c r="Q617" t="n">
        <v>0</v>
      </c>
      <c r="R617" s="2" t="inlineStr"/>
    </row>
    <row r="618" ht="15" customHeight="1">
      <c r="A618" t="inlineStr">
        <is>
          <t>A 27810-2025</t>
        </is>
      </c>
      <c r="B618" s="1" t="n">
        <v>45817.31708333334</v>
      </c>
      <c r="C618" s="1" t="n">
        <v>45887</v>
      </c>
      <c r="D618" t="inlineStr">
        <is>
          <t>STOCKHOLMS LÄN</t>
        </is>
      </c>
      <c r="E618" t="inlineStr">
        <is>
          <t>NORRTÄLJE</t>
        </is>
      </c>
      <c r="G618" t="n">
        <v>3.9</v>
      </c>
      <c r="H618" t="n">
        <v>0</v>
      </c>
      <c r="I618" t="n">
        <v>0</v>
      </c>
      <c r="J618" t="n">
        <v>0</v>
      </c>
      <c r="K618" t="n">
        <v>0</v>
      </c>
      <c r="L618" t="n">
        <v>0</v>
      </c>
      <c r="M618" t="n">
        <v>0</v>
      </c>
      <c r="N618" t="n">
        <v>0</v>
      </c>
      <c r="O618" t="n">
        <v>0</v>
      </c>
      <c r="P618" t="n">
        <v>0</v>
      </c>
      <c r="Q618" t="n">
        <v>0</v>
      </c>
      <c r="R618" s="2" t="inlineStr"/>
    </row>
    <row r="619" ht="15" customHeight="1">
      <c r="A619" t="inlineStr">
        <is>
          <t>A 27811-2025</t>
        </is>
      </c>
      <c r="B619" s="1" t="n">
        <v>45817.31986111111</v>
      </c>
      <c r="C619" s="1" t="n">
        <v>45887</v>
      </c>
      <c r="D619" t="inlineStr">
        <is>
          <t>STOCKHOLMS LÄN</t>
        </is>
      </c>
      <c r="E619" t="inlineStr">
        <is>
          <t>NORRTÄLJE</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27818-2025</t>
        </is>
      </c>
      <c r="B620" s="1" t="n">
        <v>45817.33503472222</v>
      </c>
      <c r="C620" s="1" t="n">
        <v>45887</v>
      </c>
      <c r="D620" t="inlineStr">
        <is>
          <t>STOCKHOLMS LÄN</t>
        </is>
      </c>
      <c r="E620" t="inlineStr">
        <is>
          <t>NORRTÄLJE</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35636-2025</t>
        </is>
      </c>
      <c r="B621" s="1" t="n">
        <v>45859</v>
      </c>
      <c r="C621" s="1" t="n">
        <v>45887</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35639-2025</t>
        </is>
      </c>
      <c r="B622" s="1" t="n">
        <v>45859</v>
      </c>
      <c r="C622" s="1" t="n">
        <v>45887</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4860-2022</t>
        </is>
      </c>
      <c r="B623" s="1" t="n">
        <v>44592</v>
      </c>
      <c r="C623" s="1" t="n">
        <v>45887</v>
      </c>
      <c r="D623" t="inlineStr">
        <is>
          <t>STOCKHOLMS LÄN</t>
        </is>
      </c>
      <c r="E623" t="inlineStr">
        <is>
          <t>NORRTÄLJE</t>
        </is>
      </c>
      <c r="G623" t="n">
        <v>22.3</v>
      </c>
      <c r="H623" t="n">
        <v>0</v>
      </c>
      <c r="I623" t="n">
        <v>0</v>
      </c>
      <c r="J623" t="n">
        <v>0</v>
      </c>
      <c r="K623" t="n">
        <v>0</v>
      </c>
      <c r="L623" t="n">
        <v>0</v>
      </c>
      <c r="M623" t="n">
        <v>0</v>
      </c>
      <c r="N623" t="n">
        <v>0</v>
      </c>
      <c r="O623" t="n">
        <v>0</v>
      </c>
      <c r="P623" t="n">
        <v>0</v>
      </c>
      <c r="Q623" t="n">
        <v>0</v>
      </c>
      <c r="R623" s="2" t="inlineStr"/>
    </row>
    <row r="624" ht="15" customHeight="1">
      <c r="A624" t="inlineStr">
        <is>
          <t>A 10557-2025</t>
        </is>
      </c>
      <c r="B624" s="1" t="n">
        <v>45721</v>
      </c>
      <c r="C624" s="1" t="n">
        <v>45887</v>
      </c>
      <c r="D624" t="inlineStr">
        <is>
          <t>STOCKHOLMS LÄN</t>
        </is>
      </c>
      <c r="E624" t="inlineStr">
        <is>
          <t>NORRTÄLJE</t>
        </is>
      </c>
      <c r="G624" t="n">
        <v>3.8</v>
      </c>
      <c r="H624" t="n">
        <v>0</v>
      </c>
      <c r="I624" t="n">
        <v>0</v>
      </c>
      <c r="J624" t="n">
        <v>0</v>
      </c>
      <c r="K624" t="n">
        <v>0</v>
      </c>
      <c r="L624" t="n">
        <v>0</v>
      </c>
      <c r="M624" t="n">
        <v>0</v>
      </c>
      <c r="N624" t="n">
        <v>0</v>
      </c>
      <c r="O624" t="n">
        <v>0</v>
      </c>
      <c r="P624" t="n">
        <v>0</v>
      </c>
      <c r="Q624" t="n">
        <v>0</v>
      </c>
      <c r="R624" s="2" t="inlineStr"/>
    </row>
    <row r="625" ht="15" customHeight="1">
      <c r="A625" t="inlineStr">
        <is>
          <t>A 23269-2023</t>
        </is>
      </c>
      <c r="B625" s="1" t="n">
        <v>45075.91148148148</v>
      </c>
      <c r="C625" s="1" t="n">
        <v>45887</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58404-2023</t>
        </is>
      </c>
      <c r="B626" s="1" t="n">
        <v>45245</v>
      </c>
      <c r="C626" s="1" t="n">
        <v>45887</v>
      </c>
      <c r="D626" t="inlineStr">
        <is>
          <t>STOCKHOLMS LÄN</t>
        </is>
      </c>
      <c r="E626" t="inlineStr">
        <is>
          <t>NORRTÄLJE</t>
        </is>
      </c>
      <c r="G626" t="n">
        <v>53.5</v>
      </c>
      <c r="H626" t="n">
        <v>0</v>
      </c>
      <c r="I626" t="n">
        <v>0</v>
      </c>
      <c r="J626" t="n">
        <v>0</v>
      </c>
      <c r="K626" t="n">
        <v>0</v>
      </c>
      <c r="L626" t="n">
        <v>0</v>
      </c>
      <c r="M626" t="n">
        <v>0</v>
      </c>
      <c r="N626" t="n">
        <v>0</v>
      </c>
      <c r="O626" t="n">
        <v>0</v>
      </c>
      <c r="P626" t="n">
        <v>0</v>
      </c>
      <c r="Q626" t="n">
        <v>0</v>
      </c>
      <c r="R626" s="2" t="inlineStr"/>
    </row>
    <row r="627" ht="15" customHeight="1">
      <c r="A627" t="inlineStr">
        <is>
          <t>A 15733-2025</t>
        </is>
      </c>
      <c r="B627" s="1" t="n">
        <v>45748.53761574074</v>
      </c>
      <c r="C627" s="1" t="n">
        <v>45887</v>
      </c>
      <c r="D627" t="inlineStr">
        <is>
          <t>STOCKHOLMS LÄN</t>
        </is>
      </c>
      <c r="E627" t="inlineStr">
        <is>
          <t>NORRTÄLJE</t>
        </is>
      </c>
      <c r="G627" t="n">
        <v>13.3</v>
      </c>
      <c r="H627" t="n">
        <v>0</v>
      </c>
      <c r="I627" t="n">
        <v>0</v>
      </c>
      <c r="J627" t="n">
        <v>0</v>
      </c>
      <c r="K627" t="n">
        <v>0</v>
      </c>
      <c r="L627" t="n">
        <v>0</v>
      </c>
      <c r="M627" t="n">
        <v>0</v>
      </c>
      <c r="N627" t="n">
        <v>0</v>
      </c>
      <c r="O627" t="n">
        <v>0</v>
      </c>
      <c r="P627" t="n">
        <v>0</v>
      </c>
      <c r="Q627" t="n">
        <v>0</v>
      </c>
      <c r="R627" s="2" t="inlineStr"/>
    </row>
    <row r="628" ht="15" customHeight="1">
      <c r="A628" t="inlineStr">
        <is>
          <t>A 27885-2022</t>
        </is>
      </c>
      <c r="B628" s="1" t="n">
        <v>44743.67418981482</v>
      </c>
      <c r="C628" s="1" t="n">
        <v>45887</v>
      </c>
      <c r="D628" t="inlineStr">
        <is>
          <t>STOCKHOLMS LÄN</t>
        </is>
      </c>
      <c r="E628" t="inlineStr">
        <is>
          <t>NORRTÄLJE</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23060-2023</t>
        </is>
      </c>
      <c r="B629" s="1" t="n">
        <v>45075</v>
      </c>
      <c r="C629" s="1" t="n">
        <v>45887</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58661-2020</t>
        </is>
      </c>
      <c r="B630" s="1" t="n">
        <v>44145</v>
      </c>
      <c r="C630" s="1" t="n">
        <v>45887</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15528-2025</t>
        </is>
      </c>
      <c r="B631" s="1" t="n">
        <v>45747.63471064815</v>
      </c>
      <c r="C631" s="1" t="n">
        <v>45887</v>
      </c>
      <c r="D631" t="inlineStr">
        <is>
          <t>STOCKHOLMS LÄN</t>
        </is>
      </c>
      <c r="E631" t="inlineStr">
        <is>
          <t>NORRTÄLJE</t>
        </is>
      </c>
      <c r="G631" t="n">
        <v>10</v>
      </c>
      <c r="H631" t="n">
        <v>0</v>
      </c>
      <c r="I631" t="n">
        <v>0</v>
      </c>
      <c r="J631" t="n">
        <v>0</v>
      </c>
      <c r="K631" t="n">
        <v>0</v>
      </c>
      <c r="L631" t="n">
        <v>0</v>
      </c>
      <c r="M631" t="n">
        <v>0</v>
      </c>
      <c r="N631" t="n">
        <v>0</v>
      </c>
      <c r="O631" t="n">
        <v>0</v>
      </c>
      <c r="P631" t="n">
        <v>0</v>
      </c>
      <c r="Q631" t="n">
        <v>0</v>
      </c>
      <c r="R631" s="2" t="inlineStr"/>
    </row>
    <row r="632" ht="15" customHeight="1">
      <c r="A632" t="inlineStr">
        <is>
          <t>A 27803-2025</t>
        </is>
      </c>
      <c r="B632" s="1" t="n">
        <v>45817.291875</v>
      </c>
      <c r="C632" s="1" t="n">
        <v>45887</v>
      </c>
      <c r="D632" t="inlineStr">
        <is>
          <t>STOCKHOLMS LÄN</t>
        </is>
      </c>
      <c r="E632" t="inlineStr">
        <is>
          <t>NORRTÄLJE</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27813-2025</t>
        </is>
      </c>
      <c r="B633" s="1" t="n">
        <v>45817.32538194444</v>
      </c>
      <c r="C633" s="1" t="n">
        <v>45887</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27801-2025</t>
        </is>
      </c>
      <c r="B634" s="1" t="n">
        <v>45817.25471064815</v>
      </c>
      <c r="C634" s="1" t="n">
        <v>45887</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52743-2024</t>
        </is>
      </c>
      <c r="B635" s="1" t="n">
        <v>45610.47414351852</v>
      </c>
      <c r="C635" s="1" t="n">
        <v>45887</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25525-2022</t>
        </is>
      </c>
      <c r="B636" s="1" t="n">
        <v>44732</v>
      </c>
      <c r="C636" s="1" t="n">
        <v>45887</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27821-2025</t>
        </is>
      </c>
      <c r="B637" s="1" t="n">
        <v>45817.34083333334</v>
      </c>
      <c r="C637" s="1" t="n">
        <v>45887</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48722-2023</t>
        </is>
      </c>
      <c r="B638" s="1" t="n">
        <v>45208.70996527778</v>
      </c>
      <c r="C638" s="1" t="n">
        <v>45887</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11499-2023</t>
        </is>
      </c>
      <c r="B639" s="1" t="n">
        <v>44993.66707175926</v>
      </c>
      <c r="C639" s="1" t="n">
        <v>45887</v>
      </c>
      <c r="D639" t="inlineStr">
        <is>
          <t>STOCKHOLMS LÄN</t>
        </is>
      </c>
      <c r="E639" t="inlineStr">
        <is>
          <t>NORRTÄLJE</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53652-2020</t>
        </is>
      </c>
      <c r="B640" s="1" t="n">
        <v>44124</v>
      </c>
      <c r="C640" s="1" t="n">
        <v>45887</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64600-2021</t>
        </is>
      </c>
      <c r="B641" s="1" t="n">
        <v>44511.70518518519</v>
      </c>
      <c r="C641" s="1" t="n">
        <v>45887</v>
      </c>
      <c r="D641" t="inlineStr">
        <is>
          <t>STOCKHOLMS LÄN</t>
        </is>
      </c>
      <c r="E641" t="inlineStr">
        <is>
          <t>NORRTÄLJE</t>
        </is>
      </c>
      <c r="G641" t="n">
        <v>6.2</v>
      </c>
      <c r="H641" t="n">
        <v>0</v>
      </c>
      <c r="I641" t="n">
        <v>0</v>
      </c>
      <c r="J641" t="n">
        <v>0</v>
      </c>
      <c r="K641" t="n">
        <v>0</v>
      </c>
      <c r="L641" t="n">
        <v>0</v>
      </c>
      <c r="M641" t="n">
        <v>0</v>
      </c>
      <c r="N641" t="n">
        <v>0</v>
      </c>
      <c r="O641" t="n">
        <v>0</v>
      </c>
      <c r="P641" t="n">
        <v>0</v>
      </c>
      <c r="Q641" t="n">
        <v>0</v>
      </c>
      <c r="R641" s="2" t="inlineStr"/>
    </row>
    <row r="642" ht="15" customHeight="1">
      <c r="A642" t="inlineStr">
        <is>
          <t>A 35640-2024</t>
        </is>
      </c>
      <c r="B642" s="1" t="n">
        <v>45531</v>
      </c>
      <c r="C642" s="1" t="n">
        <v>45887</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8586-2023</t>
        </is>
      </c>
      <c r="B643" s="1" t="n">
        <v>44977</v>
      </c>
      <c r="C643" s="1" t="n">
        <v>45887</v>
      </c>
      <c r="D643" t="inlineStr">
        <is>
          <t>STOCKHOLMS LÄN</t>
        </is>
      </c>
      <c r="E643" t="inlineStr">
        <is>
          <t>NORRTÄLJE</t>
        </is>
      </c>
      <c r="G643" t="n">
        <v>0.6</v>
      </c>
      <c r="H643" t="n">
        <v>0</v>
      </c>
      <c r="I643" t="n">
        <v>0</v>
      </c>
      <c r="J643" t="n">
        <v>0</v>
      </c>
      <c r="K643" t="n">
        <v>0</v>
      </c>
      <c r="L643" t="n">
        <v>0</v>
      </c>
      <c r="M643" t="n">
        <v>0</v>
      </c>
      <c r="N643" t="n">
        <v>0</v>
      </c>
      <c r="O643" t="n">
        <v>0</v>
      </c>
      <c r="P643" t="n">
        <v>0</v>
      </c>
      <c r="Q643" t="n">
        <v>0</v>
      </c>
      <c r="R643" s="2" t="inlineStr"/>
    </row>
    <row r="644" ht="15" customHeight="1">
      <c r="A644" t="inlineStr">
        <is>
          <t>A 67990-2021</t>
        </is>
      </c>
      <c r="B644" s="1" t="n">
        <v>44525</v>
      </c>
      <c r="C644" s="1" t="n">
        <v>45887</v>
      </c>
      <c r="D644" t="inlineStr">
        <is>
          <t>STOCKHOLMS LÄN</t>
        </is>
      </c>
      <c r="E644" t="inlineStr">
        <is>
          <t>NORRTÄLJE</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33219-2025</t>
        </is>
      </c>
      <c r="B645" s="1" t="n">
        <v>45840</v>
      </c>
      <c r="C645" s="1" t="n">
        <v>45887</v>
      </c>
      <c r="D645" t="inlineStr">
        <is>
          <t>STOCKHOLMS LÄN</t>
        </is>
      </c>
      <c r="E645" t="inlineStr">
        <is>
          <t>NORRTÄLJE</t>
        </is>
      </c>
      <c r="G645" t="n">
        <v>1.3</v>
      </c>
      <c r="H645" t="n">
        <v>0</v>
      </c>
      <c r="I645" t="n">
        <v>0</v>
      </c>
      <c r="J645" t="n">
        <v>0</v>
      </c>
      <c r="K645" t="n">
        <v>0</v>
      </c>
      <c r="L645" t="n">
        <v>0</v>
      </c>
      <c r="M645" t="n">
        <v>0</v>
      </c>
      <c r="N645" t="n">
        <v>0</v>
      </c>
      <c r="O645" t="n">
        <v>0</v>
      </c>
      <c r="P645" t="n">
        <v>0</v>
      </c>
      <c r="Q645" t="n">
        <v>0</v>
      </c>
      <c r="R645" s="2" t="inlineStr"/>
    </row>
    <row r="646" ht="15" customHeight="1">
      <c r="A646" t="inlineStr">
        <is>
          <t>A 67393-2020</t>
        </is>
      </c>
      <c r="B646" s="1" t="n">
        <v>44181</v>
      </c>
      <c r="C646" s="1" t="n">
        <v>45887</v>
      </c>
      <c r="D646" t="inlineStr">
        <is>
          <t>STOCKHOLMS LÄN</t>
        </is>
      </c>
      <c r="E646" t="inlineStr">
        <is>
          <t>NORRTÄLJE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23801-2022</t>
        </is>
      </c>
      <c r="B647" s="1" t="n">
        <v>44722</v>
      </c>
      <c r="C647" s="1" t="n">
        <v>45887</v>
      </c>
      <c r="D647" t="inlineStr">
        <is>
          <t>STOCKHOLMS LÄN</t>
        </is>
      </c>
      <c r="E647" t="inlineStr">
        <is>
          <t>NORRTÄLJE</t>
        </is>
      </c>
      <c r="G647" t="n">
        <v>6.8</v>
      </c>
      <c r="H647" t="n">
        <v>0</v>
      </c>
      <c r="I647" t="n">
        <v>0</v>
      </c>
      <c r="J647" t="n">
        <v>0</v>
      </c>
      <c r="K647" t="n">
        <v>0</v>
      </c>
      <c r="L647" t="n">
        <v>0</v>
      </c>
      <c r="M647" t="n">
        <v>0</v>
      </c>
      <c r="N647" t="n">
        <v>0</v>
      </c>
      <c r="O647" t="n">
        <v>0</v>
      </c>
      <c r="P647" t="n">
        <v>0</v>
      </c>
      <c r="Q647" t="n">
        <v>0</v>
      </c>
      <c r="R647" s="2" t="inlineStr"/>
    </row>
    <row r="648" ht="15" customHeight="1">
      <c r="A648" t="inlineStr">
        <is>
          <t>A 44075-2023</t>
        </is>
      </c>
      <c r="B648" s="1" t="n">
        <v>45188.41637731482</v>
      </c>
      <c r="C648" s="1" t="n">
        <v>45887</v>
      </c>
      <c r="D648" t="inlineStr">
        <is>
          <t>STOCKHOLMS LÄN</t>
        </is>
      </c>
      <c r="E648" t="inlineStr">
        <is>
          <t>NORRTÄLJE</t>
        </is>
      </c>
      <c r="F648" t="inlineStr">
        <is>
          <t>Holmen skog AB</t>
        </is>
      </c>
      <c r="G648" t="n">
        <v>2.4</v>
      </c>
      <c r="H648" t="n">
        <v>0</v>
      </c>
      <c r="I648" t="n">
        <v>0</v>
      </c>
      <c r="J648" t="n">
        <v>0</v>
      </c>
      <c r="K648" t="n">
        <v>0</v>
      </c>
      <c r="L648" t="n">
        <v>0</v>
      </c>
      <c r="M648" t="n">
        <v>0</v>
      </c>
      <c r="N648" t="n">
        <v>0</v>
      </c>
      <c r="O648" t="n">
        <v>0</v>
      </c>
      <c r="P648" t="n">
        <v>0</v>
      </c>
      <c r="Q648" t="n">
        <v>0</v>
      </c>
      <c r="R648" s="2" t="inlineStr"/>
    </row>
    <row r="649" ht="15" customHeight="1">
      <c r="A649" t="inlineStr">
        <is>
          <t>A 39879-2023</t>
        </is>
      </c>
      <c r="B649" s="1" t="n">
        <v>45168.40565972222</v>
      </c>
      <c r="C649" s="1" t="n">
        <v>45887</v>
      </c>
      <c r="D649" t="inlineStr">
        <is>
          <t>STOCKHOLMS LÄN</t>
        </is>
      </c>
      <c r="E649" t="inlineStr">
        <is>
          <t>NORRTÄLJE</t>
        </is>
      </c>
      <c r="F649" t="inlineStr">
        <is>
          <t>Holmen skog AB</t>
        </is>
      </c>
      <c r="G649" t="n">
        <v>10.9</v>
      </c>
      <c r="H649" t="n">
        <v>0</v>
      </c>
      <c r="I649" t="n">
        <v>0</v>
      </c>
      <c r="J649" t="n">
        <v>0</v>
      </c>
      <c r="K649" t="n">
        <v>0</v>
      </c>
      <c r="L649" t="n">
        <v>0</v>
      </c>
      <c r="M649" t="n">
        <v>0</v>
      </c>
      <c r="N649" t="n">
        <v>0</v>
      </c>
      <c r="O649" t="n">
        <v>0</v>
      </c>
      <c r="P649" t="n">
        <v>0</v>
      </c>
      <c r="Q649" t="n">
        <v>0</v>
      </c>
      <c r="R649" s="2" t="inlineStr"/>
    </row>
    <row r="650" ht="15" customHeight="1">
      <c r="A650" t="inlineStr">
        <is>
          <t>A 33353-2023</t>
        </is>
      </c>
      <c r="B650" s="1" t="n">
        <v>45128</v>
      </c>
      <c r="C650" s="1" t="n">
        <v>45887</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29250-2025</t>
        </is>
      </c>
      <c r="B651" s="1" t="n">
        <v>45824.37275462963</v>
      </c>
      <c r="C651" s="1" t="n">
        <v>45887</v>
      </c>
      <c r="D651" t="inlineStr">
        <is>
          <t>STOCKHOLMS LÄN</t>
        </is>
      </c>
      <c r="E651" t="inlineStr">
        <is>
          <t>NORRTÄLJE</t>
        </is>
      </c>
      <c r="F651" t="inlineStr">
        <is>
          <t>Sveaskog</t>
        </is>
      </c>
      <c r="G651" t="n">
        <v>6.4</v>
      </c>
      <c r="H651" t="n">
        <v>0</v>
      </c>
      <c r="I651" t="n">
        <v>0</v>
      </c>
      <c r="J651" t="n">
        <v>0</v>
      </c>
      <c r="K651" t="n">
        <v>0</v>
      </c>
      <c r="L651" t="n">
        <v>0</v>
      </c>
      <c r="M651" t="n">
        <v>0</v>
      </c>
      <c r="N651" t="n">
        <v>0</v>
      </c>
      <c r="O651" t="n">
        <v>0</v>
      </c>
      <c r="P651" t="n">
        <v>0</v>
      </c>
      <c r="Q651" t="n">
        <v>0</v>
      </c>
      <c r="R651" s="2" t="inlineStr"/>
    </row>
    <row r="652" ht="15" customHeight="1">
      <c r="A652" t="inlineStr">
        <is>
          <t>A 21696-2024</t>
        </is>
      </c>
      <c r="B652" s="1" t="n">
        <v>45442.45686342593</v>
      </c>
      <c r="C652" s="1" t="n">
        <v>45887</v>
      </c>
      <c r="D652" t="inlineStr">
        <is>
          <t>STOCKHOLMS LÄN</t>
        </is>
      </c>
      <c r="E652" t="inlineStr">
        <is>
          <t>NORRTÄLJE</t>
        </is>
      </c>
      <c r="G652" t="n">
        <v>2.9</v>
      </c>
      <c r="H652" t="n">
        <v>0</v>
      </c>
      <c r="I652" t="n">
        <v>0</v>
      </c>
      <c r="J652" t="n">
        <v>0</v>
      </c>
      <c r="K652" t="n">
        <v>0</v>
      </c>
      <c r="L652" t="n">
        <v>0</v>
      </c>
      <c r="M652" t="n">
        <v>0</v>
      </c>
      <c r="N652" t="n">
        <v>0</v>
      </c>
      <c r="O652" t="n">
        <v>0</v>
      </c>
      <c r="P652" t="n">
        <v>0</v>
      </c>
      <c r="Q652" t="n">
        <v>0</v>
      </c>
      <c r="R652" s="2" t="inlineStr"/>
    </row>
    <row r="653" ht="15" customHeight="1">
      <c r="A653" t="inlineStr">
        <is>
          <t>A 37136-2023</t>
        </is>
      </c>
      <c r="B653" s="1" t="n">
        <v>45155</v>
      </c>
      <c r="C653" s="1" t="n">
        <v>45887</v>
      </c>
      <c r="D653" t="inlineStr">
        <is>
          <t>STOCKHOLMS LÄN</t>
        </is>
      </c>
      <c r="E653" t="inlineStr">
        <is>
          <t>NORRTÄLJE</t>
        </is>
      </c>
      <c r="G653" t="n">
        <v>2.5</v>
      </c>
      <c r="H653" t="n">
        <v>0</v>
      </c>
      <c r="I653" t="n">
        <v>0</v>
      </c>
      <c r="J653" t="n">
        <v>0</v>
      </c>
      <c r="K653" t="n">
        <v>0</v>
      </c>
      <c r="L653" t="n">
        <v>0</v>
      </c>
      <c r="M653" t="n">
        <v>0</v>
      </c>
      <c r="N653" t="n">
        <v>0</v>
      </c>
      <c r="O653" t="n">
        <v>0</v>
      </c>
      <c r="P653" t="n">
        <v>0</v>
      </c>
      <c r="Q653" t="n">
        <v>0</v>
      </c>
      <c r="R653" s="2" t="inlineStr"/>
    </row>
    <row r="654" ht="15" customHeight="1">
      <c r="A654" t="inlineStr">
        <is>
          <t>A 1740-2023</t>
        </is>
      </c>
      <c r="B654" s="1" t="n">
        <v>44938</v>
      </c>
      <c r="C654" s="1" t="n">
        <v>45887</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36396-2025</t>
        </is>
      </c>
      <c r="B655" s="1" t="n">
        <v>45868.62267361111</v>
      </c>
      <c r="C655" s="1" t="n">
        <v>45887</v>
      </c>
      <c r="D655" t="inlineStr">
        <is>
          <t>STOCKHOLMS LÄN</t>
        </is>
      </c>
      <c r="E655" t="inlineStr">
        <is>
          <t>NORRTÄLJE</t>
        </is>
      </c>
      <c r="G655" t="n">
        <v>4.1</v>
      </c>
      <c r="H655" t="n">
        <v>0</v>
      </c>
      <c r="I655" t="n">
        <v>0</v>
      </c>
      <c r="J655" t="n">
        <v>0</v>
      </c>
      <c r="K655" t="n">
        <v>0</v>
      </c>
      <c r="L655" t="n">
        <v>0</v>
      </c>
      <c r="M655" t="n">
        <v>0</v>
      </c>
      <c r="N655" t="n">
        <v>0</v>
      </c>
      <c r="O655" t="n">
        <v>0</v>
      </c>
      <c r="P655" t="n">
        <v>0</v>
      </c>
      <c r="Q655" t="n">
        <v>0</v>
      </c>
      <c r="R655" s="2" t="inlineStr"/>
    </row>
    <row r="656" ht="15" customHeight="1">
      <c r="A656" t="inlineStr">
        <is>
          <t>A 35708-2022</t>
        </is>
      </c>
      <c r="B656" s="1" t="n">
        <v>44799.65013888889</v>
      </c>
      <c r="C656" s="1" t="n">
        <v>45887</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3426-2025</t>
        </is>
      </c>
      <c r="B657" s="1" t="n">
        <v>45680.42665509259</v>
      </c>
      <c r="C657" s="1" t="n">
        <v>45887</v>
      </c>
      <c r="D657" t="inlineStr">
        <is>
          <t>STOCKHOLMS LÄN</t>
        </is>
      </c>
      <c r="E657" t="inlineStr">
        <is>
          <t>NORRTÄLJE</t>
        </is>
      </c>
      <c r="G657" t="n">
        <v>3.2</v>
      </c>
      <c r="H657" t="n">
        <v>0</v>
      </c>
      <c r="I657" t="n">
        <v>0</v>
      </c>
      <c r="J657" t="n">
        <v>0</v>
      </c>
      <c r="K657" t="n">
        <v>0</v>
      </c>
      <c r="L657" t="n">
        <v>0</v>
      </c>
      <c r="M657" t="n">
        <v>0</v>
      </c>
      <c r="N657" t="n">
        <v>0</v>
      </c>
      <c r="O657" t="n">
        <v>0</v>
      </c>
      <c r="P657" t="n">
        <v>0</v>
      </c>
      <c r="Q657" t="n">
        <v>0</v>
      </c>
      <c r="R657" s="2" t="inlineStr"/>
    </row>
    <row r="658" ht="15" customHeight="1">
      <c r="A658" t="inlineStr">
        <is>
          <t>A 9-2024</t>
        </is>
      </c>
      <c r="B658" s="1" t="n">
        <v>45293</v>
      </c>
      <c r="C658" s="1" t="n">
        <v>45887</v>
      </c>
      <c r="D658" t="inlineStr">
        <is>
          <t>STOCKHOLMS LÄN</t>
        </is>
      </c>
      <c r="E658" t="inlineStr">
        <is>
          <t>NORRTÄLJE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51312-2023</t>
        </is>
      </c>
      <c r="B659" s="1" t="n">
        <v>45219.56697916667</v>
      </c>
      <c r="C659" s="1" t="n">
        <v>45887</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34139-2025</t>
        </is>
      </c>
      <c r="B660" s="1" t="n">
        <v>45845</v>
      </c>
      <c r="C660" s="1" t="n">
        <v>45887</v>
      </c>
      <c r="D660" t="inlineStr">
        <is>
          <t>STOCKHOLMS LÄN</t>
        </is>
      </c>
      <c r="E660" t="inlineStr">
        <is>
          <t>NORRTÄLJE</t>
        </is>
      </c>
      <c r="G660" t="n">
        <v>5.5</v>
      </c>
      <c r="H660" t="n">
        <v>0</v>
      </c>
      <c r="I660" t="n">
        <v>0</v>
      </c>
      <c r="J660" t="n">
        <v>0</v>
      </c>
      <c r="K660" t="n">
        <v>0</v>
      </c>
      <c r="L660" t="n">
        <v>0</v>
      </c>
      <c r="M660" t="n">
        <v>0</v>
      </c>
      <c r="N660" t="n">
        <v>0</v>
      </c>
      <c r="O660" t="n">
        <v>0</v>
      </c>
      <c r="P660" t="n">
        <v>0</v>
      </c>
      <c r="Q660" t="n">
        <v>0</v>
      </c>
      <c r="R660" s="2" t="inlineStr"/>
    </row>
    <row r="661" ht="15" customHeight="1">
      <c r="A661" t="inlineStr">
        <is>
          <t>A 11849-2025</t>
        </is>
      </c>
      <c r="B661" s="1" t="n">
        <v>45728.38409722222</v>
      </c>
      <c r="C661" s="1" t="n">
        <v>45887</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38610-2022</t>
        </is>
      </c>
      <c r="B662" s="1" t="n">
        <v>44813.59915509259</v>
      </c>
      <c r="C662" s="1" t="n">
        <v>45887</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22816-2021</t>
        </is>
      </c>
      <c r="B663" s="1" t="n">
        <v>44325</v>
      </c>
      <c r="C663" s="1" t="n">
        <v>45887</v>
      </c>
      <c r="D663" t="inlineStr">
        <is>
          <t>STOCKHOLMS LÄN</t>
        </is>
      </c>
      <c r="E663" t="inlineStr">
        <is>
          <t>NORRTÄLJE</t>
        </is>
      </c>
      <c r="G663" t="n">
        <v>4.5</v>
      </c>
      <c r="H663" t="n">
        <v>0</v>
      </c>
      <c r="I663" t="n">
        <v>0</v>
      </c>
      <c r="J663" t="n">
        <v>0</v>
      </c>
      <c r="K663" t="n">
        <v>0</v>
      </c>
      <c r="L663" t="n">
        <v>0</v>
      </c>
      <c r="M663" t="n">
        <v>0</v>
      </c>
      <c r="N663" t="n">
        <v>0</v>
      </c>
      <c r="O663" t="n">
        <v>0</v>
      </c>
      <c r="P663" t="n">
        <v>0</v>
      </c>
      <c r="Q663" t="n">
        <v>0</v>
      </c>
      <c r="R663" s="2" t="inlineStr"/>
    </row>
    <row r="664" ht="15" customHeight="1">
      <c r="A664" t="inlineStr">
        <is>
          <t>A 66662-2020</t>
        </is>
      </c>
      <c r="B664" s="1" t="n">
        <v>44179</v>
      </c>
      <c r="C664" s="1" t="n">
        <v>45887</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63824-2020</t>
        </is>
      </c>
      <c r="B665" s="1" t="n">
        <v>44162</v>
      </c>
      <c r="C665" s="1" t="n">
        <v>45887</v>
      </c>
      <c r="D665" t="inlineStr">
        <is>
          <t>STOCKHOLMS LÄN</t>
        </is>
      </c>
      <c r="E665" t="inlineStr">
        <is>
          <t>NORRTÄLJE</t>
        </is>
      </c>
      <c r="F665" t="inlineStr">
        <is>
          <t>Övriga Aktiebolag</t>
        </is>
      </c>
      <c r="G665" t="n">
        <v>1.9</v>
      </c>
      <c r="H665" t="n">
        <v>0</v>
      </c>
      <c r="I665" t="n">
        <v>0</v>
      </c>
      <c r="J665" t="n">
        <v>0</v>
      </c>
      <c r="K665" t="n">
        <v>0</v>
      </c>
      <c r="L665" t="n">
        <v>0</v>
      </c>
      <c r="M665" t="n">
        <v>0</v>
      </c>
      <c r="N665" t="n">
        <v>0</v>
      </c>
      <c r="O665" t="n">
        <v>0</v>
      </c>
      <c r="P665" t="n">
        <v>0</v>
      </c>
      <c r="Q665" t="n">
        <v>0</v>
      </c>
      <c r="R665" s="2" t="inlineStr"/>
    </row>
    <row r="666" ht="15" customHeight="1">
      <c r="A666" t="inlineStr">
        <is>
          <t>A 5423-2023</t>
        </is>
      </c>
      <c r="B666" s="1" t="n">
        <v>44959.74533564815</v>
      </c>
      <c r="C666" s="1" t="n">
        <v>45887</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58492-2022</t>
        </is>
      </c>
      <c r="B667" s="1" t="n">
        <v>44902</v>
      </c>
      <c r="C667" s="1" t="n">
        <v>45887</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30668-2025</t>
        </is>
      </c>
      <c r="B668" s="1" t="n">
        <v>45831.51659722222</v>
      </c>
      <c r="C668" s="1" t="n">
        <v>45887</v>
      </c>
      <c r="D668" t="inlineStr">
        <is>
          <t>STOCKHOLMS LÄN</t>
        </is>
      </c>
      <c r="E668" t="inlineStr">
        <is>
          <t>NORRTÄLJE</t>
        </is>
      </c>
      <c r="G668" t="n">
        <v>4.9</v>
      </c>
      <c r="H668" t="n">
        <v>0</v>
      </c>
      <c r="I668" t="n">
        <v>0</v>
      </c>
      <c r="J668" t="n">
        <v>0</v>
      </c>
      <c r="K668" t="n">
        <v>0</v>
      </c>
      <c r="L668" t="n">
        <v>0</v>
      </c>
      <c r="M668" t="n">
        <v>0</v>
      </c>
      <c r="N668" t="n">
        <v>0</v>
      </c>
      <c r="O668" t="n">
        <v>0</v>
      </c>
      <c r="P668" t="n">
        <v>0</v>
      </c>
      <c r="Q668" t="n">
        <v>0</v>
      </c>
      <c r="R668" s="2" t="inlineStr"/>
    </row>
    <row r="669" ht="15" customHeight="1">
      <c r="A669" t="inlineStr">
        <is>
          <t>A 30799-2025</t>
        </is>
      </c>
      <c r="B669" s="1" t="n">
        <v>45831.65079861111</v>
      </c>
      <c r="C669" s="1" t="n">
        <v>45887</v>
      </c>
      <c r="D669" t="inlineStr">
        <is>
          <t>STOCKHOLMS LÄN</t>
        </is>
      </c>
      <c r="E669" t="inlineStr">
        <is>
          <t>NORRTÄLJE</t>
        </is>
      </c>
      <c r="F669" t="inlineStr">
        <is>
          <t>Holmen skog AB</t>
        </is>
      </c>
      <c r="G669" t="n">
        <v>7.9</v>
      </c>
      <c r="H669" t="n">
        <v>0</v>
      </c>
      <c r="I669" t="n">
        <v>0</v>
      </c>
      <c r="J669" t="n">
        <v>0</v>
      </c>
      <c r="K669" t="n">
        <v>0</v>
      </c>
      <c r="L669" t="n">
        <v>0</v>
      </c>
      <c r="M669" t="n">
        <v>0</v>
      </c>
      <c r="N669" t="n">
        <v>0</v>
      </c>
      <c r="O669" t="n">
        <v>0</v>
      </c>
      <c r="P669" t="n">
        <v>0</v>
      </c>
      <c r="Q669" t="n">
        <v>0</v>
      </c>
      <c r="R669" s="2" t="inlineStr"/>
    </row>
    <row r="670" ht="15" customHeight="1">
      <c r="A670" t="inlineStr">
        <is>
          <t>A 13291-2025</t>
        </is>
      </c>
      <c r="B670" s="1" t="n">
        <v>45735</v>
      </c>
      <c r="C670" s="1" t="n">
        <v>45887</v>
      </c>
      <c r="D670" t="inlineStr">
        <is>
          <t>STOCKHOLMS LÄN</t>
        </is>
      </c>
      <c r="E670" t="inlineStr">
        <is>
          <t>NORRTÄLJE</t>
        </is>
      </c>
      <c r="G670" t="n">
        <v>3.8</v>
      </c>
      <c r="H670" t="n">
        <v>0</v>
      </c>
      <c r="I670" t="n">
        <v>0</v>
      </c>
      <c r="J670" t="n">
        <v>0</v>
      </c>
      <c r="K670" t="n">
        <v>0</v>
      </c>
      <c r="L670" t="n">
        <v>0</v>
      </c>
      <c r="M670" t="n">
        <v>0</v>
      </c>
      <c r="N670" t="n">
        <v>0</v>
      </c>
      <c r="O670" t="n">
        <v>0</v>
      </c>
      <c r="P670" t="n">
        <v>0</v>
      </c>
      <c r="Q670" t="n">
        <v>0</v>
      </c>
      <c r="R670" s="2" t="inlineStr"/>
    </row>
    <row r="671" ht="15" customHeight="1">
      <c r="A671" t="inlineStr">
        <is>
          <t>A 13331-2025</t>
        </is>
      </c>
      <c r="B671" s="1" t="n">
        <v>45735.60863425926</v>
      </c>
      <c r="C671" s="1" t="n">
        <v>45887</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59468-2023</t>
        </is>
      </c>
      <c r="B672" s="1" t="n">
        <v>45254.41509259259</v>
      </c>
      <c r="C672" s="1" t="n">
        <v>45887</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18846-2022</t>
        </is>
      </c>
      <c r="B673" s="1" t="n">
        <v>44690</v>
      </c>
      <c r="C673" s="1" t="n">
        <v>45887</v>
      </c>
      <c r="D673" t="inlineStr">
        <is>
          <t>STOCKHOLMS LÄN</t>
        </is>
      </c>
      <c r="E673" t="inlineStr">
        <is>
          <t>NORRTÄLJE</t>
        </is>
      </c>
      <c r="G673" t="n">
        <v>7</v>
      </c>
      <c r="H673" t="n">
        <v>0</v>
      </c>
      <c r="I673" t="n">
        <v>0</v>
      </c>
      <c r="J673" t="n">
        <v>0</v>
      </c>
      <c r="K673" t="n">
        <v>0</v>
      </c>
      <c r="L673" t="n">
        <v>0</v>
      </c>
      <c r="M673" t="n">
        <v>0</v>
      </c>
      <c r="N673" t="n">
        <v>0</v>
      </c>
      <c r="O673" t="n">
        <v>0</v>
      </c>
      <c r="P673" t="n">
        <v>0</v>
      </c>
      <c r="Q673" t="n">
        <v>0</v>
      </c>
      <c r="R673" s="2" t="inlineStr"/>
    </row>
    <row r="674" ht="15" customHeight="1">
      <c r="A674" t="inlineStr">
        <is>
          <t>A 4581-2025</t>
        </is>
      </c>
      <c r="B674" s="1" t="n">
        <v>45687</v>
      </c>
      <c r="C674" s="1" t="n">
        <v>45887</v>
      </c>
      <c r="D674" t="inlineStr">
        <is>
          <t>STOCKHOLMS LÄN</t>
        </is>
      </c>
      <c r="E674" t="inlineStr">
        <is>
          <t>NORRTÄLJE</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36157-2024</t>
        </is>
      </c>
      <c r="B675" s="1" t="n">
        <v>45534.38240740741</v>
      </c>
      <c r="C675" s="1" t="n">
        <v>45887</v>
      </c>
      <c r="D675" t="inlineStr">
        <is>
          <t>STOCKHOLMS LÄN</t>
        </is>
      </c>
      <c r="E675" t="inlineStr">
        <is>
          <t>NORRTÄLJE</t>
        </is>
      </c>
      <c r="F675" t="inlineStr">
        <is>
          <t>Övriga Aktiebolag</t>
        </is>
      </c>
      <c r="G675" t="n">
        <v>1.1</v>
      </c>
      <c r="H675" t="n">
        <v>0</v>
      </c>
      <c r="I675" t="n">
        <v>0</v>
      </c>
      <c r="J675" t="n">
        <v>0</v>
      </c>
      <c r="K675" t="n">
        <v>0</v>
      </c>
      <c r="L675" t="n">
        <v>0</v>
      </c>
      <c r="M675" t="n">
        <v>0</v>
      </c>
      <c r="N675" t="n">
        <v>0</v>
      </c>
      <c r="O675" t="n">
        <v>0</v>
      </c>
      <c r="P675" t="n">
        <v>0</v>
      </c>
      <c r="Q675" t="n">
        <v>0</v>
      </c>
      <c r="R675" s="2" t="inlineStr"/>
    </row>
    <row r="676" ht="15" customHeight="1">
      <c r="A676" t="inlineStr">
        <is>
          <t>A 62398-2022</t>
        </is>
      </c>
      <c r="B676" s="1" t="n">
        <v>44923.90159722222</v>
      </c>
      <c r="C676" s="1" t="n">
        <v>45887</v>
      </c>
      <c r="D676" t="inlineStr">
        <is>
          <t>STOCKHOLMS LÄN</t>
        </is>
      </c>
      <c r="E676" t="inlineStr">
        <is>
          <t>NORRTÄLJE</t>
        </is>
      </c>
      <c r="G676" t="n">
        <v>4</v>
      </c>
      <c r="H676" t="n">
        <v>0</v>
      </c>
      <c r="I676" t="n">
        <v>0</v>
      </c>
      <c r="J676" t="n">
        <v>0</v>
      </c>
      <c r="K676" t="n">
        <v>0</v>
      </c>
      <c r="L676" t="n">
        <v>0</v>
      </c>
      <c r="M676" t="n">
        <v>0</v>
      </c>
      <c r="N676" t="n">
        <v>0</v>
      </c>
      <c r="O676" t="n">
        <v>0</v>
      </c>
      <c r="P676" t="n">
        <v>0</v>
      </c>
      <c r="Q676" t="n">
        <v>0</v>
      </c>
      <c r="R676" s="2" t="inlineStr"/>
    </row>
    <row r="677" ht="15" customHeight="1">
      <c r="A677" t="inlineStr">
        <is>
          <t>A 68081-2020</t>
        </is>
      </c>
      <c r="B677" s="1" t="n">
        <v>44183</v>
      </c>
      <c r="C677" s="1" t="n">
        <v>45887</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17039-2024</t>
        </is>
      </c>
      <c r="B678" s="1" t="n">
        <v>45412.4104050926</v>
      </c>
      <c r="C678" s="1" t="n">
        <v>45887</v>
      </c>
      <c r="D678" t="inlineStr">
        <is>
          <t>STOCKHOLMS LÄN</t>
        </is>
      </c>
      <c r="E678" t="inlineStr">
        <is>
          <t>NORRTÄLJE</t>
        </is>
      </c>
      <c r="G678" t="n">
        <v>5.9</v>
      </c>
      <c r="H678" t="n">
        <v>0</v>
      </c>
      <c r="I678" t="n">
        <v>0</v>
      </c>
      <c r="J678" t="n">
        <v>0</v>
      </c>
      <c r="K678" t="n">
        <v>0</v>
      </c>
      <c r="L678" t="n">
        <v>0</v>
      </c>
      <c r="M678" t="n">
        <v>0</v>
      </c>
      <c r="N678" t="n">
        <v>0</v>
      </c>
      <c r="O678" t="n">
        <v>0</v>
      </c>
      <c r="P678" t="n">
        <v>0</v>
      </c>
      <c r="Q678" t="n">
        <v>0</v>
      </c>
      <c r="R678" s="2" t="inlineStr"/>
    </row>
    <row r="679" ht="15" customHeight="1">
      <c r="A679" t="inlineStr">
        <is>
          <t>A 30639-2025</t>
        </is>
      </c>
      <c r="B679" s="1" t="n">
        <v>45831.4844212963</v>
      </c>
      <c r="C679" s="1" t="n">
        <v>45887</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12535-2025</t>
        </is>
      </c>
      <c r="B680" s="1" t="n">
        <v>45730.69502314815</v>
      </c>
      <c r="C680" s="1" t="n">
        <v>45887</v>
      </c>
      <c r="D680" t="inlineStr">
        <is>
          <t>STOCKHOLMS LÄN</t>
        </is>
      </c>
      <c r="E680" t="inlineStr">
        <is>
          <t>NORRTÄLJE</t>
        </is>
      </c>
      <c r="G680" t="n">
        <v>7.1</v>
      </c>
      <c r="H680" t="n">
        <v>0</v>
      </c>
      <c r="I680" t="n">
        <v>0</v>
      </c>
      <c r="J680" t="n">
        <v>0</v>
      </c>
      <c r="K680" t="n">
        <v>0</v>
      </c>
      <c r="L680" t="n">
        <v>0</v>
      </c>
      <c r="M680" t="n">
        <v>0</v>
      </c>
      <c r="N680" t="n">
        <v>0</v>
      </c>
      <c r="O680" t="n">
        <v>0</v>
      </c>
      <c r="P680" t="n">
        <v>0</v>
      </c>
      <c r="Q680" t="n">
        <v>0</v>
      </c>
      <c r="R680" s="2" t="inlineStr"/>
    </row>
    <row r="681" ht="15" customHeight="1">
      <c r="A681" t="inlineStr">
        <is>
          <t>A 31170-2025</t>
        </is>
      </c>
      <c r="B681" s="1" t="n">
        <v>45832.66385416667</v>
      </c>
      <c r="C681" s="1" t="n">
        <v>45887</v>
      </c>
      <c r="D681" t="inlineStr">
        <is>
          <t>STOCKHOLMS LÄN</t>
        </is>
      </c>
      <c r="E681" t="inlineStr">
        <is>
          <t>NORRTÄLJE</t>
        </is>
      </c>
      <c r="G681" t="n">
        <v>2.7</v>
      </c>
      <c r="H681" t="n">
        <v>0</v>
      </c>
      <c r="I681" t="n">
        <v>0</v>
      </c>
      <c r="J681" t="n">
        <v>0</v>
      </c>
      <c r="K681" t="n">
        <v>0</v>
      </c>
      <c r="L681" t="n">
        <v>0</v>
      </c>
      <c r="M681" t="n">
        <v>0</v>
      </c>
      <c r="N681" t="n">
        <v>0</v>
      </c>
      <c r="O681" t="n">
        <v>0</v>
      </c>
      <c r="P681" t="n">
        <v>0</v>
      </c>
      <c r="Q681" t="n">
        <v>0</v>
      </c>
      <c r="R681" s="2" t="inlineStr"/>
    </row>
    <row r="682" ht="15" customHeight="1">
      <c r="A682" t="inlineStr">
        <is>
          <t>A 3509-2022</t>
        </is>
      </c>
      <c r="B682" s="1" t="n">
        <v>44585</v>
      </c>
      <c r="C682" s="1" t="n">
        <v>45887</v>
      </c>
      <c r="D682" t="inlineStr">
        <is>
          <t>STOCKHOLMS LÄN</t>
        </is>
      </c>
      <c r="E682" t="inlineStr">
        <is>
          <t>NORRTÄLJE</t>
        </is>
      </c>
      <c r="F682" t="inlineStr">
        <is>
          <t>Kommuner</t>
        </is>
      </c>
      <c r="G682" t="n">
        <v>0.8</v>
      </c>
      <c r="H682" t="n">
        <v>0</v>
      </c>
      <c r="I682" t="n">
        <v>0</v>
      </c>
      <c r="J682" t="n">
        <v>0</v>
      </c>
      <c r="K682" t="n">
        <v>0</v>
      </c>
      <c r="L682" t="n">
        <v>0</v>
      </c>
      <c r="M682" t="n">
        <v>0</v>
      </c>
      <c r="N682" t="n">
        <v>0</v>
      </c>
      <c r="O682" t="n">
        <v>0</v>
      </c>
      <c r="P682" t="n">
        <v>0</v>
      </c>
      <c r="Q682" t="n">
        <v>0</v>
      </c>
      <c r="R682" s="2" t="inlineStr"/>
    </row>
    <row r="683" ht="15" customHeight="1">
      <c r="A683" t="inlineStr">
        <is>
          <t>A 30699-2025</t>
        </is>
      </c>
      <c r="B683" s="1" t="n">
        <v>45831.54618055555</v>
      </c>
      <c r="C683" s="1" t="n">
        <v>45887</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574-2023</t>
        </is>
      </c>
      <c r="B684" s="1" t="n">
        <v>44925</v>
      </c>
      <c r="C684" s="1" t="n">
        <v>45887</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7697-2025</t>
        </is>
      </c>
      <c r="B685" s="1" t="n">
        <v>45706.40086805556</v>
      </c>
      <c r="C685" s="1" t="n">
        <v>45887</v>
      </c>
      <c r="D685" t="inlineStr">
        <is>
          <t>STOCKHOLMS LÄN</t>
        </is>
      </c>
      <c r="E685" t="inlineStr">
        <is>
          <t>NORRTÄLJE</t>
        </is>
      </c>
      <c r="F685" t="inlineStr">
        <is>
          <t>Holmen skog AB</t>
        </is>
      </c>
      <c r="G685" t="n">
        <v>1.8</v>
      </c>
      <c r="H685" t="n">
        <v>0</v>
      </c>
      <c r="I685" t="n">
        <v>0</v>
      </c>
      <c r="J685" t="n">
        <v>0</v>
      </c>
      <c r="K685" t="n">
        <v>0</v>
      </c>
      <c r="L685" t="n">
        <v>0</v>
      </c>
      <c r="M685" t="n">
        <v>0</v>
      </c>
      <c r="N685" t="n">
        <v>0</v>
      </c>
      <c r="O685" t="n">
        <v>0</v>
      </c>
      <c r="P685" t="n">
        <v>0</v>
      </c>
      <c r="Q685" t="n">
        <v>0</v>
      </c>
      <c r="R685" s="2" t="inlineStr"/>
    </row>
    <row r="686" ht="15" customHeight="1">
      <c r="A686" t="inlineStr">
        <is>
          <t>A 50738-2020</t>
        </is>
      </c>
      <c r="B686" s="1" t="n">
        <v>44111.44373842593</v>
      </c>
      <c r="C686" s="1" t="n">
        <v>45887</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39669-2024</t>
        </is>
      </c>
      <c r="B687" s="1" t="n">
        <v>45552.52827546297</v>
      </c>
      <c r="C687" s="1" t="n">
        <v>45887</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37010-2022</t>
        </is>
      </c>
      <c r="B688" s="1" t="n">
        <v>44806.41576388889</v>
      </c>
      <c r="C688" s="1" t="n">
        <v>45887</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31874-2025</t>
        </is>
      </c>
      <c r="B689" s="1" t="n">
        <v>45834</v>
      </c>
      <c r="C689" s="1" t="n">
        <v>45887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37261-2025</t>
        </is>
      </c>
      <c r="B690" s="1" t="n">
        <v>45876.45253472222</v>
      </c>
      <c r="C690" s="1" t="n">
        <v>45887</v>
      </c>
      <c r="D690" t="inlineStr">
        <is>
          <t>STOCKHOLMS LÄN</t>
        </is>
      </c>
      <c r="E690" t="inlineStr">
        <is>
          <t>NORRTÄLJE</t>
        </is>
      </c>
      <c r="F690" t="inlineStr">
        <is>
          <t>Kommuner</t>
        </is>
      </c>
      <c r="G690" t="n">
        <v>2.2</v>
      </c>
      <c r="H690" t="n">
        <v>0</v>
      </c>
      <c r="I690" t="n">
        <v>0</v>
      </c>
      <c r="J690" t="n">
        <v>0</v>
      </c>
      <c r="K690" t="n">
        <v>0</v>
      </c>
      <c r="L690" t="n">
        <v>0</v>
      </c>
      <c r="M690" t="n">
        <v>0</v>
      </c>
      <c r="N690" t="n">
        <v>0</v>
      </c>
      <c r="O690" t="n">
        <v>0</v>
      </c>
      <c r="P690" t="n">
        <v>0</v>
      </c>
      <c r="Q690" t="n">
        <v>0</v>
      </c>
      <c r="R690" s="2" t="inlineStr"/>
    </row>
    <row r="691" ht="15" customHeight="1">
      <c r="A691" t="inlineStr">
        <is>
          <t>A 31868-2025</t>
        </is>
      </c>
      <c r="B691" s="1" t="n">
        <v>45834.6447337963</v>
      </c>
      <c r="C691" s="1" t="n">
        <v>45887</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6413-2025</t>
        </is>
      </c>
      <c r="B692" s="1" t="n">
        <v>45699.46283564815</v>
      </c>
      <c r="C692" s="1" t="n">
        <v>45887</v>
      </c>
      <c r="D692" t="inlineStr">
        <is>
          <t>STOCKHOLMS LÄN</t>
        </is>
      </c>
      <c r="E692" t="inlineStr">
        <is>
          <t>NORRTÄLJE</t>
        </is>
      </c>
      <c r="G692" t="n">
        <v>3.6</v>
      </c>
      <c r="H692" t="n">
        <v>0</v>
      </c>
      <c r="I692" t="n">
        <v>0</v>
      </c>
      <c r="J692" t="n">
        <v>0</v>
      </c>
      <c r="K692" t="n">
        <v>0</v>
      </c>
      <c r="L692" t="n">
        <v>0</v>
      </c>
      <c r="M692" t="n">
        <v>0</v>
      </c>
      <c r="N692" t="n">
        <v>0</v>
      </c>
      <c r="O692" t="n">
        <v>0</v>
      </c>
      <c r="P692" t="n">
        <v>0</v>
      </c>
      <c r="Q692" t="n">
        <v>0</v>
      </c>
      <c r="R692" s="2" t="inlineStr"/>
    </row>
    <row r="693" ht="15" customHeight="1">
      <c r="A693" t="inlineStr">
        <is>
          <t>A 32705-2022</t>
        </is>
      </c>
      <c r="B693" s="1" t="n">
        <v>44783</v>
      </c>
      <c r="C693" s="1" t="n">
        <v>45887</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33149-2022</t>
        </is>
      </c>
      <c r="B694" s="1" t="n">
        <v>44785</v>
      </c>
      <c r="C694" s="1" t="n">
        <v>45887</v>
      </c>
      <c r="D694" t="inlineStr">
        <is>
          <t>STOCKHOLMS LÄN</t>
        </is>
      </c>
      <c r="E694" t="inlineStr">
        <is>
          <t>NORRTÄLJE</t>
        </is>
      </c>
      <c r="F694" t="inlineStr">
        <is>
          <t>Holmen skog AB</t>
        </is>
      </c>
      <c r="G694" t="n">
        <v>4.4</v>
      </c>
      <c r="H694" t="n">
        <v>0</v>
      </c>
      <c r="I694" t="n">
        <v>0</v>
      </c>
      <c r="J694" t="n">
        <v>0</v>
      </c>
      <c r="K694" t="n">
        <v>0</v>
      </c>
      <c r="L694" t="n">
        <v>0</v>
      </c>
      <c r="M694" t="n">
        <v>0</v>
      </c>
      <c r="N694" t="n">
        <v>0</v>
      </c>
      <c r="O694" t="n">
        <v>0</v>
      </c>
      <c r="P694" t="n">
        <v>0</v>
      </c>
      <c r="Q694" t="n">
        <v>0</v>
      </c>
      <c r="R694" s="2" t="inlineStr"/>
    </row>
    <row r="695" ht="15" customHeight="1">
      <c r="A695" t="inlineStr">
        <is>
          <t>A 14559-2024</t>
        </is>
      </c>
      <c r="B695" s="1" t="n">
        <v>45394.72869212963</v>
      </c>
      <c r="C695" s="1" t="n">
        <v>45887</v>
      </c>
      <c r="D695" t="inlineStr">
        <is>
          <t>STOCKHOLMS LÄN</t>
        </is>
      </c>
      <c r="E695" t="inlineStr">
        <is>
          <t>NORRTÄLJE</t>
        </is>
      </c>
      <c r="G695" t="n">
        <v>4.2</v>
      </c>
      <c r="H695" t="n">
        <v>0</v>
      </c>
      <c r="I695" t="n">
        <v>0</v>
      </c>
      <c r="J695" t="n">
        <v>0</v>
      </c>
      <c r="K695" t="n">
        <v>0</v>
      </c>
      <c r="L695" t="n">
        <v>0</v>
      </c>
      <c r="M695" t="n">
        <v>0</v>
      </c>
      <c r="N695" t="n">
        <v>0</v>
      </c>
      <c r="O695" t="n">
        <v>0</v>
      </c>
      <c r="P695" t="n">
        <v>0</v>
      </c>
      <c r="Q695" t="n">
        <v>0</v>
      </c>
      <c r="R695" s="2" t="inlineStr"/>
    </row>
    <row r="696" ht="15" customHeight="1">
      <c r="A696" t="inlineStr">
        <is>
          <t>A 2982-2023</t>
        </is>
      </c>
      <c r="B696" s="1" t="n">
        <v>44945.67409722223</v>
      </c>
      <c r="C696" s="1" t="n">
        <v>45887</v>
      </c>
      <c r="D696" t="inlineStr">
        <is>
          <t>STOCKHOLMS LÄN</t>
        </is>
      </c>
      <c r="E696" t="inlineStr">
        <is>
          <t>NORRTÄLJE</t>
        </is>
      </c>
      <c r="G696" t="n">
        <v>3.3</v>
      </c>
      <c r="H696" t="n">
        <v>0</v>
      </c>
      <c r="I696" t="n">
        <v>0</v>
      </c>
      <c r="J696" t="n">
        <v>0</v>
      </c>
      <c r="K696" t="n">
        <v>0</v>
      </c>
      <c r="L696" t="n">
        <v>0</v>
      </c>
      <c r="M696" t="n">
        <v>0</v>
      </c>
      <c r="N696" t="n">
        <v>0</v>
      </c>
      <c r="O696" t="n">
        <v>0</v>
      </c>
      <c r="P696" t="n">
        <v>0</v>
      </c>
      <c r="Q696" t="n">
        <v>0</v>
      </c>
      <c r="R696" s="2" t="inlineStr"/>
    </row>
    <row r="697" ht="15" customHeight="1">
      <c r="A697" t="inlineStr">
        <is>
          <t>A 31880-2025</t>
        </is>
      </c>
      <c r="B697" s="1" t="n">
        <v>45834.65538194445</v>
      </c>
      <c r="C697" s="1" t="n">
        <v>45887</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1448-2023</t>
        </is>
      </c>
      <c r="B698" s="1" t="n">
        <v>44937</v>
      </c>
      <c r="C698" s="1" t="n">
        <v>45887</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35127-2023</t>
        </is>
      </c>
      <c r="B699" s="1" t="n">
        <v>45145.51</v>
      </c>
      <c r="C699" s="1" t="n">
        <v>45887</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32283-2025</t>
        </is>
      </c>
      <c r="B700" s="1" t="n">
        <v>45835.68076388889</v>
      </c>
      <c r="C700" s="1" t="n">
        <v>45887</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11-2024</t>
        </is>
      </c>
      <c r="B701" s="1" t="n">
        <v>45293</v>
      </c>
      <c r="C701" s="1" t="n">
        <v>45887</v>
      </c>
      <c r="D701" t="inlineStr">
        <is>
          <t>STOCKHOLMS LÄN</t>
        </is>
      </c>
      <c r="E701" t="inlineStr">
        <is>
          <t>NORRTÄLJE</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15256-2023</t>
        </is>
      </c>
      <c r="B702" s="1" t="n">
        <v>45019.3959837963</v>
      </c>
      <c r="C702" s="1" t="n">
        <v>45887</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32122-2025</t>
        </is>
      </c>
      <c r="B703" s="1" t="n">
        <v>45835.4928125</v>
      </c>
      <c r="C703" s="1" t="n">
        <v>45887</v>
      </c>
      <c r="D703" t="inlineStr">
        <is>
          <t>STOCKHOLMS LÄN</t>
        </is>
      </c>
      <c r="E703" t="inlineStr">
        <is>
          <t>NORRTÄLJE</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7413-2024</t>
        </is>
      </c>
      <c r="B704" s="1" t="n">
        <v>45345.6059837963</v>
      </c>
      <c r="C704" s="1" t="n">
        <v>45887</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50136-2023</t>
        </is>
      </c>
      <c r="B705" s="1" t="n">
        <v>45215</v>
      </c>
      <c r="C705" s="1" t="n">
        <v>45887</v>
      </c>
      <c r="D705" t="inlineStr">
        <is>
          <t>STOCKHOLMS LÄN</t>
        </is>
      </c>
      <c r="E705" t="inlineStr">
        <is>
          <t>NORRTÄLJE</t>
        </is>
      </c>
      <c r="G705" t="n">
        <v>5.2</v>
      </c>
      <c r="H705" t="n">
        <v>0</v>
      </c>
      <c r="I705" t="n">
        <v>0</v>
      </c>
      <c r="J705" t="n">
        <v>0</v>
      </c>
      <c r="K705" t="n">
        <v>0</v>
      </c>
      <c r="L705" t="n">
        <v>0</v>
      </c>
      <c r="M705" t="n">
        <v>0</v>
      </c>
      <c r="N705" t="n">
        <v>0</v>
      </c>
      <c r="O705" t="n">
        <v>0</v>
      </c>
      <c r="P705" t="n">
        <v>0</v>
      </c>
      <c r="Q705" t="n">
        <v>0</v>
      </c>
      <c r="R705" s="2" t="inlineStr"/>
    </row>
    <row r="706" ht="15" customHeight="1">
      <c r="A706" t="inlineStr">
        <is>
          <t>A 58040-2024</t>
        </is>
      </c>
      <c r="B706" s="1" t="n">
        <v>45631.73952546297</v>
      </c>
      <c r="C706" s="1" t="n">
        <v>45887</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58041-2024</t>
        </is>
      </c>
      <c r="B707" s="1" t="n">
        <v>45631.74673611111</v>
      </c>
      <c r="C707" s="1" t="n">
        <v>45887</v>
      </c>
      <c r="D707" t="inlineStr">
        <is>
          <t>STOCKHOLMS LÄN</t>
        </is>
      </c>
      <c r="E707" t="inlineStr">
        <is>
          <t>NORRTÄLJE</t>
        </is>
      </c>
      <c r="G707" t="n">
        <v>0.7</v>
      </c>
      <c r="H707" t="n">
        <v>0</v>
      </c>
      <c r="I707" t="n">
        <v>0</v>
      </c>
      <c r="J707" t="n">
        <v>0</v>
      </c>
      <c r="K707" t="n">
        <v>0</v>
      </c>
      <c r="L707" t="n">
        <v>0</v>
      </c>
      <c r="M707" t="n">
        <v>0</v>
      </c>
      <c r="N707" t="n">
        <v>0</v>
      </c>
      <c r="O707" t="n">
        <v>0</v>
      </c>
      <c r="P707" t="n">
        <v>0</v>
      </c>
      <c r="Q707" t="n">
        <v>0</v>
      </c>
      <c r="R707" s="2" t="inlineStr"/>
    </row>
    <row r="708" ht="15" customHeight="1">
      <c r="A708" t="inlineStr">
        <is>
          <t>A 31057-2022</t>
        </is>
      </c>
      <c r="B708" s="1" t="n">
        <v>44769</v>
      </c>
      <c r="C708" s="1" t="n">
        <v>45887</v>
      </c>
      <c r="D708" t="inlineStr">
        <is>
          <t>STOCKHOLMS LÄN</t>
        </is>
      </c>
      <c r="E708" t="inlineStr">
        <is>
          <t>NORRTÄLJE</t>
        </is>
      </c>
      <c r="G708" t="n">
        <v>6.5</v>
      </c>
      <c r="H708" t="n">
        <v>0</v>
      </c>
      <c r="I708" t="n">
        <v>0</v>
      </c>
      <c r="J708" t="n">
        <v>0</v>
      </c>
      <c r="K708" t="n">
        <v>0</v>
      </c>
      <c r="L708" t="n">
        <v>0</v>
      </c>
      <c r="M708" t="n">
        <v>0</v>
      </c>
      <c r="N708" t="n">
        <v>0</v>
      </c>
      <c r="O708" t="n">
        <v>0</v>
      </c>
      <c r="P708" t="n">
        <v>0</v>
      </c>
      <c r="Q708" t="n">
        <v>0</v>
      </c>
      <c r="R708" s="2" t="inlineStr"/>
    </row>
    <row r="709" ht="15" customHeight="1">
      <c r="A709" t="inlineStr">
        <is>
          <t>A 11229-2022</t>
        </is>
      </c>
      <c r="B709" s="1" t="n">
        <v>44629</v>
      </c>
      <c r="C709" s="1" t="n">
        <v>45887</v>
      </c>
      <c r="D709" t="inlineStr">
        <is>
          <t>STOCKHOLMS LÄN</t>
        </is>
      </c>
      <c r="E709" t="inlineStr">
        <is>
          <t>NORRTÄLJE</t>
        </is>
      </c>
      <c r="F709" t="inlineStr">
        <is>
          <t>Övriga Aktiebolag</t>
        </is>
      </c>
      <c r="G709" t="n">
        <v>4.1</v>
      </c>
      <c r="H709" t="n">
        <v>0</v>
      </c>
      <c r="I709" t="n">
        <v>0</v>
      </c>
      <c r="J709" t="n">
        <v>0</v>
      </c>
      <c r="K709" t="n">
        <v>0</v>
      </c>
      <c r="L709" t="n">
        <v>0</v>
      </c>
      <c r="M709" t="n">
        <v>0</v>
      </c>
      <c r="N709" t="n">
        <v>0</v>
      </c>
      <c r="O709" t="n">
        <v>0</v>
      </c>
      <c r="P709" t="n">
        <v>0</v>
      </c>
      <c r="Q709" t="n">
        <v>0</v>
      </c>
      <c r="R709" s="2" t="inlineStr"/>
    </row>
    <row r="710" ht="15" customHeight="1">
      <c r="A710" t="inlineStr">
        <is>
          <t>A 37632-2025</t>
        </is>
      </c>
      <c r="B710" s="1" t="n">
        <v>45880.46524305556</v>
      </c>
      <c r="C710" s="1" t="n">
        <v>45887</v>
      </c>
      <c r="D710" t="inlineStr">
        <is>
          <t>STOCKHOLMS LÄN</t>
        </is>
      </c>
      <c r="E710" t="inlineStr">
        <is>
          <t>NORRTÄLJE</t>
        </is>
      </c>
      <c r="F710" t="inlineStr">
        <is>
          <t>Sveaskog</t>
        </is>
      </c>
      <c r="G710" t="n">
        <v>6.4</v>
      </c>
      <c r="H710" t="n">
        <v>0</v>
      </c>
      <c r="I710" t="n">
        <v>0</v>
      </c>
      <c r="J710" t="n">
        <v>0</v>
      </c>
      <c r="K710" t="n">
        <v>0</v>
      </c>
      <c r="L710" t="n">
        <v>0</v>
      </c>
      <c r="M710" t="n">
        <v>0</v>
      </c>
      <c r="N710" t="n">
        <v>0</v>
      </c>
      <c r="O710" t="n">
        <v>0</v>
      </c>
      <c r="P710" t="n">
        <v>0</v>
      </c>
      <c r="Q710" t="n">
        <v>0</v>
      </c>
      <c r="R710" s="2" t="inlineStr"/>
    </row>
    <row r="711" ht="15" customHeight="1">
      <c r="A711" t="inlineStr">
        <is>
          <t>A 9654-2022</t>
        </is>
      </c>
      <c r="B711" s="1" t="n">
        <v>44617</v>
      </c>
      <c r="C711" s="1" t="n">
        <v>45887</v>
      </c>
      <c r="D711" t="inlineStr">
        <is>
          <t>STOCKHOLMS LÄN</t>
        </is>
      </c>
      <c r="E711" t="inlineStr">
        <is>
          <t>NORRTÄLJE</t>
        </is>
      </c>
      <c r="G711" t="n">
        <v>6.4</v>
      </c>
      <c r="H711" t="n">
        <v>0</v>
      </c>
      <c r="I711" t="n">
        <v>0</v>
      </c>
      <c r="J711" t="n">
        <v>0</v>
      </c>
      <c r="K711" t="n">
        <v>0</v>
      </c>
      <c r="L711" t="n">
        <v>0</v>
      </c>
      <c r="M711" t="n">
        <v>0</v>
      </c>
      <c r="N711" t="n">
        <v>0</v>
      </c>
      <c r="O711" t="n">
        <v>0</v>
      </c>
      <c r="P711" t="n">
        <v>0</v>
      </c>
      <c r="Q711" t="n">
        <v>0</v>
      </c>
      <c r="R711" s="2" t="inlineStr"/>
    </row>
    <row r="712" ht="15" customHeight="1">
      <c r="A712" t="inlineStr">
        <is>
          <t>A 5389-2025</t>
        </is>
      </c>
      <c r="B712" s="1" t="n">
        <v>45692</v>
      </c>
      <c r="C712" s="1" t="n">
        <v>45887</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37630-2025</t>
        </is>
      </c>
      <c r="B713" s="1" t="n">
        <v>45880.46372685185</v>
      </c>
      <c r="C713" s="1" t="n">
        <v>45887</v>
      </c>
      <c r="D713" t="inlineStr">
        <is>
          <t>STOCKHOLMS LÄN</t>
        </is>
      </c>
      <c r="E713" t="inlineStr">
        <is>
          <t>NORRTÄLJE</t>
        </is>
      </c>
      <c r="F713" t="inlineStr">
        <is>
          <t>Sveaskog</t>
        </is>
      </c>
      <c r="G713" t="n">
        <v>12.9</v>
      </c>
      <c r="H713" t="n">
        <v>0</v>
      </c>
      <c r="I713" t="n">
        <v>0</v>
      </c>
      <c r="J713" t="n">
        <v>0</v>
      </c>
      <c r="K713" t="n">
        <v>0</v>
      </c>
      <c r="L713" t="n">
        <v>0</v>
      </c>
      <c r="M713" t="n">
        <v>0</v>
      </c>
      <c r="N713" t="n">
        <v>0</v>
      </c>
      <c r="O713" t="n">
        <v>0</v>
      </c>
      <c r="P713" t="n">
        <v>0</v>
      </c>
      <c r="Q713" t="n">
        <v>0</v>
      </c>
      <c r="R713" s="2" t="inlineStr"/>
    </row>
    <row r="714" ht="15" customHeight="1">
      <c r="A714" t="inlineStr">
        <is>
          <t>A 32094-2025</t>
        </is>
      </c>
      <c r="B714" s="1" t="n">
        <v>45835.46034722222</v>
      </c>
      <c r="C714" s="1" t="n">
        <v>45887</v>
      </c>
      <c r="D714" t="inlineStr">
        <is>
          <t>STOCKHOLMS LÄN</t>
        </is>
      </c>
      <c r="E714" t="inlineStr">
        <is>
          <t>NORRTÄLJE</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3143-2021</t>
        </is>
      </c>
      <c r="B715" s="1" t="n">
        <v>44217.40149305556</v>
      </c>
      <c r="C715" s="1" t="n">
        <v>45887</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25619-2022</t>
        </is>
      </c>
      <c r="B716" s="1" t="n">
        <v>44732</v>
      </c>
      <c r="C716" s="1" t="n">
        <v>45887</v>
      </c>
      <c r="D716" t="inlineStr">
        <is>
          <t>STOCKHOLMS LÄN</t>
        </is>
      </c>
      <c r="E716" t="inlineStr">
        <is>
          <t>NORRTÄLJE</t>
        </is>
      </c>
      <c r="G716" t="n">
        <v>3.9</v>
      </c>
      <c r="H716" t="n">
        <v>0</v>
      </c>
      <c r="I716" t="n">
        <v>0</v>
      </c>
      <c r="J716" t="n">
        <v>0</v>
      </c>
      <c r="K716" t="n">
        <v>0</v>
      </c>
      <c r="L716" t="n">
        <v>0</v>
      </c>
      <c r="M716" t="n">
        <v>0</v>
      </c>
      <c r="N716" t="n">
        <v>0</v>
      </c>
      <c r="O716" t="n">
        <v>0</v>
      </c>
      <c r="P716" t="n">
        <v>0</v>
      </c>
      <c r="Q716" t="n">
        <v>0</v>
      </c>
      <c r="R716" s="2" t="inlineStr"/>
    </row>
    <row r="717" ht="15" customHeight="1">
      <c r="A717" t="inlineStr">
        <is>
          <t>A 15422-2024</t>
        </is>
      </c>
      <c r="B717" s="1" t="n">
        <v>45401.3653125</v>
      </c>
      <c r="C717" s="1" t="n">
        <v>45887</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32016-2025</t>
        </is>
      </c>
      <c r="B718" s="1" t="n">
        <v>45835</v>
      </c>
      <c r="C718" s="1" t="n">
        <v>45887</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32396-2025</t>
        </is>
      </c>
      <c r="B719" s="1" t="n">
        <v>45837</v>
      </c>
      <c r="C719" s="1" t="n">
        <v>45887</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32397-2025</t>
        </is>
      </c>
      <c r="B720" s="1" t="n">
        <v>45837.94081018519</v>
      </c>
      <c r="C720" s="1" t="n">
        <v>45887</v>
      </c>
      <c r="D720" t="inlineStr">
        <is>
          <t>STOCKHOLMS LÄN</t>
        </is>
      </c>
      <c r="E720" t="inlineStr">
        <is>
          <t>NORRTÄLJE</t>
        </is>
      </c>
      <c r="G720" t="n">
        <v>5.9</v>
      </c>
      <c r="H720" t="n">
        <v>0</v>
      </c>
      <c r="I720" t="n">
        <v>0</v>
      </c>
      <c r="J720" t="n">
        <v>0</v>
      </c>
      <c r="K720" t="n">
        <v>0</v>
      </c>
      <c r="L720" t="n">
        <v>0</v>
      </c>
      <c r="M720" t="n">
        <v>0</v>
      </c>
      <c r="N720" t="n">
        <v>0</v>
      </c>
      <c r="O720" t="n">
        <v>0</v>
      </c>
      <c r="P720" t="n">
        <v>0</v>
      </c>
      <c r="Q720" t="n">
        <v>0</v>
      </c>
      <c r="R720" s="2" t="inlineStr"/>
    </row>
    <row r="721" ht="15" customHeight="1">
      <c r="A721" t="inlineStr">
        <is>
          <t>A 37628-2025</t>
        </is>
      </c>
      <c r="B721" s="1" t="n">
        <v>45880.46189814815</v>
      </c>
      <c r="C721" s="1" t="n">
        <v>45887</v>
      </c>
      <c r="D721" t="inlineStr">
        <is>
          <t>STOCKHOLMS LÄN</t>
        </is>
      </c>
      <c r="E721" t="inlineStr">
        <is>
          <t>NORRTÄLJE</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32480-2025</t>
        </is>
      </c>
      <c r="B722" s="1" t="n">
        <v>45838.43261574074</v>
      </c>
      <c r="C722" s="1" t="n">
        <v>45887</v>
      </c>
      <c r="D722" t="inlineStr">
        <is>
          <t>STOCKHOLMS LÄN</t>
        </is>
      </c>
      <c r="E722" t="inlineStr">
        <is>
          <t>NORRTÄLJE</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48716-2023</t>
        </is>
      </c>
      <c r="B723" s="1" t="n">
        <v>45208.69671296296</v>
      </c>
      <c r="C723" s="1" t="n">
        <v>45887</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55369-2023</t>
        </is>
      </c>
      <c r="B724" s="1" t="n">
        <v>45238</v>
      </c>
      <c r="C724" s="1" t="n">
        <v>45887</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20121-2022</t>
        </is>
      </c>
      <c r="B725" s="1" t="n">
        <v>44698</v>
      </c>
      <c r="C725" s="1" t="n">
        <v>45887</v>
      </c>
      <c r="D725" t="inlineStr">
        <is>
          <t>STOCKHOLMS LÄN</t>
        </is>
      </c>
      <c r="E725" t="inlineStr">
        <is>
          <t>NORRTÄLJE</t>
        </is>
      </c>
      <c r="G725" t="n">
        <v>4.2</v>
      </c>
      <c r="H725" t="n">
        <v>0</v>
      </c>
      <c r="I725" t="n">
        <v>0</v>
      </c>
      <c r="J725" t="n">
        <v>0</v>
      </c>
      <c r="K725" t="n">
        <v>0</v>
      </c>
      <c r="L725" t="n">
        <v>0</v>
      </c>
      <c r="M725" t="n">
        <v>0</v>
      </c>
      <c r="N725" t="n">
        <v>0</v>
      </c>
      <c r="O725" t="n">
        <v>0</v>
      </c>
      <c r="P725" t="n">
        <v>0</v>
      </c>
      <c r="Q725" t="n">
        <v>0</v>
      </c>
      <c r="R725" s="2" t="inlineStr"/>
    </row>
    <row r="726" ht="15" customHeight="1">
      <c r="A726" t="inlineStr">
        <is>
          <t>A 37147-2023</t>
        </is>
      </c>
      <c r="B726" s="1" t="n">
        <v>45155</v>
      </c>
      <c r="C726" s="1" t="n">
        <v>45887</v>
      </c>
      <c r="D726" t="inlineStr">
        <is>
          <t>STOCKHOLMS LÄN</t>
        </is>
      </c>
      <c r="E726" t="inlineStr">
        <is>
          <t>NORRTÄLJE</t>
        </is>
      </c>
      <c r="G726" t="n">
        <v>8</v>
      </c>
      <c r="H726" t="n">
        <v>0</v>
      </c>
      <c r="I726" t="n">
        <v>0</v>
      </c>
      <c r="J726" t="n">
        <v>0</v>
      </c>
      <c r="K726" t="n">
        <v>0</v>
      </c>
      <c r="L726" t="n">
        <v>0</v>
      </c>
      <c r="M726" t="n">
        <v>0</v>
      </c>
      <c r="N726" t="n">
        <v>0</v>
      </c>
      <c r="O726" t="n">
        <v>0</v>
      </c>
      <c r="P726" t="n">
        <v>0</v>
      </c>
      <c r="Q726" t="n">
        <v>0</v>
      </c>
      <c r="R726" s="2" t="inlineStr"/>
    </row>
    <row r="727" ht="15" customHeight="1">
      <c r="A727" t="inlineStr">
        <is>
          <t>A 26407-2024</t>
        </is>
      </c>
      <c r="B727" s="1" t="n">
        <v>45469</v>
      </c>
      <c r="C727" s="1" t="n">
        <v>45887</v>
      </c>
      <c r="D727" t="inlineStr">
        <is>
          <t>STOCKHOLMS LÄN</t>
        </is>
      </c>
      <c r="E727" t="inlineStr">
        <is>
          <t>NORRTÄLJE</t>
        </is>
      </c>
      <c r="G727" t="n">
        <v>3.5</v>
      </c>
      <c r="H727" t="n">
        <v>0</v>
      </c>
      <c r="I727" t="n">
        <v>0</v>
      </c>
      <c r="J727" t="n">
        <v>0</v>
      </c>
      <c r="K727" t="n">
        <v>0</v>
      </c>
      <c r="L727" t="n">
        <v>0</v>
      </c>
      <c r="M727" t="n">
        <v>0</v>
      </c>
      <c r="N727" t="n">
        <v>0</v>
      </c>
      <c r="O727" t="n">
        <v>0</v>
      </c>
      <c r="P727" t="n">
        <v>0</v>
      </c>
      <c r="Q727" t="n">
        <v>0</v>
      </c>
      <c r="R727" s="2" t="inlineStr"/>
    </row>
    <row r="728" ht="15" customHeight="1">
      <c r="A728" t="inlineStr">
        <is>
          <t>A 59499-2023</t>
        </is>
      </c>
      <c r="B728" s="1" t="n">
        <v>45254</v>
      </c>
      <c r="C728" s="1" t="n">
        <v>45887</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60654-2023</t>
        </is>
      </c>
      <c r="B729" s="1" t="n">
        <v>45260.43225694444</v>
      </c>
      <c r="C729" s="1" t="n">
        <v>45887</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60656-2023</t>
        </is>
      </c>
      <c r="B730" s="1" t="n">
        <v>45260.4333449074</v>
      </c>
      <c r="C730" s="1" t="n">
        <v>45887</v>
      </c>
      <c r="D730" t="inlineStr">
        <is>
          <t>STOCKHOLMS LÄN</t>
        </is>
      </c>
      <c r="E730" t="inlineStr">
        <is>
          <t>NORRTÄLJE</t>
        </is>
      </c>
      <c r="G730" t="n">
        <v>4.8</v>
      </c>
      <c r="H730" t="n">
        <v>0</v>
      </c>
      <c r="I730" t="n">
        <v>0</v>
      </c>
      <c r="J730" t="n">
        <v>0</v>
      </c>
      <c r="K730" t="n">
        <v>0</v>
      </c>
      <c r="L730" t="n">
        <v>0</v>
      </c>
      <c r="M730" t="n">
        <v>0</v>
      </c>
      <c r="N730" t="n">
        <v>0</v>
      </c>
      <c r="O730" t="n">
        <v>0</v>
      </c>
      <c r="P730" t="n">
        <v>0</v>
      </c>
      <c r="Q730" t="n">
        <v>0</v>
      </c>
      <c r="R730" s="2" t="inlineStr"/>
    </row>
    <row r="731" ht="15" customHeight="1">
      <c r="A731" t="inlineStr">
        <is>
          <t>A 58888-2020</t>
        </is>
      </c>
      <c r="B731" s="1" t="n">
        <v>44146</v>
      </c>
      <c r="C731" s="1" t="n">
        <v>45887</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22697-2022</t>
        </is>
      </c>
      <c r="B732" s="1" t="n">
        <v>44714.56040509259</v>
      </c>
      <c r="C732" s="1" t="n">
        <v>45887</v>
      </c>
      <c r="D732" t="inlineStr">
        <is>
          <t>STOCKHOLMS LÄN</t>
        </is>
      </c>
      <c r="E732" t="inlineStr">
        <is>
          <t>NORRTÄLJE</t>
        </is>
      </c>
      <c r="G732" t="n">
        <v>5.6</v>
      </c>
      <c r="H732" t="n">
        <v>0</v>
      </c>
      <c r="I732" t="n">
        <v>0</v>
      </c>
      <c r="J732" t="n">
        <v>0</v>
      </c>
      <c r="K732" t="n">
        <v>0</v>
      </c>
      <c r="L732" t="n">
        <v>0</v>
      </c>
      <c r="M732" t="n">
        <v>0</v>
      </c>
      <c r="N732" t="n">
        <v>0</v>
      </c>
      <c r="O732" t="n">
        <v>0</v>
      </c>
      <c r="P732" t="n">
        <v>0</v>
      </c>
      <c r="Q732" t="n">
        <v>0</v>
      </c>
      <c r="R732" s="2" t="inlineStr"/>
    </row>
    <row r="733" ht="15" customHeight="1">
      <c r="A733" t="inlineStr">
        <is>
          <t>A 32395-2025</t>
        </is>
      </c>
      <c r="B733" s="1" t="n">
        <v>45837.93730324074</v>
      </c>
      <c r="C733" s="1" t="n">
        <v>45887</v>
      </c>
      <c r="D733" t="inlineStr">
        <is>
          <t>STOCKHOLMS LÄN</t>
        </is>
      </c>
      <c r="E733" t="inlineStr">
        <is>
          <t>NORRTÄLJE</t>
        </is>
      </c>
      <c r="G733" t="n">
        <v>2.2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45887</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33211-2025</t>
        </is>
      </c>
      <c r="B735" s="1" t="n">
        <v>45840.62755787037</v>
      </c>
      <c r="C735" s="1" t="n">
        <v>45887</v>
      </c>
      <c r="D735" t="inlineStr">
        <is>
          <t>STOCKHOLMS LÄN</t>
        </is>
      </c>
      <c r="E735" t="inlineStr">
        <is>
          <t>NORRTÄLJE</t>
        </is>
      </c>
      <c r="G735" t="n">
        <v>5.1</v>
      </c>
      <c r="H735" t="n">
        <v>0</v>
      </c>
      <c r="I735" t="n">
        <v>0</v>
      </c>
      <c r="J735" t="n">
        <v>0</v>
      </c>
      <c r="K735" t="n">
        <v>0</v>
      </c>
      <c r="L735" t="n">
        <v>0</v>
      </c>
      <c r="M735" t="n">
        <v>0</v>
      </c>
      <c r="N735" t="n">
        <v>0</v>
      </c>
      <c r="O735" t="n">
        <v>0</v>
      </c>
      <c r="P735" t="n">
        <v>0</v>
      </c>
      <c r="Q735" t="n">
        <v>0</v>
      </c>
      <c r="R735" s="2" t="inlineStr"/>
    </row>
    <row r="736" ht="15" customHeight="1">
      <c r="A736" t="inlineStr">
        <is>
          <t>A 35647-2024</t>
        </is>
      </c>
      <c r="B736" s="1" t="n">
        <v>45532</v>
      </c>
      <c r="C736" s="1" t="n">
        <v>45887</v>
      </c>
      <c r="D736" t="inlineStr">
        <is>
          <t>STOCKHOLMS LÄN</t>
        </is>
      </c>
      <c r="E736" t="inlineStr">
        <is>
          <t>NORRTÄLJE</t>
        </is>
      </c>
      <c r="G736" t="n">
        <v>5.3</v>
      </c>
      <c r="H736" t="n">
        <v>0</v>
      </c>
      <c r="I736" t="n">
        <v>0</v>
      </c>
      <c r="J736" t="n">
        <v>0</v>
      </c>
      <c r="K736" t="n">
        <v>0</v>
      </c>
      <c r="L736" t="n">
        <v>0</v>
      </c>
      <c r="M736" t="n">
        <v>0</v>
      </c>
      <c r="N736" t="n">
        <v>0</v>
      </c>
      <c r="O736" t="n">
        <v>0</v>
      </c>
      <c r="P736" t="n">
        <v>0</v>
      </c>
      <c r="Q736" t="n">
        <v>0</v>
      </c>
      <c r="R736" s="2" t="inlineStr"/>
    </row>
    <row r="737" ht="15" customHeight="1">
      <c r="A737" t="inlineStr">
        <is>
          <t>A 32903-2025</t>
        </is>
      </c>
      <c r="B737" s="1" t="n">
        <v>45839.62398148148</v>
      </c>
      <c r="C737" s="1" t="n">
        <v>45887</v>
      </c>
      <c r="D737" t="inlineStr">
        <is>
          <t>STOCKHOLMS LÄN</t>
        </is>
      </c>
      <c r="E737" t="inlineStr">
        <is>
          <t>NORRTÄLJE</t>
        </is>
      </c>
      <c r="G737" t="n">
        <v>0.7</v>
      </c>
      <c r="H737" t="n">
        <v>0</v>
      </c>
      <c r="I737" t="n">
        <v>0</v>
      </c>
      <c r="J737" t="n">
        <v>0</v>
      </c>
      <c r="K737" t="n">
        <v>0</v>
      </c>
      <c r="L737" t="n">
        <v>0</v>
      </c>
      <c r="M737" t="n">
        <v>0</v>
      </c>
      <c r="N737" t="n">
        <v>0</v>
      </c>
      <c r="O737" t="n">
        <v>0</v>
      </c>
      <c r="P737" t="n">
        <v>0</v>
      </c>
      <c r="Q737" t="n">
        <v>0</v>
      </c>
      <c r="R737" s="2" t="inlineStr"/>
    </row>
    <row r="738" ht="15" customHeight="1">
      <c r="A738" t="inlineStr">
        <is>
          <t>A 33265-2025</t>
        </is>
      </c>
      <c r="B738" s="1" t="n">
        <v>45840.67829861111</v>
      </c>
      <c r="C738" s="1" t="n">
        <v>45887</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32872-2025</t>
        </is>
      </c>
      <c r="B739" s="1" t="n">
        <v>45839</v>
      </c>
      <c r="C739" s="1" t="n">
        <v>45887</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49700-2023</t>
        </is>
      </c>
      <c r="B740" s="1" t="n">
        <v>45212</v>
      </c>
      <c r="C740" s="1" t="n">
        <v>45887</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35254-2025</t>
        </is>
      </c>
      <c r="B741" s="1" t="n">
        <v>45853</v>
      </c>
      <c r="C741" s="1" t="n">
        <v>45887</v>
      </c>
      <c r="D741" t="inlineStr">
        <is>
          <t>STOCKHOLMS LÄN</t>
        </is>
      </c>
      <c r="E741" t="inlineStr">
        <is>
          <t>NORRTÄLJE</t>
        </is>
      </c>
      <c r="G741" t="n">
        <v>6.5</v>
      </c>
      <c r="H741" t="n">
        <v>0</v>
      </c>
      <c r="I741" t="n">
        <v>0</v>
      </c>
      <c r="J741" t="n">
        <v>0</v>
      </c>
      <c r="K741" t="n">
        <v>0</v>
      </c>
      <c r="L741" t="n">
        <v>0</v>
      </c>
      <c r="M741" t="n">
        <v>0</v>
      </c>
      <c r="N741" t="n">
        <v>0</v>
      </c>
      <c r="O741" t="n">
        <v>0</v>
      </c>
      <c r="P741" t="n">
        <v>0</v>
      </c>
      <c r="Q741" t="n">
        <v>0</v>
      </c>
      <c r="R741" s="2" t="inlineStr"/>
    </row>
    <row r="742" ht="15" customHeight="1">
      <c r="A742" t="inlineStr">
        <is>
          <t>A 35256-2025</t>
        </is>
      </c>
      <c r="B742" s="1" t="n">
        <v>45853</v>
      </c>
      <c r="C742" s="1" t="n">
        <v>45887</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38153-2025</t>
        </is>
      </c>
      <c r="B743" s="1" t="n">
        <v>45882.59722222222</v>
      </c>
      <c r="C743" s="1" t="n">
        <v>45887</v>
      </c>
      <c r="D743" t="inlineStr">
        <is>
          <t>STOCKHOLMS LÄN</t>
        </is>
      </c>
      <c r="E743" t="inlineStr">
        <is>
          <t>NORRTÄLJE</t>
        </is>
      </c>
      <c r="G743" t="n">
        <v>1.7</v>
      </c>
      <c r="H743" t="n">
        <v>0</v>
      </c>
      <c r="I743" t="n">
        <v>0</v>
      </c>
      <c r="J743" t="n">
        <v>0</v>
      </c>
      <c r="K743" t="n">
        <v>0</v>
      </c>
      <c r="L743" t="n">
        <v>0</v>
      </c>
      <c r="M743" t="n">
        <v>0</v>
      </c>
      <c r="N743" t="n">
        <v>0</v>
      </c>
      <c r="O743" t="n">
        <v>0</v>
      </c>
      <c r="P743" t="n">
        <v>0</v>
      </c>
      <c r="Q743" t="n">
        <v>0</v>
      </c>
      <c r="R743" s="2" t="inlineStr"/>
    </row>
    <row r="744" ht="15" customHeight="1">
      <c r="A744" t="inlineStr">
        <is>
          <t>A 59875-2024</t>
        </is>
      </c>
      <c r="B744" s="1" t="n">
        <v>45640.58716435185</v>
      </c>
      <c r="C744" s="1" t="n">
        <v>45887</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45220-2024</t>
        </is>
      </c>
      <c r="B745" s="1" t="n">
        <v>45575</v>
      </c>
      <c r="C745" s="1" t="n">
        <v>45887</v>
      </c>
      <c r="D745" t="inlineStr">
        <is>
          <t>STOCKHOLMS LÄN</t>
        </is>
      </c>
      <c r="E745" t="inlineStr">
        <is>
          <t>NORRTÄLJE</t>
        </is>
      </c>
      <c r="G745" t="n">
        <v>4.3</v>
      </c>
      <c r="H745" t="n">
        <v>0</v>
      </c>
      <c r="I745" t="n">
        <v>0</v>
      </c>
      <c r="J745" t="n">
        <v>0</v>
      </c>
      <c r="K745" t="n">
        <v>0</v>
      </c>
      <c r="L745" t="n">
        <v>0</v>
      </c>
      <c r="M745" t="n">
        <v>0</v>
      </c>
      <c r="N745" t="n">
        <v>0</v>
      </c>
      <c r="O745" t="n">
        <v>0</v>
      </c>
      <c r="P745" t="n">
        <v>0</v>
      </c>
      <c r="Q745" t="n">
        <v>0</v>
      </c>
      <c r="R745" s="2" t="inlineStr"/>
    </row>
    <row r="746" ht="15" customHeight="1">
      <c r="A746" t="inlineStr">
        <is>
          <t>A 48180-2023</t>
        </is>
      </c>
      <c r="B746" s="1" t="n">
        <v>45205</v>
      </c>
      <c r="C746" s="1" t="n">
        <v>45887</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33702-2025</t>
        </is>
      </c>
      <c r="B747" s="1" t="n">
        <v>45841.74596064815</v>
      </c>
      <c r="C747" s="1" t="n">
        <v>45887</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57353-2024</t>
        </is>
      </c>
      <c r="B748" s="1" t="n">
        <v>45629.65143518519</v>
      </c>
      <c r="C748" s="1" t="n">
        <v>45887</v>
      </c>
      <c r="D748" t="inlineStr">
        <is>
          <t>STOCKHOLMS LÄN</t>
        </is>
      </c>
      <c r="E748" t="inlineStr">
        <is>
          <t>NORRTÄLJE</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33336-2025</t>
        </is>
      </c>
      <c r="B749" s="1" t="n">
        <v>45841.35611111111</v>
      </c>
      <c r="C749" s="1" t="n">
        <v>45887</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4658-2024</t>
        </is>
      </c>
      <c r="B750" s="1" t="n">
        <v>45328.46336805556</v>
      </c>
      <c r="C750" s="1" t="n">
        <v>45887</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38593-2025</t>
        </is>
      </c>
      <c r="B751" s="1" t="n">
        <v>45884.48696759259</v>
      </c>
      <c r="C751" s="1" t="n">
        <v>45887</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55696-2022</t>
        </is>
      </c>
      <c r="B752" s="1" t="n">
        <v>44888</v>
      </c>
      <c r="C752" s="1" t="n">
        <v>45887</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50907-2022</t>
        </is>
      </c>
      <c r="B753" s="1" t="n">
        <v>44867.62090277778</v>
      </c>
      <c r="C753" s="1" t="n">
        <v>45887</v>
      </c>
      <c r="D753" t="inlineStr">
        <is>
          <t>STOCKHOLMS LÄN</t>
        </is>
      </c>
      <c r="E753" t="inlineStr">
        <is>
          <t>NORRTÄLJE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48145-2024</t>
        </is>
      </c>
      <c r="B754" s="1" t="n">
        <v>45589.6756712963</v>
      </c>
      <c r="C754" s="1" t="n">
        <v>45887</v>
      </c>
      <c r="D754" t="inlineStr">
        <is>
          <t>STOCKHOLMS LÄN</t>
        </is>
      </c>
      <c r="E754" t="inlineStr">
        <is>
          <t>NORRTÄLJE</t>
        </is>
      </c>
      <c r="G754" t="n">
        <v>3.4</v>
      </c>
      <c r="H754" t="n">
        <v>0</v>
      </c>
      <c r="I754" t="n">
        <v>0</v>
      </c>
      <c r="J754" t="n">
        <v>0</v>
      </c>
      <c r="K754" t="n">
        <v>0</v>
      </c>
      <c r="L754" t="n">
        <v>0</v>
      </c>
      <c r="M754" t="n">
        <v>0</v>
      </c>
      <c r="N754" t="n">
        <v>0</v>
      </c>
      <c r="O754" t="n">
        <v>0</v>
      </c>
      <c r="P754" t="n">
        <v>0</v>
      </c>
      <c r="Q754" t="n">
        <v>0</v>
      </c>
      <c r="R754" s="2" t="inlineStr"/>
    </row>
    <row r="755" ht="15" customHeight="1">
      <c r="A755" t="inlineStr">
        <is>
          <t>A 6919-2025</t>
        </is>
      </c>
      <c r="B755" s="1" t="n">
        <v>45701.44372685185</v>
      </c>
      <c r="C755" s="1" t="n">
        <v>45887</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53362-2023</t>
        </is>
      </c>
      <c r="B756" s="1" t="n">
        <v>45223</v>
      </c>
      <c r="C756" s="1" t="n">
        <v>45887</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60166-2024</t>
        </is>
      </c>
      <c r="B757" s="1" t="n">
        <v>45642.63512731482</v>
      </c>
      <c r="C757" s="1" t="n">
        <v>45887</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10642-2025</t>
        </is>
      </c>
      <c r="B758" s="1" t="n">
        <v>45721.65858796296</v>
      </c>
      <c r="C758" s="1" t="n">
        <v>45887</v>
      </c>
      <c r="D758" t="inlineStr">
        <is>
          <t>STOCKHOLMS LÄN</t>
        </is>
      </c>
      <c r="E758" t="inlineStr">
        <is>
          <t>NORRTÄLJE</t>
        </is>
      </c>
      <c r="G758" t="n">
        <v>2.6</v>
      </c>
      <c r="H758" t="n">
        <v>0</v>
      </c>
      <c r="I758" t="n">
        <v>0</v>
      </c>
      <c r="J758" t="n">
        <v>0</v>
      </c>
      <c r="K758" t="n">
        <v>0</v>
      </c>
      <c r="L758" t="n">
        <v>0</v>
      </c>
      <c r="M758" t="n">
        <v>0</v>
      </c>
      <c r="N758" t="n">
        <v>0</v>
      </c>
      <c r="O758" t="n">
        <v>0</v>
      </c>
      <c r="P758" t="n">
        <v>0</v>
      </c>
      <c r="Q758" t="n">
        <v>0</v>
      </c>
      <c r="R758" s="2" t="inlineStr"/>
    </row>
    <row r="759" ht="15" customHeight="1">
      <c r="A759" t="inlineStr">
        <is>
          <t>A 33552-2025</t>
        </is>
      </c>
      <c r="B759" s="1" t="n">
        <v>45841.5737962963</v>
      </c>
      <c r="C759" s="1" t="n">
        <v>45887</v>
      </c>
      <c r="D759" t="inlineStr">
        <is>
          <t>STOCKHOLMS LÄN</t>
        </is>
      </c>
      <c r="E759" t="inlineStr">
        <is>
          <t>NORRTÄLJE</t>
        </is>
      </c>
      <c r="G759" t="n">
        <v>8.9</v>
      </c>
      <c r="H759" t="n">
        <v>0</v>
      </c>
      <c r="I759" t="n">
        <v>0</v>
      </c>
      <c r="J759" t="n">
        <v>0</v>
      </c>
      <c r="K759" t="n">
        <v>0</v>
      </c>
      <c r="L759" t="n">
        <v>0</v>
      </c>
      <c r="M759" t="n">
        <v>0</v>
      </c>
      <c r="N759" t="n">
        <v>0</v>
      </c>
      <c r="O759" t="n">
        <v>0</v>
      </c>
      <c r="P759" t="n">
        <v>0</v>
      </c>
      <c r="Q759" t="n">
        <v>0</v>
      </c>
      <c r="R759" s="2" t="inlineStr"/>
    </row>
    <row r="760" ht="15" customHeight="1">
      <c r="A760" t="inlineStr">
        <is>
          <t>A 33546-2025</t>
        </is>
      </c>
      <c r="B760" s="1" t="n">
        <v>45841.56996527778</v>
      </c>
      <c r="C760" s="1" t="n">
        <v>45887</v>
      </c>
      <c r="D760" t="inlineStr">
        <is>
          <t>STOCKHOLMS LÄN</t>
        </is>
      </c>
      <c r="E760" t="inlineStr">
        <is>
          <t>NORRTÄLJE</t>
        </is>
      </c>
      <c r="G760" t="n">
        <v>7.2</v>
      </c>
      <c r="H760" t="n">
        <v>0</v>
      </c>
      <c r="I760" t="n">
        <v>0</v>
      </c>
      <c r="J760" t="n">
        <v>0</v>
      </c>
      <c r="K760" t="n">
        <v>0</v>
      </c>
      <c r="L760" t="n">
        <v>0</v>
      </c>
      <c r="M760" t="n">
        <v>0</v>
      </c>
      <c r="N760" t="n">
        <v>0</v>
      </c>
      <c r="O760" t="n">
        <v>0</v>
      </c>
      <c r="P760" t="n">
        <v>0</v>
      </c>
      <c r="Q760" t="n">
        <v>0</v>
      </c>
      <c r="R760" s="2" t="inlineStr"/>
    </row>
    <row r="761" ht="15" customHeight="1">
      <c r="A761" t="inlineStr">
        <is>
          <t>A 24024-2024</t>
        </is>
      </c>
      <c r="B761" s="1" t="n">
        <v>45456</v>
      </c>
      <c r="C761" s="1" t="n">
        <v>45887</v>
      </c>
      <c r="D761" t="inlineStr">
        <is>
          <t>STOCKHOLMS LÄN</t>
        </is>
      </c>
      <c r="E761" t="inlineStr">
        <is>
          <t>NORRTÄLJE</t>
        </is>
      </c>
      <c r="G761" t="n">
        <v>1.9</v>
      </c>
      <c r="H761" t="n">
        <v>0</v>
      </c>
      <c r="I761" t="n">
        <v>0</v>
      </c>
      <c r="J761" t="n">
        <v>0</v>
      </c>
      <c r="K761" t="n">
        <v>0</v>
      </c>
      <c r="L761" t="n">
        <v>0</v>
      </c>
      <c r="M761" t="n">
        <v>0</v>
      </c>
      <c r="N761" t="n">
        <v>0</v>
      </c>
      <c r="O761" t="n">
        <v>0</v>
      </c>
      <c r="P761" t="n">
        <v>0</v>
      </c>
      <c r="Q761" t="n">
        <v>0</v>
      </c>
      <c r="R761" s="2" t="inlineStr"/>
    </row>
    <row r="762" ht="15" customHeight="1">
      <c r="A762" t="inlineStr">
        <is>
          <t>A 8433-2022</t>
        </is>
      </c>
      <c r="B762" s="1" t="n">
        <v>44611</v>
      </c>
      <c r="C762" s="1" t="n">
        <v>45887</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60321-2020</t>
        </is>
      </c>
      <c r="B763" s="1" t="n">
        <v>44152</v>
      </c>
      <c r="C763" s="1" t="n">
        <v>45887</v>
      </c>
      <c r="D763" t="inlineStr">
        <is>
          <t>STOCKHOLMS LÄN</t>
        </is>
      </c>
      <c r="E763" t="inlineStr">
        <is>
          <t>NORRTÄLJE</t>
        </is>
      </c>
      <c r="F763" t="inlineStr">
        <is>
          <t>Holmen skog AB</t>
        </is>
      </c>
      <c r="G763" t="n">
        <v>3.4</v>
      </c>
      <c r="H763" t="n">
        <v>0</v>
      </c>
      <c r="I763" t="n">
        <v>0</v>
      </c>
      <c r="J763" t="n">
        <v>0</v>
      </c>
      <c r="K763" t="n">
        <v>0</v>
      </c>
      <c r="L763" t="n">
        <v>0</v>
      </c>
      <c r="M763" t="n">
        <v>0</v>
      </c>
      <c r="N763" t="n">
        <v>0</v>
      </c>
      <c r="O763" t="n">
        <v>0</v>
      </c>
      <c r="P763" t="n">
        <v>0</v>
      </c>
      <c r="Q763" t="n">
        <v>0</v>
      </c>
      <c r="R763" s="2" t="inlineStr"/>
    </row>
    <row r="764" ht="15" customHeight="1">
      <c r="A764" t="inlineStr">
        <is>
          <t>A 10215-2023</t>
        </is>
      </c>
      <c r="B764" s="1" t="n">
        <v>44986.5887962963</v>
      </c>
      <c r="C764" s="1" t="n">
        <v>45887</v>
      </c>
      <c r="D764" t="inlineStr">
        <is>
          <t>STOCKHOLMS LÄN</t>
        </is>
      </c>
      <c r="E764" t="inlineStr">
        <is>
          <t>NORRTÄLJE</t>
        </is>
      </c>
      <c r="G764" t="n">
        <v>6.5</v>
      </c>
      <c r="H764" t="n">
        <v>0</v>
      </c>
      <c r="I764" t="n">
        <v>0</v>
      </c>
      <c r="J764" t="n">
        <v>0</v>
      </c>
      <c r="K764" t="n">
        <v>0</v>
      </c>
      <c r="L764" t="n">
        <v>0</v>
      </c>
      <c r="M764" t="n">
        <v>0</v>
      </c>
      <c r="N764" t="n">
        <v>0</v>
      </c>
      <c r="O764" t="n">
        <v>0</v>
      </c>
      <c r="P764" t="n">
        <v>0</v>
      </c>
      <c r="Q764" t="n">
        <v>0</v>
      </c>
      <c r="R764" s="2" t="inlineStr"/>
    </row>
    <row r="765" ht="15" customHeight="1">
      <c r="A765" t="inlineStr">
        <is>
          <t>A 33824-2025</t>
        </is>
      </c>
      <c r="B765" s="1" t="n">
        <v>45842.46885416667</v>
      </c>
      <c r="C765" s="1" t="n">
        <v>45887</v>
      </c>
      <c r="D765" t="inlineStr">
        <is>
          <t>STOCKHOLMS LÄN</t>
        </is>
      </c>
      <c r="E765" t="inlineStr">
        <is>
          <t>NORRTÄLJE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19058-2023</t>
        </is>
      </c>
      <c r="B766" s="1" t="n">
        <v>45048</v>
      </c>
      <c r="C766" s="1" t="n">
        <v>45887</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34444-2024</t>
        </is>
      </c>
      <c r="B767" s="1" t="n">
        <v>45525</v>
      </c>
      <c r="C767" s="1" t="n">
        <v>45887</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35532-2024</t>
        </is>
      </c>
      <c r="B768" s="1" t="n">
        <v>45531</v>
      </c>
      <c r="C768" s="1" t="n">
        <v>45887</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21291-2021</t>
        </is>
      </c>
      <c r="B769" s="1" t="n">
        <v>44319</v>
      </c>
      <c r="C769" s="1" t="n">
        <v>45887</v>
      </c>
      <c r="D769" t="inlineStr">
        <is>
          <t>STOCKHOLMS LÄN</t>
        </is>
      </c>
      <c r="E769" t="inlineStr">
        <is>
          <t>NORRTÄLJE</t>
        </is>
      </c>
      <c r="G769" t="n">
        <v>12.7</v>
      </c>
      <c r="H769" t="n">
        <v>0</v>
      </c>
      <c r="I769" t="n">
        <v>0</v>
      </c>
      <c r="J769" t="n">
        <v>0</v>
      </c>
      <c r="K769" t="n">
        <v>0</v>
      </c>
      <c r="L769" t="n">
        <v>0</v>
      </c>
      <c r="M769" t="n">
        <v>0</v>
      </c>
      <c r="N769" t="n">
        <v>0</v>
      </c>
      <c r="O769" t="n">
        <v>0</v>
      </c>
      <c r="P769" t="n">
        <v>0</v>
      </c>
      <c r="Q769" t="n">
        <v>0</v>
      </c>
      <c r="R769" s="2" t="inlineStr"/>
    </row>
    <row r="770" ht="15" customHeight="1">
      <c r="A770" t="inlineStr">
        <is>
          <t>A 19118-2022</t>
        </is>
      </c>
      <c r="B770" s="1" t="n">
        <v>44691.5652662037</v>
      </c>
      <c r="C770" s="1" t="n">
        <v>45887</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14127-2025</t>
        </is>
      </c>
      <c r="B771" s="1" t="n">
        <v>45740.47055555556</v>
      </c>
      <c r="C771" s="1" t="n">
        <v>45887</v>
      </c>
      <c r="D771" t="inlineStr">
        <is>
          <t>STOCKHOLMS LÄN</t>
        </is>
      </c>
      <c r="E771" t="inlineStr">
        <is>
          <t>NORRTÄLJE</t>
        </is>
      </c>
      <c r="G771" t="n">
        <v>1</v>
      </c>
      <c r="H771" t="n">
        <v>0</v>
      </c>
      <c r="I771" t="n">
        <v>0</v>
      </c>
      <c r="J771" t="n">
        <v>0</v>
      </c>
      <c r="K771" t="n">
        <v>0</v>
      </c>
      <c r="L771" t="n">
        <v>0</v>
      </c>
      <c r="M771" t="n">
        <v>0</v>
      </c>
      <c r="N771" t="n">
        <v>0</v>
      </c>
      <c r="O771" t="n">
        <v>0</v>
      </c>
      <c r="P771" t="n">
        <v>0</v>
      </c>
      <c r="Q771" t="n">
        <v>0</v>
      </c>
      <c r="R771" s="2" t="inlineStr"/>
    </row>
    <row r="772" ht="15" customHeight="1">
      <c r="A772" t="inlineStr">
        <is>
          <t>A 22421-2021</t>
        </is>
      </c>
      <c r="B772" s="1" t="n">
        <v>44326</v>
      </c>
      <c r="C772" s="1" t="n">
        <v>45887</v>
      </c>
      <c r="D772" t="inlineStr">
        <is>
          <t>STOCKHOLMS LÄN</t>
        </is>
      </c>
      <c r="E772" t="inlineStr">
        <is>
          <t>NORRTÄLJE</t>
        </is>
      </c>
      <c r="G772" t="n">
        <v>2.1</v>
      </c>
      <c r="H772" t="n">
        <v>0</v>
      </c>
      <c r="I772" t="n">
        <v>0</v>
      </c>
      <c r="J772" t="n">
        <v>0</v>
      </c>
      <c r="K772" t="n">
        <v>0</v>
      </c>
      <c r="L772" t="n">
        <v>0</v>
      </c>
      <c r="M772" t="n">
        <v>0</v>
      </c>
      <c r="N772" t="n">
        <v>0</v>
      </c>
      <c r="O772" t="n">
        <v>0</v>
      </c>
      <c r="P772" t="n">
        <v>0</v>
      </c>
      <c r="Q772" t="n">
        <v>0</v>
      </c>
      <c r="R772" s="2" t="inlineStr"/>
    </row>
    <row r="773" ht="15" customHeight="1">
      <c r="A773" t="inlineStr">
        <is>
          <t>A 59893-2022</t>
        </is>
      </c>
      <c r="B773" s="1" t="n">
        <v>44908.77368055555</v>
      </c>
      <c r="C773" s="1" t="n">
        <v>45887</v>
      </c>
      <c r="D773" t="inlineStr">
        <is>
          <t>STOCKHOLMS LÄN</t>
        </is>
      </c>
      <c r="E773" t="inlineStr">
        <is>
          <t>NORRTÄLJE</t>
        </is>
      </c>
      <c r="G773" t="n">
        <v>3</v>
      </c>
      <c r="H773" t="n">
        <v>0</v>
      </c>
      <c r="I773" t="n">
        <v>0</v>
      </c>
      <c r="J773" t="n">
        <v>0</v>
      </c>
      <c r="K773" t="n">
        <v>0</v>
      </c>
      <c r="L773" t="n">
        <v>0</v>
      </c>
      <c r="M773" t="n">
        <v>0</v>
      </c>
      <c r="N773" t="n">
        <v>0</v>
      </c>
      <c r="O773" t="n">
        <v>0</v>
      </c>
      <c r="P773" t="n">
        <v>0</v>
      </c>
      <c r="Q773" t="n">
        <v>0</v>
      </c>
      <c r="R773" s="2" t="inlineStr"/>
    </row>
    <row r="774" ht="15" customHeight="1">
      <c r="A774" t="inlineStr">
        <is>
          <t>A 31559-2022</t>
        </is>
      </c>
      <c r="B774" s="1" t="n">
        <v>44775</v>
      </c>
      <c r="C774" s="1" t="n">
        <v>45887</v>
      </c>
      <c r="D774" t="inlineStr">
        <is>
          <t>STOCKHOLMS LÄN</t>
        </is>
      </c>
      <c r="E774" t="inlineStr">
        <is>
          <t>NORRTÄLJE</t>
        </is>
      </c>
      <c r="G774" t="n">
        <v>5.6</v>
      </c>
      <c r="H774" t="n">
        <v>0</v>
      </c>
      <c r="I774" t="n">
        <v>0</v>
      </c>
      <c r="J774" t="n">
        <v>0</v>
      </c>
      <c r="K774" t="n">
        <v>0</v>
      </c>
      <c r="L774" t="n">
        <v>0</v>
      </c>
      <c r="M774" t="n">
        <v>0</v>
      </c>
      <c r="N774" t="n">
        <v>0</v>
      </c>
      <c r="O774" t="n">
        <v>0</v>
      </c>
      <c r="P774" t="n">
        <v>0</v>
      </c>
      <c r="Q774" t="n">
        <v>0</v>
      </c>
      <c r="R774" s="2" t="inlineStr"/>
    </row>
    <row r="775" ht="15" customHeight="1">
      <c r="A775" t="inlineStr">
        <is>
          <t>A 52001-2023</t>
        </is>
      </c>
      <c r="B775" s="1" t="n">
        <v>45223</v>
      </c>
      <c r="C775" s="1" t="n">
        <v>45887</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9469-2021</t>
        </is>
      </c>
      <c r="B776" s="1" t="n">
        <v>44251</v>
      </c>
      <c r="C776" s="1" t="n">
        <v>45887</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33226-2024</t>
        </is>
      </c>
      <c r="B777" s="1" t="n">
        <v>45518</v>
      </c>
      <c r="C777" s="1" t="n">
        <v>45887</v>
      </c>
      <c r="D777" t="inlineStr">
        <is>
          <t>STOCKHOLMS LÄN</t>
        </is>
      </c>
      <c r="E777" t="inlineStr">
        <is>
          <t>NORRTÄLJE</t>
        </is>
      </c>
      <c r="G777" t="n">
        <v>13.8</v>
      </c>
      <c r="H777" t="n">
        <v>0</v>
      </c>
      <c r="I777" t="n">
        <v>0</v>
      </c>
      <c r="J777" t="n">
        <v>0</v>
      </c>
      <c r="K777" t="n">
        <v>0</v>
      </c>
      <c r="L777" t="n">
        <v>0</v>
      </c>
      <c r="M777" t="n">
        <v>0</v>
      </c>
      <c r="N777" t="n">
        <v>0</v>
      </c>
      <c r="O777" t="n">
        <v>0</v>
      </c>
      <c r="P777" t="n">
        <v>0</v>
      </c>
      <c r="Q777" t="n">
        <v>0</v>
      </c>
      <c r="R777" s="2" t="inlineStr"/>
    </row>
    <row r="778" ht="15" customHeight="1">
      <c r="A778" t="inlineStr">
        <is>
          <t>A 22456-2023</t>
        </is>
      </c>
      <c r="B778" s="1" t="n">
        <v>45070</v>
      </c>
      <c r="C778" s="1" t="n">
        <v>45887</v>
      </c>
      <c r="D778" t="inlineStr">
        <is>
          <t>STOCKHOLMS LÄN</t>
        </is>
      </c>
      <c r="E778" t="inlineStr">
        <is>
          <t>NORRTÄLJE</t>
        </is>
      </c>
      <c r="G778" t="n">
        <v>3.1</v>
      </c>
      <c r="H778" t="n">
        <v>0</v>
      </c>
      <c r="I778" t="n">
        <v>0</v>
      </c>
      <c r="J778" t="n">
        <v>0</v>
      </c>
      <c r="K778" t="n">
        <v>0</v>
      </c>
      <c r="L778" t="n">
        <v>0</v>
      </c>
      <c r="M778" t="n">
        <v>0</v>
      </c>
      <c r="N778" t="n">
        <v>0</v>
      </c>
      <c r="O778" t="n">
        <v>0</v>
      </c>
      <c r="P778" t="n">
        <v>0</v>
      </c>
      <c r="Q778" t="n">
        <v>0</v>
      </c>
      <c r="R778" s="2" t="inlineStr"/>
    </row>
    <row r="779" ht="15" customHeight="1">
      <c r="A779" t="inlineStr">
        <is>
          <t>A 19580-2022</t>
        </is>
      </c>
      <c r="B779" s="1" t="n">
        <v>44693</v>
      </c>
      <c r="C779" s="1" t="n">
        <v>45887</v>
      </c>
      <c r="D779" t="inlineStr">
        <is>
          <t>STOCKHOLMS LÄN</t>
        </is>
      </c>
      <c r="E779" t="inlineStr">
        <is>
          <t>NORRTÄLJE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16980-2023</t>
        </is>
      </c>
      <c r="B780" s="1" t="n">
        <v>45033</v>
      </c>
      <c r="C780" s="1" t="n">
        <v>45887</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5823-2023</t>
        </is>
      </c>
      <c r="B781" s="1" t="n">
        <v>44963</v>
      </c>
      <c r="C781" s="1" t="n">
        <v>45887</v>
      </c>
      <c r="D781" t="inlineStr">
        <is>
          <t>STOCKHOLMS LÄN</t>
        </is>
      </c>
      <c r="E781" t="inlineStr">
        <is>
          <t>NORRTÄLJE</t>
        </is>
      </c>
      <c r="G781" t="n">
        <v>0.7</v>
      </c>
      <c r="H781" t="n">
        <v>0</v>
      </c>
      <c r="I781" t="n">
        <v>0</v>
      </c>
      <c r="J781" t="n">
        <v>0</v>
      </c>
      <c r="K781" t="n">
        <v>0</v>
      </c>
      <c r="L781" t="n">
        <v>0</v>
      </c>
      <c r="M781" t="n">
        <v>0</v>
      </c>
      <c r="N781" t="n">
        <v>0</v>
      </c>
      <c r="O781" t="n">
        <v>0</v>
      </c>
      <c r="P781" t="n">
        <v>0</v>
      </c>
      <c r="Q781" t="n">
        <v>0</v>
      </c>
      <c r="R781" s="2" t="inlineStr"/>
    </row>
    <row r="782" ht="15" customHeight="1">
      <c r="A782" t="inlineStr">
        <is>
          <t>A 30731-2023</t>
        </is>
      </c>
      <c r="B782" s="1" t="n">
        <v>45112</v>
      </c>
      <c r="C782" s="1" t="n">
        <v>45887</v>
      </c>
      <c r="D782" t="inlineStr">
        <is>
          <t>STOCKHOLMS LÄN</t>
        </is>
      </c>
      <c r="E782" t="inlineStr">
        <is>
          <t>NORRTÄLJE</t>
        </is>
      </c>
      <c r="G782" t="n">
        <v>1.6</v>
      </c>
      <c r="H782" t="n">
        <v>0</v>
      </c>
      <c r="I782" t="n">
        <v>0</v>
      </c>
      <c r="J782" t="n">
        <v>0</v>
      </c>
      <c r="K782" t="n">
        <v>0</v>
      </c>
      <c r="L782" t="n">
        <v>0</v>
      </c>
      <c r="M782" t="n">
        <v>0</v>
      </c>
      <c r="N782" t="n">
        <v>0</v>
      </c>
      <c r="O782" t="n">
        <v>0</v>
      </c>
      <c r="P782" t="n">
        <v>0</v>
      </c>
      <c r="Q782" t="n">
        <v>0</v>
      </c>
      <c r="R782" s="2" t="inlineStr"/>
    </row>
    <row r="783" ht="15" customHeight="1">
      <c r="A783" t="inlineStr">
        <is>
          <t>A 11988-2021</t>
        </is>
      </c>
      <c r="B783" s="1" t="n">
        <v>44266</v>
      </c>
      <c r="C783" s="1" t="n">
        <v>45887</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12132-2021</t>
        </is>
      </c>
      <c r="B784" s="1" t="n">
        <v>44266</v>
      </c>
      <c r="C784" s="1" t="n">
        <v>45887</v>
      </c>
      <c r="D784" t="inlineStr">
        <is>
          <t>STOCKHOLMS LÄN</t>
        </is>
      </c>
      <c r="E784" t="inlineStr">
        <is>
          <t>NORRTÄLJE</t>
        </is>
      </c>
      <c r="G784" t="n">
        <v>4</v>
      </c>
      <c r="H784" t="n">
        <v>0</v>
      </c>
      <c r="I784" t="n">
        <v>0</v>
      </c>
      <c r="J784" t="n">
        <v>0</v>
      </c>
      <c r="K784" t="n">
        <v>0</v>
      </c>
      <c r="L784" t="n">
        <v>0</v>
      </c>
      <c r="M784" t="n">
        <v>0</v>
      </c>
      <c r="N784" t="n">
        <v>0</v>
      </c>
      <c r="O784" t="n">
        <v>0</v>
      </c>
      <c r="P784" t="n">
        <v>0</v>
      </c>
      <c r="Q784" t="n">
        <v>0</v>
      </c>
      <c r="R784" s="2" t="inlineStr"/>
    </row>
    <row r="785" ht="15" customHeight="1">
      <c r="A785" t="inlineStr">
        <is>
          <t>A 31107-2022</t>
        </is>
      </c>
      <c r="B785" s="1" t="n">
        <v>44769.66864583334</v>
      </c>
      <c r="C785" s="1" t="n">
        <v>45887</v>
      </c>
      <c r="D785" t="inlineStr">
        <is>
          <t>STOCKHOLMS LÄN</t>
        </is>
      </c>
      <c r="E785" t="inlineStr">
        <is>
          <t>NORRTÄLJE</t>
        </is>
      </c>
      <c r="G785" t="n">
        <v>3.8</v>
      </c>
      <c r="H785" t="n">
        <v>0</v>
      </c>
      <c r="I785" t="n">
        <v>0</v>
      </c>
      <c r="J785" t="n">
        <v>0</v>
      </c>
      <c r="K785" t="n">
        <v>0</v>
      </c>
      <c r="L785" t="n">
        <v>0</v>
      </c>
      <c r="M785" t="n">
        <v>0</v>
      </c>
      <c r="N785" t="n">
        <v>0</v>
      </c>
      <c r="O785" t="n">
        <v>0</v>
      </c>
      <c r="P785" t="n">
        <v>0</v>
      </c>
      <c r="Q785" t="n">
        <v>0</v>
      </c>
      <c r="R785" s="2" t="inlineStr"/>
    </row>
    <row r="786" ht="15" customHeight="1">
      <c r="A786" t="inlineStr">
        <is>
          <t>A 18539-2021</t>
        </is>
      </c>
      <c r="B786" s="1" t="n">
        <v>44306</v>
      </c>
      <c r="C786" s="1" t="n">
        <v>45887</v>
      </c>
      <c r="D786" t="inlineStr">
        <is>
          <t>STOCKHOLMS LÄN</t>
        </is>
      </c>
      <c r="E786" t="inlineStr">
        <is>
          <t>NORRTÄLJE</t>
        </is>
      </c>
      <c r="F786" t="inlineStr">
        <is>
          <t>Holmen skog AB</t>
        </is>
      </c>
      <c r="G786" t="n">
        <v>5.5</v>
      </c>
      <c r="H786" t="n">
        <v>0</v>
      </c>
      <c r="I786" t="n">
        <v>0</v>
      </c>
      <c r="J786" t="n">
        <v>0</v>
      </c>
      <c r="K786" t="n">
        <v>0</v>
      </c>
      <c r="L786" t="n">
        <v>0</v>
      </c>
      <c r="M786" t="n">
        <v>0</v>
      </c>
      <c r="N786" t="n">
        <v>0</v>
      </c>
      <c r="O786" t="n">
        <v>0</v>
      </c>
      <c r="P786" t="n">
        <v>0</v>
      </c>
      <c r="Q786" t="n">
        <v>0</v>
      </c>
      <c r="R786" s="2" t="inlineStr"/>
    </row>
    <row r="787" ht="15" customHeight="1">
      <c r="A787" t="inlineStr">
        <is>
          <t>A 43170-2023</t>
        </is>
      </c>
      <c r="B787" s="1" t="n">
        <v>45183</v>
      </c>
      <c r="C787" s="1" t="n">
        <v>45887</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51653-2022</t>
        </is>
      </c>
      <c r="B788" s="1" t="n">
        <v>44867</v>
      </c>
      <c r="C788" s="1" t="n">
        <v>45887</v>
      </c>
      <c r="D788" t="inlineStr">
        <is>
          <t>STOCKHOLMS LÄN</t>
        </is>
      </c>
      <c r="E788" t="inlineStr">
        <is>
          <t>NORRTÄLJE</t>
        </is>
      </c>
      <c r="G788" t="n">
        <v>6.6</v>
      </c>
      <c r="H788" t="n">
        <v>0</v>
      </c>
      <c r="I788" t="n">
        <v>0</v>
      </c>
      <c r="J788" t="n">
        <v>0</v>
      </c>
      <c r="K788" t="n">
        <v>0</v>
      </c>
      <c r="L788" t="n">
        <v>0</v>
      </c>
      <c r="M788" t="n">
        <v>0</v>
      </c>
      <c r="N788" t="n">
        <v>0</v>
      </c>
      <c r="O788" t="n">
        <v>0</v>
      </c>
      <c r="P788" t="n">
        <v>0</v>
      </c>
      <c r="Q788" t="n">
        <v>0</v>
      </c>
      <c r="R788" s="2" t="inlineStr"/>
    </row>
    <row r="789" ht="15" customHeight="1">
      <c r="A789" t="inlineStr">
        <is>
          <t>A 32103-2022</t>
        </is>
      </c>
      <c r="B789" s="1" t="n">
        <v>44778</v>
      </c>
      <c r="C789" s="1" t="n">
        <v>45887</v>
      </c>
      <c r="D789" t="inlineStr">
        <is>
          <t>STOCKHOLMS LÄN</t>
        </is>
      </c>
      <c r="E789" t="inlineStr">
        <is>
          <t>NORRTÄLJE</t>
        </is>
      </c>
      <c r="G789" t="n">
        <v>3.4</v>
      </c>
      <c r="H789" t="n">
        <v>0</v>
      </c>
      <c r="I789" t="n">
        <v>0</v>
      </c>
      <c r="J789" t="n">
        <v>0</v>
      </c>
      <c r="K789" t="n">
        <v>0</v>
      </c>
      <c r="L789" t="n">
        <v>0</v>
      </c>
      <c r="M789" t="n">
        <v>0</v>
      </c>
      <c r="N789" t="n">
        <v>0</v>
      </c>
      <c r="O789" t="n">
        <v>0</v>
      </c>
      <c r="P789" t="n">
        <v>0</v>
      </c>
      <c r="Q789" t="n">
        <v>0</v>
      </c>
      <c r="R789" s="2" t="inlineStr"/>
    </row>
    <row r="790" ht="15" customHeight="1">
      <c r="A790" t="inlineStr">
        <is>
          <t>A 55952-2024</t>
        </is>
      </c>
      <c r="B790" s="1" t="n">
        <v>45623.62563657408</v>
      </c>
      <c r="C790" s="1" t="n">
        <v>45887</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23070-2023</t>
        </is>
      </c>
      <c r="B791" s="1" t="n">
        <v>45075</v>
      </c>
      <c r="C791" s="1" t="n">
        <v>45887</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47626-2022</t>
        </is>
      </c>
      <c r="B792" s="1" t="n">
        <v>44854</v>
      </c>
      <c r="C792" s="1" t="n">
        <v>45887</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8792-2025</t>
        </is>
      </c>
      <c r="B793" s="1" t="n">
        <v>45712</v>
      </c>
      <c r="C793" s="1" t="n">
        <v>45887</v>
      </c>
      <c r="D793" t="inlineStr">
        <is>
          <t>STOCKHOLMS LÄN</t>
        </is>
      </c>
      <c r="E793" t="inlineStr">
        <is>
          <t>NORRTÄLJE</t>
        </is>
      </c>
      <c r="F793" t="inlineStr">
        <is>
          <t>Övriga Aktiebolag</t>
        </is>
      </c>
      <c r="G793" t="n">
        <v>6.6</v>
      </c>
      <c r="H793" t="n">
        <v>0</v>
      </c>
      <c r="I793" t="n">
        <v>0</v>
      </c>
      <c r="J793" t="n">
        <v>0</v>
      </c>
      <c r="K793" t="n">
        <v>0</v>
      </c>
      <c r="L793" t="n">
        <v>0</v>
      </c>
      <c r="M793" t="n">
        <v>0</v>
      </c>
      <c r="N793" t="n">
        <v>0</v>
      </c>
      <c r="O793" t="n">
        <v>0</v>
      </c>
      <c r="P793" t="n">
        <v>0</v>
      </c>
      <c r="Q793" t="n">
        <v>0</v>
      </c>
      <c r="R793" s="2" t="inlineStr"/>
    </row>
    <row r="794" ht="15" customHeight="1">
      <c r="A794" t="inlineStr">
        <is>
          <t>A 32101-2022</t>
        </is>
      </c>
      <c r="B794" s="1" t="n">
        <v>44778.69210648148</v>
      </c>
      <c r="C794" s="1" t="n">
        <v>45887</v>
      </c>
      <c r="D794" t="inlineStr">
        <is>
          <t>STOCKHOLMS LÄN</t>
        </is>
      </c>
      <c r="E794" t="inlineStr">
        <is>
          <t>NORRTÄLJE</t>
        </is>
      </c>
      <c r="G794" t="n">
        <v>4.4</v>
      </c>
      <c r="H794" t="n">
        <v>0</v>
      </c>
      <c r="I794" t="n">
        <v>0</v>
      </c>
      <c r="J794" t="n">
        <v>0</v>
      </c>
      <c r="K794" t="n">
        <v>0</v>
      </c>
      <c r="L794" t="n">
        <v>0</v>
      </c>
      <c r="M794" t="n">
        <v>0</v>
      </c>
      <c r="N794" t="n">
        <v>0</v>
      </c>
      <c r="O794" t="n">
        <v>0</v>
      </c>
      <c r="P794" t="n">
        <v>0</v>
      </c>
      <c r="Q794" t="n">
        <v>0</v>
      </c>
      <c r="R794" s="2" t="inlineStr"/>
    </row>
    <row r="795" ht="15" customHeight="1">
      <c r="A795" t="inlineStr">
        <is>
          <t>A 28365-2022</t>
        </is>
      </c>
      <c r="B795" s="1" t="n">
        <v>44747</v>
      </c>
      <c r="C795" s="1" t="n">
        <v>45887</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7571-2024</t>
        </is>
      </c>
      <c r="B796" s="1" t="n">
        <v>45348.46300925926</v>
      </c>
      <c r="C796" s="1" t="n">
        <v>45887</v>
      </c>
      <c r="D796" t="inlineStr">
        <is>
          <t>STOCKHOLMS LÄN</t>
        </is>
      </c>
      <c r="E796" t="inlineStr">
        <is>
          <t>NORRTÄLJE</t>
        </is>
      </c>
      <c r="F796" t="inlineStr">
        <is>
          <t>Holmen skog AB</t>
        </is>
      </c>
      <c r="G796" t="n">
        <v>1.8</v>
      </c>
      <c r="H796" t="n">
        <v>0</v>
      </c>
      <c r="I796" t="n">
        <v>0</v>
      </c>
      <c r="J796" t="n">
        <v>0</v>
      </c>
      <c r="K796" t="n">
        <v>0</v>
      </c>
      <c r="L796" t="n">
        <v>0</v>
      </c>
      <c r="M796" t="n">
        <v>0</v>
      </c>
      <c r="N796" t="n">
        <v>0</v>
      </c>
      <c r="O796" t="n">
        <v>0</v>
      </c>
      <c r="P796" t="n">
        <v>0</v>
      </c>
      <c r="Q796" t="n">
        <v>0</v>
      </c>
      <c r="R796" s="2" t="inlineStr"/>
    </row>
    <row r="797" ht="15" customHeight="1">
      <c r="A797" t="inlineStr">
        <is>
          <t>A 42867-2022</t>
        </is>
      </c>
      <c r="B797" s="1" t="n">
        <v>44832</v>
      </c>
      <c r="C797" s="1" t="n">
        <v>45887</v>
      </c>
      <c r="D797" t="inlineStr">
        <is>
          <t>STOCKHOLMS LÄN</t>
        </is>
      </c>
      <c r="E797" t="inlineStr">
        <is>
          <t>NORRTÄLJE</t>
        </is>
      </c>
      <c r="G797" t="n">
        <v>6.4</v>
      </c>
      <c r="H797" t="n">
        <v>0</v>
      </c>
      <c r="I797" t="n">
        <v>0</v>
      </c>
      <c r="J797" t="n">
        <v>0</v>
      </c>
      <c r="K797" t="n">
        <v>0</v>
      </c>
      <c r="L797" t="n">
        <v>0</v>
      </c>
      <c r="M797" t="n">
        <v>0</v>
      </c>
      <c r="N797" t="n">
        <v>0</v>
      </c>
      <c r="O797" t="n">
        <v>0</v>
      </c>
      <c r="P797" t="n">
        <v>0</v>
      </c>
      <c r="Q797" t="n">
        <v>0</v>
      </c>
      <c r="R797" s="2" t="inlineStr"/>
    </row>
    <row r="798" ht="15" customHeight="1">
      <c r="A798" t="inlineStr">
        <is>
          <t>A 5645-2023</t>
        </is>
      </c>
      <c r="B798" s="1" t="n">
        <v>44960.60469907407</v>
      </c>
      <c r="C798" s="1" t="n">
        <v>45887</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36269-2022</t>
        </is>
      </c>
      <c r="B799" s="1" t="n">
        <v>44803</v>
      </c>
      <c r="C799" s="1" t="n">
        <v>45887</v>
      </c>
      <c r="D799" t="inlineStr">
        <is>
          <t>STOCKHOLMS LÄN</t>
        </is>
      </c>
      <c r="E799" t="inlineStr">
        <is>
          <t>NORRTÄLJE</t>
        </is>
      </c>
      <c r="G799" t="n">
        <v>2.3</v>
      </c>
      <c r="H799" t="n">
        <v>0</v>
      </c>
      <c r="I799" t="n">
        <v>0</v>
      </c>
      <c r="J799" t="n">
        <v>0</v>
      </c>
      <c r="K799" t="n">
        <v>0</v>
      </c>
      <c r="L799" t="n">
        <v>0</v>
      </c>
      <c r="M799" t="n">
        <v>0</v>
      </c>
      <c r="N799" t="n">
        <v>0</v>
      </c>
      <c r="O799" t="n">
        <v>0</v>
      </c>
      <c r="P799" t="n">
        <v>0</v>
      </c>
      <c r="Q799" t="n">
        <v>0</v>
      </c>
      <c r="R799" s="2" t="inlineStr"/>
    </row>
    <row r="800" ht="15" customHeight="1">
      <c r="A800" t="inlineStr">
        <is>
          <t>A 46071-2024</t>
        </is>
      </c>
      <c r="B800" s="1" t="n">
        <v>45581</v>
      </c>
      <c r="C800" s="1" t="n">
        <v>45887</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5665-2025</t>
        </is>
      </c>
      <c r="B801" s="1" t="n">
        <v>45693</v>
      </c>
      <c r="C801" s="1" t="n">
        <v>45887</v>
      </c>
      <c r="D801" t="inlineStr">
        <is>
          <t>STOCKHOLMS LÄN</t>
        </is>
      </c>
      <c r="E801" t="inlineStr">
        <is>
          <t>NORRTÄLJE</t>
        </is>
      </c>
      <c r="G801" t="n">
        <v>4</v>
      </c>
      <c r="H801" t="n">
        <v>0</v>
      </c>
      <c r="I801" t="n">
        <v>0</v>
      </c>
      <c r="J801" t="n">
        <v>0</v>
      </c>
      <c r="K801" t="n">
        <v>0</v>
      </c>
      <c r="L801" t="n">
        <v>0</v>
      </c>
      <c r="M801" t="n">
        <v>0</v>
      </c>
      <c r="N801" t="n">
        <v>0</v>
      </c>
      <c r="O801" t="n">
        <v>0</v>
      </c>
      <c r="P801" t="n">
        <v>0</v>
      </c>
      <c r="Q801" t="n">
        <v>0</v>
      </c>
      <c r="R801" s="2" t="inlineStr"/>
    </row>
    <row r="802" ht="15" customHeight="1">
      <c r="A802" t="inlineStr">
        <is>
          <t>A 12407-2025</t>
        </is>
      </c>
      <c r="B802" s="1" t="n">
        <v>45730.42851851852</v>
      </c>
      <c r="C802" s="1" t="n">
        <v>45887</v>
      </c>
      <c r="D802" t="inlineStr">
        <is>
          <t>STOCKHOLMS LÄN</t>
        </is>
      </c>
      <c r="E802" t="inlineStr">
        <is>
          <t>NORRTÄLJE</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26636-2023</t>
        </is>
      </c>
      <c r="B803" s="1" t="n">
        <v>45092</v>
      </c>
      <c r="C803" s="1" t="n">
        <v>45887</v>
      </c>
      <c r="D803" t="inlineStr">
        <is>
          <t>STOCKHOLMS LÄN</t>
        </is>
      </c>
      <c r="E803" t="inlineStr">
        <is>
          <t>NORRTÄLJE</t>
        </is>
      </c>
      <c r="G803" t="n">
        <v>1.7</v>
      </c>
      <c r="H803" t="n">
        <v>0</v>
      </c>
      <c r="I803" t="n">
        <v>0</v>
      </c>
      <c r="J803" t="n">
        <v>0</v>
      </c>
      <c r="K803" t="n">
        <v>0</v>
      </c>
      <c r="L803" t="n">
        <v>0</v>
      </c>
      <c r="M803" t="n">
        <v>0</v>
      </c>
      <c r="N803" t="n">
        <v>0</v>
      </c>
      <c r="O803" t="n">
        <v>0</v>
      </c>
      <c r="P803" t="n">
        <v>0</v>
      </c>
      <c r="Q803" t="n">
        <v>0</v>
      </c>
      <c r="R803" s="2" t="inlineStr"/>
    </row>
    <row r="804" ht="15" customHeight="1">
      <c r="A804" t="inlineStr">
        <is>
          <t>A 26637-2023</t>
        </is>
      </c>
      <c r="B804" s="1" t="n">
        <v>45092</v>
      </c>
      <c r="C804" s="1" t="n">
        <v>45887</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23266-2023</t>
        </is>
      </c>
      <c r="B805" s="1" t="n">
        <v>45075.90817129629</v>
      </c>
      <c r="C805" s="1" t="n">
        <v>45887</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17775-2022</t>
        </is>
      </c>
      <c r="B806" s="1" t="n">
        <v>44682.78430555556</v>
      </c>
      <c r="C806" s="1" t="n">
        <v>45887</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35161-2022</t>
        </is>
      </c>
      <c r="B807" s="1" t="n">
        <v>44797</v>
      </c>
      <c r="C807" s="1" t="n">
        <v>45887</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9703-2021</t>
        </is>
      </c>
      <c r="B808" s="1" t="n">
        <v>44252</v>
      </c>
      <c r="C808" s="1" t="n">
        <v>45887</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47481-2024</t>
        </is>
      </c>
      <c r="B809" s="1" t="n">
        <v>45587</v>
      </c>
      <c r="C809" s="1" t="n">
        <v>45887</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24933-2023</t>
        </is>
      </c>
      <c r="B810" s="1" t="n">
        <v>45085.5309375</v>
      </c>
      <c r="C810" s="1" t="n">
        <v>45887</v>
      </c>
      <c r="D810" t="inlineStr">
        <is>
          <t>STOCKHOLMS LÄN</t>
        </is>
      </c>
      <c r="E810" t="inlineStr">
        <is>
          <t>NORRTÄLJE</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7903-2021</t>
        </is>
      </c>
      <c r="B811" s="1" t="n">
        <v>44243.33587962963</v>
      </c>
      <c r="C811" s="1" t="n">
        <v>45887</v>
      </c>
      <c r="D811" t="inlineStr">
        <is>
          <t>STOCKHOLMS LÄN</t>
        </is>
      </c>
      <c r="E811" t="inlineStr">
        <is>
          <t>NORRTÄLJE</t>
        </is>
      </c>
      <c r="G811" t="n">
        <v>3.5</v>
      </c>
      <c r="H811" t="n">
        <v>0</v>
      </c>
      <c r="I811" t="n">
        <v>0</v>
      </c>
      <c r="J811" t="n">
        <v>0</v>
      </c>
      <c r="K811" t="n">
        <v>0</v>
      </c>
      <c r="L811" t="n">
        <v>0</v>
      </c>
      <c r="M811" t="n">
        <v>0</v>
      </c>
      <c r="N811" t="n">
        <v>0</v>
      </c>
      <c r="O811" t="n">
        <v>0</v>
      </c>
      <c r="P811" t="n">
        <v>0</v>
      </c>
      <c r="Q811" t="n">
        <v>0</v>
      </c>
      <c r="R811" s="2" t="inlineStr"/>
    </row>
    <row r="812" ht="15" customHeight="1">
      <c r="A812" t="inlineStr">
        <is>
          <t>A 58863-2024</t>
        </is>
      </c>
      <c r="B812" s="1" t="n">
        <v>45636.41572916666</v>
      </c>
      <c r="C812" s="1" t="n">
        <v>45887</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15447-2023</t>
        </is>
      </c>
      <c r="B813" s="1" t="n">
        <v>45020</v>
      </c>
      <c r="C813" s="1" t="n">
        <v>45887</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34391-2023</t>
        </is>
      </c>
      <c r="B814" s="1" t="n">
        <v>45139.51457175926</v>
      </c>
      <c r="C814" s="1" t="n">
        <v>45887</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11062-2024</t>
        </is>
      </c>
      <c r="B815" s="1" t="n">
        <v>45370</v>
      </c>
      <c r="C815" s="1" t="n">
        <v>45887</v>
      </c>
      <c r="D815" t="inlineStr">
        <is>
          <t>STOCKHOLMS LÄN</t>
        </is>
      </c>
      <c r="E815" t="inlineStr">
        <is>
          <t>NORRTÄLJE</t>
        </is>
      </c>
      <c r="G815" t="n">
        <v>3.2</v>
      </c>
      <c r="H815" t="n">
        <v>0</v>
      </c>
      <c r="I815" t="n">
        <v>0</v>
      </c>
      <c r="J815" t="n">
        <v>0</v>
      </c>
      <c r="K815" t="n">
        <v>0</v>
      </c>
      <c r="L815" t="n">
        <v>0</v>
      </c>
      <c r="M815" t="n">
        <v>0</v>
      </c>
      <c r="N815" t="n">
        <v>0</v>
      </c>
      <c r="O815" t="n">
        <v>0</v>
      </c>
      <c r="P815" t="n">
        <v>0</v>
      </c>
      <c r="Q815" t="n">
        <v>0</v>
      </c>
      <c r="R815" s="2" t="inlineStr"/>
    </row>
    <row r="816" ht="15" customHeight="1">
      <c r="A816" t="inlineStr">
        <is>
          <t>A 53312-2024</t>
        </is>
      </c>
      <c r="B816" s="1" t="n">
        <v>45614.39627314815</v>
      </c>
      <c r="C816" s="1" t="n">
        <v>45887</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21158-2022</t>
        </is>
      </c>
      <c r="B817" s="1" t="n">
        <v>44704</v>
      </c>
      <c r="C817" s="1" t="n">
        <v>45887</v>
      </c>
      <c r="D817" t="inlineStr">
        <is>
          <t>STOCKHOLMS LÄN</t>
        </is>
      </c>
      <c r="E817" t="inlineStr">
        <is>
          <t>NORRTÄLJE</t>
        </is>
      </c>
      <c r="G817" t="n">
        <v>17.8</v>
      </c>
      <c r="H817" t="n">
        <v>0</v>
      </c>
      <c r="I817" t="n">
        <v>0</v>
      </c>
      <c r="J817" t="n">
        <v>0</v>
      </c>
      <c r="K817" t="n">
        <v>0</v>
      </c>
      <c r="L817" t="n">
        <v>0</v>
      </c>
      <c r="M817" t="n">
        <v>0</v>
      </c>
      <c r="N817" t="n">
        <v>0</v>
      </c>
      <c r="O817" t="n">
        <v>0</v>
      </c>
      <c r="P817" t="n">
        <v>0</v>
      </c>
      <c r="Q817" t="n">
        <v>0</v>
      </c>
      <c r="R817" s="2" t="inlineStr"/>
    </row>
    <row r="818" ht="15" customHeight="1">
      <c r="A818" t="inlineStr">
        <is>
          <t>A 15915-2023</t>
        </is>
      </c>
      <c r="B818" s="1" t="n">
        <v>45022</v>
      </c>
      <c r="C818" s="1" t="n">
        <v>45887</v>
      </c>
      <c r="D818" t="inlineStr">
        <is>
          <t>STOCKHOLMS LÄN</t>
        </is>
      </c>
      <c r="E818" t="inlineStr">
        <is>
          <t>NORRTÄLJE</t>
        </is>
      </c>
      <c r="G818" t="n">
        <v>2.9</v>
      </c>
      <c r="H818" t="n">
        <v>0</v>
      </c>
      <c r="I818" t="n">
        <v>0</v>
      </c>
      <c r="J818" t="n">
        <v>0</v>
      </c>
      <c r="K818" t="n">
        <v>0</v>
      </c>
      <c r="L818" t="n">
        <v>0</v>
      </c>
      <c r="M818" t="n">
        <v>0</v>
      </c>
      <c r="N818" t="n">
        <v>0</v>
      </c>
      <c r="O818" t="n">
        <v>0</v>
      </c>
      <c r="P818" t="n">
        <v>0</v>
      </c>
      <c r="Q818" t="n">
        <v>0</v>
      </c>
      <c r="R818" s="2" t="inlineStr"/>
    </row>
    <row r="819" ht="15" customHeight="1">
      <c r="A819" t="inlineStr">
        <is>
          <t>A 58993-2022</t>
        </is>
      </c>
      <c r="B819" s="1" t="n">
        <v>44903</v>
      </c>
      <c r="C819" s="1" t="n">
        <v>45887</v>
      </c>
      <c r="D819" t="inlineStr">
        <is>
          <t>STOCKHOLMS LÄN</t>
        </is>
      </c>
      <c r="E819" t="inlineStr">
        <is>
          <t>NORRTÄLJE</t>
        </is>
      </c>
      <c r="G819" t="n">
        <v>2.3</v>
      </c>
      <c r="H819" t="n">
        <v>0</v>
      </c>
      <c r="I819" t="n">
        <v>0</v>
      </c>
      <c r="J819" t="n">
        <v>0</v>
      </c>
      <c r="K819" t="n">
        <v>0</v>
      </c>
      <c r="L819" t="n">
        <v>0</v>
      </c>
      <c r="M819" t="n">
        <v>0</v>
      </c>
      <c r="N819" t="n">
        <v>0</v>
      </c>
      <c r="O819" t="n">
        <v>0</v>
      </c>
      <c r="P819" t="n">
        <v>0</v>
      </c>
      <c r="Q819" t="n">
        <v>0</v>
      </c>
      <c r="R819" s="2" t="inlineStr"/>
    </row>
    <row r="820" ht="15" customHeight="1">
      <c r="A820" t="inlineStr">
        <is>
          <t>A 576-2023</t>
        </is>
      </c>
      <c r="B820" s="1" t="n">
        <v>44925</v>
      </c>
      <c r="C820" s="1" t="n">
        <v>45887</v>
      </c>
      <c r="D820" t="inlineStr">
        <is>
          <t>STOCKHOLMS LÄN</t>
        </is>
      </c>
      <c r="E820" t="inlineStr">
        <is>
          <t>NORRTÄLJE</t>
        </is>
      </c>
      <c r="G820" t="n">
        <v>7.2</v>
      </c>
      <c r="H820" t="n">
        <v>0</v>
      </c>
      <c r="I820" t="n">
        <v>0</v>
      </c>
      <c r="J820" t="n">
        <v>0</v>
      </c>
      <c r="K820" t="n">
        <v>0</v>
      </c>
      <c r="L820" t="n">
        <v>0</v>
      </c>
      <c r="M820" t="n">
        <v>0</v>
      </c>
      <c r="N820" t="n">
        <v>0</v>
      </c>
      <c r="O820" t="n">
        <v>0</v>
      </c>
      <c r="P820" t="n">
        <v>0</v>
      </c>
      <c r="Q820" t="n">
        <v>0</v>
      </c>
      <c r="R820" s="2" t="inlineStr"/>
    </row>
    <row r="821" ht="15" customHeight="1">
      <c r="A821" t="inlineStr">
        <is>
          <t>A 39905-2023</t>
        </is>
      </c>
      <c r="B821" s="1" t="n">
        <v>45168.44489583333</v>
      </c>
      <c r="C821" s="1" t="n">
        <v>45887</v>
      </c>
      <c r="D821" t="inlineStr">
        <is>
          <t>STOCKHOLMS LÄN</t>
        </is>
      </c>
      <c r="E821" t="inlineStr">
        <is>
          <t>NORRTÄLJE</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12908-2025</t>
        </is>
      </c>
      <c r="B822" s="1" t="n">
        <v>45733.82105324074</v>
      </c>
      <c r="C822" s="1" t="n">
        <v>45887</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68361-2021</t>
        </is>
      </c>
      <c r="B823" s="1" t="n">
        <v>44528.91494212963</v>
      </c>
      <c r="C823" s="1" t="n">
        <v>45887</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50469-2022</t>
        </is>
      </c>
      <c r="B824" s="1" t="n">
        <v>44866.49827546296</v>
      </c>
      <c r="C824" s="1" t="n">
        <v>45887</v>
      </c>
      <c r="D824" t="inlineStr">
        <is>
          <t>STOCKHOLMS LÄN</t>
        </is>
      </c>
      <c r="E824" t="inlineStr">
        <is>
          <t>NORRTÄLJE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22232-2024</t>
        </is>
      </c>
      <c r="B825" s="1" t="n">
        <v>45446.4287962963</v>
      </c>
      <c r="C825" s="1" t="n">
        <v>45887</v>
      </c>
      <c r="D825" t="inlineStr">
        <is>
          <t>STOCKHOLMS LÄN</t>
        </is>
      </c>
      <c r="E825" t="inlineStr">
        <is>
          <t>NORRTÄLJE</t>
        </is>
      </c>
      <c r="G825" t="n">
        <v>12.8</v>
      </c>
      <c r="H825" t="n">
        <v>0</v>
      </c>
      <c r="I825" t="n">
        <v>0</v>
      </c>
      <c r="J825" t="n">
        <v>0</v>
      </c>
      <c r="K825" t="n">
        <v>0</v>
      </c>
      <c r="L825" t="n">
        <v>0</v>
      </c>
      <c r="M825" t="n">
        <v>0</v>
      </c>
      <c r="N825" t="n">
        <v>0</v>
      </c>
      <c r="O825" t="n">
        <v>0</v>
      </c>
      <c r="P825" t="n">
        <v>0</v>
      </c>
      <c r="Q825" t="n">
        <v>0</v>
      </c>
      <c r="R825" s="2" t="inlineStr"/>
    </row>
    <row r="826" ht="15" customHeight="1">
      <c r="A826" t="inlineStr">
        <is>
          <t>A 33793-2022</t>
        </is>
      </c>
      <c r="B826" s="1" t="n">
        <v>44790</v>
      </c>
      <c r="C826" s="1" t="n">
        <v>45887</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41976-2024</t>
        </is>
      </c>
      <c r="B827" s="1" t="n">
        <v>45561.62141203704</v>
      </c>
      <c r="C827" s="1" t="n">
        <v>45887</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17304-2024</t>
        </is>
      </c>
      <c r="B828" s="1" t="n">
        <v>45414</v>
      </c>
      <c r="C828" s="1" t="n">
        <v>45887</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16852-2024</t>
        </is>
      </c>
      <c r="B829" s="1" t="n">
        <v>45411.54768518519</v>
      </c>
      <c r="C829" s="1" t="n">
        <v>45887</v>
      </c>
      <c r="D829" t="inlineStr">
        <is>
          <t>STOCKHOLMS LÄN</t>
        </is>
      </c>
      <c r="E829" t="inlineStr">
        <is>
          <t>NORRTÄLJE</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62206-2022</t>
        </is>
      </c>
      <c r="B830" s="1" t="n">
        <v>44922</v>
      </c>
      <c r="C830" s="1" t="n">
        <v>45887</v>
      </c>
      <c r="D830" t="inlineStr">
        <is>
          <t>STOCKHOLMS LÄN</t>
        </is>
      </c>
      <c r="E830" t="inlineStr">
        <is>
          <t>NORRTÄLJE</t>
        </is>
      </c>
      <c r="G830" t="n">
        <v>2.9</v>
      </c>
      <c r="H830" t="n">
        <v>0</v>
      </c>
      <c r="I830" t="n">
        <v>0</v>
      </c>
      <c r="J830" t="n">
        <v>0</v>
      </c>
      <c r="K830" t="n">
        <v>0</v>
      </c>
      <c r="L830" t="n">
        <v>0</v>
      </c>
      <c r="M830" t="n">
        <v>0</v>
      </c>
      <c r="N830" t="n">
        <v>0</v>
      </c>
      <c r="O830" t="n">
        <v>0</v>
      </c>
      <c r="P830" t="n">
        <v>0</v>
      </c>
      <c r="Q830" t="n">
        <v>0</v>
      </c>
      <c r="R830" s="2" t="inlineStr"/>
    </row>
    <row r="831" ht="15" customHeight="1">
      <c r="A831" t="inlineStr">
        <is>
          <t>A 4326-2023</t>
        </is>
      </c>
      <c r="B831" s="1" t="n">
        <v>44953.70481481482</v>
      </c>
      <c r="C831" s="1" t="n">
        <v>45887</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30886-2022</t>
        </is>
      </c>
      <c r="B832" s="1" t="n">
        <v>44767.60601851852</v>
      </c>
      <c r="C832" s="1" t="n">
        <v>45887</v>
      </c>
      <c r="D832" t="inlineStr">
        <is>
          <t>STOCKHOLMS LÄN</t>
        </is>
      </c>
      <c r="E832" t="inlineStr">
        <is>
          <t>NORRTÄLJE</t>
        </is>
      </c>
      <c r="G832" t="n">
        <v>2.6</v>
      </c>
      <c r="H832" t="n">
        <v>0</v>
      </c>
      <c r="I832" t="n">
        <v>0</v>
      </c>
      <c r="J832" t="n">
        <v>0</v>
      </c>
      <c r="K832" t="n">
        <v>0</v>
      </c>
      <c r="L832" t="n">
        <v>0</v>
      </c>
      <c r="M832" t="n">
        <v>0</v>
      </c>
      <c r="N832" t="n">
        <v>0</v>
      </c>
      <c r="O832" t="n">
        <v>0</v>
      </c>
      <c r="P832" t="n">
        <v>0</v>
      </c>
      <c r="Q832" t="n">
        <v>0</v>
      </c>
      <c r="R832" s="2" t="inlineStr"/>
    </row>
    <row r="833" ht="15" customHeight="1">
      <c r="A833" t="inlineStr">
        <is>
          <t>A 33385-2024</t>
        </is>
      </c>
      <c r="B833" s="1" t="n">
        <v>45519</v>
      </c>
      <c r="C833" s="1" t="n">
        <v>45887</v>
      </c>
      <c r="D833" t="inlineStr">
        <is>
          <t>STOCKHOLMS LÄN</t>
        </is>
      </c>
      <c r="E833" t="inlineStr">
        <is>
          <t>NORRTÄLJE</t>
        </is>
      </c>
      <c r="G833" t="n">
        <v>1.7</v>
      </c>
      <c r="H833" t="n">
        <v>0</v>
      </c>
      <c r="I833" t="n">
        <v>0</v>
      </c>
      <c r="J833" t="n">
        <v>0</v>
      </c>
      <c r="K833" t="n">
        <v>0</v>
      </c>
      <c r="L833" t="n">
        <v>0</v>
      </c>
      <c r="M833" t="n">
        <v>0</v>
      </c>
      <c r="N833" t="n">
        <v>0</v>
      </c>
      <c r="O833" t="n">
        <v>0</v>
      </c>
      <c r="P833" t="n">
        <v>0</v>
      </c>
      <c r="Q833" t="n">
        <v>0</v>
      </c>
      <c r="R833" s="2" t="inlineStr"/>
    </row>
    <row r="834" ht="15" customHeight="1">
      <c r="A834" t="inlineStr">
        <is>
          <t>A 29714-2023</t>
        </is>
      </c>
      <c r="B834" s="1" t="n">
        <v>45107.42538194444</v>
      </c>
      <c r="C834" s="1" t="n">
        <v>45887</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30508-2023</t>
        </is>
      </c>
      <c r="B835" s="1" t="n">
        <v>45111</v>
      </c>
      <c r="C835" s="1" t="n">
        <v>45887</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58989-2021</t>
        </is>
      </c>
      <c r="B836" s="1" t="n">
        <v>44490.02482638889</v>
      </c>
      <c r="C836" s="1" t="n">
        <v>45887</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58990-2021</t>
        </is>
      </c>
      <c r="B837" s="1" t="n">
        <v>44490.03621527777</v>
      </c>
      <c r="C837" s="1" t="n">
        <v>45887</v>
      </c>
      <c r="D837" t="inlineStr">
        <is>
          <t>STOCKHOLMS LÄN</t>
        </is>
      </c>
      <c r="E837" t="inlineStr">
        <is>
          <t>NORRTÄLJE</t>
        </is>
      </c>
      <c r="G837" t="n">
        <v>4.2</v>
      </c>
      <c r="H837" t="n">
        <v>0</v>
      </c>
      <c r="I837" t="n">
        <v>0</v>
      </c>
      <c r="J837" t="n">
        <v>0</v>
      </c>
      <c r="K837" t="n">
        <v>0</v>
      </c>
      <c r="L837" t="n">
        <v>0</v>
      </c>
      <c r="M837" t="n">
        <v>0</v>
      </c>
      <c r="N837" t="n">
        <v>0</v>
      </c>
      <c r="O837" t="n">
        <v>0</v>
      </c>
      <c r="P837" t="n">
        <v>0</v>
      </c>
      <c r="Q837" t="n">
        <v>0</v>
      </c>
      <c r="R837" s="2" t="inlineStr"/>
    </row>
    <row r="838" ht="15" customHeight="1">
      <c r="A838" t="inlineStr">
        <is>
          <t>A 11940-2023</t>
        </is>
      </c>
      <c r="B838" s="1" t="n">
        <v>44995</v>
      </c>
      <c r="C838" s="1" t="n">
        <v>45887</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12031-2021</t>
        </is>
      </c>
      <c r="B839" s="1" t="n">
        <v>44266</v>
      </c>
      <c r="C839" s="1" t="n">
        <v>45887</v>
      </c>
      <c r="D839" t="inlineStr">
        <is>
          <t>STOCKHOLMS LÄN</t>
        </is>
      </c>
      <c r="E839" t="inlineStr">
        <is>
          <t>NORRTÄLJE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44183-2020</t>
        </is>
      </c>
      <c r="B840" s="1" t="n">
        <v>44083</v>
      </c>
      <c r="C840" s="1" t="n">
        <v>45887</v>
      </c>
      <c r="D840" t="inlineStr">
        <is>
          <t>STOCKHOLMS LÄN</t>
        </is>
      </c>
      <c r="E840" t="inlineStr">
        <is>
          <t>NORRTÄLJE</t>
        </is>
      </c>
      <c r="G840" t="n">
        <v>4.3</v>
      </c>
      <c r="H840" t="n">
        <v>0</v>
      </c>
      <c r="I840" t="n">
        <v>0</v>
      </c>
      <c r="J840" t="n">
        <v>0</v>
      </c>
      <c r="K840" t="n">
        <v>0</v>
      </c>
      <c r="L840" t="n">
        <v>0</v>
      </c>
      <c r="M840" t="n">
        <v>0</v>
      </c>
      <c r="N840" t="n">
        <v>0</v>
      </c>
      <c r="O840" t="n">
        <v>0</v>
      </c>
      <c r="P840" t="n">
        <v>0</v>
      </c>
      <c r="Q840" t="n">
        <v>0</v>
      </c>
      <c r="R840" s="2" t="inlineStr"/>
    </row>
    <row r="841" ht="15" customHeight="1">
      <c r="A841" t="inlineStr">
        <is>
          <t>A 29266-2022</t>
        </is>
      </c>
      <c r="B841" s="1" t="n">
        <v>44750.66068287037</v>
      </c>
      <c r="C841" s="1" t="n">
        <v>45887</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29278-2022</t>
        </is>
      </c>
      <c r="B842" s="1" t="n">
        <v>44750</v>
      </c>
      <c r="C842" s="1" t="n">
        <v>45887</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6401-2024</t>
        </is>
      </c>
      <c r="B843" s="1" t="n">
        <v>45338</v>
      </c>
      <c r="C843" s="1" t="n">
        <v>45887</v>
      </c>
      <c r="D843" t="inlineStr">
        <is>
          <t>STOCKHOLMS LÄN</t>
        </is>
      </c>
      <c r="E843" t="inlineStr">
        <is>
          <t>NORRTÄLJE</t>
        </is>
      </c>
      <c r="G843" t="n">
        <v>2.2</v>
      </c>
      <c r="H843" t="n">
        <v>0</v>
      </c>
      <c r="I843" t="n">
        <v>0</v>
      </c>
      <c r="J843" t="n">
        <v>0</v>
      </c>
      <c r="K843" t="n">
        <v>0</v>
      </c>
      <c r="L843" t="n">
        <v>0</v>
      </c>
      <c r="M843" t="n">
        <v>0</v>
      </c>
      <c r="N843" t="n">
        <v>0</v>
      </c>
      <c r="O843" t="n">
        <v>0</v>
      </c>
      <c r="P843" t="n">
        <v>0</v>
      </c>
      <c r="Q843" t="n">
        <v>0</v>
      </c>
      <c r="R843" s="2" t="inlineStr"/>
    </row>
    <row r="844" ht="15" customHeight="1">
      <c r="A844" t="inlineStr">
        <is>
          <t>A 24501-2023</t>
        </is>
      </c>
      <c r="B844" s="1" t="n">
        <v>45082</v>
      </c>
      <c r="C844" s="1" t="n">
        <v>45887</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24520-2023</t>
        </is>
      </c>
      <c r="B845" s="1" t="n">
        <v>45082.68922453704</v>
      </c>
      <c r="C845" s="1" t="n">
        <v>45887</v>
      </c>
      <c r="D845" t="inlineStr">
        <is>
          <t>STOCKHOLMS LÄN</t>
        </is>
      </c>
      <c r="E845" t="inlineStr">
        <is>
          <t>NORRTÄLJE</t>
        </is>
      </c>
      <c r="G845" t="n">
        <v>4.3</v>
      </c>
      <c r="H845" t="n">
        <v>0</v>
      </c>
      <c r="I845" t="n">
        <v>0</v>
      </c>
      <c r="J845" t="n">
        <v>0</v>
      </c>
      <c r="K845" t="n">
        <v>0</v>
      </c>
      <c r="L845" t="n">
        <v>0</v>
      </c>
      <c r="M845" t="n">
        <v>0</v>
      </c>
      <c r="N845" t="n">
        <v>0</v>
      </c>
      <c r="O845" t="n">
        <v>0</v>
      </c>
      <c r="P845" t="n">
        <v>0</v>
      </c>
      <c r="Q845" t="n">
        <v>0</v>
      </c>
      <c r="R845" s="2" t="inlineStr"/>
    </row>
    <row r="846" ht="15" customHeight="1">
      <c r="A846" t="inlineStr">
        <is>
          <t>A 31281-2022</t>
        </is>
      </c>
      <c r="B846" s="1" t="n">
        <v>44771</v>
      </c>
      <c r="C846" s="1" t="n">
        <v>45887</v>
      </c>
      <c r="D846" t="inlineStr">
        <is>
          <t>STOCKHOLMS LÄN</t>
        </is>
      </c>
      <c r="E846" t="inlineStr">
        <is>
          <t>NORRTÄLJE</t>
        </is>
      </c>
      <c r="F846" t="inlineStr">
        <is>
          <t>Holmen skog AB</t>
        </is>
      </c>
      <c r="G846" t="n">
        <v>5.2</v>
      </c>
      <c r="H846" t="n">
        <v>0</v>
      </c>
      <c r="I846" t="n">
        <v>0</v>
      </c>
      <c r="J846" t="n">
        <v>0</v>
      </c>
      <c r="K846" t="n">
        <v>0</v>
      </c>
      <c r="L846" t="n">
        <v>0</v>
      </c>
      <c r="M846" t="n">
        <v>0</v>
      </c>
      <c r="N846" t="n">
        <v>0</v>
      </c>
      <c r="O846" t="n">
        <v>0</v>
      </c>
      <c r="P846" t="n">
        <v>0</v>
      </c>
      <c r="Q846" t="n">
        <v>0</v>
      </c>
      <c r="R846" s="2" t="inlineStr"/>
    </row>
    <row r="847" ht="15" customHeight="1">
      <c r="A847" t="inlineStr">
        <is>
          <t>A 8296-2023</t>
        </is>
      </c>
      <c r="B847" s="1" t="n">
        <v>44974</v>
      </c>
      <c r="C847" s="1" t="n">
        <v>45887</v>
      </c>
      <c r="D847" t="inlineStr">
        <is>
          <t>STOCKHOLMS LÄN</t>
        </is>
      </c>
      <c r="E847" t="inlineStr">
        <is>
          <t>NORRTÄLJE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31236-2022</t>
        </is>
      </c>
      <c r="B848" s="1" t="n">
        <v>44771</v>
      </c>
      <c r="C848" s="1" t="n">
        <v>45887</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38612-2022</t>
        </is>
      </c>
      <c r="B849" s="1" t="n">
        <v>44813</v>
      </c>
      <c r="C849" s="1" t="n">
        <v>45887</v>
      </c>
      <c r="D849" t="inlineStr">
        <is>
          <t>STOCKHOLMS LÄN</t>
        </is>
      </c>
      <c r="E849" t="inlineStr">
        <is>
          <t>NORRTÄLJE</t>
        </is>
      </c>
      <c r="G849" t="n">
        <v>1.7</v>
      </c>
      <c r="H849" t="n">
        <v>0</v>
      </c>
      <c r="I849" t="n">
        <v>0</v>
      </c>
      <c r="J849" t="n">
        <v>0</v>
      </c>
      <c r="K849" t="n">
        <v>0</v>
      </c>
      <c r="L849" t="n">
        <v>0</v>
      </c>
      <c r="M849" t="n">
        <v>0</v>
      </c>
      <c r="N849" t="n">
        <v>0</v>
      </c>
      <c r="O849" t="n">
        <v>0</v>
      </c>
      <c r="P849" t="n">
        <v>0</v>
      </c>
      <c r="Q849" t="n">
        <v>0</v>
      </c>
      <c r="R849" s="2" t="inlineStr"/>
    </row>
    <row r="850" ht="15" customHeight="1">
      <c r="A850" t="inlineStr">
        <is>
          <t>A 33040-2021</t>
        </is>
      </c>
      <c r="B850" s="1" t="n">
        <v>44376.50728009259</v>
      </c>
      <c r="C850" s="1" t="n">
        <v>45887</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52593-2024</t>
        </is>
      </c>
      <c r="B851" s="1" t="n">
        <v>45609.70778935185</v>
      </c>
      <c r="C851" s="1" t="n">
        <v>45887</v>
      </c>
      <c r="D851" t="inlineStr">
        <is>
          <t>STOCKHOLMS LÄN</t>
        </is>
      </c>
      <c r="E851" t="inlineStr">
        <is>
          <t>NORRTÄLJE</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52617-2024</t>
        </is>
      </c>
      <c r="B852" s="1" t="n">
        <v>45609.85146990741</v>
      </c>
      <c r="C852" s="1" t="n">
        <v>45887</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27824-2022</t>
        </is>
      </c>
      <c r="B853" s="1" t="n">
        <v>44743.59331018518</v>
      </c>
      <c r="C853" s="1" t="n">
        <v>45887</v>
      </c>
      <c r="D853" t="inlineStr">
        <is>
          <t>STOCKHOLMS LÄN</t>
        </is>
      </c>
      <c r="E853" t="inlineStr">
        <is>
          <t>NORRTÄLJE</t>
        </is>
      </c>
      <c r="F853" t="inlineStr">
        <is>
          <t>Kommuner</t>
        </is>
      </c>
      <c r="G853" t="n">
        <v>3.1</v>
      </c>
      <c r="H853" t="n">
        <v>0</v>
      </c>
      <c r="I853" t="n">
        <v>0</v>
      </c>
      <c r="J853" t="n">
        <v>0</v>
      </c>
      <c r="K853" t="n">
        <v>0</v>
      </c>
      <c r="L853" t="n">
        <v>0</v>
      </c>
      <c r="M853" t="n">
        <v>0</v>
      </c>
      <c r="N853" t="n">
        <v>0</v>
      </c>
      <c r="O853" t="n">
        <v>0</v>
      </c>
      <c r="P853" t="n">
        <v>0</v>
      </c>
      <c r="Q853" t="n">
        <v>0</v>
      </c>
      <c r="R853" s="2" t="inlineStr"/>
    </row>
    <row r="854" ht="15" customHeight="1">
      <c r="A854" t="inlineStr">
        <is>
          <t>A 26117-2024</t>
        </is>
      </c>
      <c r="B854" s="1" t="n">
        <v>45468.45877314815</v>
      </c>
      <c r="C854" s="1" t="n">
        <v>45887</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61113-2023</t>
        </is>
      </c>
      <c r="B855" s="1" t="n">
        <v>45261</v>
      </c>
      <c r="C855" s="1" t="n">
        <v>45887</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19058-2024</t>
        </is>
      </c>
      <c r="B856" s="1" t="n">
        <v>45427.89121527778</v>
      </c>
      <c r="C856" s="1" t="n">
        <v>45887</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47521-2024</t>
        </is>
      </c>
      <c r="B857" s="1" t="n">
        <v>45587.62565972222</v>
      </c>
      <c r="C857" s="1" t="n">
        <v>45887</v>
      </c>
      <c r="D857" t="inlineStr">
        <is>
          <t>STOCKHOLMS LÄN</t>
        </is>
      </c>
      <c r="E857" t="inlineStr">
        <is>
          <t>NORRTÄLJE</t>
        </is>
      </c>
      <c r="G857" t="n">
        <v>4.7</v>
      </c>
      <c r="H857" t="n">
        <v>0</v>
      </c>
      <c r="I857" t="n">
        <v>0</v>
      </c>
      <c r="J857" t="n">
        <v>0</v>
      </c>
      <c r="K857" t="n">
        <v>0</v>
      </c>
      <c r="L857" t="n">
        <v>0</v>
      </c>
      <c r="M857" t="n">
        <v>0</v>
      </c>
      <c r="N857" t="n">
        <v>0</v>
      </c>
      <c r="O857" t="n">
        <v>0</v>
      </c>
      <c r="P857" t="n">
        <v>0</v>
      </c>
      <c r="Q857" t="n">
        <v>0</v>
      </c>
      <c r="R857" s="2" t="inlineStr"/>
    </row>
    <row r="858" ht="15" customHeight="1">
      <c r="A858" t="inlineStr">
        <is>
          <t>A 60822-2023</t>
        </is>
      </c>
      <c r="B858" s="1" t="n">
        <v>45259</v>
      </c>
      <c r="C858" s="1" t="n">
        <v>45887</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59310-2023</t>
        </is>
      </c>
      <c r="B859" s="1" t="n">
        <v>45253.61146990741</v>
      </c>
      <c r="C859" s="1" t="n">
        <v>45887</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20343-2024</t>
        </is>
      </c>
      <c r="B860" s="1" t="n">
        <v>45435.43466435185</v>
      </c>
      <c r="C860" s="1" t="n">
        <v>45887</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20345-2024</t>
        </is>
      </c>
      <c r="B861" s="1" t="n">
        <v>45435.43820601852</v>
      </c>
      <c r="C861" s="1" t="n">
        <v>45887</v>
      </c>
      <c r="D861" t="inlineStr">
        <is>
          <t>STOCKHOLMS LÄN</t>
        </is>
      </c>
      <c r="E861" t="inlineStr">
        <is>
          <t>NORRTÄLJE</t>
        </is>
      </c>
      <c r="G861" t="n">
        <v>3.8</v>
      </c>
      <c r="H861" t="n">
        <v>0</v>
      </c>
      <c r="I861" t="n">
        <v>0</v>
      </c>
      <c r="J861" t="n">
        <v>0</v>
      </c>
      <c r="K861" t="n">
        <v>0</v>
      </c>
      <c r="L861" t="n">
        <v>0</v>
      </c>
      <c r="M861" t="n">
        <v>0</v>
      </c>
      <c r="N861" t="n">
        <v>0</v>
      </c>
      <c r="O861" t="n">
        <v>0</v>
      </c>
      <c r="P861" t="n">
        <v>0</v>
      </c>
      <c r="Q861" t="n">
        <v>0</v>
      </c>
      <c r="R861" s="2" t="inlineStr"/>
    </row>
    <row r="862" ht="15" customHeight="1">
      <c r="A862" t="inlineStr">
        <is>
          <t>A 55010-2024</t>
        </is>
      </c>
      <c r="B862" s="1" t="n">
        <v>45621.34425925926</v>
      </c>
      <c r="C862" s="1" t="n">
        <v>45887</v>
      </c>
      <c r="D862" t="inlineStr">
        <is>
          <t>STOCKHOLMS LÄN</t>
        </is>
      </c>
      <c r="E862" t="inlineStr">
        <is>
          <t>NORRTÄLJE</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55018-2024</t>
        </is>
      </c>
      <c r="B863" s="1" t="n">
        <v>45621.35712962963</v>
      </c>
      <c r="C863" s="1" t="n">
        <v>45887</v>
      </c>
      <c r="D863" t="inlineStr">
        <is>
          <t>STOCKHOLMS LÄN</t>
        </is>
      </c>
      <c r="E863" t="inlineStr">
        <is>
          <t>NORRTÄLJE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50113-2024</t>
        </is>
      </c>
      <c r="B864" s="1" t="n">
        <v>45600.411875</v>
      </c>
      <c r="C864" s="1" t="n">
        <v>45887</v>
      </c>
      <c r="D864" t="inlineStr">
        <is>
          <t>STOCKHOLMS LÄN</t>
        </is>
      </c>
      <c r="E864" t="inlineStr">
        <is>
          <t>NORRTÄLJE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50534-2024</t>
        </is>
      </c>
      <c r="B865" s="1" t="n">
        <v>45601.56726851852</v>
      </c>
      <c r="C865" s="1" t="n">
        <v>45887</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20336-2024</t>
        </is>
      </c>
      <c r="B866" s="1" t="n">
        <v>45435.43123842592</v>
      </c>
      <c r="C866" s="1" t="n">
        <v>45887</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42094-2023</t>
        </is>
      </c>
      <c r="B867" s="1" t="n">
        <v>45177.61498842593</v>
      </c>
      <c r="C867" s="1" t="n">
        <v>45887</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58530-2024</t>
        </is>
      </c>
      <c r="B868" s="1" t="n">
        <v>45635.44788194444</v>
      </c>
      <c r="C868" s="1" t="n">
        <v>45887</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64899-2023</t>
        </is>
      </c>
      <c r="B869" s="1" t="n">
        <v>45282</v>
      </c>
      <c r="C869" s="1" t="n">
        <v>45887</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1847-2023</t>
        </is>
      </c>
      <c r="B870" s="1" t="n">
        <v>44938</v>
      </c>
      <c r="C870" s="1" t="n">
        <v>45887</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30620-2022</t>
        </is>
      </c>
      <c r="B871" s="1" t="n">
        <v>44763.40914351852</v>
      </c>
      <c r="C871" s="1" t="n">
        <v>45887</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11122-2021</t>
        </is>
      </c>
      <c r="B872" s="1" t="n">
        <v>44260</v>
      </c>
      <c r="C872" s="1" t="n">
        <v>45887</v>
      </c>
      <c r="D872" t="inlineStr">
        <is>
          <t>STOCKHOLMS LÄN</t>
        </is>
      </c>
      <c r="E872" t="inlineStr">
        <is>
          <t>NORRTÄLJE</t>
        </is>
      </c>
      <c r="F872" t="inlineStr">
        <is>
          <t>Holmen skog AB</t>
        </is>
      </c>
      <c r="G872" t="n">
        <v>2.1</v>
      </c>
      <c r="H872" t="n">
        <v>0</v>
      </c>
      <c r="I872" t="n">
        <v>0</v>
      </c>
      <c r="J872" t="n">
        <v>0</v>
      </c>
      <c r="K872" t="n">
        <v>0</v>
      </c>
      <c r="L872" t="n">
        <v>0</v>
      </c>
      <c r="M872" t="n">
        <v>0</v>
      </c>
      <c r="N872" t="n">
        <v>0</v>
      </c>
      <c r="O872" t="n">
        <v>0</v>
      </c>
      <c r="P872" t="n">
        <v>0</v>
      </c>
      <c r="Q872" t="n">
        <v>0</v>
      </c>
      <c r="R872" s="2" t="inlineStr"/>
    </row>
    <row r="873" ht="15" customHeight="1">
      <c r="A873" t="inlineStr">
        <is>
          <t>A 57602-2024</t>
        </is>
      </c>
      <c r="B873" s="1" t="n">
        <v>45630.52866898148</v>
      </c>
      <c r="C873" s="1" t="n">
        <v>45887</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45887</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11854-2025</t>
        </is>
      </c>
      <c r="B875" s="1" t="n">
        <v>45728.38924768518</v>
      </c>
      <c r="C875" s="1" t="n">
        <v>45887</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20291-2022</t>
        </is>
      </c>
      <c r="B876" s="1" t="n">
        <v>44698</v>
      </c>
      <c r="C876" s="1" t="n">
        <v>45887</v>
      </c>
      <c r="D876" t="inlineStr">
        <is>
          <t>STOCKHOLMS LÄN</t>
        </is>
      </c>
      <c r="E876" t="inlineStr">
        <is>
          <t>NORRTÄLJE</t>
        </is>
      </c>
      <c r="F876" t="inlineStr">
        <is>
          <t>Naturvårdsverket</t>
        </is>
      </c>
      <c r="G876" t="n">
        <v>2</v>
      </c>
      <c r="H876" t="n">
        <v>0</v>
      </c>
      <c r="I876" t="n">
        <v>0</v>
      </c>
      <c r="J876" t="n">
        <v>0</v>
      </c>
      <c r="K876" t="n">
        <v>0</v>
      </c>
      <c r="L876" t="n">
        <v>0</v>
      </c>
      <c r="M876" t="n">
        <v>0</v>
      </c>
      <c r="N876" t="n">
        <v>0</v>
      </c>
      <c r="O876" t="n">
        <v>0</v>
      </c>
      <c r="P876" t="n">
        <v>0</v>
      </c>
      <c r="Q876" t="n">
        <v>0</v>
      </c>
      <c r="R876" s="2" t="inlineStr"/>
    </row>
    <row r="877" ht="15" customHeight="1">
      <c r="A877" t="inlineStr">
        <is>
          <t>A 1283-2025</t>
        </is>
      </c>
      <c r="B877" s="1" t="n">
        <v>45667.49878472222</v>
      </c>
      <c r="C877" s="1" t="n">
        <v>45887</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12302-2025</t>
        </is>
      </c>
      <c r="B878" s="1" t="n">
        <v>45729.72851851852</v>
      </c>
      <c r="C878" s="1" t="n">
        <v>45887</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48392-2020</t>
        </is>
      </c>
      <c r="B879" s="1" t="n">
        <v>44097</v>
      </c>
      <c r="C879" s="1" t="n">
        <v>45887</v>
      </c>
      <c r="D879" t="inlineStr">
        <is>
          <t>STOCKHOLMS LÄN</t>
        </is>
      </c>
      <c r="E879" t="inlineStr">
        <is>
          <t>NORRTÄLJE</t>
        </is>
      </c>
      <c r="G879" t="n">
        <v>12.5</v>
      </c>
      <c r="H879" t="n">
        <v>0</v>
      </c>
      <c r="I879" t="n">
        <v>0</v>
      </c>
      <c r="J879" t="n">
        <v>0</v>
      </c>
      <c r="K879" t="n">
        <v>0</v>
      </c>
      <c r="L879" t="n">
        <v>0</v>
      </c>
      <c r="M879" t="n">
        <v>0</v>
      </c>
      <c r="N879" t="n">
        <v>0</v>
      </c>
      <c r="O879" t="n">
        <v>0</v>
      </c>
      <c r="P879" t="n">
        <v>0</v>
      </c>
      <c r="Q879" t="n">
        <v>0</v>
      </c>
      <c r="R879" s="2" t="inlineStr"/>
    </row>
    <row r="880" ht="15" customHeight="1">
      <c r="A880" t="inlineStr">
        <is>
          <t>A 31926-2022</t>
        </is>
      </c>
      <c r="B880" s="1" t="n">
        <v>44777</v>
      </c>
      <c r="C880" s="1" t="n">
        <v>45887</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60217-2021</t>
        </is>
      </c>
      <c r="B881" s="1" t="n">
        <v>44495.5893287037</v>
      </c>
      <c r="C881" s="1" t="n">
        <v>45887</v>
      </c>
      <c r="D881" t="inlineStr">
        <is>
          <t>STOCKHOLMS LÄN</t>
        </is>
      </c>
      <c r="E881" t="inlineStr">
        <is>
          <t>NORRTÄLJE</t>
        </is>
      </c>
      <c r="G881" t="n">
        <v>4.3</v>
      </c>
      <c r="H881" t="n">
        <v>0</v>
      </c>
      <c r="I881" t="n">
        <v>0</v>
      </c>
      <c r="J881" t="n">
        <v>0</v>
      </c>
      <c r="K881" t="n">
        <v>0</v>
      </c>
      <c r="L881" t="n">
        <v>0</v>
      </c>
      <c r="M881" t="n">
        <v>0</v>
      </c>
      <c r="N881" t="n">
        <v>0</v>
      </c>
      <c r="O881" t="n">
        <v>0</v>
      </c>
      <c r="P881" t="n">
        <v>0</v>
      </c>
      <c r="Q881" t="n">
        <v>0</v>
      </c>
      <c r="R881" s="2" t="inlineStr"/>
    </row>
    <row r="882" ht="15" customHeight="1">
      <c r="A882" t="inlineStr">
        <is>
          <t>A 1425-2025</t>
        </is>
      </c>
      <c r="B882" s="1" t="n">
        <v>45668.67446759259</v>
      </c>
      <c r="C882" s="1" t="n">
        <v>45887</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45670.3079050926</v>
      </c>
      <c r="C883" s="1" t="n">
        <v>45887</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28900-2022</t>
        </is>
      </c>
      <c r="B884" s="1" t="n">
        <v>44749.55258101852</v>
      </c>
      <c r="C884" s="1" t="n">
        <v>45887</v>
      </c>
      <c r="D884" t="inlineStr">
        <is>
          <t>STOCKHOLMS LÄN</t>
        </is>
      </c>
      <c r="E884" t="inlineStr">
        <is>
          <t>NORRTÄLJE</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32514-2022</t>
        </is>
      </c>
      <c r="B885" s="1" t="n">
        <v>44782</v>
      </c>
      <c r="C885" s="1" t="n">
        <v>45887</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3386-2021</t>
        </is>
      </c>
      <c r="B886" s="1" t="n">
        <v>44218</v>
      </c>
      <c r="C886" s="1" t="n">
        <v>45887</v>
      </c>
      <c r="D886" t="inlineStr">
        <is>
          <t>STOCKHOLMS LÄN</t>
        </is>
      </c>
      <c r="E886" t="inlineStr">
        <is>
          <t>NORRTÄLJE</t>
        </is>
      </c>
      <c r="G886" t="n">
        <v>8</v>
      </c>
      <c r="H886" t="n">
        <v>0</v>
      </c>
      <c r="I886" t="n">
        <v>0</v>
      </c>
      <c r="J886" t="n">
        <v>0</v>
      </c>
      <c r="K886" t="n">
        <v>0</v>
      </c>
      <c r="L886" t="n">
        <v>0</v>
      </c>
      <c r="M886" t="n">
        <v>0</v>
      </c>
      <c r="N886" t="n">
        <v>0</v>
      </c>
      <c r="O886" t="n">
        <v>0</v>
      </c>
      <c r="P886" t="n">
        <v>0</v>
      </c>
      <c r="Q886" t="n">
        <v>0</v>
      </c>
      <c r="R886" s="2" t="inlineStr"/>
    </row>
    <row r="887" ht="15" customHeight="1">
      <c r="A887" t="inlineStr">
        <is>
          <t>A 13860-2023</t>
        </is>
      </c>
      <c r="B887" s="1" t="n">
        <v>45007</v>
      </c>
      <c r="C887" s="1" t="n">
        <v>45887</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6070-2022</t>
        </is>
      </c>
      <c r="B888" s="1" t="n">
        <v>44599.58428240741</v>
      </c>
      <c r="C888" s="1" t="n">
        <v>45887</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9130-2025</t>
        </is>
      </c>
      <c r="B889" s="1" t="n">
        <v>45713.92623842593</v>
      </c>
      <c r="C889" s="1" t="n">
        <v>45887</v>
      </c>
      <c r="D889" t="inlineStr">
        <is>
          <t>STOCKHOLMS LÄN</t>
        </is>
      </c>
      <c r="E889" t="inlineStr">
        <is>
          <t>NORRTÄLJE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27828-2022</t>
        </is>
      </c>
      <c r="B890" s="1" t="n">
        <v>44743.59765046297</v>
      </c>
      <c r="C890" s="1" t="n">
        <v>45887</v>
      </c>
      <c r="D890" t="inlineStr">
        <is>
          <t>STOCKHOLMS LÄN</t>
        </is>
      </c>
      <c r="E890" t="inlineStr">
        <is>
          <t>NORRTÄLJE</t>
        </is>
      </c>
      <c r="F890" t="inlineStr">
        <is>
          <t>Kommuner</t>
        </is>
      </c>
      <c r="G890" t="n">
        <v>1.6</v>
      </c>
      <c r="H890" t="n">
        <v>0</v>
      </c>
      <c r="I890" t="n">
        <v>0</v>
      </c>
      <c r="J890" t="n">
        <v>0</v>
      </c>
      <c r="K890" t="n">
        <v>0</v>
      </c>
      <c r="L890" t="n">
        <v>0</v>
      </c>
      <c r="M890" t="n">
        <v>0</v>
      </c>
      <c r="N890" t="n">
        <v>0</v>
      </c>
      <c r="O890" t="n">
        <v>0</v>
      </c>
      <c r="P890" t="n">
        <v>0</v>
      </c>
      <c r="Q890" t="n">
        <v>0</v>
      </c>
      <c r="R890" s="2" t="inlineStr"/>
    </row>
    <row r="891" ht="15" customHeight="1">
      <c r="A891" t="inlineStr">
        <is>
          <t>A 27870-2022</t>
        </is>
      </c>
      <c r="B891" s="1" t="n">
        <v>44743.64592592593</v>
      </c>
      <c r="C891" s="1" t="n">
        <v>45887</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36689-2023</t>
        </is>
      </c>
      <c r="B892" s="1" t="n">
        <v>45152</v>
      </c>
      <c r="C892" s="1" t="n">
        <v>45887</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59873-2024</t>
        </is>
      </c>
      <c r="B893" s="1" t="n">
        <v>45640.57305555556</v>
      </c>
      <c r="C893" s="1" t="n">
        <v>45887</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23125-2022</t>
        </is>
      </c>
      <c r="B894" s="1" t="n">
        <v>44719</v>
      </c>
      <c r="C894" s="1" t="n">
        <v>45887</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22412-2021</t>
        </is>
      </c>
      <c r="B895" s="1" t="n">
        <v>44326.61967592593</v>
      </c>
      <c r="C895" s="1" t="n">
        <v>45887</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48161-2022</t>
        </is>
      </c>
      <c r="B896" s="1" t="n">
        <v>44858</v>
      </c>
      <c r="C896" s="1" t="n">
        <v>45887</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9329-2023</t>
        </is>
      </c>
      <c r="B897" s="1" t="n">
        <v>44980</v>
      </c>
      <c r="C897" s="1" t="n">
        <v>45887</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6855-2025</t>
        </is>
      </c>
      <c r="B898" s="1" t="n">
        <v>45700</v>
      </c>
      <c r="C898" s="1" t="n">
        <v>45887</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43150-2023</t>
        </is>
      </c>
      <c r="B899" s="1" t="n">
        <v>45183</v>
      </c>
      <c r="C899" s="1" t="n">
        <v>45887</v>
      </c>
      <c r="D899" t="inlineStr">
        <is>
          <t>STOCKHOLMS LÄN</t>
        </is>
      </c>
      <c r="E899" t="inlineStr">
        <is>
          <t>NORRTÄLJE</t>
        </is>
      </c>
      <c r="G899" t="n">
        <v>2.4</v>
      </c>
      <c r="H899" t="n">
        <v>0</v>
      </c>
      <c r="I899" t="n">
        <v>0</v>
      </c>
      <c r="J899" t="n">
        <v>0</v>
      </c>
      <c r="K899" t="n">
        <v>0</v>
      </c>
      <c r="L899" t="n">
        <v>0</v>
      </c>
      <c r="M899" t="n">
        <v>0</v>
      </c>
      <c r="N899" t="n">
        <v>0</v>
      </c>
      <c r="O899" t="n">
        <v>0</v>
      </c>
      <c r="P899" t="n">
        <v>0</v>
      </c>
      <c r="Q899" t="n">
        <v>0</v>
      </c>
      <c r="R899" s="2" t="inlineStr"/>
    </row>
    <row r="900" ht="15" customHeight="1">
      <c r="A900" t="inlineStr">
        <is>
          <t>A 59534-2024</t>
        </is>
      </c>
      <c r="B900" s="1" t="n">
        <v>45638.5987037037</v>
      </c>
      <c r="C900" s="1" t="n">
        <v>45887</v>
      </c>
      <c r="D900" t="inlineStr">
        <is>
          <t>STOCKHOLMS LÄN</t>
        </is>
      </c>
      <c r="E900" t="inlineStr">
        <is>
          <t>NORRTÄLJE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23307-2024</t>
        </is>
      </c>
      <c r="B901" s="1" t="n">
        <v>45453</v>
      </c>
      <c r="C901" s="1" t="n">
        <v>45887</v>
      </c>
      <c r="D901" t="inlineStr">
        <is>
          <t>STOCKHOLMS LÄN</t>
        </is>
      </c>
      <c r="E901" t="inlineStr">
        <is>
          <t>NORRTÄLJE</t>
        </is>
      </c>
      <c r="G901" t="n">
        <v>0.9</v>
      </c>
      <c r="H901" t="n">
        <v>0</v>
      </c>
      <c r="I901" t="n">
        <v>0</v>
      </c>
      <c r="J901" t="n">
        <v>0</v>
      </c>
      <c r="K901" t="n">
        <v>0</v>
      </c>
      <c r="L901" t="n">
        <v>0</v>
      </c>
      <c r="M901" t="n">
        <v>0</v>
      </c>
      <c r="N901" t="n">
        <v>0</v>
      </c>
      <c r="O901" t="n">
        <v>0</v>
      </c>
      <c r="P901" t="n">
        <v>0</v>
      </c>
      <c r="Q901" t="n">
        <v>0</v>
      </c>
      <c r="R901" s="2" t="inlineStr"/>
    </row>
    <row r="902" ht="15" customHeight="1">
      <c r="A902" t="inlineStr">
        <is>
          <t>A 19450-2025</t>
        </is>
      </c>
      <c r="B902" s="1" t="n">
        <v>45770</v>
      </c>
      <c r="C902" s="1" t="n">
        <v>45887</v>
      </c>
      <c r="D902" t="inlineStr">
        <is>
          <t>STOCKHOLMS LÄN</t>
        </is>
      </c>
      <c r="E902" t="inlineStr">
        <is>
          <t>NORRTÄLJE</t>
        </is>
      </c>
      <c r="G902" t="n">
        <v>5.3</v>
      </c>
      <c r="H902" t="n">
        <v>0</v>
      </c>
      <c r="I902" t="n">
        <v>0</v>
      </c>
      <c r="J902" t="n">
        <v>0</v>
      </c>
      <c r="K902" t="n">
        <v>0</v>
      </c>
      <c r="L902" t="n">
        <v>0</v>
      </c>
      <c r="M902" t="n">
        <v>0</v>
      </c>
      <c r="N902" t="n">
        <v>0</v>
      </c>
      <c r="O902" t="n">
        <v>0</v>
      </c>
      <c r="P902" t="n">
        <v>0</v>
      </c>
      <c r="Q902" t="n">
        <v>0</v>
      </c>
      <c r="R902" s="2" t="inlineStr"/>
    </row>
    <row r="903" ht="15" customHeight="1">
      <c r="A903" t="inlineStr">
        <is>
          <t>A 2281-2024</t>
        </is>
      </c>
      <c r="B903" s="1" t="n">
        <v>45310.40628472222</v>
      </c>
      <c r="C903" s="1" t="n">
        <v>45887</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2287-2024</t>
        </is>
      </c>
      <c r="B904" s="1" t="n">
        <v>45310</v>
      </c>
      <c r="C904" s="1" t="n">
        <v>45887</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14873-2025</t>
        </is>
      </c>
      <c r="B905" s="1" t="n">
        <v>45743.44953703704</v>
      </c>
      <c r="C905" s="1" t="n">
        <v>45887</v>
      </c>
      <c r="D905" t="inlineStr">
        <is>
          <t>STOCKHOLMS LÄN</t>
        </is>
      </c>
      <c r="E905" t="inlineStr">
        <is>
          <t>NORRTÄLJE</t>
        </is>
      </c>
      <c r="G905" t="n">
        <v>10.2</v>
      </c>
      <c r="H905" t="n">
        <v>0</v>
      </c>
      <c r="I905" t="n">
        <v>0</v>
      </c>
      <c r="J905" t="n">
        <v>0</v>
      </c>
      <c r="K905" t="n">
        <v>0</v>
      </c>
      <c r="L905" t="n">
        <v>0</v>
      </c>
      <c r="M905" t="n">
        <v>0</v>
      </c>
      <c r="N905" t="n">
        <v>0</v>
      </c>
      <c r="O905" t="n">
        <v>0</v>
      </c>
      <c r="P905" t="n">
        <v>0</v>
      </c>
      <c r="Q905" t="n">
        <v>0</v>
      </c>
      <c r="R905" s="2" t="inlineStr"/>
    </row>
    <row r="906" ht="15" customHeight="1">
      <c r="A906" t="inlineStr">
        <is>
          <t>A 8135-2025</t>
        </is>
      </c>
      <c r="B906" s="1" t="n">
        <v>45707.84997685185</v>
      </c>
      <c r="C906" s="1" t="n">
        <v>45887</v>
      </c>
      <c r="D906" t="inlineStr">
        <is>
          <t>STOCKHOLMS LÄN</t>
        </is>
      </c>
      <c r="E906" t="inlineStr">
        <is>
          <t>NORRTÄLJE</t>
        </is>
      </c>
      <c r="G906" t="n">
        <v>2.6</v>
      </c>
      <c r="H906" t="n">
        <v>0</v>
      </c>
      <c r="I906" t="n">
        <v>0</v>
      </c>
      <c r="J906" t="n">
        <v>0</v>
      </c>
      <c r="K906" t="n">
        <v>0</v>
      </c>
      <c r="L906" t="n">
        <v>0</v>
      </c>
      <c r="M906" t="n">
        <v>0</v>
      </c>
      <c r="N906" t="n">
        <v>0</v>
      </c>
      <c r="O906" t="n">
        <v>0</v>
      </c>
      <c r="P906" t="n">
        <v>0</v>
      </c>
      <c r="Q906" t="n">
        <v>0</v>
      </c>
      <c r="R906" s="2" t="inlineStr"/>
    </row>
    <row r="907" ht="15" customHeight="1">
      <c r="A907" t="inlineStr">
        <is>
          <t>A 20618-2022</t>
        </is>
      </c>
      <c r="B907" s="1" t="n">
        <v>44700.50659722222</v>
      </c>
      <c r="C907" s="1" t="n">
        <v>45887</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45887</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24887-2023</t>
        </is>
      </c>
      <c r="B909" s="1" t="n">
        <v>45085</v>
      </c>
      <c r="C909" s="1" t="n">
        <v>45887</v>
      </c>
      <c r="D909" t="inlineStr">
        <is>
          <t>STOCKHOLMS LÄN</t>
        </is>
      </c>
      <c r="E909" t="inlineStr">
        <is>
          <t>NORRTÄLJE</t>
        </is>
      </c>
      <c r="G909" t="n">
        <v>13.9</v>
      </c>
      <c r="H909" t="n">
        <v>0</v>
      </c>
      <c r="I909" t="n">
        <v>0</v>
      </c>
      <c r="J909" t="n">
        <v>0</v>
      </c>
      <c r="K909" t="n">
        <v>0</v>
      </c>
      <c r="L909" t="n">
        <v>0</v>
      </c>
      <c r="M909" t="n">
        <v>0</v>
      </c>
      <c r="N909" t="n">
        <v>0</v>
      </c>
      <c r="O909" t="n">
        <v>0</v>
      </c>
      <c r="P909" t="n">
        <v>0</v>
      </c>
      <c r="Q909" t="n">
        <v>0</v>
      </c>
      <c r="R909" s="2" t="inlineStr"/>
    </row>
    <row r="910" ht="15" customHeight="1">
      <c r="A910" t="inlineStr">
        <is>
          <t>A 56428-2023</t>
        </is>
      </c>
      <c r="B910" s="1" t="n">
        <v>45243.45289351852</v>
      </c>
      <c r="C910" s="1" t="n">
        <v>45887</v>
      </c>
      <c r="D910" t="inlineStr">
        <is>
          <t>STOCKHOLMS LÄN</t>
        </is>
      </c>
      <c r="E910" t="inlineStr">
        <is>
          <t>NORRTÄLJE</t>
        </is>
      </c>
      <c r="F910" t="inlineStr">
        <is>
          <t>Kyrkan</t>
        </is>
      </c>
      <c r="G910" t="n">
        <v>1.3</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45887</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30338-2022</t>
        </is>
      </c>
      <c r="B912" s="1" t="n">
        <v>44760</v>
      </c>
      <c r="C912" s="1" t="n">
        <v>45887</v>
      </c>
      <c r="D912" t="inlineStr">
        <is>
          <t>STOCKHOLMS LÄN</t>
        </is>
      </c>
      <c r="E912" t="inlineStr">
        <is>
          <t>NORRTÄLJE</t>
        </is>
      </c>
      <c r="G912" t="n">
        <v>0.3</v>
      </c>
      <c r="H912" t="n">
        <v>0</v>
      </c>
      <c r="I912" t="n">
        <v>0</v>
      </c>
      <c r="J912" t="n">
        <v>0</v>
      </c>
      <c r="K912" t="n">
        <v>0</v>
      </c>
      <c r="L912" t="n">
        <v>0</v>
      </c>
      <c r="M912" t="n">
        <v>0</v>
      </c>
      <c r="N912" t="n">
        <v>0</v>
      </c>
      <c r="O912" t="n">
        <v>0</v>
      </c>
      <c r="P912" t="n">
        <v>0</v>
      </c>
      <c r="Q912" t="n">
        <v>0</v>
      </c>
      <c r="R912" s="2" t="inlineStr"/>
    </row>
    <row r="913" ht="15" customHeight="1">
      <c r="A913" t="inlineStr">
        <is>
          <t>A 18541-2023</t>
        </is>
      </c>
      <c r="B913" s="1" t="n">
        <v>45042.74291666667</v>
      </c>
      <c r="C913" s="1" t="n">
        <v>45887</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32857-2021</t>
        </is>
      </c>
      <c r="B914" s="1" t="n">
        <v>44375</v>
      </c>
      <c r="C914" s="1" t="n">
        <v>45887</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51325-2023</t>
        </is>
      </c>
      <c r="B915" s="1" t="n">
        <v>45219</v>
      </c>
      <c r="C915" s="1" t="n">
        <v>45887</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25656-2023</t>
        </is>
      </c>
      <c r="B916" s="1" t="n">
        <v>45089</v>
      </c>
      <c r="C916" s="1" t="n">
        <v>45887</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21729-2024</t>
        </is>
      </c>
      <c r="B917" s="1" t="n">
        <v>45442</v>
      </c>
      <c r="C917" s="1" t="n">
        <v>45887</v>
      </c>
      <c r="D917" t="inlineStr">
        <is>
          <t>STOCKHOLMS LÄN</t>
        </is>
      </c>
      <c r="E917" t="inlineStr">
        <is>
          <t>NORRTÄLJE</t>
        </is>
      </c>
      <c r="G917" t="n">
        <v>2.2</v>
      </c>
      <c r="H917" t="n">
        <v>0</v>
      </c>
      <c r="I917" t="n">
        <v>0</v>
      </c>
      <c r="J917" t="n">
        <v>0</v>
      </c>
      <c r="K917" t="n">
        <v>0</v>
      </c>
      <c r="L917" t="n">
        <v>0</v>
      </c>
      <c r="M917" t="n">
        <v>0</v>
      </c>
      <c r="N917" t="n">
        <v>0</v>
      </c>
      <c r="O917" t="n">
        <v>0</v>
      </c>
      <c r="P917" t="n">
        <v>0</v>
      </c>
      <c r="Q917" t="n">
        <v>0</v>
      </c>
      <c r="R917" s="2" t="inlineStr"/>
    </row>
    <row r="918" ht="15" customHeight="1">
      <c r="A918" t="inlineStr">
        <is>
          <t>A 38049-2023</t>
        </is>
      </c>
      <c r="B918" s="1" t="n">
        <v>45159</v>
      </c>
      <c r="C918" s="1" t="n">
        <v>45887</v>
      </c>
      <c r="D918" t="inlineStr">
        <is>
          <t>STOCKHOLMS LÄN</t>
        </is>
      </c>
      <c r="E918" t="inlineStr">
        <is>
          <t>NORRTÄLJE</t>
        </is>
      </c>
      <c r="G918" t="n">
        <v>3.6</v>
      </c>
      <c r="H918" t="n">
        <v>0</v>
      </c>
      <c r="I918" t="n">
        <v>0</v>
      </c>
      <c r="J918" t="n">
        <v>0</v>
      </c>
      <c r="K918" t="n">
        <v>0</v>
      </c>
      <c r="L918" t="n">
        <v>0</v>
      </c>
      <c r="M918" t="n">
        <v>0</v>
      </c>
      <c r="N918" t="n">
        <v>0</v>
      </c>
      <c r="O918" t="n">
        <v>0</v>
      </c>
      <c r="P918" t="n">
        <v>0</v>
      </c>
      <c r="Q918" t="n">
        <v>0</v>
      </c>
      <c r="R918" s="2" t="inlineStr"/>
    </row>
    <row r="919" ht="15" customHeight="1">
      <c r="A919" t="inlineStr">
        <is>
          <t>A 21894-2023</t>
        </is>
      </c>
      <c r="B919" s="1" t="n">
        <v>45068.51783564815</v>
      </c>
      <c r="C919" s="1" t="n">
        <v>45887</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3966-2024</t>
        </is>
      </c>
      <c r="B920" s="1" t="n">
        <v>45322</v>
      </c>
      <c r="C920" s="1" t="n">
        <v>45887</v>
      </c>
      <c r="D920" t="inlineStr">
        <is>
          <t>STOCKHOLMS LÄN</t>
        </is>
      </c>
      <c r="E920" t="inlineStr">
        <is>
          <t>NORRTÄLJE</t>
        </is>
      </c>
      <c r="G920" t="n">
        <v>5.3</v>
      </c>
      <c r="H920" t="n">
        <v>0</v>
      </c>
      <c r="I920" t="n">
        <v>0</v>
      </c>
      <c r="J920" t="n">
        <v>0</v>
      </c>
      <c r="K920" t="n">
        <v>0</v>
      </c>
      <c r="L920" t="n">
        <v>0</v>
      </c>
      <c r="M920" t="n">
        <v>0</v>
      </c>
      <c r="N920" t="n">
        <v>0</v>
      </c>
      <c r="O920" t="n">
        <v>0</v>
      </c>
      <c r="P920" t="n">
        <v>0</v>
      </c>
      <c r="Q920" t="n">
        <v>0</v>
      </c>
      <c r="R920" s="2" t="inlineStr"/>
    </row>
    <row r="921" ht="15" customHeight="1">
      <c r="A921" t="inlineStr">
        <is>
          <t>A 17348-2024</t>
        </is>
      </c>
      <c r="B921" s="1" t="n">
        <v>45414.58650462963</v>
      </c>
      <c r="C921" s="1" t="n">
        <v>45887</v>
      </c>
      <c r="D921" t="inlineStr">
        <is>
          <t>STOCKHOLMS LÄN</t>
        </is>
      </c>
      <c r="E921" t="inlineStr">
        <is>
          <t>NORRTÄLJE</t>
        </is>
      </c>
      <c r="G921" t="n">
        <v>2.3</v>
      </c>
      <c r="H921" t="n">
        <v>0</v>
      </c>
      <c r="I921" t="n">
        <v>0</v>
      </c>
      <c r="J921" t="n">
        <v>0</v>
      </c>
      <c r="K921" t="n">
        <v>0</v>
      </c>
      <c r="L921" t="n">
        <v>0</v>
      </c>
      <c r="M921" t="n">
        <v>0</v>
      </c>
      <c r="N921" t="n">
        <v>0</v>
      </c>
      <c r="O921" t="n">
        <v>0</v>
      </c>
      <c r="P921" t="n">
        <v>0</v>
      </c>
      <c r="Q921" t="n">
        <v>0</v>
      </c>
      <c r="R921" s="2" t="inlineStr"/>
    </row>
    <row r="922" ht="15" customHeight="1">
      <c r="A922" t="inlineStr">
        <is>
          <t>A 21732-2023</t>
        </is>
      </c>
      <c r="B922" s="1" t="n">
        <v>45063</v>
      </c>
      <c r="C922" s="1" t="n">
        <v>45887</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38591-2023</t>
        </is>
      </c>
      <c r="B923" s="1" t="n">
        <v>45162</v>
      </c>
      <c r="C923" s="1" t="n">
        <v>45887</v>
      </c>
      <c r="D923" t="inlineStr">
        <is>
          <t>STOCKHOLMS LÄN</t>
        </is>
      </c>
      <c r="E923" t="inlineStr">
        <is>
          <t>NORRTÄLJE</t>
        </is>
      </c>
      <c r="F923" t="inlineStr">
        <is>
          <t>Övriga Aktiebolag</t>
        </is>
      </c>
      <c r="G923" t="n">
        <v>3.1</v>
      </c>
      <c r="H923" t="n">
        <v>0</v>
      </c>
      <c r="I923" t="n">
        <v>0</v>
      </c>
      <c r="J923" t="n">
        <v>0</v>
      </c>
      <c r="K923" t="n">
        <v>0</v>
      </c>
      <c r="L923" t="n">
        <v>0</v>
      </c>
      <c r="M923" t="n">
        <v>0</v>
      </c>
      <c r="N923" t="n">
        <v>0</v>
      </c>
      <c r="O923" t="n">
        <v>0</v>
      </c>
      <c r="P923" t="n">
        <v>0</v>
      </c>
      <c r="Q923" t="n">
        <v>0</v>
      </c>
      <c r="R923" s="2" t="inlineStr"/>
    </row>
    <row r="924" ht="15" customHeight="1">
      <c r="A924" t="inlineStr">
        <is>
          <t>A 3273-2025</t>
        </is>
      </c>
      <c r="B924" s="1" t="n">
        <v>45679</v>
      </c>
      <c r="C924" s="1" t="n">
        <v>45887</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7806-2025</t>
        </is>
      </c>
      <c r="B925" s="1" t="n">
        <v>45706.61178240741</v>
      </c>
      <c r="C925" s="1" t="n">
        <v>45887</v>
      </c>
      <c r="D925" t="inlineStr">
        <is>
          <t>STOCKHOLMS LÄN</t>
        </is>
      </c>
      <c r="E925" t="inlineStr">
        <is>
          <t>NORRTÄLJE</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34461-2023</t>
        </is>
      </c>
      <c r="B926" s="1" t="n">
        <v>45139</v>
      </c>
      <c r="C926" s="1" t="n">
        <v>45887</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37444-2021</t>
        </is>
      </c>
      <c r="B927" s="1" t="n">
        <v>44398</v>
      </c>
      <c r="C927" s="1" t="n">
        <v>45887</v>
      </c>
      <c r="D927" t="inlineStr">
        <is>
          <t>STOCKHOLMS LÄN</t>
        </is>
      </c>
      <c r="E927" t="inlineStr">
        <is>
          <t>NORRTÄLJE</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15217-2023</t>
        </is>
      </c>
      <c r="B928" s="1" t="n">
        <v>45019.28847222222</v>
      </c>
      <c r="C928" s="1" t="n">
        <v>45887</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24522-2023</t>
        </is>
      </c>
      <c r="B929" s="1" t="n">
        <v>45082.69179398148</v>
      </c>
      <c r="C929" s="1" t="n">
        <v>45887</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45173-2023</t>
        </is>
      </c>
      <c r="B930" s="1" t="n">
        <v>45191</v>
      </c>
      <c r="C930" s="1" t="n">
        <v>45887</v>
      </c>
      <c r="D930" t="inlineStr">
        <is>
          <t>STOCKHOLMS LÄN</t>
        </is>
      </c>
      <c r="E930" t="inlineStr">
        <is>
          <t>NORRTÄLJE</t>
        </is>
      </c>
      <c r="F930" t="inlineStr">
        <is>
          <t>Sveaskog</t>
        </is>
      </c>
      <c r="G930" t="n">
        <v>3.6</v>
      </c>
      <c r="H930" t="n">
        <v>0</v>
      </c>
      <c r="I930" t="n">
        <v>0</v>
      </c>
      <c r="J930" t="n">
        <v>0</v>
      </c>
      <c r="K930" t="n">
        <v>0</v>
      </c>
      <c r="L930" t="n">
        <v>0</v>
      </c>
      <c r="M930" t="n">
        <v>0</v>
      </c>
      <c r="N930" t="n">
        <v>0</v>
      </c>
      <c r="O930" t="n">
        <v>0</v>
      </c>
      <c r="P930" t="n">
        <v>0</v>
      </c>
      <c r="Q930" t="n">
        <v>0</v>
      </c>
      <c r="R930" s="2" t="inlineStr"/>
    </row>
    <row r="931" ht="15" customHeight="1">
      <c r="A931" t="inlineStr">
        <is>
          <t>A 29176-2024</t>
        </is>
      </c>
      <c r="B931" s="1" t="n">
        <v>45482.53388888889</v>
      </c>
      <c r="C931" s="1" t="n">
        <v>45887</v>
      </c>
      <c r="D931" t="inlineStr">
        <is>
          <t>STOCKHOLMS LÄN</t>
        </is>
      </c>
      <c r="E931" t="inlineStr">
        <is>
          <t>NORRTÄLJE</t>
        </is>
      </c>
      <c r="G931" t="n">
        <v>1.1</v>
      </c>
      <c r="H931" t="n">
        <v>0</v>
      </c>
      <c r="I931" t="n">
        <v>0</v>
      </c>
      <c r="J931" t="n">
        <v>0</v>
      </c>
      <c r="K931" t="n">
        <v>0</v>
      </c>
      <c r="L931" t="n">
        <v>0</v>
      </c>
      <c r="M931" t="n">
        <v>0</v>
      </c>
      <c r="N931" t="n">
        <v>0</v>
      </c>
      <c r="O931" t="n">
        <v>0</v>
      </c>
      <c r="P931" t="n">
        <v>0</v>
      </c>
      <c r="Q931" t="n">
        <v>0</v>
      </c>
      <c r="R931" s="2" t="inlineStr"/>
    </row>
    <row r="932" ht="15" customHeight="1">
      <c r="A932" t="inlineStr">
        <is>
          <t>A 64137-2021</t>
        </is>
      </c>
      <c r="B932" s="1" t="n">
        <v>44510.51422453704</v>
      </c>
      <c r="C932" s="1" t="n">
        <v>45887</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38720-2022</t>
        </is>
      </c>
      <c r="B933" s="1" t="n">
        <v>44815.74539351852</v>
      </c>
      <c r="C933" s="1" t="n">
        <v>45887</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4596-2023</t>
        </is>
      </c>
      <c r="B934" s="1" t="n">
        <v>44956</v>
      </c>
      <c r="C934" s="1" t="n">
        <v>45887</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4438-2023</t>
        </is>
      </c>
      <c r="B935" s="1" t="n">
        <v>44956</v>
      </c>
      <c r="C935" s="1" t="n">
        <v>45887</v>
      </c>
      <c r="D935" t="inlineStr">
        <is>
          <t>STOCKHOLMS LÄN</t>
        </is>
      </c>
      <c r="E935" t="inlineStr">
        <is>
          <t>NORRTÄLJE</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34432-2021</t>
        </is>
      </c>
      <c r="B936" s="1" t="n">
        <v>44380.77346064815</v>
      </c>
      <c r="C936" s="1" t="n">
        <v>45887</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19911-2025</t>
        </is>
      </c>
      <c r="B937" s="1" t="n">
        <v>45771</v>
      </c>
      <c r="C937" s="1" t="n">
        <v>45887</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24727-2023</t>
        </is>
      </c>
      <c r="B938" s="1" t="n">
        <v>45084.57695601852</v>
      </c>
      <c r="C938" s="1" t="n">
        <v>45887</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59904-2023</t>
        </is>
      </c>
      <c r="B939" s="1" t="n">
        <v>45257</v>
      </c>
      <c r="C939" s="1" t="n">
        <v>45887</v>
      </c>
      <c r="D939" t="inlineStr">
        <is>
          <t>STOCKHOLMS LÄN</t>
        </is>
      </c>
      <c r="E939" t="inlineStr">
        <is>
          <t>NORRTÄLJE</t>
        </is>
      </c>
      <c r="G939" t="n">
        <v>17.4</v>
      </c>
      <c r="H939" t="n">
        <v>0</v>
      </c>
      <c r="I939" t="n">
        <v>0</v>
      </c>
      <c r="J939" t="n">
        <v>0</v>
      </c>
      <c r="K939" t="n">
        <v>0</v>
      </c>
      <c r="L939" t="n">
        <v>0</v>
      </c>
      <c r="M939" t="n">
        <v>0</v>
      </c>
      <c r="N939" t="n">
        <v>0</v>
      </c>
      <c r="O939" t="n">
        <v>0</v>
      </c>
      <c r="P939" t="n">
        <v>0</v>
      </c>
      <c r="Q939" t="n">
        <v>0</v>
      </c>
      <c r="R939" s="2" t="inlineStr"/>
    </row>
    <row r="940" ht="15" customHeight="1">
      <c r="A940" t="inlineStr">
        <is>
          <t>A 36308-2022</t>
        </is>
      </c>
      <c r="B940" s="1" t="n">
        <v>44803</v>
      </c>
      <c r="C940" s="1" t="n">
        <v>45887</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14130-2025</t>
        </is>
      </c>
      <c r="B941" s="1" t="n">
        <v>45740.47288194444</v>
      </c>
      <c r="C941" s="1" t="n">
        <v>45887</v>
      </c>
      <c r="D941" t="inlineStr">
        <is>
          <t>STOCKHOLMS LÄN</t>
        </is>
      </c>
      <c r="E941" t="inlineStr">
        <is>
          <t>NORRTÄLJE</t>
        </is>
      </c>
      <c r="G941" t="n">
        <v>2.1</v>
      </c>
      <c r="H941" t="n">
        <v>0</v>
      </c>
      <c r="I941" t="n">
        <v>0</v>
      </c>
      <c r="J941" t="n">
        <v>0</v>
      </c>
      <c r="K941" t="n">
        <v>0</v>
      </c>
      <c r="L941" t="n">
        <v>0</v>
      </c>
      <c r="M941" t="n">
        <v>0</v>
      </c>
      <c r="N941" t="n">
        <v>0</v>
      </c>
      <c r="O941" t="n">
        <v>0</v>
      </c>
      <c r="P941" t="n">
        <v>0</v>
      </c>
      <c r="Q941" t="n">
        <v>0</v>
      </c>
      <c r="R941" s="2" t="inlineStr"/>
    </row>
    <row r="942" ht="15" customHeight="1">
      <c r="A942" t="inlineStr">
        <is>
          <t>A 12532-2025</t>
        </is>
      </c>
      <c r="B942" s="1" t="n">
        <v>45730.69143518519</v>
      </c>
      <c r="C942" s="1" t="n">
        <v>45887</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40175-2024</t>
        </is>
      </c>
      <c r="B943" s="1" t="n">
        <v>45554.55707175926</v>
      </c>
      <c r="C943" s="1" t="n">
        <v>45887</v>
      </c>
      <c r="D943" t="inlineStr">
        <is>
          <t>STOCKHOLMS LÄN</t>
        </is>
      </c>
      <c r="E943" t="inlineStr">
        <is>
          <t>NORRTÄLJE</t>
        </is>
      </c>
      <c r="G943" t="n">
        <v>7.7</v>
      </c>
      <c r="H943" t="n">
        <v>0</v>
      </c>
      <c r="I943" t="n">
        <v>0</v>
      </c>
      <c r="J943" t="n">
        <v>0</v>
      </c>
      <c r="K943" t="n">
        <v>0</v>
      </c>
      <c r="L943" t="n">
        <v>0</v>
      </c>
      <c r="M943" t="n">
        <v>0</v>
      </c>
      <c r="N943" t="n">
        <v>0</v>
      </c>
      <c r="O943" t="n">
        <v>0</v>
      </c>
      <c r="P943" t="n">
        <v>0</v>
      </c>
      <c r="Q943" t="n">
        <v>0</v>
      </c>
      <c r="R943" s="2" t="inlineStr"/>
    </row>
    <row r="944" ht="15" customHeight="1">
      <c r="A944" t="inlineStr">
        <is>
          <t>A 16229-2022</t>
        </is>
      </c>
      <c r="B944" s="1" t="n">
        <v>44670.4190162037</v>
      </c>
      <c r="C944" s="1" t="n">
        <v>45887</v>
      </c>
      <c r="D944" t="inlineStr">
        <is>
          <t>STOCKHOLMS LÄN</t>
        </is>
      </c>
      <c r="E944" t="inlineStr">
        <is>
          <t>NORRTÄLJE</t>
        </is>
      </c>
      <c r="G944" t="n">
        <v>7.4</v>
      </c>
      <c r="H944" t="n">
        <v>0</v>
      </c>
      <c r="I944" t="n">
        <v>0</v>
      </c>
      <c r="J944" t="n">
        <v>0</v>
      </c>
      <c r="K944" t="n">
        <v>0</v>
      </c>
      <c r="L944" t="n">
        <v>0</v>
      </c>
      <c r="M944" t="n">
        <v>0</v>
      </c>
      <c r="N944" t="n">
        <v>0</v>
      </c>
      <c r="O944" t="n">
        <v>0</v>
      </c>
      <c r="P944" t="n">
        <v>0</v>
      </c>
      <c r="Q944" t="n">
        <v>0</v>
      </c>
      <c r="R944" s="2" t="inlineStr"/>
    </row>
    <row r="945" ht="15" customHeight="1">
      <c r="A945" t="inlineStr">
        <is>
          <t>A 18787-2022</t>
        </is>
      </c>
      <c r="B945" s="1" t="n">
        <v>44687</v>
      </c>
      <c r="C945" s="1" t="n">
        <v>45887</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46914-2022</t>
        </is>
      </c>
      <c r="B946" s="1" t="n">
        <v>44851</v>
      </c>
      <c r="C946" s="1" t="n">
        <v>45887</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20244-2025</t>
        </is>
      </c>
      <c r="B947" s="1" t="n">
        <v>45772.71221064815</v>
      </c>
      <c r="C947" s="1" t="n">
        <v>45887</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50143-2023</t>
        </is>
      </c>
      <c r="B948" s="1" t="n">
        <v>45215</v>
      </c>
      <c r="C948" s="1" t="n">
        <v>45887</v>
      </c>
      <c r="D948" t="inlineStr">
        <is>
          <t>STOCKHOLMS LÄN</t>
        </is>
      </c>
      <c r="E948" t="inlineStr">
        <is>
          <t>NORRTÄLJE</t>
        </is>
      </c>
      <c r="G948" t="n">
        <v>10.3</v>
      </c>
      <c r="H948" t="n">
        <v>0</v>
      </c>
      <c r="I948" t="n">
        <v>0</v>
      </c>
      <c r="J948" t="n">
        <v>0</v>
      </c>
      <c r="K948" t="n">
        <v>0</v>
      </c>
      <c r="L948" t="n">
        <v>0</v>
      </c>
      <c r="M948" t="n">
        <v>0</v>
      </c>
      <c r="N948" t="n">
        <v>0</v>
      </c>
      <c r="O948" t="n">
        <v>0</v>
      </c>
      <c r="P948" t="n">
        <v>0</v>
      </c>
      <c r="Q948" t="n">
        <v>0</v>
      </c>
      <c r="R948" s="2" t="inlineStr"/>
    </row>
    <row r="949" ht="15" customHeight="1">
      <c r="A949" t="inlineStr">
        <is>
          <t>A 50497-2020</t>
        </is>
      </c>
      <c r="B949" s="1" t="n">
        <v>44110</v>
      </c>
      <c r="C949" s="1" t="n">
        <v>45887</v>
      </c>
      <c r="D949" t="inlineStr">
        <is>
          <t>STOCKHOLMS LÄN</t>
        </is>
      </c>
      <c r="E949" t="inlineStr">
        <is>
          <t>NORRTÄLJE</t>
        </is>
      </c>
      <c r="F949" t="inlineStr">
        <is>
          <t>Holmen skog AB</t>
        </is>
      </c>
      <c r="G949" t="n">
        <v>4.3</v>
      </c>
      <c r="H949" t="n">
        <v>0</v>
      </c>
      <c r="I949" t="n">
        <v>0</v>
      </c>
      <c r="J949" t="n">
        <v>0</v>
      </c>
      <c r="K949" t="n">
        <v>0</v>
      </c>
      <c r="L949" t="n">
        <v>0</v>
      </c>
      <c r="M949" t="n">
        <v>0</v>
      </c>
      <c r="N949" t="n">
        <v>0</v>
      </c>
      <c r="O949" t="n">
        <v>0</v>
      </c>
      <c r="P949" t="n">
        <v>0</v>
      </c>
      <c r="Q949" t="n">
        <v>0</v>
      </c>
      <c r="R949" s="2" t="inlineStr"/>
    </row>
    <row r="950" ht="15" customHeight="1">
      <c r="A950" t="inlineStr">
        <is>
          <t>A 20015-2023</t>
        </is>
      </c>
      <c r="B950" s="1" t="n">
        <v>45054</v>
      </c>
      <c r="C950" s="1" t="n">
        <v>45887</v>
      </c>
      <c r="D950" t="inlineStr">
        <is>
          <t>STOCKHOLMS LÄN</t>
        </is>
      </c>
      <c r="E950" t="inlineStr">
        <is>
          <t>NORRTÄLJE</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5027-2025</t>
        </is>
      </c>
      <c r="B951" s="1" t="n">
        <v>45691.41101851852</v>
      </c>
      <c r="C951" s="1" t="n">
        <v>45887</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20011-2025</t>
        </is>
      </c>
      <c r="B952" s="1" t="n">
        <v>45772.29622685185</v>
      </c>
      <c r="C952" s="1" t="n">
        <v>45887</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8315-2025</t>
        </is>
      </c>
      <c r="B953" s="1" t="n">
        <v>45708.61761574074</v>
      </c>
      <c r="C953" s="1" t="n">
        <v>45887</v>
      </c>
      <c r="D953" t="inlineStr">
        <is>
          <t>STOCKHOLMS LÄN</t>
        </is>
      </c>
      <c r="E953" t="inlineStr">
        <is>
          <t>NORRTÄLJE</t>
        </is>
      </c>
      <c r="G953" t="n">
        <v>3.9</v>
      </c>
      <c r="H953" t="n">
        <v>0</v>
      </c>
      <c r="I953" t="n">
        <v>0</v>
      </c>
      <c r="J953" t="n">
        <v>0</v>
      </c>
      <c r="K953" t="n">
        <v>0</v>
      </c>
      <c r="L953" t="n">
        <v>0</v>
      </c>
      <c r="M953" t="n">
        <v>0</v>
      </c>
      <c r="N953" t="n">
        <v>0</v>
      </c>
      <c r="O953" t="n">
        <v>0</v>
      </c>
      <c r="P953" t="n">
        <v>0</v>
      </c>
      <c r="Q953" t="n">
        <v>0</v>
      </c>
      <c r="R953" s="2" t="inlineStr"/>
    </row>
    <row r="954" ht="15" customHeight="1">
      <c r="A954" t="inlineStr">
        <is>
          <t>A 50108-2021</t>
        </is>
      </c>
      <c r="B954" s="1" t="n">
        <v>44456</v>
      </c>
      <c r="C954" s="1" t="n">
        <v>45887</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12251-2025</t>
        </is>
      </c>
      <c r="B955" s="1" t="n">
        <v>45729.60859953704</v>
      </c>
      <c r="C955" s="1" t="n">
        <v>45887</v>
      </c>
      <c r="D955" t="inlineStr">
        <is>
          <t>STOCKHOLMS LÄN</t>
        </is>
      </c>
      <c r="E955" t="inlineStr">
        <is>
          <t>NORRTÄLJE</t>
        </is>
      </c>
      <c r="F955" t="inlineStr">
        <is>
          <t>Holmen skog AB</t>
        </is>
      </c>
      <c r="G955" t="n">
        <v>5.9</v>
      </c>
      <c r="H955" t="n">
        <v>0</v>
      </c>
      <c r="I955" t="n">
        <v>0</v>
      </c>
      <c r="J955" t="n">
        <v>0</v>
      </c>
      <c r="K955" t="n">
        <v>0</v>
      </c>
      <c r="L955" t="n">
        <v>0</v>
      </c>
      <c r="M955" t="n">
        <v>0</v>
      </c>
      <c r="N955" t="n">
        <v>0</v>
      </c>
      <c r="O955" t="n">
        <v>0</v>
      </c>
      <c r="P955" t="n">
        <v>0</v>
      </c>
      <c r="Q955" t="n">
        <v>0</v>
      </c>
      <c r="R955" s="2" t="inlineStr"/>
    </row>
    <row r="956" ht="15" customHeight="1">
      <c r="A956" t="inlineStr">
        <is>
          <t>A 54776-2023</t>
        </is>
      </c>
      <c r="B956" s="1" t="n">
        <v>45236.46369212963</v>
      </c>
      <c r="C956" s="1" t="n">
        <v>45887</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25621-2022</t>
        </is>
      </c>
      <c r="B957" s="1" t="n">
        <v>44732</v>
      </c>
      <c r="C957" s="1" t="n">
        <v>45887</v>
      </c>
      <c r="D957" t="inlineStr">
        <is>
          <t>STOCKHOLMS LÄN</t>
        </is>
      </c>
      <c r="E957" t="inlineStr">
        <is>
          <t>NORRTÄLJE</t>
        </is>
      </c>
      <c r="G957" t="n">
        <v>3.1</v>
      </c>
      <c r="H957" t="n">
        <v>0</v>
      </c>
      <c r="I957" t="n">
        <v>0</v>
      </c>
      <c r="J957" t="n">
        <v>0</v>
      </c>
      <c r="K957" t="n">
        <v>0</v>
      </c>
      <c r="L957" t="n">
        <v>0</v>
      </c>
      <c r="M957" t="n">
        <v>0</v>
      </c>
      <c r="N957" t="n">
        <v>0</v>
      </c>
      <c r="O957" t="n">
        <v>0</v>
      </c>
      <c r="P957" t="n">
        <v>0</v>
      </c>
      <c r="Q957" t="n">
        <v>0</v>
      </c>
      <c r="R957" s="2" t="inlineStr"/>
    </row>
    <row r="958" ht="15" customHeight="1">
      <c r="A958" t="inlineStr">
        <is>
          <t>A 20304-2023</t>
        </is>
      </c>
      <c r="B958" s="1" t="n">
        <v>45056</v>
      </c>
      <c r="C958" s="1" t="n">
        <v>45887</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35235-2024</t>
        </is>
      </c>
      <c r="B959" s="1" t="n">
        <v>45530</v>
      </c>
      <c r="C959" s="1" t="n">
        <v>45887</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20144-2023</t>
        </is>
      </c>
      <c r="B960" s="1" t="n">
        <v>45055.43509259259</v>
      </c>
      <c r="C960" s="1" t="n">
        <v>45887</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13314-2025</t>
        </is>
      </c>
      <c r="B961" s="1" t="n">
        <v>45735.59287037037</v>
      </c>
      <c r="C961" s="1" t="n">
        <v>45887</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51061-2023</t>
        </is>
      </c>
      <c r="B962" s="1" t="n">
        <v>45218.65849537037</v>
      </c>
      <c r="C962" s="1" t="n">
        <v>45887</v>
      </c>
      <c r="D962" t="inlineStr">
        <is>
          <t>STOCKHOLMS LÄN</t>
        </is>
      </c>
      <c r="E962" t="inlineStr">
        <is>
          <t>NORRTÄLJE</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39213-2022</t>
        </is>
      </c>
      <c r="B963" s="1" t="n">
        <v>44817.56120370371</v>
      </c>
      <c r="C963" s="1" t="n">
        <v>45887</v>
      </c>
      <c r="D963" t="inlineStr">
        <is>
          <t>STOCKHOLMS LÄN</t>
        </is>
      </c>
      <c r="E963" t="inlineStr">
        <is>
          <t>NORRTÄLJE</t>
        </is>
      </c>
      <c r="G963" t="n">
        <v>3.4</v>
      </c>
      <c r="H963" t="n">
        <v>0</v>
      </c>
      <c r="I963" t="n">
        <v>0</v>
      </c>
      <c r="J963" t="n">
        <v>0</v>
      </c>
      <c r="K963" t="n">
        <v>0</v>
      </c>
      <c r="L963" t="n">
        <v>0</v>
      </c>
      <c r="M963" t="n">
        <v>0</v>
      </c>
      <c r="N963" t="n">
        <v>0</v>
      </c>
      <c r="O963" t="n">
        <v>0</v>
      </c>
      <c r="P963" t="n">
        <v>0</v>
      </c>
      <c r="Q963" t="n">
        <v>0</v>
      </c>
      <c r="R963" s="2" t="inlineStr"/>
    </row>
    <row r="964" ht="15" customHeight="1">
      <c r="A964" t="inlineStr">
        <is>
          <t>A 36246-2021</t>
        </is>
      </c>
      <c r="B964" s="1" t="n">
        <v>44390</v>
      </c>
      <c r="C964" s="1" t="n">
        <v>45887</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23056-2023</t>
        </is>
      </c>
      <c r="B965" s="1" t="n">
        <v>45075</v>
      </c>
      <c r="C965" s="1" t="n">
        <v>45887</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13172-2025</t>
        </is>
      </c>
      <c r="B966" s="1" t="n">
        <v>45735.36873842592</v>
      </c>
      <c r="C966" s="1" t="n">
        <v>45887</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15905-2023</t>
        </is>
      </c>
      <c r="B967" s="1" t="n">
        <v>45022</v>
      </c>
      <c r="C967" s="1" t="n">
        <v>45887</v>
      </c>
      <c r="D967" t="inlineStr">
        <is>
          <t>STOCKHOLMS LÄN</t>
        </is>
      </c>
      <c r="E967" t="inlineStr">
        <is>
          <t>NORRTÄLJE</t>
        </is>
      </c>
      <c r="G967" t="n">
        <v>3.2</v>
      </c>
      <c r="H967" t="n">
        <v>0</v>
      </c>
      <c r="I967" t="n">
        <v>0</v>
      </c>
      <c r="J967" t="n">
        <v>0</v>
      </c>
      <c r="K967" t="n">
        <v>0</v>
      </c>
      <c r="L967" t="n">
        <v>0</v>
      </c>
      <c r="M967" t="n">
        <v>0</v>
      </c>
      <c r="N967" t="n">
        <v>0</v>
      </c>
      <c r="O967" t="n">
        <v>0</v>
      </c>
      <c r="P967" t="n">
        <v>0</v>
      </c>
      <c r="Q967" t="n">
        <v>0</v>
      </c>
      <c r="R967" s="2" t="inlineStr"/>
    </row>
    <row r="968" ht="15" customHeight="1">
      <c r="A968" t="inlineStr">
        <is>
          <t>A 11041-2025</t>
        </is>
      </c>
      <c r="B968" s="1" t="n">
        <v>45723</v>
      </c>
      <c r="C968" s="1" t="n">
        <v>45887</v>
      </c>
      <c r="D968" t="inlineStr">
        <is>
          <t>STOCKHOLMS LÄN</t>
        </is>
      </c>
      <c r="E968" t="inlineStr">
        <is>
          <t>NORRTÄLJE</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19025-2025</t>
        </is>
      </c>
      <c r="B969" s="1" t="n">
        <v>45764.6359837963</v>
      </c>
      <c r="C969" s="1" t="n">
        <v>45887</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5867-2022</t>
        </is>
      </c>
      <c r="B970" s="1" t="n">
        <v>44596.66335648148</v>
      </c>
      <c r="C970" s="1" t="n">
        <v>45887</v>
      </c>
      <c r="D970" t="inlineStr">
        <is>
          <t>STOCKHOLMS LÄN</t>
        </is>
      </c>
      <c r="E970" t="inlineStr">
        <is>
          <t>NORRTÄLJE</t>
        </is>
      </c>
      <c r="F970" t="inlineStr">
        <is>
          <t>Naturvårdsverket</t>
        </is>
      </c>
      <c r="G970" t="n">
        <v>1.6</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44841.52804398148</v>
      </c>
      <c r="C971" s="1" t="n">
        <v>45887</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33173-2024</t>
        </is>
      </c>
      <c r="B972" s="1" t="n">
        <v>45518</v>
      </c>
      <c r="C972" s="1" t="n">
        <v>45887</v>
      </c>
      <c r="D972" t="inlineStr">
        <is>
          <t>STOCKHOLMS LÄN</t>
        </is>
      </c>
      <c r="E972" t="inlineStr">
        <is>
          <t>NORRTÄLJE</t>
        </is>
      </c>
      <c r="G972" t="n">
        <v>0.8</v>
      </c>
      <c r="H972" t="n">
        <v>0</v>
      </c>
      <c r="I972" t="n">
        <v>0</v>
      </c>
      <c r="J972" t="n">
        <v>0</v>
      </c>
      <c r="K972" t="n">
        <v>0</v>
      </c>
      <c r="L972" t="n">
        <v>0</v>
      </c>
      <c r="M972" t="n">
        <v>0</v>
      </c>
      <c r="N972" t="n">
        <v>0</v>
      </c>
      <c r="O972" t="n">
        <v>0</v>
      </c>
      <c r="P972" t="n">
        <v>0</v>
      </c>
      <c r="Q972" t="n">
        <v>0</v>
      </c>
      <c r="R972" s="2" t="inlineStr"/>
    </row>
    <row r="973" ht="15" customHeight="1">
      <c r="A973" t="inlineStr">
        <is>
          <t>A 17551-2025</t>
        </is>
      </c>
      <c r="B973" s="1" t="n">
        <v>45757.61421296297</v>
      </c>
      <c r="C973" s="1" t="n">
        <v>45887</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73307-2021</t>
        </is>
      </c>
      <c r="B974" s="1" t="n">
        <v>44549</v>
      </c>
      <c r="C974" s="1" t="n">
        <v>45887</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58493-2020</t>
        </is>
      </c>
      <c r="B975" s="1" t="n">
        <v>44145</v>
      </c>
      <c r="C975" s="1" t="n">
        <v>45887</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21731-2023</t>
        </is>
      </c>
      <c r="B976" s="1" t="n">
        <v>45063</v>
      </c>
      <c r="C976" s="1" t="n">
        <v>45887</v>
      </c>
      <c r="D976" t="inlineStr">
        <is>
          <t>STOCKHOLMS LÄN</t>
        </is>
      </c>
      <c r="E976" t="inlineStr">
        <is>
          <t>NORRTÄLJE</t>
        </is>
      </c>
      <c r="G976" t="n">
        <v>2.3</v>
      </c>
      <c r="H976" t="n">
        <v>0</v>
      </c>
      <c r="I976" t="n">
        <v>0</v>
      </c>
      <c r="J976" t="n">
        <v>0</v>
      </c>
      <c r="K976" t="n">
        <v>0</v>
      </c>
      <c r="L976" t="n">
        <v>0</v>
      </c>
      <c r="M976" t="n">
        <v>0</v>
      </c>
      <c r="N976" t="n">
        <v>0</v>
      </c>
      <c r="O976" t="n">
        <v>0</v>
      </c>
      <c r="P976" t="n">
        <v>0</v>
      </c>
      <c r="Q976" t="n">
        <v>0</v>
      </c>
      <c r="R976" s="2" t="inlineStr"/>
    </row>
    <row r="977" ht="15" customHeight="1">
      <c r="A977" t="inlineStr">
        <is>
          <t>A 21745-2023</t>
        </is>
      </c>
      <c r="B977" s="1" t="n">
        <v>45065.55917824074</v>
      </c>
      <c r="C977" s="1" t="n">
        <v>45887</v>
      </c>
      <c r="D977" t="inlineStr">
        <is>
          <t>STOCKHOLMS LÄN</t>
        </is>
      </c>
      <c r="E977" t="inlineStr">
        <is>
          <t>NORRTÄLJE</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10678-2025</t>
        </is>
      </c>
      <c r="B978" s="1" t="n">
        <v>45721.89123842592</v>
      </c>
      <c r="C978" s="1" t="n">
        <v>45887</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30221-2024</t>
        </is>
      </c>
      <c r="B979" s="1" t="n">
        <v>45490.45342592592</v>
      </c>
      <c r="C979" s="1" t="n">
        <v>45887</v>
      </c>
      <c r="D979" t="inlineStr">
        <is>
          <t>STOCKHOLMS LÄN</t>
        </is>
      </c>
      <c r="E979" t="inlineStr">
        <is>
          <t>NORRTÄLJE</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26365-2024</t>
        </is>
      </c>
      <c r="B980" s="1" t="n">
        <v>45469</v>
      </c>
      <c r="C980" s="1" t="n">
        <v>45887</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8370-2025</t>
        </is>
      </c>
      <c r="B981" s="1" t="n">
        <v>45708</v>
      </c>
      <c r="C981" s="1" t="n">
        <v>45887</v>
      </c>
      <c r="D981" t="inlineStr">
        <is>
          <t>STOCKHOLMS LÄN</t>
        </is>
      </c>
      <c r="E981" t="inlineStr">
        <is>
          <t>NORRTÄLJE</t>
        </is>
      </c>
      <c r="F981" t="inlineStr">
        <is>
          <t>Övriga Aktiebolag</t>
        </is>
      </c>
      <c r="G981" t="n">
        <v>5.6</v>
      </c>
      <c r="H981" t="n">
        <v>0</v>
      </c>
      <c r="I981" t="n">
        <v>0</v>
      </c>
      <c r="J981" t="n">
        <v>0</v>
      </c>
      <c r="K981" t="n">
        <v>0</v>
      </c>
      <c r="L981" t="n">
        <v>0</v>
      </c>
      <c r="M981" t="n">
        <v>0</v>
      </c>
      <c r="N981" t="n">
        <v>0</v>
      </c>
      <c r="O981" t="n">
        <v>0</v>
      </c>
      <c r="P981" t="n">
        <v>0</v>
      </c>
      <c r="Q981" t="n">
        <v>0</v>
      </c>
      <c r="R981" s="2" t="inlineStr"/>
    </row>
    <row r="982" ht="15" customHeight="1">
      <c r="A982" t="inlineStr">
        <is>
          <t>A 50602-2021</t>
        </is>
      </c>
      <c r="B982" s="1" t="n">
        <v>44459</v>
      </c>
      <c r="C982" s="1" t="n">
        <v>45887</v>
      </c>
      <c r="D982" t="inlineStr">
        <is>
          <t>STOCKHOLMS LÄN</t>
        </is>
      </c>
      <c r="E982" t="inlineStr">
        <is>
          <t>NORRTÄLJE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48798-2021</t>
        </is>
      </c>
      <c r="B983" s="1" t="n">
        <v>44452</v>
      </c>
      <c r="C983" s="1" t="n">
        <v>45887</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951-2023</t>
        </is>
      </c>
      <c r="B984" s="1" t="n">
        <v>44934</v>
      </c>
      <c r="C984" s="1" t="n">
        <v>45887</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53607-2020</t>
        </is>
      </c>
      <c r="B985" s="1" t="n">
        <v>44124</v>
      </c>
      <c r="C985" s="1" t="n">
        <v>45887</v>
      </c>
      <c r="D985" t="inlineStr">
        <is>
          <t>STOCKHOLMS LÄN</t>
        </is>
      </c>
      <c r="E985" t="inlineStr">
        <is>
          <t>NORRTÄLJE</t>
        </is>
      </c>
      <c r="F985" t="inlineStr">
        <is>
          <t>Holmen skog AB</t>
        </is>
      </c>
      <c r="G985" t="n">
        <v>1.9</v>
      </c>
      <c r="H985" t="n">
        <v>0</v>
      </c>
      <c r="I985" t="n">
        <v>0</v>
      </c>
      <c r="J985" t="n">
        <v>0</v>
      </c>
      <c r="K985" t="n">
        <v>0</v>
      </c>
      <c r="L985" t="n">
        <v>0</v>
      </c>
      <c r="M985" t="n">
        <v>0</v>
      </c>
      <c r="N985" t="n">
        <v>0</v>
      </c>
      <c r="O985" t="n">
        <v>0</v>
      </c>
      <c r="P985" t="n">
        <v>0</v>
      </c>
      <c r="Q985" t="n">
        <v>0</v>
      </c>
      <c r="R985" s="2" t="inlineStr"/>
    </row>
    <row r="986" ht="15" customHeight="1">
      <c r="A986" t="inlineStr">
        <is>
          <t>A 32100-2022</t>
        </is>
      </c>
      <c r="B986" s="1" t="n">
        <v>44778</v>
      </c>
      <c r="C986" s="1" t="n">
        <v>45887</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2888-2022</t>
        </is>
      </c>
      <c r="B987" s="1" t="n">
        <v>44581</v>
      </c>
      <c r="C987" s="1" t="n">
        <v>45887</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11902-2024</t>
        </is>
      </c>
      <c r="B988" s="1" t="n">
        <v>45376.55704861111</v>
      </c>
      <c r="C988" s="1" t="n">
        <v>45887</v>
      </c>
      <c r="D988" t="inlineStr">
        <is>
          <t>STOCKHOLMS LÄN</t>
        </is>
      </c>
      <c r="E988" t="inlineStr">
        <is>
          <t>NORRTÄLJE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13-2024</t>
        </is>
      </c>
      <c r="B989" s="1" t="n">
        <v>45293.37263888889</v>
      </c>
      <c r="C989" s="1" t="n">
        <v>45887</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30283-2022</t>
        </is>
      </c>
      <c r="B990" s="1" t="n">
        <v>44760</v>
      </c>
      <c r="C990" s="1" t="n">
        <v>45887</v>
      </c>
      <c r="D990" t="inlineStr">
        <is>
          <t>STOCKHOLMS LÄN</t>
        </is>
      </c>
      <c r="E990" t="inlineStr">
        <is>
          <t>NORRTÄLJE</t>
        </is>
      </c>
      <c r="G990" t="n">
        <v>6.2</v>
      </c>
      <c r="H990" t="n">
        <v>0</v>
      </c>
      <c r="I990" t="n">
        <v>0</v>
      </c>
      <c r="J990" t="n">
        <v>0</v>
      </c>
      <c r="K990" t="n">
        <v>0</v>
      </c>
      <c r="L990" t="n">
        <v>0</v>
      </c>
      <c r="M990" t="n">
        <v>0</v>
      </c>
      <c r="N990" t="n">
        <v>0</v>
      </c>
      <c r="O990" t="n">
        <v>0</v>
      </c>
      <c r="P990" t="n">
        <v>0</v>
      </c>
      <c r="Q990" t="n">
        <v>0</v>
      </c>
      <c r="R990" s="2" t="inlineStr"/>
    </row>
    <row r="991" ht="15" customHeight="1">
      <c r="A991" t="inlineStr">
        <is>
          <t>A 30290-2022</t>
        </is>
      </c>
      <c r="B991" s="1" t="n">
        <v>44760</v>
      </c>
      <c r="C991" s="1" t="n">
        <v>45887</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58260-2023</t>
        </is>
      </c>
      <c r="B992" s="1" t="n">
        <v>45245</v>
      </c>
      <c r="C992" s="1" t="n">
        <v>45887</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58261-2023</t>
        </is>
      </c>
      <c r="B993" s="1" t="n">
        <v>45245</v>
      </c>
      <c r="C993" s="1" t="n">
        <v>45887</v>
      </c>
      <c r="D993" t="inlineStr">
        <is>
          <t>STOCKHOLMS LÄN</t>
        </is>
      </c>
      <c r="E993" t="inlineStr">
        <is>
          <t>NORRTÄLJE</t>
        </is>
      </c>
      <c r="G993" t="n">
        <v>53.5</v>
      </c>
      <c r="H993" t="n">
        <v>0</v>
      </c>
      <c r="I993" t="n">
        <v>0</v>
      </c>
      <c r="J993" t="n">
        <v>0</v>
      </c>
      <c r="K993" t="n">
        <v>0</v>
      </c>
      <c r="L993" t="n">
        <v>0</v>
      </c>
      <c r="M993" t="n">
        <v>0</v>
      </c>
      <c r="N993" t="n">
        <v>0</v>
      </c>
      <c r="O993" t="n">
        <v>0</v>
      </c>
      <c r="P993" t="n">
        <v>0</v>
      </c>
      <c r="Q993" t="n">
        <v>0</v>
      </c>
      <c r="R993" s="2" t="inlineStr"/>
    </row>
    <row r="994" ht="15" customHeight="1">
      <c r="A994" t="inlineStr">
        <is>
          <t>A 38985-2022</t>
        </is>
      </c>
      <c r="B994" s="1" t="n">
        <v>44816</v>
      </c>
      <c r="C994" s="1" t="n">
        <v>45887</v>
      </c>
      <c r="D994" t="inlineStr">
        <is>
          <t>STOCKHOLMS LÄN</t>
        </is>
      </c>
      <c r="E994" t="inlineStr">
        <is>
          <t>NORRTÄLJE</t>
        </is>
      </c>
      <c r="G994" t="n">
        <v>10.1</v>
      </c>
      <c r="H994" t="n">
        <v>0</v>
      </c>
      <c r="I994" t="n">
        <v>0</v>
      </c>
      <c r="J994" t="n">
        <v>0</v>
      </c>
      <c r="K994" t="n">
        <v>0</v>
      </c>
      <c r="L994" t="n">
        <v>0</v>
      </c>
      <c r="M994" t="n">
        <v>0</v>
      </c>
      <c r="N994" t="n">
        <v>0</v>
      </c>
      <c r="O994" t="n">
        <v>0</v>
      </c>
      <c r="P994" t="n">
        <v>0</v>
      </c>
      <c r="Q994" t="n">
        <v>0</v>
      </c>
      <c r="R994" s="2" t="inlineStr"/>
    </row>
    <row r="995" ht="15" customHeight="1">
      <c r="A995" t="inlineStr">
        <is>
          <t>A 4553-2023</t>
        </is>
      </c>
      <c r="B995" s="1" t="n">
        <v>44956.65920138889</v>
      </c>
      <c r="C995" s="1" t="n">
        <v>45887</v>
      </c>
      <c r="D995" t="inlineStr">
        <is>
          <t>STOCKHOLMS LÄN</t>
        </is>
      </c>
      <c r="E995" t="inlineStr">
        <is>
          <t>NORRTÄLJE</t>
        </is>
      </c>
      <c r="G995" t="n">
        <v>7.5</v>
      </c>
      <c r="H995" t="n">
        <v>0</v>
      </c>
      <c r="I995" t="n">
        <v>0</v>
      </c>
      <c r="J995" t="n">
        <v>0</v>
      </c>
      <c r="K995" t="n">
        <v>0</v>
      </c>
      <c r="L995" t="n">
        <v>0</v>
      </c>
      <c r="M995" t="n">
        <v>0</v>
      </c>
      <c r="N995" t="n">
        <v>0</v>
      </c>
      <c r="O995" t="n">
        <v>0</v>
      </c>
      <c r="P995" t="n">
        <v>0</v>
      </c>
      <c r="Q995" t="n">
        <v>0</v>
      </c>
      <c r="R995" s="2" t="inlineStr"/>
    </row>
    <row r="996" ht="15" customHeight="1">
      <c r="A996" t="inlineStr">
        <is>
          <t>A 875-2023</t>
        </is>
      </c>
      <c r="B996" s="1" t="n">
        <v>44931.65626157408</v>
      </c>
      <c r="C996" s="1" t="n">
        <v>45887</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24575-2024</t>
        </is>
      </c>
      <c r="B997" s="1" t="n">
        <v>45460.45523148148</v>
      </c>
      <c r="C997" s="1" t="n">
        <v>45887</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19-2024</t>
        </is>
      </c>
      <c r="B998" s="1" t="n">
        <v>45293</v>
      </c>
      <c r="C998" s="1" t="n">
        <v>45887</v>
      </c>
      <c r="D998" t="inlineStr">
        <is>
          <t>STOCKHOLMS LÄN</t>
        </is>
      </c>
      <c r="E998" t="inlineStr">
        <is>
          <t>NORRTÄLJE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25625-2023</t>
        </is>
      </c>
      <c r="B999" s="1" t="n">
        <v>45089</v>
      </c>
      <c r="C999" s="1" t="n">
        <v>45887</v>
      </c>
      <c r="D999" t="inlineStr">
        <is>
          <t>STOCKHOLMS LÄN</t>
        </is>
      </c>
      <c r="E999" t="inlineStr">
        <is>
          <t>NORRTÄLJE</t>
        </is>
      </c>
      <c r="G999" t="n">
        <v>5.5</v>
      </c>
      <c r="H999" t="n">
        <v>0</v>
      </c>
      <c r="I999" t="n">
        <v>0</v>
      </c>
      <c r="J999" t="n">
        <v>0</v>
      </c>
      <c r="K999" t="n">
        <v>0</v>
      </c>
      <c r="L999" t="n">
        <v>0</v>
      </c>
      <c r="M999" t="n">
        <v>0</v>
      </c>
      <c r="N999" t="n">
        <v>0</v>
      </c>
      <c r="O999" t="n">
        <v>0</v>
      </c>
      <c r="P999" t="n">
        <v>0</v>
      </c>
      <c r="Q999" t="n">
        <v>0</v>
      </c>
      <c r="R999" s="2" t="inlineStr"/>
    </row>
    <row r="1000" ht="15" customHeight="1">
      <c r="A1000" t="inlineStr">
        <is>
          <t>A 11333-2025</t>
        </is>
      </c>
      <c r="B1000" s="1" t="n">
        <v>45726.48377314815</v>
      </c>
      <c r="C1000" s="1" t="n">
        <v>45887</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21529-2021</t>
        </is>
      </c>
      <c r="B1001" s="1" t="n">
        <v>44321</v>
      </c>
      <c r="C1001" s="1" t="n">
        <v>45887</v>
      </c>
      <c r="D1001" t="inlineStr">
        <is>
          <t>STOCKHOLMS LÄN</t>
        </is>
      </c>
      <c r="E1001" t="inlineStr">
        <is>
          <t>NORRTÄLJE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31827-2023</t>
        </is>
      </c>
      <c r="B1002" s="1" t="n">
        <v>45118</v>
      </c>
      <c r="C1002" s="1" t="n">
        <v>45887</v>
      </c>
      <c r="D1002" t="inlineStr">
        <is>
          <t>STOCKHOLMS LÄN</t>
        </is>
      </c>
      <c r="E1002" t="inlineStr">
        <is>
          <t>NORRTÄLJE</t>
        </is>
      </c>
      <c r="F1002" t="inlineStr">
        <is>
          <t>Kyrkan</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10973-2025</t>
        </is>
      </c>
      <c r="B1003" s="1" t="n">
        <v>45723</v>
      </c>
      <c r="C1003" s="1" t="n">
        <v>45887</v>
      </c>
      <c r="D1003" t="inlineStr">
        <is>
          <t>STOCKHOLMS LÄN</t>
        </is>
      </c>
      <c r="E1003" t="inlineStr">
        <is>
          <t>NORRTÄLJE</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54496-2024</t>
        </is>
      </c>
      <c r="B1004" s="1" t="n">
        <v>45617.57439814815</v>
      </c>
      <c r="C1004" s="1" t="n">
        <v>45887</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14132-2025</t>
        </is>
      </c>
      <c r="B1005" s="1" t="n">
        <v>45740.47550925926</v>
      </c>
      <c r="C1005" s="1" t="n">
        <v>45887</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14133-2025</t>
        </is>
      </c>
      <c r="B1006" s="1" t="n">
        <v>45740.47724537037</v>
      </c>
      <c r="C1006" s="1" t="n">
        <v>45887</v>
      </c>
      <c r="D1006" t="inlineStr">
        <is>
          <t>STOCKHOLMS LÄN</t>
        </is>
      </c>
      <c r="E1006" t="inlineStr">
        <is>
          <t>NORRTÄLJE</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7186-2024</t>
        </is>
      </c>
      <c r="B1007" s="1" t="n">
        <v>45344</v>
      </c>
      <c r="C1007" s="1" t="n">
        <v>45887</v>
      </c>
      <c r="D1007" t="inlineStr">
        <is>
          <t>STOCKHOLMS LÄN</t>
        </is>
      </c>
      <c r="E1007" t="inlineStr">
        <is>
          <t>NORRTÄLJE</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7796-2025</t>
        </is>
      </c>
      <c r="B1008" s="1" t="n">
        <v>45706.60130787037</v>
      </c>
      <c r="C1008" s="1" t="n">
        <v>45887</v>
      </c>
      <c r="D1008" t="inlineStr">
        <is>
          <t>STOCKHOLMS LÄN</t>
        </is>
      </c>
      <c r="E1008" t="inlineStr">
        <is>
          <t>NORRTÄLJE</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59767-2022</t>
        </is>
      </c>
      <c r="B1009" s="1" t="n">
        <v>44900</v>
      </c>
      <c r="C1009" s="1" t="n">
        <v>45887</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22756-2022</t>
        </is>
      </c>
      <c r="B1010" s="1" t="n">
        <v>44714.92253472222</v>
      </c>
      <c r="C1010" s="1" t="n">
        <v>45887</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27827-2022</t>
        </is>
      </c>
      <c r="B1011" s="1" t="n">
        <v>44743.59504629629</v>
      </c>
      <c r="C1011" s="1" t="n">
        <v>45887</v>
      </c>
      <c r="D1011" t="inlineStr">
        <is>
          <t>STOCKHOLMS LÄN</t>
        </is>
      </c>
      <c r="E1011" t="inlineStr">
        <is>
          <t>NORRTÄLJE</t>
        </is>
      </c>
      <c r="F1011" t="inlineStr">
        <is>
          <t>Holmen skog AB</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39202-2024</t>
        </is>
      </c>
      <c r="B1012" s="1" t="n">
        <v>45548.72306712963</v>
      </c>
      <c r="C1012" s="1" t="n">
        <v>45887</v>
      </c>
      <c r="D1012" t="inlineStr">
        <is>
          <t>STOCKHOLMS LÄN</t>
        </is>
      </c>
      <c r="E1012" t="inlineStr">
        <is>
          <t>NORRTÄLJE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58311-2023</t>
        </is>
      </c>
      <c r="B1013" s="1" t="n">
        <v>45245</v>
      </c>
      <c r="C1013" s="1" t="n">
        <v>45887</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8739-2024</t>
        </is>
      </c>
      <c r="B1014" s="1" t="n">
        <v>45356.47784722222</v>
      </c>
      <c r="C1014" s="1" t="n">
        <v>45887</v>
      </c>
      <c r="D1014" t="inlineStr">
        <is>
          <t>STOCKHOLMS LÄN</t>
        </is>
      </c>
      <c r="E1014" t="inlineStr">
        <is>
          <t>NORRTÄLJE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26640-2023</t>
        </is>
      </c>
      <c r="B1015" s="1" t="n">
        <v>45092</v>
      </c>
      <c r="C1015" s="1" t="n">
        <v>45887</v>
      </c>
      <c r="D1015" t="inlineStr">
        <is>
          <t>STOCKHOLMS LÄN</t>
        </is>
      </c>
      <c r="E1015" t="inlineStr">
        <is>
          <t>NORRTÄLJE</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62765-2022</t>
        </is>
      </c>
      <c r="B1016" s="1" t="n">
        <v>44637</v>
      </c>
      <c r="C1016" s="1" t="n">
        <v>45887</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38990-2022</t>
        </is>
      </c>
      <c r="B1017" s="1" t="n">
        <v>44816</v>
      </c>
      <c r="C1017" s="1" t="n">
        <v>45887</v>
      </c>
      <c r="D1017" t="inlineStr">
        <is>
          <t>STOCKHOLMS LÄN</t>
        </is>
      </c>
      <c r="E1017" t="inlineStr">
        <is>
          <t>NORRTÄLJE</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17545-2025</t>
        </is>
      </c>
      <c r="B1018" s="1" t="n">
        <v>45757.60658564815</v>
      </c>
      <c r="C1018" s="1" t="n">
        <v>45887</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53792-2023</t>
        </is>
      </c>
      <c r="B1019" s="1" t="n">
        <v>45231.34144675926</v>
      </c>
      <c r="C1019" s="1" t="n">
        <v>45887</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28816-2023</t>
        </is>
      </c>
      <c r="B1020" s="1" t="n">
        <v>45104</v>
      </c>
      <c r="C1020" s="1" t="n">
        <v>45887</v>
      </c>
      <c r="D1020" t="inlineStr">
        <is>
          <t>STOCKHOLMS LÄN</t>
        </is>
      </c>
      <c r="E1020" t="inlineStr">
        <is>
          <t>NORRTÄLJE</t>
        </is>
      </c>
      <c r="F1020" t="inlineStr">
        <is>
          <t>Kommuner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11280-2023</t>
        </is>
      </c>
      <c r="B1021" s="1" t="n">
        <v>44992</v>
      </c>
      <c r="C1021" s="1" t="n">
        <v>45887</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17956-2025</t>
        </is>
      </c>
      <c r="B1022" s="1" t="n">
        <v>45760.91174768518</v>
      </c>
      <c r="C1022" s="1" t="n">
        <v>45887</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23265-2023</t>
        </is>
      </c>
      <c r="B1023" s="1" t="n">
        <v>45075.90703703704</v>
      </c>
      <c r="C1023" s="1" t="n">
        <v>45887</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30268-2024</t>
        </is>
      </c>
      <c r="B1024" s="1" t="n">
        <v>45490.60572916667</v>
      </c>
      <c r="C1024" s="1" t="n">
        <v>45887</v>
      </c>
      <c r="D1024" t="inlineStr">
        <is>
          <t>STOCKHOLMS LÄN</t>
        </is>
      </c>
      <c r="E1024" t="inlineStr">
        <is>
          <t>NORRTÄLJE</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57442-2021</t>
        </is>
      </c>
      <c r="B1025" s="1" t="n">
        <v>44483</v>
      </c>
      <c r="C1025" s="1" t="n">
        <v>45887</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19952-2023</t>
        </is>
      </c>
      <c r="B1026" s="1" t="n">
        <v>45054.54091435186</v>
      </c>
      <c r="C1026" s="1" t="n">
        <v>45887</v>
      </c>
      <c r="D1026" t="inlineStr">
        <is>
          <t>STOCKHOLMS LÄN</t>
        </is>
      </c>
      <c r="E1026" t="inlineStr">
        <is>
          <t>NORRTÄLJE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19994-2023</t>
        </is>
      </c>
      <c r="B1027" s="1" t="n">
        <v>45054</v>
      </c>
      <c r="C1027" s="1" t="n">
        <v>45887</v>
      </c>
      <c r="D1027" t="inlineStr">
        <is>
          <t>STOCKHOLMS LÄN</t>
        </is>
      </c>
      <c r="E1027" t="inlineStr">
        <is>
          <t>NORRTÄLJE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59535-2024</t>
        </is>
      </c>
      <c r="B1028" s="1" t="n">
        <v>45638.59979166667</v>
      </c>
      <c r="C1028" s="1" t="n">
        <v>45887</v>
      </c>
      <c r="D1028" t="inlineStr">
        <is>
          <t>STOCKHOLMS LÄN</t>
        </is>
      </c>
      <c r="E1028" t="inlineStr">
        <is>
          <t>NORRTÄLJE</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9246-2024</t>
        </is>
      </c>
      <c r="B1029" s="1" t="n">
        <v>45357</v>
      </c>
      <c r="C1029" s="1" t="n">
        <v>45887</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29003-2023</t>
        </is>
      </c>
      <c r="B1030" s="1" t="n">
        <v>45104</v>
      </c>
      <c r="C1030" s="1" t="n">
        <v>45887</v>
      </c>
      <c r="D1030" t="inlineStr">
        <is>
          <t>STOCKHOLMS LÄN</t>
        </is>
      </c>
      <c r="E1030" t="inlineStr">
        <is>
          <t>NORRTÄLJE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14498-2024</t>
        </is>
      </c>
      <c r="B1031" s="1" t="n">
        <v>45394.58778935186</v>
      </c>
      <c r="C1031" s="1" t="n">
        <v>45887</v>
      </c>
      <c r="D1031" t="inlineStr">
        <is>
          <t>STOCKHOLMS LÄN</t>
        </is>
      </c>
      <c r="E1031" t="inlineStr">
        <is>
          <t>NORRTÄLJE</t>
        </is>
      </c>
      <c r="F1031" t="inlineStr">
        <is>
          <t>Kyrkan</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15956-2023</t>
        </is>
      </c>
      <c r="B1032" s="1" t="n">
        <v>45022.61003472222</v>
      </c>
      <c r="C1032" s="1" t="n">
        <v>45887</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20852-2023</t>
        </is>
      </c>
      <c r="B1033" s="1" t="n">
        <v>45058.78607638889</v>
      </c>
      <c r="C1033" s="1" t="n">
        <v>45887</v>
      </c>
      <c r="D1033" t="inlineStr">
        <is>
          <t>STOCKHOLMS LÄN</t>
        </is>
      </c>
      <c r="E1033" t="inlineStr">
        <is>
          <t>NORRTÄLJE</t>
        </is>
      </c>
      <c r="G1033" t="n">
        <v>3.5</v>
      </c>
      <c r="H1033" t="n">
        <v>0</v>
      </c>
      <c r="I1033" t="n">
        <v>0</v>
      </c>
      <c r="J1033" t="n">
        <v>0</v>
      </c>
      <c r="K1033" t="n">
        <v>0</v>
      </c>
      <c r="L1033" t="n">
        <v>0</v>
      </c>
      <c r="M1033" t="n">
        <v>0</v>
      </c>
      <c r="N1033" t="n">
        <v>0</v>
      </c>
      <c r="O1033" t="n">
        <v>0</v>
      </c>
      <c r="P1033" t="n">
        <v>0</v>
      </c>
      <c r="Q1033" t="n">
        <v>0</v>
      </c>
      <c r="R1033" s="2" t="inlineStr"/>
    </row>
    <row r="1034">
      <c r="A1034" t="inlineStr">
        <is>
          <t>A 50355-2024</t>
        </is>
      </c>
      <c r="B1034" s="1" t="n">
        <v>45600.86128472222</v>
      </c>
      <c r="C1034" s="1" t="n">
        <v>45887</v>
      </c>
      <c r="D1034" t="inlineStr">
        <is>
          <t>STOCKHOLMS LÄN</t>
        </is>
      </c>
      <c r="E1034" t="inlineStr">
        <is>
          <t>NORRTÄLJE</t>
        </is>
      </c>
      <c r="F1034" t="inlineStr">
        <is>
          <t>Kommuner</t>
        </is>
      </c>
      <c r="G1034" t="n">
        <v>1</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2025-08-18T08:28:43Z</dcterms:created>
  <dcterms:modified xmlns:dcterms="http://purl.org/dc/terms/" xmlns:xsi="http://www.w3.org/2001/XMLSchema-instance" xsi:type="dcterms:W3CDTF">2025-08-18T08:28:44Z</dcterms:modified>
</cp:coreProperties>
</file>