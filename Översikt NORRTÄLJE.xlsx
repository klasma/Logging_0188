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46130</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46130</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46130</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46130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46130</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25732-2025</t>
        </is>
      </c>
      <c r="B20" s="1" t="n">
        <v>45800</v>
      </c>
      <c r="C20" s="1" t="n">
        <v>46130</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46130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46130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46130</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46130</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46130</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46130</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46130</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46130</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46130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46130</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46130</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46130</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46130</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46130</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46130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46130</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46130</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46130</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46130</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46130</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46130</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46130</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46130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17645-2026</t>
        </is>
      </c>
      <c r="B44" s="1" t="n">
        <v>46121.51921296296</v>
      </c>
      <c r="C44" s="1" t="n">
        <v>46130</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72111-2021</t>
        </is>
      </c>
      <c r="B45" s="1" t="n">
        <v>44544</v>
      </c>
      <c r="C45" s="1" t="n">
        <v>46130</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46130</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46130</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46130</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25687-2025</t>
        </is>
      </c>
      <c r="B49" s="1" t="n">
        <v>45800</v>
      </c>
      <c r="C49" s="1" t="n">
        <v>46130</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10876-2025</t>
        </is>
      </c>
      <c r="B50" s="1" t="n">
        <v>45722</v>
      </c>
      <c r="C50" s="1" t="n">
        <v>46130</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46130</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46130</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46130</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46130</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46130</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46130</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46130</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46130</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46130</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52726-2025</t>
        </is>
      </c>
      <c r="B60" s="1" t="n">
        <v>45957.34722222222</v>
      </c>
      <c r="C60" s="1" t="n">
        <v>46130</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29185-2025</t>
        </is>
      </c>
      <c r="B61" s="1" t="n">
        <v>45821</v>
      </c>
      <c r="C61" s="1" t="n">
        <v>46130</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46130</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46130</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22190-2024</t>
        </is>
      </c>
      <c r="B64" s="1" t="n">
        <v>45446.35888888889</v>
      </c>
      <c r="C64" s="1" t="n">
        <v>46130</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34524-2025</t>
        </is>
      </c>
      <c r="B65" s="1" t="n">
        <v>45847.47685185185</v>
      </c>
      <c r="C65" s="1" t="n">
        <v>46130</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46130</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15913-2026</t>
        </is>
      </c>
      <c r="B67" s="1" t="n">
        <v>46107.6456712963</v>
      </c>
      <c r="C67" s="1" t="n">
        <v>46130</v>
      </c>
      <c r="D67" t="inlineStr">
        <is>
          <t>STOCKHOLMS LÄN</t>
        </is>
      </c>
      <c r="E67" t="inlineStr">
        <is>
          <t>NORRTÄLJE</t>
        </is>
      </c>
      <c r="G67" t="n">
        <v>4.2</v>
      </c>
      <c r="H67" t="n">
        <v>2</v>
      </c>
      <c r="I67" t="n">
        <v>2</v>
      </c>
      <c r="J67" t="n">
        <v>0</v>
      </c>
      <c r="K67" t="n">
        <v>0</v>
      </c>
      <c r="L67" t="n">
        <v>0</v>
      </c>
      <c r="M67" t="n">
        <v>0</v>
      </c>
      <c r="N67" t="n">
        <v>0</v>
      </c>
      <c r="O67" t="n">
        <v>0</v>
      </c>
      <c r="P67" t="n">
        <v>0</v>
      </c>
      <c r="Q67" t="n">
        <v>3</v>
      </c>
      <c r="R67" s="2" t="inlineStr">
        <is>
          <t>Fjällig taggsvamp s.str.
Nästrot
Blåsippa</t>
        </is>
      </c>
      <c r="S67">
        <f>HYPERLINK("https://klasma.github.io/Logging_0188/artfynd/A 15913-2026 artfynd.xlsx", "A 15913-2026")</f>
        <v/>
      </c>
      <c r="T67">
        <f>HYPERLINK("https://klasma.github.io/Logging_0188/kartor/A 15913-2026 karta.png", "A 15913-2026")</f>
        <v/>
      </c>
      <c r="V67">
        <f>HYPERLINK("https://klasma.github.io/Logging_0188/klagomål/A 15913-2026 FSC-klagomål.docx", "A 15913-2026")</f>
        <v/>
      </c>
      <c r="W67">
        <f>HYPERLINK("https://klasma.github.io/Logging_0188/klagomålsmail/A 15913-2026 FSC-klagomål mail.docx", "A 15913-2026")</f>
        <v/>
      </c>
      <c r="X67">
        <f>HYPERLINK("https://klasma.github.io/Logging_0188/tillsyn/A 15913-2026 tillsynsbegäran.docx", "A 15913-2026")</f>
        <v/>
      </c>
      <c r="Y67">
        <f>HYPERLINK("https://klasma.github.io/Logging_0188/tillsynsmail/A 15913-2026 tillsynsbegäran mail.docx", "A 15913-2026")</f>
        <v/>
      </c>
    </row>
    <row r="68" ht="15" customHeight="1">
      <c r="A68" t="inlineStr">
        <is>
          <t>A 50618-2022</t>
        </is>
      </c>
      <c r="B68" s="1" t="n">
        <v>44866</v>
      </c>
      <c r="C68" s="1" t="n">
        <v>46130</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46130</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46130</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46130</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46130</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46130</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46130</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46130</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46130</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46130</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50697-2025</t>
        </is>
      </c>
      <c r="B78" s="1" t="n">
        <v>45945.90854166666</v>
      </c>
      <c r="C78" s="1" t="n">
        <v>46130</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33548-2025</t>
        </is>
      </c>
      <c r="B79" s="1" t="n">
        <v>45841.5721875</v>
      </c>
      <c r="C79" s="1" t="n">
        <v>46130</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17952-2022</t>
        </is>
      </c>
      <c r="B80" s="1" t="n">
        <v>44683</v>
      </c>
      <c r="C80" s="1" t="n">
        <v>46130</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52360-2024</t>
        </is>
      </c>
      <c r="B81" s="1" t="n">
        <v>45609.37094907407</v>
      </c>
      <c r="C81" s="1" t="n">
        <v>46130</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15925-2026</t>
        </is>
      </c>
      <c r="B82" s="1" t="n">
        <v>46107.66046296297</v>
      </c>
      <c r="C82" s="1" t="n">
        <v>46130</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53608-2025</t>
        </is>
      </c>
      <c r="B83" s="1" t="n">
        <v>45960</v>
      </c>
      <c r="C83" s="1" t="n">
        <v>46130</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46130</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46130</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46130</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46130</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46130</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46130</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46130</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46130</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46130</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9955-2022</t>
        </is>
      </c>
      <c r="B93" s="1" t="n">
        <v>44620</v>
      </c>
      <c r="C93" s="1" t="n">
        <v>46130</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47898-2022</t>
        </is>
      </c>
      <c r="B94" s="1" t="n">
        <v>44855</v>
      </c>
      <c r="C94" s="1" t="n">
        <v>46130</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46130</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46130</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40861-2025</t>
        </is>
      </c>
      <c r="B97" s="1" t="n">
        <v>45897.56356481482</v>
      </c>
      <c r="C97" s="1" t="n">
        <v>46130</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46130</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25709-2025</t>
        </is>
      </c>
      <c r="B99" s="1" t="n">
        <v>45800</v>
      </c>
      <c r="C99" s="1" t="n">
        <v>46130</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25725-2025</t>
        </is>
      </c>
      <c r="B100" s="1" t="n">
        <v>45800</v>
      </c>
      <c r="C100" s="1" t="n">
        <v>46130</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42313-2025</t>
        </is>
      </c>
      <c r="B101" s="1" t="n">
        <v>45904.6575</v>
      </c>
      <c r="C101" s="1" t="n">
        <v>46130</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35649-2023</t>
        </is>
      </c>
      <c r="B102" s="1" t="n">
        <v>45146</v>
      </c>
      <c r="C102" s="1" t="n">
        <v>46130</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35764-2024</t>
        </is>
      </c>
      <c r="B103" s="1" t="n">
        <v>45532</v>
      </c>
      <c r="C103" s="1" t="n">
        <v>46130</v>
      </c>
      <c r="D103" t="inlineStr">
        <is>
          <t>STOCKHOLMS LÄN</t>
        </is>
      </c>
      <c r="E103" t="inlineStr">
        <is>
          <t>NORRTÄLJE</t>
        </is>
      </c>
      <c r="G103" t="n">
        <v>14.2</v>
      </c>
      <c r="H103" t="n">
        <v>1</v>
      </c>
      <c r="I103" t="n">
        <v>0</v>
      </c>
      <c r="J103" t="n">
        <v>0</v>
      </c>
      <c r="K103" t="n">
        <v>1</v>
      </c>
      <c r="L103" t="n">
        <v>0</v>
      </c>
      <c r="M103" t="n">
        <v>0</v>
      </c>
      <c r="N103" t="n">
        <v>0</v>
      </c>
      <c r="O103" t="n">
        <v>1</v>
      </c>
      <c r="P103" t="n">
        <v>1</v>
      </c>
      <c r="Q103" t="n">
        <v>1</v>
      </c>
      <c r="R103" s="2" t="inlineStr">
        <is>
          <t>Knärot</t>
        </is>
      </c>
      <c r="S103">
        <f>HYPERLINK("https://klasma.github.io/Logging_0188/artfynd/A 35764-2024 artfynd.xlsx", "A 35764-2024")</f>
        <v/>
      </c>
      <c r="T103">
        <f>HYPERLINK("https://klasma.github.io/Logging_0188/kartor/A 35764-2024 karta.png", "A 35764-2024")</f>
        <v/>
      </c>
      <c r="U103">
        <f>HYPERLINK("https://klasma.github.io/Logging_0188/knärot/A 35764-2024 karta knärot.png", "A 35764-2024")</f>
        <v/>
      </c>
      <c r="V103">
        <f>HYPERLINK("https://klasma.github.io/Logging_0188/klagomål/A 35764-2024 FSC-klagomål.docx", "A 35764-2024")</f>
        <v/>
      </c>
      <c r="W103">
        <f>HYPERLINK("https://klasma.github.io/Logging_0188/klagomålsmail/A 35764-2024 FSC-klagomål mail.docx", "A 35764-2024")</f>
        <v/>
      </c>
      <c r="X103">
        <f>HYPERLINK("https://klasma.github.io/Logging_0188/tillsyn/A 35764-2024 tillsynsbegäran.docx", "A 35764-2024")</f>
        <v/>
      </c>
      <c r="Y103">
        <f>HYPERLINK("https://klasma.github.io/Logging_0188/tillsynsmail/A 35764-2024 tillsynsbegäran mail.docx", "A 35764-2024")</f>
        <v/>
      </c>
    </row>
    <row r="104" ht="15" customHeight="1">
      <c r="A104" t="inlineStr">
        <is>
          <t>A 4860-2022</t>
        </is>
      </c>
      <c r="B104" s="1" t="n">
        <v>44592</v>
      </c>
      <c r="C104" s="1" t="n">
        <v>46130</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25669-2025</t>
        </is>
      </c>
      <c r="B105" s="1" t="n">
        <v>45803.62766203703</v>
      </c>
      <c r="C105" s="1" t="n">
        <v>46130</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52775-2025</t>
        </is>
      </c>
      <c r="B106" s="1" t="n">
        <v>45957.41608796296</v>
      </c>
      <c r="C106" s="1" t="n">
        <v>46130</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53716-2025</t>
        </is>
      </c>
      <c r="B107" s="1" t="n">
        <v>45960.61782407408</v>
      </c>
      <c r="C107" s="1" t="n">
        <v>46130</v>
      </c>
      <c r="D107" t="inlineStr">
        <is>
          <t>STOCKHOLMS LÄN</t>
        </is>
      </c>
      <c r="E107" t="inlineStr">
        <is>
          <t>NORRTÄLJE</t>
        </is>
      </c>
      <c r="G107" t="n">
        <v>3.4</v>
      </c>
      <c r="H107" t="n">
        <v>0</v>
      </c>
      <c r="I107" t="n">
        <v>0</v>
      </c>
      <c r="J107" t="n">
        <v>0</v>
      </c>
      <c r="K107" t="n">
        <v>0</v>
      </c>
      <c r="L107" t="n">
        <v>1</v>
      </c>
      <c r="M107" t="n">
        <v>0</v>
      </c>
      <c r="N107" t="n">
        <v>0</v>
      </c>
      <c r="O107" t="n">
        <v>1</v>
      </c>
      <c r="P107" t="n">
        <v>1</v>
      </c>
      <c r="Q107" t="n">
        <v>1</v>
      </c>
      <c r="R107" s="2" t="inlineStr">
        <is>
          <t>Fältgentiana</t>
        </is>
      </c>
      <c r="S107">
        <f>HYPERLINK("https://klasma.github.io/Logging_0188/artfynd/A 53716-2025 artfynd.xlsx", "A 53716-2025")</f>
        <v/>
      </c>
      <c r="T107">
        <f>HYPERLINK("https://klasma.github.io/Logging_0188/kartor/A 53716-2025 karta.png", "A 53716-2025")</f>
        <v/>
      </c>
      <c r="V107">
        <f>HYPERLINK("https://klasma.github.io/Logging_0188/klagomål/A 53716-2025 FSC-klagomål.docx", "A 53716-2025")</f>
        <v/>
      </c>
      <c r="W107">
        <f>HYPERLINK("https://klasma.github.io/Logging_0188/klagomålsmail/A 53716-2025 FSC-klagomål mail.docx", "A 53716-2025")</f>
        <v/>
      </c>
      <c r="X107">
        <f>HYPERLINK("https://klasma.github.io/Logging_0188/tillsyn/A 53716-2025 tillsynsbegäran.docx", "A 53716-2025")</f>
        <v/>
      </c>
      <c r="Y107">
        <f>HYPERLINK("https://klasma.github.io/Logging_0188/tillsynsmail/A 53716-2025 tillsynsbegäran mail.docx", "A 53716-2025")</f>
        <v/>
      </c>
    </row>
    <row r="108" ht="15" customHeight="1">
      <c r="A108" t="inlineStr">
        <is>
          <t>A 16870-2025</t>
        </is>
      </c>
      <c r="B108" s="1" t="n">
        <v>45754</v>
      </c>
      <c r="C108" s="1" t="n">
        <v>46130</v>
      </c>
      <c r="D108" t="inlineStr">
        <is>
          <t>STOCKHOLMS LÄN</t>
        </is>
      </c>
      <c r="E108" t="inlineStr">
        <is>
          <t>NORRTÄLJE</t>
        </is>
      </c>
      <c r="G108" t="n">
        <v>24.6</v>
      </c>
      <c r="H108" t="n">
        <v>1</v>
      </c>
      <c r="I108" t="n">
        <v>0</v>
      </c>
      <c r="J108" t="n">
        <v>0</v>
      </c>
      <c r="K108" t="n">
        <v>0</v>
      </c>
      <c r="L108" t="n">
        <v>0</v>
      </c>
      <c r="M108" t="n">
        <v>0</v>
      </c>
      <c r="N108" t="n">
        <v>0</v>
      </c>
      <c r="O108" t="n">
        <v>0</v>
      </c>
      <c r="P108" t="n">
        <v>0</v>
      </c>
      <c r="Q108" t="n">
        <v>1</v>
      </c>
      <c r="R108" s="2" t="inlineStr">
        <is>
          <t>Vanlig groda</t>
        </is>
      </c>
      <c r="S108">
        <f>HYPERLINK("https://klasma.github.io/Logging_0188/artfynd/A 16870-2025 artfynd.xlsx", "A 16870-2025")</f>
        <v/>
      </c>
      <c r="T108">
        <f>HYPERLINK("https://klasma.github.io/Logging_0188/kartor/A 16870-2025 karta.png", "A 16870-2025")</f>
        <v/>
      </c>
      <c r="V108">
        <f>HYPERLINK("https://klasma.github.io/Logging_0188/klagomål/A 16870-2025 FSC-klagomål.docx", "A 16870-2025")</f>
        <v/>
      </c>
      <c r="W108">
        <f>HYPERLINK("https://klasma.github.io/Logging_0188/klagomålsmail/A 16870-2025 FSC-klagomål mail.docx", "A 16870-2025")</f>
        <v/>
      </c>
      <c r="X108">
        <f>HYPERLINK("https://klasma.github.io/Logging_0188/tillsyn/A 16870-2025 tillsynsbegäran.docx", "A 16870-2025")</f>
        <v/>
      </c>
      <c r="Y108">
        <f>HYPERLINK("https://klasma.github.io/Logging_0188/tillsynsmail/A 16870-2025 tillsynsbegäran mail.docx", "A 16870-2025")</f>
        <v/>
      </c>
    </row>
    <row r="109" ht="15" customHeight="1">
      <c r="A109" t="inlineStr">
        <is>
          <t>A 13291-2025</t>
        </is>
      </c>
      <c r="B109" s="1" t="n">
        <v>45735</v>
      </c>
      <c r="C109" s="1" t="n">
        <v>46130</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6381-2023</t>
        </is>
      </c>
      <c r="B110" s="1" t="n">
        <v>44965</v>
      </c>
      <c r="C110" s="1" t="n">
        <v>46130</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46130</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39158-2025</t>
        </is>
      </c>
      <c r="B112" s="1" t="n">
        <v>45888</v>
      </c>
      <c r="C112" s="1" t="n">
        <v>46130</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46130</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33546-2025</t>
        </is>
      </c>
      <c r="B114" s="1" t="n">
        <v>45841.56996527778</v>
      </c>
      <c r="C114" s="1" t="n">
        <v>46130</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21744-2023</t>
        </is>
      </c>
      <c r="B115" s="1" t="n">
        <v>45065</v>
      </c>
      <c r="C115" s="1" t="n">
        <v>46130</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8371-2025</t>
        </is>
      </c>
      <c r="B116" s="1" t="n">
        <v>45708</v>
      </c>
      <c r="C116" s="1" t="n">
        <v>46130</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23146-2024</t>
        </is>
      </c>
      <c r="B117" s="1" t="n">
        <v>45450.63958333333</v>
      </c>
      <c r="C117" s="1" t="n">
        <v>46130</v>
      </c>
      <c r="D117" t="inlineStr">
        <is>
          <t>STOCKHOLMS LÄN</t>
        </is>
      </c>
      <c r="E117" t="inlineStr">
        <is>
          <t>NORRTÄLJE</t>
        </is>
      </c>
      <c r="F117" t="inlineStr">
        <is>
          <t>Kommuner</t>
        </is>
      </c>
      <c r="G117" t="n">
        <v>6</v>
      </c>
      <c r="H117" t="n">
        <v>0</v>
      </c>
      <c r="I117" t="n">
        <v>0</v>
      </c>
      <c r="J117" t="n">
        <v>1</v>
      </c>
      <c r="K117" t="n">
        <v>0</v>
      </c>
      <c r="L117" t="n">
        <v>0</v>
      </c>
      <c r="M117" t="n">
        <v>0</v>
      </c>
      <c r="N117" t="n">
        <v>0</v>
      </c>
      <c r="O117" t="n">
        <v>1</v>
      </c>
      <c r="P117" t="n">
        <v>0</v>
      </c>
      <c r="Q117" t="n">
        <v>1</v>
      </c>
      <c r="R117" s="2" t="inlineStr">
        <is>
          <t>Motaggsvamp</t>
        </is>
      </c>
      <c r="S117">
        <f>HYPERLINK("https://klasma.github.io/Logging_0188/artfynd/A 23146-2024 artfynd.xlsx", "A 23146-2024")</f>
        <v/>
      </c>
      <c r="T117">
        <f>HYPERLINK("https://klasma.github.io/Logging_0188/kartor/A 23146-2024 karta.png", "A 23146-2024")</f>
        <v/>
      </c>
      <c r="V117">
        <f>HYPERLINK("https://klasma.github.io/Logging_0188/klagomål/A 23146-2024 FSC-klagomål.docx", "A 23146-2024")</f>
        <v/>
      </c>
      <c r="W117">
        <f>HYPERLINK("https://klasma.github.io/Logging_0188/klagomålsmail/A 23146-2024 FSC-klagomål mail.docx", "A 23146-2024")</f>
        <v/>
      </c>
      <c r="X117">
        <f>HYPERLINK("https://klasma.github.io/Logging_0188/tillsyn/A 23146-2024 tillsynsbegäran.docx", "A 23146-2024")</f>
        <v/>
      </c>
      <c r="Y117">
        <f>HYPERLINK("https://klasma.github.io/Logging_0188/tillsynsmail/A 23146-2024 tillsynsbegäran mail.docx", "A 23146-2024")</f>
        <v/>
      </c>
    </row>
    <row r="118" ht="15" customHeight="1">
      <c r="A118" t="inlineStr">
        <is>
          <t>A 59682-2025</t>
        </is>
      </c>
      <c r="B118" s="1" t="n">
        <v>45992.47116898148</v>
      </c>
      <c r="C118" s="1" t="n">
        <v>46130</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27538-2024</t>
        </is>
      </c>
      <c r="B119" s="1" t="n">
        <v>45474</v>
      </c>
      <c r="C119" s="1" t="n">
        <v>46130</v>
      </c>
      <c r="D119" t="inlineStr">
        <is>
          <t>STOCKHOLMS LÄN</t>
        </is>
      </c>
      <c r="E119" t="inlineStr">
        <is>
          <t>NORRTÄLJE</t>
        </is>
      </c>
      <c r="G119" t="n">
        <v>1.5</v>
      </c>
      <c r="H119" t="n">
        <v>1</v>
      </c>
      <c r="I119" t="n">
        <v>1</v>
      </c>
      <c r="J119" t="n">
        <v>0</v>
      </c>
      <c r="K119" t="n">
        <v>0</v>
      </c>
      <c r="L119" t="n">
        <v>0</v>
      </c>
      <c r="M119" t="n">
        <v>0</v>
      </c>
      <c r="N119" t="n">
        <v>0</v>
      </c>
      <c r="O119" t="n">
        <v>0</v>
      </c>
      <c r="P119" t="n">
        <v>0</v>
      </c>
      <c r="Q119" t="n">
        <v>1</v>
      </c>
      <c r="R119" s="2" t="inlineStr">
        <is>
          <t>Skogsknipprot</t>
        </is>
      </c>
      <c r="S119">
        <f>HYPERLINK("https://klasma.github.io/Logging_0188/artfynd/A 27538-2024 artfynd.xlsx", "A 27538-2024")</f>
        <v/>
      </c>
      <c r="T119">
        <f>HYPERLINK("https://klasma.github.io/Logging_0188/kartor/A 27538-2024 karta.png", "A 27538-2024")</f>
        <v/>
      </c>
      <c r="V119">
        <f>HYPERLINK("https://klasma.github.io/Logging_0188/klagomål/A 27538-2024 FSC-klagomål.docx", "A 27538-2024")</f>
        <v/>
      </c>
      <c r="W119">
        <f>HYPERLINK("https://klasma.github.io/Logging_0188/klagomålsmail/A 27538-2024 FSC-klagomål mail.docx", "A 27538-2024")</f>
        <v/>
      </c>
      <c r="X119">
        <f>HYPERLINK("https://klasma.github.io/Logging_0188/tillsyn/A 27538-2024 tillsynsbegäran.docx", "A 27538-2024")</f>
        <v/>
      </c>
      <c r="Y119">
        <f>HYPERLINK("https://klasma.github.io/Logging_0188/tillsynsmail/A 27538-2024 tillsynsbegäran mail.docx", "A 27538-2024")</f>
        <v/>
      </c>
    </row>
    <row r="120" ht="15" customHeight="1">
      <c r="A120" t="inlineStr">
        <is>
          <t>A 4385-2023</t>
        </is>
      </c>
      <c r="B120" s="1" t="n">
        <v>44955.71322916666</v>
      </c>
      <c r="C120" s="1" t="n">
        <v>46130</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62715-2025</t>
        </is>
      </c>
      <c r="B121" s="1" t="n">
        <v>46008.52034722222</v>
      </c>
      <c r="C121" s="1" t="n">
        <v>46130</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24330-2023</t>
        </is>
      </c>
      <c r="B122" s="1" t="n">
        <v>45081</v>
      </c>
      <c r="C122" s="1" t="n">
        <v>46130</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63292-2025</t>
        </is>
      </c>
      <c r="B123" s="1" t="n">
        <v>46010.59232638889</v>
      </c>
      <c r="C123" s="1" t="n">
        <v>46130</v>
      </c>
      <c r="D123" t="inlineStr">
        <is>
          <t>STOCKHOLMS LÄN</t>
        </is>
      </c>
      <c r="E123" t="inlineStr">
        <is>
          <t>NORRTÄLJE</t>
        </is>
      </c>
      <c r="G123" t="n">
        <v>11.1</v>
      </c>
      <c r="H123" t="n">
        <v>1</v>
      </c>
      <c r="I123" t="n">
        <v>1</v>
      </c>
      <c r="J123" t="n">
        <v>0</v>
      </c>
      <c r="K123" t="n">
        <v>0</v>
      </c>
      <c r="L123" t="n">
        <v>0</v>
      </c>
      <c r="M123" t="n">
        <v>0</v>
      </c>
      <c r="N123" t="n">
        <v>0</v>
      </c>
      <c r="O123" t="n">
        <v>0</v>
      </c>
      <c r="P123" t="n">
        <v>0</v>
      </c>
      <c r="Q123" t="n">
        <v>1</v>
      </c>
      <c r="R123" s="2" t="inlineStr">
        <is>
          <t>Nästrot</t>
        </is>
      </c>
      <c r="S123">
        <f>HYPERLINK("https://klasma.github.io/Logging_0188/artfynd/A 63292-2025 artfynd.xlsx", "A 63292-2025")</f>
        <v/>
      </c>
      <c r="T123">
        <f>HYPERLINK("https://klasma.github.io/Logging_0188/kartor/A 63292-2025 karta.png", "A 63292-2025")</f>
        <v/>
      </c>
      <c r="V123">
        <f>HYPERLINK("https://klasma.github.io/Logging_0188/klagomål/A 63292-2025 FSC-klagomål.docx", "A 63292-2025")</f>
        <v/>
      </c>
      <c r="W123">
        <f>HYPERLINK("https://klasma.github.io/Logging_0188/klagomålsmail/A 63292-2025 FSC-klagomål mail.docx", "A 63292-2025")</f>
        <v/>
      </c>
      <c r="X123">
        <f>HYPERLINK("https://klasma.github.io/Logging_0188/tillsyn/A 63292-2025 tillsynsbegäran.docx", "A 63292-2025")</f>
        <v/>
      </c>
      <c r="Y123">
        <f>HYPERLINK("https://klasma.github.io/Logging_0188/tillsynsmail/A 63292-2025 tillsynsbegäran mail.docx", "A 63292-2025")</f>
        <v/>
      </c>
    </row>
    <row r="124" ht="15" customHeight="1">
      <c r="A124" t="inlineStr">
        <is>
          <t>A 24535-2023</t>
        </is>
      </c>
      <c r="B124" s="1" t="n">
        <v>45082</v>
      </c>
      <c r="C124" s="1" t="n">
        <v>46130</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26635-2023</t>
        </is>
      </c>
      <c r="B125" s="1" t="n">
        <v>45092</v>
      </c>
      <c r="C125" s="1" t="n">
        <v>46130</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364-2026</t>
        </is>
      </c>
      <c r="B126" s="1" t="n">
        <v>46027.67134259259</v>
      </c>
      <c r="C126" s="1" t="n">
        <v>46130</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28816-2023</t>
        </is>
      </c>
      <c r="B127" s="1" t="n">
        <v>45104</v>
      </c>
      <c r="C127" s="1" t="n">
        <v>46130</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46130</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46130</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46130</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7734-2026</t>
        </is>
      </c>
      <c r="B131" s="1" t="n">
        <v>46062.52902777777</v>
      </c>
      <c r="C131" s="1" t="n">
        <v>46130</v>
      </c>
      <c r="D131" t="inlineStr">
        <is>
          <t>STOCKHOLMS LÄN</t>
        </is>
      </c>
      <c r="E131" t="inlineStr">
        <is>
          <t>NORRTÄLJE</t>
        </is>
      </c>
      <c r="G131" t="n">
        <v>6.6</v>
      </c>
      <c r="H131" t="n">
        <v>0</v>
      </c>
      <c r="I131" t="n">
        <v>1</v>
      </c>
      <c r="J131" t="n">
        <v>0</v>
      </c>
      <c r="K131" t="n">
        <v>0</v>
      </c>
      <c r="L131" t="n">
        <v>0</v>
      </c>
      <c r="M131" t="n">
        <v>0</v>
      </c>
      <c r="N131" t="n">
        <v>0</v>
      </c>
      <c r="O131" t="n">
        <v>0</v>
      </c>
      <c r="P131" t="n">
        <v>0</v>
      </c>
      <c r="Q131" t="n">
        <v>1</v>
      </c>
      <c r="R131" s="2" t="inlineStr">
        <is>
          <t>Kastanjefjällskivling</t>
        </is>
      </c>
      <c r="S131">
        <f>HYPERLINK("https://klasma.github.io/Logging_0188/artfynd/A 7734-2026 artfynd.xlsx", "A 7734-2026")</f>
        <v/>
      </c>
      <c r="T131">
        <f>HYPERLINK("https://klasma.github.io/Logging_0188/kartor/A 7734-2026 karta.png", "A 7734-2026")</f>
        <v/>
      </c>
      <c r="V131">
        <f>HYPERLINK("https://klasma.github.io/Logging_0188/klagomål/A 7734-2026 FSC-klagomål.docx", "A 7734-2026")</f>
        <v/>
      </c>
      <c r="W131">
        <f>HYPERLINK("https://klasma.github.io/Logging_0188/klagomålsmail/A 7734-2026 FSC-klagomål mail.docx", "A 7734-2026")</f>
        <v/>
      </c>
      <c r="X131">
        <f>HYPERLINK("https://klasma.github.io/Logging_0188/tillsyn/A 7734-2026 tillsynsbegäran.docx", "A 7734-2026")</f>
        <v/>
      </c>
      <c r="Y131">
        <f>HYPERLINK("https://klasma.github.io/Logging_0188/tillsynsmail/A 7734-2026 tillsynsbegäran mail.docx", "A 7734-2026")</f>
        <v/>
      </c>
    </row>
    <row r="132" ht="15" customHeight="1">
      <c r="A132" t="inlineStr">
        <is>
          <t>A 4532-2025</t>
        </is>
      </c>
      <c r="B132" s="1" t="n">
        <v>45687.34177083334</v>
      </c>
      <c r="C132" s="1" t="n">
        <v>46130</v>
      </c>
      <c r="D132" t="inlineStr">
        <is>
          <t>STOCKHOLMS LÄN</t>
        </is>
      </c>
      <c r="E132" t="inlineStr">
        <is>
          <t>NORRTÄLJE</t>
        </is>
      </c>
      <c r="F132" t="inlineStr">
        <is>
          <t>Holmen skog AB</t>
        </is>
      </c>
      <c r="G132" t="n">
        <v>6.4</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4532-2025 artfynd.xlsx", "A 4532-2025")</f>
        <v/>
      </c>
      <c r="T132">
        <f>HYPERLINK("https://klasma.github.io/Logging_0188/kartor/A 4532-2025 karta.png", "A 4532-2025")</f>
        <v/>
      </c>
      <c r="V132">
        <f>HYPERLINK("https://klasma.github.io/Logging_0188/klagomål/A 4532-2025 FSC-klagomål.docx", "A 4532-2025")</f>
        <v/>
      </c>
      <c r="W132">
        <f>HYPERLINK("https://klasma.github.io/Logging_0188/klagomålsmail/A 4532-2025 FSC-klagomål mail.docx", "A 4532-2025")</f>
        <v/>
      </c>
      <c r="X132">
        <f>HYPERLINK("https://klasma.github.io/Logging_0188/tillsyn/A 4532-2025 tillsynsbegäran.docx", "A 4532-2025")</f>
        <v/>
      </c>
      <c r="Y132">
        <f>HYPERLINK("https://klasma.github.io/Logging_0188/tillsynsmail/A 4532-2025 tillsynsbegäran mail.docx", "A 4532-2025")</f>
        <v/>
      </c>
    </row>
    <row r="133" ht="15" customHeight="1">
      <c r="A133" t="inlineStr">
        <is>
          <t>A 15886-2026</t>
        </is>
      </c>
      <c r="B133" s="1" t="n">
        <v>46107</v>
      </c>
      <c r="C133" s="1" t="n">
        <v>46130</v>
      </c>
      <c r="D133" t="inlineStr">
        <is>
          <t>STOCKHOLMS LÄN</t>
        </is>
      </c>
      <c r="E133" t="inlineStr">
        <is>
          <t>NORRTÄLJE</t>
        </is>
      </c>
      <c r="G133" t="n">
        <v>1.3</v>
      </c>
      <c r="H133" t="n">
        <v>1</v>
      </c>
      <c r="I133" t="n">
        <v>0</v>
      </c>
      <c r="J133" t="n">
        <v>0</v>
      </c>
      <c r="K133" t="n">
        <v>0</v>
      </c>
      <c r="L133" t="n">
        <v>1</v>
      </c>
      <c r="M133" t="n">
        <v>0</v>
      </c>
      <c r="N133" t="n">
        <v>0</v>
      </c>
      <c r="O133" t="n">
        <v>1</v>
      </c>
      <c r="P133" t="n">
        <v>1</v>
      </c>
      <c r="Q133" t="n">
        <v>1</v>
      </c>
      <c r="R133" s="2" t="inlineStr">
        <is>
          <t>Grönfink</t>
        </is>
      </c>
      <c r="S133">
        <f>HYPERLINK("https://klasma.github.io/Logging_0188/artfynd/A 15886-2026 artfynd.xlsx", "A 15886-2026")</f>
        <v/>
      </c>
      <c r="T133">
        <f>HYPERLINK("https://klasma.github.io/Logging_0188/kartor/A 15886-2026 karta.png", "A 15886-2026")</f>
        <v/>
      </c>
      <c r="V133">
        <f>HYPERLINK("https://klasma.github.io/Logging_0188/klagomål/A 15886-2026 FSC-klagomål.docx", "A 15886-2026")</f>
        <v/>
      </c>
      <c r="W133">
        <f>HYPERLINK("https://klasma.github.io/Logging_0188/klagomålsmail/A 15886-2026 FSC-klagomål mail.docx", "A 15886-2026")</f>
        <v/>
      </c>
      <c r="X133">
        <f>HYPERLINK("https://klasma.github.io/Logging_0188/tillsyn/A 15886-2026 tillsynsbegäran.docx", "A 15886-2026")</f>
        <v/>
      </c>
      <c r="Y133">
        <f>HYPERLINK("https://klasma.github.io/Logging_0188/tillsynsmail/A 15886-2026 tillsynsbegäran mail.docx", "A 15886-2026")</f>
        <v/>
      </c>
      <c r="Z133">
        <f>HYPERLINK("https://klasma.github.io/Logging_0188/fåglar/A 15886-2026 prioriterade fågelarter.docx", "A 15886-2026")</f>
        <v/>
      </c>
    </row>
    <row r="134" ht="15" customHeight="1">
      <c r="A134" t="inlineStr">
        <is>
          <t>A 14365-2025</t>
        </is>
      </c>
      <c r="B134" s="1" t="n">
        <v>45741.38688657407</v>
      </c>
      <c r="C134" s="1" t="n">
        <v>46130</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21150-2022</t>
        </is>
      </c>
      <c r="B135" s="1" t="n">
        <v>44704</v>
      </c>
      <c r="C135" s="1" t="n">
        <v>46130</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21150-2022 artfynd.xlsx", "A 21150-2022")</f>
        <v/>
      </c>
      <c r="T135">
        <f>HYPERLINK("https://klasma.github.io/Logging_0188/kartor/A 21150-2022 karta.png", "A 21150-2022")</f>
        <v/>
      </c>
      <c r="V135">
        <f>HYPERLINK("https://klasma.github.io/Logging_0188/klagomål/A 21150-2022 FSC-klagomål.docx", "A 21150-2022")</f>
        <v/>
      </c>
      <c r="W135">
        <f>HYPERLINK("https://klasma.github.io/Logging_0188/klagomålsmail/A 21150-2022 FSC-klagomål mail.docx", "A 21150-2022")</f>
        <v/>
      </c>
      <c r="X135">
        <f>HYPERLINK("https://klasma.github.io/Logging_0188/tillsyn/A 21150-2022 tillsynsbegäran.docx", "A 21150-2022")</f>
        <v/>
      </c>
      <c r="Y135">
        <f>HYPERLINK("https://klasma.github.io/Logging_0188/tillsynsmail/A 21150-2022 tillsynsbegäran mail.docx", "A 21150-2022")</f>
        <v/>
      </c>
    </row>
    <row r="136" ht="15" customHeight="1">
      <c r="A136" t="inlineStr">
        <is>
          <t>A 26120-2024</t>
        </is>
      </c>
      <c r="B136" s="1" t="n">
        <v>45468.45995370371</v>
      </c>
      <c r="C136" s="1" t="n">
        <v>46130</v>
      </c>
      <c r="D136" t="inlineStr">
        <is>
          <t>STOCKHOLMS LÄN</t>
        </is>
      </c>
      <c r="E136" t="inlineStr">
        <is>
          <t>NORRTÄLJE</t>
        </is>
      </c>
      <c r="G136" t="n">
        <v>1.8</v>
      </c>
      <c r="H136" t="n">
        <v>0</v>
      </c>
      <c r="I136" t="n">
        <v>0</v>
      </c>
      <c r="J136" t="n">
        <v>1</v>
      </c>
      <c r="K136" t="n">
        <v>0</v>
      </c>
      <c r="L136" t="n">
        <v>0</v>
      </c>
      <c r="M136" t="n">
        <v>0</v>
      </c>
      <c r="N136" t="n">
        <v>0</v>
      </c>
      <c r="O136" t="n">
        <v>1</v>
      </c>
      <c r="P136" t="n">
        <v>0</v>
      </c>
      <c r="Q136" t="n">
        <v>1</v>
      </c>
      <c r="R136" s="2" t="inlineStr">
        <is>
          <t>Majviva</t>
        </is>
      </c>
      <c r="S136">
        <f>HYPERLINK("https://klasma.github.io/Logging_0188/artfynd/A 26120-2024 artfynd.xlsx", "A 26120-2024")</f>
        <v/>
      </c>
      <c r="T136">
        <f>HYPERLINK("https://klasma.github.io/Logging_0188/kartor/A 26120-2024 karta.png", "A 26120-2024")</f>
        <v/>
      </c>
      <c r="V136">
        <f>HYPERLINK("https://klasma.github.io/Logging_0188/klagomål/A 26120-2024 FSC-klagomål.docx", "A 26120-2024")</f>
        <v/>
      </c>
      <c r="W136">
        <f>HYPERLINK("https://klasma.github.io/Logging_0188/klagomålsmail/A 26120-2024 FSC-klagomål mail.docx", "A 26120-2024")</f>
        <v/>
      </c>
      <c r="X136">
        <f>HYPERLINK("https://klasma.github.io/Logging_0188/tillsyn/A 26120-2024 tillsynsbegäran.docx", "A 26120-2024")</f>
        <v/>
      </c>
      <c r="Y136">
        <f>HYPERLINK("https://klasma.github.io/Logging_0188/tillsynsmail/A 26120-2024 tillsynsbegäran mail.docx", "A 26120-2024")</f>
        <v/>
      </c>
    </row>
    <row r="137" ht="15" customHeight="1">
      <c r="A137" t="inlineStr">
        <is>
          <t>A 11429-2023</t>
        </is>
      </c>
      <c r="B137" s="1" t="n">
        <v>44993</v>
      </c>
      <c r="C137" s="1" t="n">
        <v>46130</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50854-2022</t>
        </is>
      </c>
      <c r="B138" s="1" t="n">
        <v>44863</v>
      </c>
      <c r="C138" s="1" t="n">
        <v>46130</v>
      </c>
      <c r="D138" t="inlineStr">
        <is>
          <t>STOCKHOLMS LÄN</t>
        </is>
      </c>
      <c r="E138" t="inlineStr">
        <is>
          <t>NORRTÄLJE</t>
        </is>
      </c>
      <c r="G138" t="n">
        <v>2.9</v>
      </c>
      <c r="H138" t="n">
        <v>0</v>
      </c>
      <c r="I138" t="n">
        <v>1</v>
      </c>
      <c r="J138" t="n">
        <v>0</v>
      </c>
      <c r="K138" t="n">
        <v>0</v>
      </c>
      <c r="L138" t="n">
        <v>0</v>
      </c>
      <c r="M138" t="n">
        <v>0</v>
      </c>
      <c r="N138" t="n">
        <v>0</v>
      </c>
      <c r="O138" t="n">
        <v>0</v>
      </c>
      <c r="P138" t="n">
        <v>0</v>
      </c>
      <c r="Q138" t="n">
        <v>1</v>
      </c>
      <c r="R138" s="2" t="inlineStr">
        <is>
          <t>Tibast</t>
        </is>
      </c>
      <c r="S138">
        <f>HYPERLINK("https://klasma.github.io/Logging_0188/artfynd/A 50854-2022 artfynd.xlsx", "A 50854-2022")</f>
        <v/>
      </c>
      <c r="T138">
        <f>HYPERLINK("https://klasma.github.io/Logging_0188/kartor/A 50854-2022 karta.png", "A 50854-2022")</f>
        <v/>
      </c>
      <c r="V138">
        <f>HYPERLINK("https://klasma.github.io/Logging_0188/klagomål/A 50854-2022 FSC-klagomål.docx", "A 50854-2022")</f>
        <v/>
      </c>
      <c r="W138">
        <f>HYPERLINK("https://klasma.github.io/Logging_0188/klagomålsmail/A 50854-2022 FSC-klagomål mail.docx", "A 50854-2022")</f>
        <v/>
      </c>
      <c r="X138">
        <f>HYPERLINK("https://klasma.github.io/Logging_0188/tillsyn/A 50854-2022 tillsynsbegäran.docx", "A 50854-2022")</f>
        <v/>
      </c>
      <c r="Y138">
        <f>HYPERLINK("https://klasma.github.io/Logging_0188/tillsynsmail/A 50854-2022 tillsynsbegäran mail.docx", "A 50854-2022")</f>
        <v/>
      </c>
    </row>
    <row r="139" ht="15" customHeight="1">
      <c r="A139" t="inlineStr">
        <is>
          <t>A 64456-2023</t>
        </is>
      </c>
      <c r="B139" s="1" t="n">
        <v>45280</v>
      </c>
      <c r="C139" s="1" t="n">
        <v>46130</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31281-2022</t>
        </is>
      </c>
      <c r="B140" s="1" t="n">
        <v>44771</v>
      </c>
      <c r="C140" s="1" t="n">
        <v>46130</v>
      </c>
      <c r="D140" t="inlineStr">
        <is>
          <t>STOCKHOLMS LÄN</t>
        </is>
      </c>
      <c r="E140" t="inlineStr">
        <is>
          <t>NORRTÄLJE</t>
        </is>
      </c>
      <c r="F140" t="inlineStr">
        <is>
          <t>Holmen skog AB</t>
        </is>
      </c>
      <c r="G140" t="n">
        <v>5.2</v>
      </c>
      <c r="H140" t="n">
        <v>1</v>
      </c>
      <c r="I140" t="n">
        <v>0</v>
      </c>
      <c r="J140" t="n">
        <v>1</v>
      </c>
      <c r="K140" t="n">
        <v>0</v>
      </c>
      <c r="L140" t="n">
        <v>0</v>
      </c>
      <c r="M140" t="n">
        <v>0</v>
      </c>
      <c r="N140" t="n">
        <v>0</v>
      </c>
      <c r="O140" t="n">
        <v>1</v>
      </c>
      <c r="P140" t="n">
        <v>0</v>
      </c>
      <c r="Q140" t="n">
        <v>1</v>
      </c>
      <c r="R140" s="2" t="inlineStr">
        <is>
          <t>Kråka</t>
        </is>
      </c>
      <c r="S140">
        <f>HYPERLINK("https://klasma.github.io/Logging_0188/artfynd/A 31281-2022 artfynd.xlsx", "A 31281-2022")</f>
        <v/>
      </c>
      <c r="T140">
        <f>HYPERLINK("https://klasma.github.io/Logging_0188/kartor/A 31281-2022 karta.png", "A 31281-2022")</f>
        <v/>
      </c>
      <c r="V140">
        <f>HYPERLINK("https://klasma.github.io/Logging_0188/klagomål/A 31281-2022 FSC-klagomål.docx", "A 31281-2022")</f>
        <v/>
      </c>
      <c r="W140">
        <f>HYPERLINK("https://klasma.github.io/Logging_0188/klagomålsmail/A 31281-2022 FSC-klagomål mail.docx", "A 31281-2022")</f>
        <v/>
      </c>
      <c r="X140">
        <f>HYPERLINK("https://klasma.github.io/Logging_0188/tillsyn/A 31281-2022 tillsynsbegäran.docx", "A 31281-2022")</f>
        <v/>
      </c>
      <c r="Y140">
        <f>HYPERLINK("https://klasma.github.io/Logging_0188/tillsynsmail/A 31281-2022 tillsynsbegäran mail.docx", "A 31281-2022")</f>
        <v/>
      </c>
      <c r="Z140">
        <f>HYPERLINK("https://klasma.github.io/Logging_0188/fåglar/A 31281-2022 prioriterade fågelarter.docx", "A 31281-2022")</f>
        <v/>
      </c>
    </row>
    <row r="141" ht="15" customHeight="1">
      <c r="A141" t="inlineStr">
        <is>
          <t>A 52611-2024</t>
        </is>
      </c>
      <c r="B141" s="1" t="n">
        <v>45609.83747685186</v>
      </c>
      <c r="C141" s="1" t="n">
        <v>46130</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46130</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46130</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46130</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18580-2021</t>
        </is>
      </c>
      <c r="B145" s="1" t="n">
        <v>44306</v>
      </c>
      <c r="C145" s="1" t="n">
        <v>46130</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46130</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46130</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46130</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46130</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46130</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46130</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46130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46130</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46130</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46130</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46130</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46130</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46130</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46130</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46130</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46130</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46130</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46130</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46130</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46130</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46130</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46130</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46130</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46130</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46130</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46130</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46130</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46130</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46130</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46130</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46130</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46130</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46130</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46130</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46130</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46130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46130</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46130</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46130</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46130</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46130</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46130</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46130</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46130</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46130</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46130</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46130</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46130</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46130</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46130</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46130</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46130</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46130</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46130</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46130</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46130</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46130</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46130</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46130</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46130</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46130</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46130</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46130</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46130</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46130</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46130</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46130</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46130</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46130</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46130</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46130</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46130</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46130</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46130</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46130</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46130</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46130</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46130</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46130</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46130</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46130</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46130</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46130</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46130</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46130</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46130</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46130</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46130</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46130</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46130</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46130</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46130</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46130</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46130</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46130</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46130</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46130</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46130</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46130</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46130</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46130</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46130</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68273-2021</t>
        </is>
      </c>
      <c r="B249" s="1" t="n">
        <v>44526</v>
      </c>
      <c r="C249" s="1" t="n">
        <v>46130</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46130</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27217-2021</t>
        </is>
      </c>
      <c r="B251" s="1" t="n">
        <v>44350</v>
      </c>
      <c r="C251" s="1" t="n">
        <v>46130</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62030-2021</t>
        </is>
      </c>
      <c r="B252" s="1" t="n">
        <v>44502</v>
      </c>
      <c r="C252" s="1" t="n">
        <v>46130</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12875-2022</t>
        </is>
      </c>
      <c r="B253" s="1" t="n">
        <v>44642.55565972222</v>
      </c>
      <c r="C253" s="1" t="n">
        <v>46130</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46130</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46130</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27214-2021</t>
        </is>
      </c>
      <c r="B256" s="1" t="n">
        <v>44350</v>
      </c>
      <c r="C256" s="1" t="n">
        <v>46130</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46130</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46130</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7565-2022</t>
        </is>
      </c>
      <c r="B259" s="1" t="n">
        <v>44607</v>
      </c>
      <c r="C259" s="1" t="n">
        <v>46130</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20295-2022</t>
        </is>
      </c>
      <c r="B260" s="1" t="n">
        <v>44698</v>
      </c>
      <c r="C260" s="1" t="n">
        <v>46130</v>
      </c>
      <c r="D260" t="inlineStr">
        <is>
          <t>STOCKHOLMS LÄN</t>
        </is>
      </c>
      <c r="E260" t="inlineStr">
        <is>
          <t>NORRTÄLJE</t>
        </is>
      </c>
      <c r="G260" t="n">
        <v>1.3</v>
      </c>
      <c r="H260" t="n">
        <v>0</v>
      </c>
      <c r="I260" t="n">
        <v>0</v>
      </c>
      <c r="J260" t="n">
        <v>0</v>
      </c>
      <c r="K260" t="n">
        <v>0</v>
      </c>
      <c r="L260" t="n">
        <v>0</v>
      </c>
      <c r="M260" t="n">
        <v>0</v>
      </c>
      <c r="N260" t="n">
        <v>0</v>
      </c>
      <c r="O260" t="n">
        <v>0</v>
      </c>
      <c r="P260" t="n">
        <v>0</v>
      </c>
      <c r="Q260" t="n">
        <v>0</v>
      </c>
      <c r="R260" s="2" t="inlineStr"/>
    </row>
    <row r="261" ht="15" customHeight="1">
      <c r="A261" t="inlineStr">
        <is>
          <t>A 37415-2021</t>
        </is>
      </c>
      <c r="B261" s="1" t="n">
        <v>44397</v>
      </c>
      <c r="C261" s="1" t="n">
        <v>46130</v>
      </c>
      <c r="D261" t="inlineStr">
        <is>
          <t>STOCKHOLMS LÄN</t>
        </is>
      </c>
      <c r="E261" t="inlineStr">
        <is>
          <t>NORRTÄLJE</t>
        </is>
      </c>
      <c r="F261" t="inlineStr">
        <is>
          <t>Övriga Aktiebolag</t>
        </is>
      </c>
      <c r="G261" t="n">
        <v>3</v>
      </c>
      <c r="H261" t="n">
        <v>0</v>
      </c>
      <c r="I261" t="n">
        <v>0</v>
      </c>
      <c r="J261" t="n">
        <v>0</v>
      </c>
      <c r="K261" t="n">
        <v>0</v>
      </c>
      <c r="L261" t="n">
        <v>0</v>
      </c>
      <c r="M261" t="n">
        <v>0</v>
      </c>
      <c r="N261" t="n">
        <v>0</v>
      </c>
      <c r="O261" t="n">
        <v>0</v>
      </c>
      <c r="P261" t="n">
        <v>0</v>
      </c>
      <c r="Q261" t="n">
        <v>0</v>
      </c>
      <c r="R261" s="2" t="inlineStr"/>
    </row>
    <row r="262" ht="15" customHeight="1">
      <c r="A262" t="inlineStr">
        <is>
          <t>A 8160-2022</t>
        </is>
      </c>
      <c r="B262" s="1" t="n">
        <v>44609</v>
      </c>
      <c r="C262" s="1" t="n">
        <v>46130</v>
      </c>
      <c r="D262" t="inlineStr">
        <is>
          <t>STOCKHOLMS LÄN</t>
        </is>
      </c>
      <c r="E262" t="inlineStr">
        <is>
          <t>NORRTÄLJE</t>
        </is>
      </c>
      <c r="G262" t="n">
        <v>3.9</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46130</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46130</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30286-2022</t>
        </is>
      </c>
      <c r="B265" s="1" t="n">
        <v>44760</v>
      </c>
      <c r="C265" s="1" t="n">
        <v>46130</v>
      </c>
      <c r="D265" t="inlineStr">
        <is>
          <t>STOCKHOLMS LÄN</t>
        </is>
      </c>
      <c r="E265" t="inlineStr">
        <is>
          <t>NORRTÄLJE</t>
        </is>
      </c>
      <c r="G265" t="n">
        <v>0.3</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46130</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46130</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15226-2022</t>
        </is>
      </c>
      <c r="B268" s="1" t="n">
        <v>44658</v>
      </c>
      <c r="C268" s="1" t="n">
        <v>46130</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10521-2022</t>
        </is>
      </c>
      <c r="B269" s="1" t="n">
        <v>44623</v>
      </c>
      <c r="C269" s="1" t="n">
        <v>46130</v>
      </c>
      <c r="D269" t="inlineStr">
        <is>
          <t>STOCKHOLMS LÄN</t>
        </is>
      </c>
      <c r="E269" t="inlineStr">
        <is>
          <t>NORRTÄLJE</t>
        </is>
      </c>
      <c r="G269" t="n">
        <v>2.9</v>
      </c>
      <c r="H269" t="n">
        <v>0</v>
      </c>
      <c r="I269" t="n">
        <v>0</v>
      </c>
      <c r="J269" t="n">
        <v>0</v>
      </c>
      <c r="K269" t="n">
        <v>0</v>
      </c>
      <c r="L269" t="n">
        <v>0</v>
      </c>
      <c r="M269" t="n">
        <v>0</v>
      </c>
      <c r="N269" t="n">
        <v>0</v>
      </c>
      <c r="O269" t="n">
        <v>0</v>
      </c>
      <c r="P269" t="n">
        <v>0</v>
      </c>
      <c r="Q269" t="n">
        <v>0</v>
      </c>
      <c r="R269" s="2" t="inlineStr"/>
    </row>
    <row r="270" ht="15" customHeight="1">
      <c r="A270" t="inlineStr">
        <is>
          <t>A 17771-2022</t>
        </is>
      </c>
      <c r="B270" s="1" t="n">
        <v>44682.75924768519</v>
      </c>
      <c r="C270" s="1" t="n">
        <v>46130</v>
      </c>
      <c r="D270" t="inlineStr">
        <is>
          <t>STOCKHOLMS LÄN</t>
        </is>
      </c>
      <c r="E270" t="inlineStr">
        <is>
          <t>NORRTÄLJE</t>
        </is>
      </c>
      <c r="G270" t="n">
        <v>13.3</v>
      </c>
      <c r="H270" t="n">
        <v>0</v>
      </c>
      <c r="I270" t="n">
        <v>0</v>
      </c>
      <c r="J270" t="n">
        <v>0</v>
      </c>
      <c r="K270" t="n">
        <v>0</v>
      </c>
      <c r="L270" t="n">
        <v>0</v>
      </c>
      <c r="M270" t="n">
        <v>0</v>
      </c>
      <c r="N270" t="n">
        <v>0</v>
      </c>
      <c r="O270" t="n">
        <v>0</v>
      </c>
      <c r="P270" t="n">
        <v>0</v>
      </c>
      <c r="Q270" t="n">
        <v>0</v>
      </c>
      <c r="R270" s="2" t="inlineStr"/>
    </row>
    <row r="271" ht="15" customHeight="1">
      <c r="A271" t="inlineStr">
        <is>
          <t>A 17773-2022</t>
        </is>
      </c>
      <c r="B271" s="1" t="n">
        <v>44682.77616898148</v>
      </c>
      <c r="C271" s="1" t="n">
        <v>46130</v>
      </c>
      <c r="D271" t="inlineStr">
        <is>
          <t>STOCKHOLMS LÄN</t>
        </is>
      </c>
      <c r="E271" t="inlineStr">
        <is>
          <t>NORRTÄLJE</t>
        </is>
      </c>
      <c r="G271" t="n">
        <v>10.8</v>
      </c>
      <c r="H271" t="n">
        <v>0</v>
      </c>
      <c r="I271" t="n">
        <v>0</v>
      </c>
      <c r="J271" t="n">
        <v>0</v>
      </c>
      <c r="K271" t="n">
        <v>0</v>
      </c>
      <c r="L271" t="n">
        <v>0</v>
      </c>
      <c r="M271" t="n">
        <v>0</v>
      </c>
      <c r="N271" t="n">
        <v>0</v>
      </c>
      <c r="O271" t="n">
        <v>0</v>
      </c>
      <c r="P271" t="n">
        <v>0</v>
      </c>
      <c r="Q271" t="n">
        <v>0</v>
      </c>
      <c r="R271" s="2" t="inlineStr"/>
    </row>
    <row r="272" ht="15" customHeight="1">
      <c r="A272" t="inlineStr">
        <is>
          <t>A 16117-2022</t>
        </is>
      </c>
      <c r="B272" s="1" t="n">
        <v>44665.65474537037</v>
      </c>
      <c r="C272" s="1" t="n">
        <v>46130</v>
      </c>
      <c r="D272" t="inlineStr">
        <is>
          <t>STOCKHOLMS LÄN</t>
        </is>
      </c>
      <c r="E272" t="inlineStr">
        <is>
          <t>NORRTÄLJE</t>
        </is>
      </c>
      <c r="G272" t="n">
        <v>8.1</v>
      </c>
      <c r="H272" t="n">
        <v>0</v>
      </c>
      <c r="I272" t="n">
        <v>0</v>
      </c>
      <c r="J272" t="n">
        <v>0</v>
      </c>
      <c r="K272" t="n">
        <v>0</v>
      </c>
      <c r="L272" t="n">
        <v>0</v>
      </c>
      <c r="M272" t="n">
        <v>0</v>
      </c>
      <c r="N272" t="n">
        <v>0</v>
      </c>
      <c r="O272" t="n">
        <v>0</v>
      </c>
      <c r="P272" t="n">
        <v>0</v>
      </c>
      <c r="Q272" t="n">
        <v>0</v>
      </c>
      <c r="R272" s="2" t="inlineStr"/>
    </row>
    <row r="273" ht="15" customHeight="1">
      <c r="A273" t="inlineStr">
        <is>
          <t>A 16132-2022</t>
        </is>
      </c>
      <c r="B273" s="1" t="n">
        <v>44665.78351851852</v>
      </c>
      <c r="C273" s="1" t="n">
        <v>46130</v>
      </c>
      <c r="D273" t="inlineStr">
        <is>
          <t>STOCKHOLMS LÄN</t>
        </is>
      </c>
      <c r="E273" t="inlineStr">
        <is>
          <t>NORRTÄLJE</t>
        </is>
      </c>
      <c r="G273" t="n">
        <v>4.4</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46130</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46130</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25463-2021</t>
        </is>
      </c>
      <c r="B276" s="1" t="n">
        <v>44342</v>
      </c>
      <c r="C276" s="1" t="n">
        <v>46130</v>
      </c>
      <c r="D276" t="inlineStr">
        <is>
          <t>STOCKHOLMS LÄN</t>
        </is>
      </c>
      <c r="E276" t="inlineStr">
        <is>
          <t>NORRTÄLJE</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21102-2022</t>
        </is>
      </c>
      <c r="B277" s="1" t="n">
        <v>44704</v>
      </c>
      <c r="C277" s="1" t="n">
        <v>46130</v>
      </c>
      <c r="D277" t="inlineStr">
        <is>
          <t>STOCKHOLMS LÄN</t>
        </is>
      </c>
      <c r="E277" t="inlineStr">
        <is>
          <t>NORRTÄLJE</t>
        </is>
      </c>
      <c r="G277" t="n">
        <v>0.2</v>
      </c>
      <c r="H277" t="n">
        <v>0</v>
      </c>
      <c r="I277" t="n">
        <v>0</v>
      </c>
      <c r="J277" t="n">
        <v>0</v>
      </c>
      <c r="K277" t="n">
        <v>0</v>
      </c>
      <c r="L277" t="n">
        <v>0</v>
      </c>
      <c r="M277" t="n">
        <v>0</v>
      </c>
      <c r="N277" t="n">
        <v>0</v>
      </c>
      <c r="O277" t="n">
        <v>0</v>
      </c>
      <c r="P277" t="n">
        <v>0</v>
      </c>
      <c r="Q277" t="n">
        <v>0</v>
      </c>
      <c r="R277" s="2" t="inlineStr"/>
    </row>
    <row r="278" ht="15" customHeight="1">
      <c r="A278" t="inlineStr">
        <is>
          <t>A 17772-2022</t>
        </is>
      </c>
      <c r="B278" s="1" t="n">
        <v>44682.76528935185</v>
      </c>
      <c r="C278" s="1" t="n">
        <v>46130</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46130</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46130</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46130</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46130</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46130</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60184-2021</t>
        </is>
      </c>
      <c r="B284" s="1" t="n">
        <v>44495</v>
      </c>
      <c r="C284" s="1" t="n">
        <v>46130</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12348-2025</t>
        </is>
      </c>
      <c r="B285" s="1" t="n">
        <v>45730.35026620371</v>
      </c>
      <c r="C285" s="1" t="n">
        <v>46130</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55012-2024</t>
        </is>
      </c>
      <c r="B286" s="1" t="n">
        <v>45621.34813657407</v>
      </c>
      <c r="C286" s="1" t="n">
        <v>46130</v>
      </c>
      <c r="D286" t="inlineStr">
        <is>
          <t>STOCKHOLMS LÄN</t>
        </is>
      </c>
      <c r="E286" t="inlineStr">
        <is>
          <t>NORRTÄLJE</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23271-2023</t>
        </is>
      </c>
      <c r="B287" s="1" t="n">
        <v>45075.91362268518</v>
      </c>
      <c r="C287" s="1" t="n">
        <v>46130</v>
      </c>
      <c r="D287" t="inlineStr">
        <is>
          <t>STOCKHOLMS LÄN</t>
        </is>
      </c>
      <c r="E287" t="inlineStr">
        <is>
          <t>NORRTÄLJE</t>
        </is>
      </c>
      <c r="G287" t="n">
        <v>5.1</v>
      </c>
      <c r="H287" t="n">
        <v>0</v>
      </c>
      <c r="I287" t="n">
        <v>0</v>
      </c>
      <c r="J287" t="n">
        <v>0</v>
      </c>
      <c r="K287" t="n">
        <v>0</v>
      </c>
      <c r="L287" t="n">
        <v>0</v>
      </c>
      <c r="M287" t="n">
        <v>0</v>
      </c>
      <c r="N287" t="n">
        <v>0</v>
      </c>
      <c r="O287" t="n">
        <v>0</v>
      </c>
      <c r="P287" t="n">
        <v>0</v>
      </c>
      <c r="Q287" t="n">
        <v>0</v>
      </c>
      <c r="R287" s="2" t="inlineStr"/>
    </row>
    <row r="288" ht="15" customHeight="1">
      <c r="A288" t="inlineStr">
        <is>
          <t>A 23273-2023</t>
        </is>
      </c>
      <c r="B288" s="1" t="n">
        <v>45075.91971064815</v>
      </c>
      <c r="C288" s="1" t="n">
        <v>46130</v>
      </c>
      <c r="D288" t="inlineStr">
        <is>
          <t>STOCKHOLMS LÄN</t>
        </is>
      </c>
      <c r="E288" t="inlineStr">
        <is>
          <t>NORRTÄLJE</t>
        </is>
      </c>
      <c r="G288" t="n">
        <v>7.5</v>
      </c>
      <c r="H288" t="n">
        <v>0</v>
      </c>
      <c r="I288" t="n">
        <v>0</v>
      </c>
      <c r="J288" t="n">
        <v>0</v>
      </c>
      <c r="K288" t="n">
        <v>0</v>
      </c>
      <c r="L288" t="n">
        <v>0</v>
      </c>
      <c r="M288" t="n">
        <v>0</v>
      </c>
      <c r="N288" t="n">
        <v>0</v>
      </c>
      <c r="O288" t="n">
        <v>0</v>
      </c>
      <c r="P288" t="n">
        <v>0</v>
      </c>
      <c r="Q288" t="n">
        <v>0</v>
      </c>
      <c r="R288" s="2" t="inlineStr"/>
    </row>
    <row r="289" ht="15" customHeight="1">
      <c r="A289" t="inlineStr">
        <is>
          <t>A 30802-2022</t>
        </is>
      </c>
      <c r="B289" s="1" t="n">
        <v>44764</v>
      </c>
      <c r="C289" s="1" t="n">
        <v>46130</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19706-2023</t>
        </is>
      </c>
      <c r="B290" s="1" t="n">
        <v>45051.455</v>
      </c>
      <c r="C290" s="1" t="n">
        <v>46130</v>
      </c>
      <c r="D290" t="inlineStr">
        <is>
          <t>STOCKHOLMS LÄN</t>
        </is>
      </c>
      <c r="E290" t="inlineStr">
        <is>
          <t>NORRTÄLJE</t>
        </is>
      </c>
      <c r="G290" t="n">
        <v>0.2</v>
      </c>
      <c r="H290" t="n">
        <v>0</v>
      </c>
      <c r="I290" t="n">
        <v>0</v>
      </c>
      <c r="J290" t="n">
        <v>0</v>
      </c>
      <c r="K290" t="n">
        <v>0</v>
      </c>
      <c r="L290" t="n">
        <v>0</v>
      </c>
      <c r="M290" t="n">
        <v>0</v>
      </c>
      <c r="N290" t="n">
        <v>0</v>
      </c>
      <c r="O290" t="n">
        <v>0</v>
      </c>
      <c r="P290" t="n">
        <v>0</v>
      </c>
      <c r="Q290" t="n">
        <v>0</v>
      </c>
      <c r="R290" s="2" t="inlineStr"/>
    </row>
    <row r="291" ht="15" customHeight="1">
      <c r="A291" t="inlineStr">
        <is>
          <t>A 16008-2025</t>
        </is>
      </c>
      <c r="B291" s="1" t="n">
        <v>45749</v>
      </c>
      <c r="C291" s="1" t="n">
        <v>46130</v>
      </c>
      <c r="D291" t="inlineStr">
        <is>
          <t>STOCKHOLMS LÄN</t>
        </is>
      </c>
      <c r="E291" t="inlineStr">
        <is>
          <t>NORRTÄLJE</t>
        </is>
      </c>
      <c r="F291" t="inlineStr">
        <is>
          <t>Holmen skog AB</t>
        </is>
      </c>
      <c r="G291" t="n">
        <v>0.9</v>
      </c>
      <c r="H291" t="n">
        <v>0</v>
      </c>
      <c r="I291" t="n">
        <v>0</v>
      </c>
      <c r="J291" t="n">
        <v>0</v>
      </c>
      <c r="K291" t="n">
        <v>0</v>
      </c>
      <c r="L291" t="n">
        <v>0</v>
      </c>
      <c r="M291" t="n">
        <v>0</v>
      </c>
      <c r="N291" t="n">
        <v>0</v>
      </c>
      <c r="O291" t="n">
        <v>0</v>
      </c>
      <c r="P291" t="n">
        <v>0</v>
      </c>
      <c r="Q291" t="n">
        <v>0</v>
      </c>
      <c r="R291" s="2" t="inlineStr"/>
    </row>
    <row r="292" ht="15" customHeight="1">
      <c r="A292" t="inlineStr">
        <is>
          <t>A 9765-2024</t>
        </is>
      </c>
      <c r="B292" s="1" t="n">
        <v>45362.62811342593</v>
      </c>
      <c r="C292" s="1" t="n">
        <v>46130</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27715-2022</t>
        </is>
      </c>
      <c r="B293" s="1" t="n">
        <v>44743.47407407407</v>
      </c>
      <c r="C293" s="1" t="n">
        <v>46130</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40425-2021</t>
        </is>
      </c>
      <c r="B294" s="1" t="n">
        <v>44419</v>
      </c>
      <c r="C294" s="1" t="n">
        <v>46130</v>
      </c>
      <c r="D294" t="inlineStr">
        <is>
          <t>STOCKHOLMS LÄN</t>
        </is>
      </c>
      <c r="E294" t="inlineStr">
        <is>
          <t>NORRTÄLJE</t>
        </is>
      </c>
      <c r="G294" t="n">
        <v>5</v>
      </c>
      <c r="H294" t="n">
        <v>0</v>
      </c>
      <c r="I294" t="n">
        <v>0</v>
      </c>
      <c r="J294" t="n">
        <v>0</v>
      </c>
      <c r="K294" t="n">
        <v>0</v>
      </c>
      <c r="L294" t="n">
        <v>0</v>
      </c>
      <c r="M294" t="n">
        <v>0</v>
      </c>
      <c r="N294" t="n">
        <v>0</v>
      </c>
      <c r="O294" t="n">
        <v>0</v>
      </c>
      <c r="P294" t="n">
        <v>0</v>
      </c>
      <c r="Q294" t="n">
        <v>0</v>
      </c>
      <c r="R294" s="2" t="inlineStr"/>
    </row>
    <row r="295" ht="15" customHeight="1">
      <c r="A295" t="inlineStr">
        <is>
          <t>A 20014-2025</t>
        </is>
      </c>
      <c r="B295" s="1" t="n">
        <v>45772.3078125</v>
      </c>
      <c r="C295" s="1" t="n">
        <v>46130</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47694-2023</t>
        </is>
      </c>
      <c r="B296" s="1" t="n">
        <v>45203.63303240741</v>
      </c>
      <c r="C296" s="1" t="n">
        <v>46130</v>
      </c>
      <c r="D296" t="inlineStr">
        <is>
          <t>STOCKHOLMS LÄN</t>
        </is>
      </c>
      <c r="E296" t="inlineStr">
        <is>
          <t>NORRTÄLJE</t>
        </is>
      </c>
      <c r="G296" t="n">
        <v>5.2</v>
      </c>
      <c r="H296" t="n">
        <v>0</v>
      </c>
      <c r="I296" t="n">
        <v>0</v>
      </c>
      <c r="J296" t="n">
        <v>0</v>
      </c>
      <c r="K296" t="n">
        <v>0</v>
      </c>
      <c r="L296" t="n">
        <v>0</v>
      </c>
      <c r="M296" t="n">
        <v>0</v>
      </c>
      <c r="N296" t="n">
        <v>0</v>
      </c>
      <c r="O296" t="n">
        <v>0</v>
      </c>
      <c r="P296" t="n">
        <v>0</v>
      </c>
      <c r="Q296" t="n">
        <v>0</v>
      </c>
      <c r="R296" s="2" t="inlineStr"/>
    </row>
    <row r="297" ht="15" customHeight="1">
      <c r="A297" t="inlineStr">
        <is>
          <t>A 40656-2022</t>
        </is>
      </c>
      <c r="B297" s="1" t="n">
        <v>44824.36069444445</v>
      </c>
      <c r="C297" s="1" t="n">
        <v>46130</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56631-2024</t>
        </is>
      </c>
      <c r="B298" s="1" t="n">
        <v>45625</v>
      </c>
      <c r="C298" s="1" t="n">
        <v>46130</v>
      </c>
      <c r="D298" t="inlineStr">
        <is>
          <t>STOCKHOLMS LÄN</t>
        </is>
      </c>
      <c r="E298" t="inlineStr">
        <is>
          <t>NORRTÄLJE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42955-2022</t>
        </is>
      </c>
      <c r="B299" s="1" t="n">
        <v>44833.40876157407</v>
      </c>
      <c r="C299" s="1" t="n">
        <v>46130</v>
      </c>
      <c r="D299" t="inlineStr">
        <is>
          <t>STOCKHOLMS LÄN</t>
        </is>
      </c>
      <c r="E299" t="inlineStr">
        <is>
          <t>NORRTÄLJE</t>
        </is>
      </c>
      <c r="G299" t="n">
        <v>13.1</v>
      </c>
      <c r="H299" t="n">
        <v>0</v>
      </c>
      <c r="I299" t="n">
        <v>0</v>
      </c>
      <c r="J299" t="n">
        <v>0</v>
      </c>
      <c r="K299" t="n">
        <v>0</v>
      </c>
      <c r="L299" t="n">
        <v>0</v>
      </c>
      <c r="M299" t="n">
        <v>0</v>
      </c>
      <c r="N299" t="n">
        <v>0</v>
      </c>
      <c r="O299" t="n">
        <v>0</v>
      </c>
      <c r="P299" t="n">
        <v>0</v>
      </c>
      <c r="Q299" t="n">
        <v>0</v>
      </c>
      <c r="R299" s="2" t="inlineStr"/>
    </row>
    <row r="300" ht="15" customHeight="1">
      <c r="A300" t="inlineStr">
        <is>
          <t>A 48587-2023</t>
        </is>
      </c>
      <c r="B300" s="1" t="n">
        <v>45208</v>
      </c>
      <c r="C300" s="1" t="n">
        <v>46130</v>
      </c>
      <c r="D300" t="inlineStr">
        <is>
          <t>STOCKHOLMS LÄN</t>
        </is>
      </c>
      <c r="E300" t="inlineStr">
        <is>
          <t>NORRTÄLJE</t>
        </is>
      </c>
      <c r="G300" t="n">
        <v>7</v>
      </c>
      <c r="H300" t="n">
        <v>0</v>
      </c>
      <c r="I300" t="n">
        <v>0</v>
      </c>
      <c r="J300" t="n">
        <v>0</v>
      </c>
      <c r="K300" t="n">
        <v>0</v>
      </c>
      <c r="L300" t="n">
        <v>0</v>
      </c>
      <c r="M300" t="n">
        <v>0</v>
      </c>
      <c r="N300" t="n">
        <v>0</v>
      </c>
      <c r="O300" t="n">
        <v>0</v>
      </c>
      <c r="P300" t="n">
        <v>0</v>
      </c>
      <c r="Q300" t="n">
        <v>0</v>
      </c>
      <c r="R300" s="2" t="inlineStr"/>
    </row>
    <row r="301" ht="15" customHeight="1">
      <c r="A301" t="inlineStr">
        <is>
          <t>A 53600-2022</t>
        </is>
      </c>
      <c r="B301" s="1" t="n">
        <v>44879.70518518519</v>
      </c>
      <c r="C301" s="1" t="n">
        <v>46130</v>
      </c>
      <c r="D301" t="inlineStr">
        <is>
          <t>STOCKHOLMS LÄN</t>
        </is>
      </c>
      <c r="E301" t="inlineStr">
        <is>
          <t>NORRTÄLJE</t>
        </is>
      </c>
      <c r="G301" t="n">
        <v>4.3</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46130</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20136-2025</t>
        </is>
      </c>
      <c r="B303" s="1" t="n">
        <v>45772.51127314815</v>
      </c>
      <c r="C303" s="1" t="n">
        <v>46130</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46130</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15978-2024</t>
        </is>
      </c>
      <c r="B305" s="1" t="n">
        <v>45405.57927083333</v>
      </c>
      <c r="C305" s="1" t="n">
        <v>46130</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7603-2025</t>
        </is>
      </c>
      <c r="B306" s="1" t="n">
        <v>45705.66126157407</v>
      </c>
      <c r="C306" s="1" t="n">
        <v>46130</v>
      </c>
      <c r="D306" t="inlineStr">
        <is>
          <t>STOCKHOLMS LÄN</t>
        </is>
      </c>
      <c r="E306" t="inlineStr">
        <is>
          <t>NORRTÄLJE</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46130</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5158-2024</t>
        </is>
      </c>
      <c r="B308" s="1" t="n">
        <v>45330.50098379629</v>
      </c>
      <c r="C308" s="1" t="n">
        <v>46130</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20013-2025</t>
        </is>
      </c>
      <c r="B309" s="1" t="n">
        <v>45772.30436342592</v>
      </c>
      <c r="C309" s="1" t="n">
        <v>46130</v>
      </c>
      <c r="D309" t="inlineStr">
        <is>
          <t>STOCKHOLMS LÄN</t>
        </is>
      </c>
      <c r="E309" t="inlineStr">
        <is>
          <t>NORRTÄLJE</t>
        </is>
      </c>
      <c r="G309" t="n">
        <v>2.3</v>
      </c>
      <c r="H309" t="n">
        <v>0</v>
      </c>
      <c r="I309" t="n">
        <v>0</v>
      </c>
      <c r="J309" t="n">
        <v>0</v>
      </c>
      <c r="K309" t="n">
        <v>0</v>
      </c>
      <c r="L309" t="n">
        <v>0</v>
      </c>
      <c r="M309" t="n">
        <v>0</v>
      </c>
      <c r="N309" t="n">
        <v>0</v>
      </c>
      <c r="O309" t="n">
        <v>0</v>
      </c>
      <c r="P309" t="n">
        <v>0</v>
      </c>
      <c r="Q309" t="n">
        <v>0</v>
      </c>
      <c r="R309" s="2" t="inlineStr"/>
    </row>
    <row r="310" ht="15" customHeight="1">
      <c r="A310" t="inlineStr">
        <is>
          <t>A 8736-2024</t>
        </is>
      </c>
      <c r="B310" s="1" t="n">
        <v>45356.4722800926</v>
      </c>
      <c r="C310" s="1" t="n">
        <v>46130</v>
      </c>
      <c r="D310" t="inlineStr">
        <is>
          <t>STOCKHOLMS LÄN</t>
        </is>
      </c>
      <c r="E310" t="inlineStr">
        <is>
          <t>NORRTÄLJE</t>
        </is>
      </c>
      <c r="G310" t="n">
        <v>8.9</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46130</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51532-2025</t>
        </is>
      </c>
      <c r="B312" s="1" t="n">
        <v>45950.68297453703</v>
      </c>
      <c r="C312" s="1" t="n">
        <v>46130</v>
      </c>
      <c r="D312" t="inlineStr">
        <is>
          <t>STOCKHOLMS LÄN</t>
        </is>
      </c>
      <c r="E312" t="inlineStr">
        <is>
          <t>NORRTÄLJE</t>
        </is>
      </c>
      <c r="F312" t="inlineStr">
        <is>
          <t>Naturvårdsverket</t>
        </is>
      </c>
      <c r="G312" t="n">
        <v>17.3</v>
      </c>
      <c r="H312" t="n">
        <v>0</v>
      </c>
      <c r="I312" t="n">
        <v>0</v>
      </c>
      <c r="J312" t="n">
        <v>0</v>
      </c>
      <c r="K312" t="n">
        <v>0</v>
      </c>
      <c r="L312" t="n">
        <v>0</v>
      </c>
      <c r="M312" t="n">
        <v>0</v>
      </c>
      <c r="N312" t="n">
        <v>0</v>
      </c>
      <c r="O312" t="n">
        <v>0</v>
      </c>
      <c r="P312" t="n">
        <v>0</v>
      </c>
      <c r="Q312" t="n">
        <v>0</v>
      </c>
      <c r="R312" s="2" t="inlineStr"/>
    </row>
    <row r="313" ht="15" customHeight="1">
      <c r="A313" t="inlineStr">
        <is>
          <t>A 21771-2025</t>
        </is>
      </c>
      <c r="B313" s="1" t="n">
        <v>45783</v>
      </c>
      <c r="C313" s="1" t="n">
        <v>46130</v>
      </c>
      <c r="D313" t="inlineStr">
        <is>
          <t>STOCKHOLMS LÄN</t>
        </is>
      </c>
      <c r="E313" t="inlineStr">
        <is>
          <t>NORRTÄLJE</t>
        </is>
      </c>
      <c r="G313" t="n">
        <v>0.7</v>
      </c>
      <c r="H313" t="n">
        <v>0</v>
      </c>
      <c r="I313" t="n">
        <v>0</v>
      </c>
      <c r="J313" t="n">
        <v>0</v>
      </c>
      <c r="K313" t="n">
        <v>0</v>
      </c>
      <c r="L313" t="n">
        <v>0</v>
      </c>
      <c r="M313" t="n">
        <v>0</v>
      </c>
      <c r="N313" t="n">
        <v>0</v>
      </c>
      <c r="O313" t="n">
        <v>0</v>
      </c>
      <c r="P313" t="n">
        <v>0</v>
      </c>
      <c r="Q313" t="n">
        <v>0</v>
      </c>
      <c r="R313" s="2" t="inlineStr"/>
    </row>
    <row r="314" ht="15" customHeight="1">
      <c r="A314" t="inlineStr">
        <is>
          <t>A 45255-2022</t>
        </is>
      </c>
      <c r="B314" s="1" t="n">
        <v>44840</v>
      </c>
      <c r="C314" s="1" t="n">
        <v>46130</v>
      </c>
      <c r="D314" t="inlineStr">
        <is>
          <t>STOCKHOLMS LÄN</t>
        </is>
      </c>
      <c r="E314" t="inlineStr">
        <is>
          <t>NORRTÄLJE</t>
        </is>
      </c>
      <c r="G314" t="n">
        <v>4.1</v>
      </c>
      <c r="H314" t="n">
        <v>0</v>
      </c>
      <c r="I314" t="n">
        <v>0</v>
      </c>
      <c r="J314" t="n">
        <v>0</v>
      </c>
      <c r="K314" t="n">
        <v>0</v>
      </c>
      <c r="L314" t="n">
        <v>0</v>
      </c>
      <c r="M314" t="n">
        <v>0</v>
      </c>
      <c r="N314" t="n">
        <v>0</v>
      </c>
      <c r="O314" t="n">
        <v>0</v>
      </c>
      <c r="P314" t="n">
        <v>0</v>
      </c>
      <c r="Q314" t="n">
        <v>0</v>
      </c>
      <c r="R314" s="2" t="inlineStr"/>
    </row>
    <row r="315" ht="15" customHeight="1">
      <c r="A315" t="inlineStr">
        <is>
          <t>A 19915-2024</t>
        </is>
      </c>
      <c r="B315" s="1" t="n">
        <v>45433.58431712963</v>
      </c>
      <c r="C315" s="1" t="n">
        <v>46130</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12629-2024</t>
        </is>
      </c>
      <c r="B316" s="1" t="n">
        <v>45383</v>
      </c>
      <c r="C316" s="1" t="n">
        <v>46130</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51233-2025</t>
        </is>
      </c>
      <c r="B317" s="1" t="n">
        <v>45947.68232638889</v>
      </c>
      <c r="C317" s="1" t="n">
        <v>46130</v>
      </c>
      <c r="D317" t="inlineStr">
        <is>
          <t>STOCKHOLMS LÄN</t>
        </is>
      </c>
      <c r="E317" t="inlineStr">
        <is>
          <t>NORRTÄLJE</t>
        </is>
      </c>
      <c r="F317" t="inlineStr">
        <is>
          <t>Naturvårdsverket</t>
        </is>
      </c>
      <c r="G317" t="n">
        <v>8.1</v>
      </c>
      <c r="H317" t="n">
        <v>0</v>
      </c>
      <c r="I317" t="n">
        <v>0</v>
      </c>
      <c r="J317" t="n">
        <v>0</v>
      </c>
      <c r="K317" t="n">
        <v>0</v>
      </c>
      <c r="L317" t="n">
        <v>0</v>
      </c>
      <c r="M317" t="n">
        <v>0</v>
      </c>
      <c r="N317" t="n">
        <v>0</v>
      </c>
      <c r="O317" t="n">
        <v>0</v>
      </c>
      <c r="P317" t="n">
        <v>0</v>
      </c>
      <c r="Q317" t="n">
        <v>0</v>
      </c>
      <c r="R317" s="2" t="inlineStr"/>
    </row>
    <row r="318" ht="15" customHeight="1">
      <c r="A318" t="inlineStr">
        <is>
          <t>A 51236-2025</t>
        </is>
      </c>
      <c r="B318" s="1" t="n">
        <v>45947.69078703703</v>
      </c>
      <c r="C318" s="1" t="n">
        <v>46130</v>
      </c>
      <c r="D318" t="inlineStr">
        <is>
          <t>STOCKHOLMS LÄN</t>
        </is>
      </c>
      <c r="E318" t="inlineStr">
        <is>
          <t>NORRTÄLJE</t>
        </is>
      </c>
      <c r="F318" t="inlineStr">
        <is>
          <t>Naturvårdsverket</t>
        </is>
      </c>
      <c r="G318" t="n">
        <v>6.3</v>
      </c>
      <c r="H318" t="n">
        <v>0</v>
      </c>
      <c r="I318" t="n">
        <v>0</v>
      </c>
      <c r="J318" t="n">
        <v>0</v>
      </c>
      <c r="K318" t="n">
        <v>0</v>
      </c>
      <c r="L318" t="n">
        <v>0</v>
      </c>
      <c r="M318" t="n">
        <v>0</v>
      </c>
      <c r="N318" t="n">
        <v>0</v>
      </c>
      <c r="O318" t="n">
        <v>0</v>
      </c>
      <c r="P318" t="n">
        <v>0</v>
      </c>
      <c r="Q318" t="n">
        <v>0</v>
      </c>
      <c r="R318" s="2" t="inlineStr"/>
    </row>
    <row r="319" ht="15" customHeight="1">
      <c r="A319" t="inlineStr">
        <is>
          <t>A 51241-2025</t>
        </is>
      </c>
      <c r="B319" s="1" t="n">
        <v>45947.71726851852</v>
      </c>
      <c r="C319" s="1" t="n">
        <v>46130</v>
      </c>
      <c r="D319" t="inlineStr">
        <is>
          <t>STOCKHOLMS LÄN</t>
        </is>
      </c>
      <c r="E319" t="inlineStr">
        <is>
          <t>NORRTÄLJE</t>
        </is>
      </c>
      <c r="F319" t="inlineStr">
        <is>
          <t>Naturvårdsverket</t>
        </is>
      </c>
      <c r="G319" t="n">
        <v>6.4</v>
      </c>
      <c r="H319" t="n">
        <v>0</v>
      </c>
      <c r="I319" t="n">
        <v>0</v>
      </c>
      <c r="J319" t="n">
        <v>0</v>
      </c>
      <c r="K319" t="n">
        <v>0</v>
      </c>
      <c r="L319" t="n">
        <v>0</v>
      </c>
      <c r="M319" t="n">
        <v>0</v>
      </c>
      <c r="N319" t="n">
        <v>0</v>
      </c>
      <c r="O319" t="n">
        <v>0</v>
      </c>
      <c r="P319" t="n">
        <v>0</v>
      </c>
      <c r="Q319" t="n">
        <v>0</v>
      </c>
      <c r="R319" s="2" t="inlineStr"/>
    </row>
    <row r="320" ht="15" customHeight="1">
      <c r="A320" t="inlineStr">
        <is>
          <t>A 21778-2025</t>
        </is>
      </c>
      <c r="B320" s="1" t="n">
        <v>45783.66429398148</v>
      </c>
      <c r="C320" s="1" t="n">
        <v>46130</v>
      </c>
      <c r="D320" t="inlineStr">
        <is>
          <t>STOCKHOLMS LÄN</t>
        </is>
      </c>
      <c r="E320" t="inlineStr">
        <is>
          <t>NORRTÄLJE</t>
        </is>
      </c>
      <c r="G320" t="n">
        <v>2</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46130</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51122-2025</t>
        </is>
      </c>
      <c r="B322" s="1" t="n">
        <v>45947.53693287037</v>
      </c>
      <c r="C322" s="1" t="n">
        <v>46130</v>
      </c>
      <c r="D322" t="inlineStr">
        <is>
          <t>STOCKHOLMS LÄN</t>
        </is>
      </c>
      <c r="E322" t="inlineStr">
        <is>
          <t>NORRTÄLJE</t>
        </is>
      </c>
      <c r="G322" t="n">
        <v>3.8</v>
      </c>
      <c r="H322" t="n">
        <v>0</v>
      </c>
      <c r="I322" t="n">
        <v>0</v>
      </c>
      <c r="J322" t="n">
        <v>0</v>
      </c>
      <c r="K322" t="n">
        <v>0</v>
      </c>
      <c r="L322" t="n">
        <v>0</v>
      </c>
      <c r="M322" t="n">
        <v>0</v>
      </c>
      <c r="N322" t="n">
        <v>0</v>
      </c>
      <c r="O322" t="n">
        <v>0</v>
      </c>
      <c r="P322" t="n">
        <v>0</v>
      </c>
      <c r="Q322" t="n">
        <v>0</v>
      </c>
      <c r="R322" s="2" t="inlineStr"/>
    </row>
    <row r="323" ht="15" customHeight="1">
      <c r="A323" t="inlineStr">
        <is>
          <t>A 57037-2022</t>
        </is>
      </c>
      <c r="B323" s="1" t="n">
        <v>44895</v>
      </c>
      <c r="C323" s="1" t="n">
        <v>46130</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46130</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22816-2021</t>
        </is>
      </c>
      <c r="B325" s="1" t="n">
        <v>44325</v>
      </c>
      <c r="C325" s="1" t="n">
        <v>46130</v>
      </c>
      <c r="D325" t="inlineStr">
        <is>
          <t>STOCKHOLMS LÄN</t>
        </is>
      </c>
      <c r="E325" t="inlineStr">
        <is>
          <t>NORRTÄLJE</t>
        </is>
      </c>
      <c r="G325" t="n">
        <v>4.5</v>
      </c>
      <c r="H325" t="n">
        <v>0</v>
      </c>
      <c r="I325" t="n">
        <v>0</v>
      </c>
      <c r="J325" t="n">
        <v>0</v>
      </c>
      <c r="K325" t="n">
        <v>0</v>
      </c>
      <c r="L325" t="n">
        <v>0</v>
      </c>
      <c r="M325" t="n">
        <v>0</v>
      </c>
      <c r="N325" t="n">
        <v>0</v>
      </c>
      <c r="O325" t="n">
        <v>0</v>
      </c>
      <c r="P325" t="n">
        <v>0</v>
      </c>
      <c r="Q325" t="n">
        <v>0</v>
      </c>
      <c r="R325" s="2" t="inlineStr"/>
    </row>
    <row r="326" ht="15" customHeight="1">
      <c r="A326" t="inlineStr">
        <is>
          <t>A 12902-2024</t>
        </is>
      </c>
      <c r="B326" s="1" t="n">
        <v>45385.38146990741</v>
      </c>
      <c r="C326" s="1" t="n">
        <v>46130</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65499-2021</t>
        </is>
      </c>
      <c r="B327" s="1" t="n">
        <v>44516</v>
      </c>
      <c r="C327" s="1" t="n">
        <v>46130</v>
      </c>
      <c r="D327" t="inlineStr">
        <is>
          <t>STOCKHOLMS LÄN</t>
        </is>
      </c>
      <c r="E327" t="inlineStr">
        <is>
          <t>NORRTÄLJE</t>
        </is>
      </c>
      <c r="F327" t="inlineStr">
        <is>
          <t>Kommuner</t>
        </is>
      </c>
      <c r="G327" t="n">
        <v>5.2</v>
      </c>
      <c r="H327" t="n">
        <v>0</v>
      </c>
      <c r="I327" t="n">
        <v>0</v>
      </c>
      <c r="J327" t="n">
        <v>0</v>
      </c>
      <c r="K327" t="n">
        <v>0</v>
      </c>
      <c r="L327" t="n">
        <v>0</v>
      </c>
      <c r="M327" t="n">
        <v>0</v>
      </c>
      <c r="N327" t="n">
        <v>0</v>
      </c>
      <c r="O327" t="n">
        <v>0</v>
      </c>
      <c r="P327" t="n">
        <v>0</v>
      </c>
      <c r="Q327" t="n">
        <v>0</v>
      </c>
      <c r="R327" s="2" t="inlineStr"/>
    </row>
    <row r="328" ht="15" customHeight="1">
      <c r="A328" t="inlineStr">
        <is>
          <t>A 39237-2024</t>
        </is>
      </c>
      <c r="B328" s="1" t="n">
        <v>45549</v>
      </c>
      <c r="C328" s="1" t="n">
        <v>46130</v>
      </c>
      <c r="D328" t="inlineStr">
        <is>
          <t>STOCKHOLMS LÄN</t>
        </is>
      </c>
      <c r="E328" t="inlineStr">
        <is>
          <t>NORRTÄLJE</t>
        </is>
      </c>
      <c r="G328" t="n">
        <v>13.3</v>
      </c>
      <c r="H328" t="n">
        <v>0</v>
      </c>
      <c r="I328" t="n">
        <v>0</v>
      </c>
      <c r="J328" t="n">
        <v>0</v>
      </c>
      <c r="K328" t="n">
        <v>0</v>
      </c>
      <c r="L328" t="n">
        <v>0</v>
      </c>
      <c r="M328" t="n">
        <v>0</v>
      </c>
      <c r="N328" t="n">
        <v>0</v>
      </c>
      <c r="O328" t="n">
        <v>0</v>
      </c>
      <c r="P328" t="n">
        <v>0</v>
      </c>
      <c r="Q328" t="n">
        <v>0</v>
      </c>
      <c r="R328" s="2" t="inlineStr"/>
    </row>
    <row r="329" ht="15" customHeight="1">
      <c r="A329" t="inlineStr">
        <is>
          <t>A 23149-2024</t>
        </is>
      </c>
      <c r="B329" s="1" t="n">
        <v>45450.64208333333</v>
      </c>
      <c r="C329" s="1" t="n">
        <v>46130</v>
      </c>
      <c r="D329" t="inlineStr">
        <is>
          <t>STOCKHOLMS LÄN</t>
        </is>
      </c>
      <c r="E329" t="inlineStr">
        <is>
          <t>NORRTÄLJE</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23151-2024</t>
        </is>
      </c>
      <c r="B330" s="1" t="n">
        <v>45450</v>
      </c>
      <c r="C330" s="1" t="n">
        <v>46130</v>
      </c>
      <c r="D330" t="inlineStr">
        <is>
          <t>STOCKHOLMS LÄN</t>
        </is>
      </c>
      <c r="E330" t="inlineStr">
        <is>
          <t>NORRTÄLJE</t>
        </is>
      </c>
      <c r="F330" t="inlineStr">
        <is>
          <t>Kommuner</t>
        </is>
      </c>
      <c r="G330" t="n">
        <v>1.2</v>
      </c>
      <c r="H330" t="n">
        <v>0</v>
      </c>
      <c r="I330" t="n">
        <v>0</v>
      </c>
      <c r="J330" t="n">
        <v>0</v>
      </c>
      <c r="K330" t="n">
        <v>0</v>
      </c>
      <c r="L330" t="n">
        <v>0</v>
      </c>
      <c r="M330" t="n">
        <v>0</v>
      </c>
      <c r="N330" t="n">
        <v>0</v>
      </c>
      <c r="O330" t="n">
        <v>0</v>
      </c>
      <c r="P330" t="n">
        <v>0</v>
      </c>
      <c r="Q330" t="n">
        <v>0</v>
      </c>
      <c r="R330" s="2" t="inlineStr"/>
    </row>
    <row r="331" ht="15" customHeight="1">
      <c r="A331" t="inlineStr">
        <is>
          <t>A 44891-2023</t>
        </is>
      </c>
      <c r="B331" s="1" t="n">
        <v>45187</v>
      </c>
      <c r="C331" s="1" t="n">
        <v>46130</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13268-2025</t>
        </is>
      </c>
      <c r="B332" s="1" t="n">
        <v>45735</v>
      </c>
      <c r="C332" s="1" t="n">
        <v>46130</v>
      </c>
      <c r="D332" t="inlineStr">
        <is>
          <t>STOCKHOLMS LÄN</t>
        </is>
      </c>
      <c r="E332" t="inlineStr">
        <is>
          <t>NORRTÄLJE</t>
        </is>
      </c>
      <c r="G332" t="n">
        <v>11.4</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46130</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8414-2025</t>
        </is>
      </c>
      <c r="B334" s="1" t="n">
        <v>45709.39361111111</v>
      </c>
      <c r="C334" s="1" t="n">
        <v>46130</v>
      </c>
      <c r="D334" t="inlineStr">
        <is>
          <t>STOCKHOLMS LÄN</t>
        </is>
      </c>
      <c r="E334" t="inlineStr">
        <is>
          <t>NORRTÄLJE</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51978-2023</t>
        </is>
      </c>
      <c r="B335" s="1" t="n">
        <v>45223</v>
      </c>
      <c r="C335" s="1" t="n">
        <v>46130</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46130</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51945-2025</t>
        </is>
      </c>
      <c r="B337" s="1" t="n">
        <v>45952.52679398148</v>
      </c>
      <c r="C337" s="1" t="n">
        <v>46130</v>
      </c>
      <c r="D337" t="inlineStr">
        <is>
          <t>STOCKHOLMS LÄN</t>
        </is>
      </c>
      <c r="E337" t="inlineStr">
        <is>
          <t>NORRTÄLJE</t>
        </is>
      </c>
      <c r="G337" t="n">
        <v>7</v>
      </c>
      <c r="H337" t="n">
        <v>0</v>
      </c>
      <c r="I337" t="n">
        <v>0</v>
      </c>
      <c r="J337" t="n">
        <v>0</v>
      </c>
      <c r="K337" t="n">
        <v>0</v>
      </c>
      <c r="L337" t="n">
        <v>0</v>
      </c>
      <c r="M337" t="n">
        <v>0</v>
      </c>
      <c r="N337" t="n">
        <v>0</v>
      </c>
      <c r="O337" t="n">
        <v>0</v>
      </c>
      <c r="P337" t="n">
        <v>0</v>
      </c>
      <c r="Q337" t="n">
        <v>0</v>
      </c>
      <c r="R337" s="2" t="inlineStr"/>
    </row>
    <row r="338" ht="15" customHeight="1">
      <c r="A338" t="inlineStr">
        <is>
          <t>A 45549-2022</t>
        </is>
      </c>
      <c r="B338" s="1" t="n">
        <v>44845.48064814815</v>
      </c>
      <c r="C338" s="1" t="n">
        <v>46130</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51941-2025</t>
        </is>
      </c>
      <c r="B339" s="1" t="n">
        <v>45952.52261574074</v>
      </c>
      <c r="C339" s="1" t="n">
        <v>46130</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52061-2025</t>
        </is>
      </c>
      <c r="B340" s="1" t="n">
        <v>45952.63679398148</v>
      </c>
      <c r="C340" s="1" t="n">
        <v>46130</v>
      </c>
      <c r="D340" t="inlineStr">
        <is>
          <t>STOCKHOLMS LÄN</t>
        </is>
      </c>
      <c r="E340" t="inlineStr">
        <is>
          <t>NORRTÄLJE</t>
        </is>
      </c>
      <c r="G340" t="n">
        <v>9.5</v>
      </c>
      <c r="H340" t="n">
        <v>0</v>
      </c>
      <c r="I340" t="n">
        <v>0</v>
      </c>
      <c r="J340" t="n">
        <v>0</v>
      </c>
      <c r="K340" t="n">
        <v>0</v>
      </c>
      <c r="L340" t="n">
        <v>0</v>
      </c>
      <c r="M340" t="n">
        <v>0</v>
      </c>
      <c r="N340" t="n">
        <v>0</v>
      </c>
      <c r="O340" t="n">
        <v>0</v>
      </c>
      <c r="P340" t="n">
        <v>0</v>
      </c>
      <c r="Q340" t="n">
        <v>0</v>
      </c>
      <c r="R340" s="2" t="inlineStr"/>
    </row>
    <row r="341" ht="15" customHeight="1">
      <c r="A341" t="inlineStr">
        <is>
          <t>A 40761-2024</t>
        </is>
      </c>
      <c r="B341" s="1" t="n">
        <v>45558.46283564815</v>
      </c>
      <c r="C341" s="1" t="n">
        <v>46130</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44032-2024</t>
        </is>
      </c>
      <c r="B342" s="1" t="n">
        <v>45572.57828703704</v>
      </c>
      <c r="C342" s="1" t="n">
        <v>46130</v>
      </c>
      <c r="D342" t="inlineStr">
        <is>
          <t>STOCKHOLMS LÄN</t>
        </is>
      </c>
      <c r="E342" t="inlineStr">
        <is>
          <t>NORRTÄLJE</t>
        </is>
      </c>
      <c r="G342" t="n">
        <v>8.6</v>
      </c>
      <c r="H342" t="n">
        <v>0</v>
      </c>
      <c r="I342" t="n">
        <v>0</v>
      </c>
      <c r="J342" t="n">
        <v>0</v>
      </c>
      <c r="K342" t="n">
        <v>0</v>
      </c>
      <c r="L342" t="n">
        <v>0</v>
      </c>
      <c r="M342" t="n">
        <v>0</v>
      </c>
      <c r="N342" t="n">
        <v>0</v>
      </c>
      <c r="O342" t="n">
        <v>0</v>
      </c>
      <c r="P342" t="n">
        <v>0</v>
      </c>
      <c r="Q342" t="n">
        <v>0</v>
      </c>
      <c r="R342" s="2" t="inlineStr"/>
    </row>
    <row r="343" ht="15" customHeight="1">
      <c r="A343" t="inlineStr">
        <is>
          <t>A 23692-2024</t>
        </is>
      </c>
      <c r="B343" s="1" t="n">
        <v>45454.65774305556</v>
      </c>
      <c r="C343" s="1" t="n">
        <v>46130</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51960-2025</t>
        </is>
      </c>
      <c r="B344" s="1" t="n">
        <v>45952.54755787037</v>
      </c>
      <c r="C344" s="1" t="n">
        <v>46130</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51789-2025</t>
        </is>
      </c>
      <c r="B345" s="1" t="n">
        <v>45951.68046296296</v>
      </c>
      <c r="C345" s="1" t="n">
        <v>46130</v>
      </c>
      <c r="D345" t="inlineStr">
        <is>
          <t>STOCKHOLMS LÄN</t>
        </is>
      </c>
      <c r="E345" t="inlineStr">
        <is>
          <t>NORRTÄLJE</t>
        </is>
      </c>
      <c r="F345" t="inlineStr">
        <is>
          <t>Naturvårdsverket</t>
        </is>
      </c>
      <c r="G345" t="n">
        <v>8.9</v>
      </c>
      <c r="H345" t="n">
        <v>0</v>
      </c>
      <c r="I345" t="n">
        <v>0</v>
      </c>
      <c r="J345" t="n">
        <v>0</v>
      </c>
      <c r="K345" t="n">
        <v>0</v>
      </c>
      <c r="L345" t="n">
        <v>0</v>
      </c>
      <c r="M345" t="n">
        <v>0</v>
      </c>
      <c r="N345" t="n">
        <v>0</v>
      </c>
      <c r="O345" t="n">
        <v>0</v>
      </c>
      <c r="P345" t="n">
        <v>0</v>
      </c>
      <c r="Q345" t="n">
        <v>0</v>
      </c>
      <c r="R345" s="2" t="inlineStr"/>
    </row>
    <row r="346" ht="15" customHeight="1">
      <c r="A346" t="inlineStr">
        <is>
          <t>A 24563-2024</t>
        </is>
      </c>
      <c r="B346" s="1" t="n">
        <v>45460.44347222222</v>
      </c>
      <c r="C346" s="1" t="n">
        <v>46130</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22202-2025</t>
        </is>
      </c>
      <c r="B347" s="1" t="n">
        <v>45785.65300925926</v>
      </c>
      <c r="C347" s="1" t="n">
        <v>46130</v>
      </c>
      <c r="D347" t="inlineStr">
        <is>
          <t>STOCKHOLMS LÄN</t>
        </is>
      </c>
      <c r="E347" t="inlineStr">
        <is>
          <t>NORRTÄLJE</t>
        </is>
      </c>
      <c r="G347" t="n">
        <v>10.2</v>
      </c>
      <c r="H347" t="n">
        <v>0</v>
      </c>
      <c r="I347" t="n">
        <v>0</v>
      </c>
      <c r="J347" t="n">
        <v>0</v>
      </c>
      <c r="K347" t="n">
        <v>0</v>
      </c>
      <c r="L347" t="n">
        <v>0</v>
      </c>
      <c r="M347" t="n">
        <v>0</v>
      </c>
      <c r="N347" t="n">
        <v>0</v>
      </c>
      <c r="O347" t="n">
        <v>0</v>
      </c>
      <c r="P347" t="n">
        <v>0</v>
      </c>
      <c r="Q347" t="n">
        <v>0</v>
      </c>
      <c r="R347" s="2" t="inlineStr"/>
    </row>
    <row r="348" ht="15" customHeight="1">
      <c r="A348" t="inlineStr">
        <is>
          <t>A 52529-2025</t>
        </is>
      </c>
      <c r="B348" s="1" t="n">
        <v>45954.53229166667</v>
      </c>
      <c r="C348" s="1" t="n">
        <v>46130</v>
      </c>
      <c r="D348" t="inlineStr">
        <is>
          <t>STOCKHOLMS LÄN</t>
        </is>
      </c>
      <c r="E348" t="inlineStr">
        <is>
          <t>NORRTÄLJE</t>
        </is>
      </c>
      <c r="F348" t="inlineStr">
        <is>
          <t>Sveaskog</t>
        </is>
      </c>
      <c r="G348" t="n">
        <v>7.8</v>
      </c>
      <c r="H348" t="n">
        <v>0</v>
      </c>
      <c r="I348" t="n">
        <v>0</v>
      </c>
      <c r="J348" t="n">
        <v>0</v>
      </c>
      <c r="K348" t="n">
        <v>0</v>
      </c>
      <c r="L348" t="n">
        <v>0</v>
      </c>
      <c r="M348" t="n">
        <v>0</v>
      </c>
      <c r="N348" t="n">
        <v>0</v>
      </c>
      <c r="O348" t="n">
        <v>0</v>
      </c>
      <c r="P348" t="n">
        <v>0</v>
      </c>
      <c r="Q348" t="n">
        <v>0</v>
      </c>
      <c r="R348" s="2" t="inlineStr"/>
    </row>
    <row r="349" ht="15" customHeight="1">
      <c r="A349" t="inlineStr">
        <is>
          <t>A 36625-2024</t>
        </is>
      </c>
      <c r="B349" s="1" t="n">
        <v>45537</v>
      </c>
      <c r="C349" s="1" t="n">
        <v>46130</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37550-2022</t>
        </is>
      </c>
      <c r="B350" s="1" t="n">
        <v>44809</v>
      </c>
      <c r="C350" s="1" t="n">
        <v>46130</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52251-2025</t>
        </is>
      </c>
      <c r="B351" s="1" t="n">
        <v>45953.49185185185</v>
      </c>
      <c r="C351" s="1" t="n">
        <v>46130</v>
      </c>
      <c r="D351" t="inlineStr">
        <is>
          <t>STOCKHOLMS LÄN</t>
        </is>
      </c>
      <c r="E351" t="inlineStr">
        <is>
          <t>NORRTÄLJE</t>
        </is>
      </c>
      <c r="G351" t="n">
        <v>6.2</v>
      </c>
      <c r="H351" t="n">
        <v>0</v>
      </c>
      <c r="I351" t="n">
        <v>0</v>
      </c>
      <c r="J351" t="n">
        <v>0</v>
      </c>
      <c r="K351" t="n">
        <v>0</v>
      </c>
      <c r="L351" t="n">
        <v>0</v>
      </c>
      <c r="M351" t="n">
        <v>0</v>
      </c>
      <c r="N351" t="n">
        <v>0</v>
      </c>
      <c r="O351" t="n">
        <v>0</v>
      </c>
      <c r="P351" t="n">
        <v>0</v>
      </c>
      <c r="Q351" t="n">
        <v>0</v>
      </c>
      <c r="R351" s="2" t="inlineStr"/>
    </row>
    <row r="352" ht="15" customHeight="1">
      <c r="A352" t="inlineStr">
        <is>
          <t>A 52254-2025</t>
        </is>
      </c>
      <c r="B352" s="1" t="n">
        <v>45953.49519675926</v>
      </c>
      <c r="C352" s="1" t="n">
        <v>46130</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45746-2024</t>
        </is>
      </c>
      <c r="B353" s="1" t="n">
        <v>45579</v>
      </c>
      <c r="C353" s="1" t="n">
        <v>46130</v>
      </c>
      <c r="D353" t="inlineStr">
        <is>
          <t>STOCKHOLMS LÄN</t>
        </is>
      </c>
      <c r="E353" t="inlineStr">
        <is>
          <t>NORRTÄLJE</t>
        </is>
      </c>
      <c r="G353" t="n">
        <v>3.3</v>
      </c>
      <c r="H353" t="n">
        <v>0</v>
      </c>
      <c r="I353" t="n">
        <v>0</v>
      </c>
      <c r="J353" t="n">
        <v>0</v>
      </c>
      <c r="K353" t="n">
        <v>0</v>
      </c>
      <c r="L353" t="n">
        <v>0</v>
      </c>
      <c r="M353" t="n">
        <v>0</v>
      </c>
      <c r="N353" t="n">
        <v>0</v>
      </c>
      <c r="O353" t="n">
        <v>0</v>
      </c>
      <c r="P353" t="n">
        <v>0</v>
      </c>
      <c r="Q353" t="n">
        <v>0</v>
      </c>
      <c r="R353" s="2" t="inlineStr"/>
    </row>
    <row r="354" ht="15" customHeight="1">
      <c r="A354" t="inlineStr">
        <is>
          <t>A 47431-2023</t>
        </is>
      </c>
      <c r="B354" s="1" t="n">
        <v>45202</v>
      </c>
      <c r="C354" s="1" t="n">
        <v>46130</v>
      </c>
      <c r="D354" t="inlineStr">
        <is>
          <t>STOCKHOLMS LÄN</t>
        </is>
      </c>
      <c r="E354" t="inlineStr">
        <is>
          <t>NORRTÄLJE</t>
        </is>
      </c>
      <c r="F354" t="inlineStr">
        <is>
          <t>Naturvårdsverket</t>
        </is>
      </c>
      <c r="G354" t="n">
        <v>1.2</v>
      </c>
      <c r="H354" t="n">
        <v>0</v>
      </c>
      <c r="I354" t="n">
        <v>0</v>
      </c>
      <c r="J354" t="n">
        <v>0</v>
      </c>
      <c r="K354" t="n">
        <v>0</v>
      </c>
      <c r="L354" t="n">
        <v>0</v>
      </c>
      <c r="M354" t="n">
        <v>0</v>
      </c>
      <c r="N354" t="n">
        <v>0</v>
      </c>
      <c r="O354" t="n">
        <v>0</v>
      </c>
      <c r="P354" t="n">
        <v>0</v>
      </c>
      <c r="Q354" t="n">
        <v>0</v>
      </c>
      <c r="R354" s="2" t="inlineStr"/>
    </row>
    <row r="355" ht="15" customHeight="1">
      <c r="A355" t="inlineStr">
        <is>
          <t>A 52526-2025</t>
        </is>
      </c>
      <c r="B355" s="1" t="n">
        <v>45954.53061342592</v>
      </c>
      <c r="C355" s="1" t="n">
        <v>46130</v>
      </c>
      <c r="D355" t="inlineStr">
        <is>
          <t>STOCKHOLMS LÄN</t>
        </is>
      </c>
      <c r="E355" t="inlineStr">
        <is>
          <t>NORRTÄLJE</t>
        </is>
      </c>
      <c r="F355" t="inlineStr">
        <is>
          <t>Sveaskog</t>
        </is>
      </c>
      <c r="G355" t="n">
        <v>2.9</v>
      </c>
      <c r="H355" t="n">
        <v>0</v>
      </c>
      <c r="I355" t="n">
        <v>0</v>
      </c>
      <c r="J355" t="n">
        <v>0</v>
      </c>
      <c r="K355" t="n">
        <v>0</v>
      </c>
      <c r="L355" t="n">
        <v>0</v>
      </c>
      <c r="M355" t="n">
        <v>0</v>
      </c>
      <c r="N355" t="n">
        <v>0</v>
      </c>
      <c r="O355" t="n">
        <v>0</v>
      </c>
      <c r="P355" t="n">
        <v>0</v>
      </c>
      <c r="Q355" t="n">
        <v>0</v>
      </c>
      <c r="R355" s="2" t="inlineStr"/>
    </row>
    <row r="356" ht="15" customHeight="1">
      <c r="A356" t="inlineStr">
        <is>
          <t>A 23262-2023</t>
        </is>
      </c>
      <c r="B356" s="1" t="n">
        <v>45075.90270833333</v>
      </c>
      <c r="C356" s="1" t="n">
        <v>46130</v>
      </c>
      <c r="D356" t="inlineStr">
        <is>
          <t>STOCKHOLMS LÄN</t>
        </is>
      </c>
      <c r="E356" t="inlineStr">
        <is>
          <t>NORRTÄLJE</t>
        </is>
      </c>
      <c r="F356" t="inlineStr">
        <is>
          <t>Kommuner</t>
        </is>
      </c>
      <c r="G356" t="n">
        <v>1.9</v>
      </c>
      <c r="H356" t="n">
        <v>0</v>
      </c>
      <c r="I356" t="n">
        <v>0</v>
      </c>
      <c r="J356" t="n">
        <v>0</v>
      </c>
      <c r="K356" t="n">
        <v>0</v>
      </c>
      <c r="L356" t="n">
        <v>0</v>
      </c>
      <c r="M356" t="n">
        <v>0</v>
      </c>
      <c r="N356" t="n">
        <v>0</v>
      </c>
      <c r="O356" t="n">
        <v>0</v>
      </c>
      <c r="P356" t="n">
        <v>0</v>
      </c>
      <c r="Q356" t="n">
        <v>0</v>
      </c>
      <c r="R356" s="2" t="inlineStr"/>
    </row>
    <row r="357" ht="15" customHeight="1">
      <c r="A357" t="inlineStr">
        <is>
          <t>A 23268-2023</t>
        </is>
      </c>
      <c r="B357" s="1" t="n">
        <v>45075.91042824074</v>
      </c>
      <c r="C357" s="1" t="n">
        <v>46130</v>
      </c>
      <c r="D357" t="inlineStr">
        <is>
          <t>STOCKHOLMS LÄN</t>
        </is>
      </c>
      <c r="E357" t="inlineStr">
        <is>
          <t>NORRTÄLJE</t>
        </is>
      </c>
      <c r="G357" t="n">
        <v>3.3</v>
      </c>
      <c r="H357" t="n">
        <v>0</v>
      </c>
      <c r="I357" t="n">
        <v>0</v>
      </c>
      <c r="J357" t="n">
        <v>0</v>
      </c>
      <c r="K357" t="n">
        <v>0</v>
      </c>
      <c r="L357" t="n">
        <v>0</v>
      </c>
      <c r="M357" t="n">
        <v>0</v>
      </c>
      <c r="N357" t="n">
        <v>0</v>
      </c>
      <c r="O357" t="n">
        <v>0</v>
      </c>
      <c r="P357" t="n">
        <v>0</v>
      </c>
      <c r="Q357" t="n">
        <v>0</v>
      </c>
      <c r="R357" s="2" t="inlineStr"/>
    </row>
    <row r="358" ht="15" customHeight="1">
      <c r="A358" t="inlineStr">
        <is>
          <t>A 23270-2023</t>
        </is>
      </c>
      <c r="B358" s="1" t="n">
        <v>45075.91265046296</v>
      </c>
      <c r="C358" s="1" t="n">
        <v>46130</v>
      </c>
      <c r="D358" t="inlineStr">
        <is>
          <t>STOCKHOLMS LÄN</t>
        </is>
      </c>
      <c r="E358" t="inlineStr">
        <is>
          <t>NORRTÄLJE</t>
        </is>
      </c>
      <c r="G358" t="n">
        <v>12.3</v>
      </c>
      <c r="H358" t="n">
        <v>0</v>
      </c>
      <c r="I358" t="n">
        <v>0</v>
      </c>
      <c r="J358" t="n">
        <v>0</v>
      </c>
      <c r="K358" t="n">
        <v>0</v>
      </c>
      <c r="L358" t="n">
        <v>0</v>
      </c>
      <c r="M358" t="n">
        <v>0</v>
      </c>
      <c r="N358" t="n">
        <v>0</v>
      </c>
      <c r="O358" t="n">
        <v>0</v>
      </c>
      <c r="P358" t="n">
        <v>0</v>
      </c>
      <c r="Q358" t="n">
        <v>0</v>
      </c>
      <c r="R358" s="2" t="inlineStr"/>
    </row>
    <row r="359" ht="15" customHeight="1">
      <c r="A359" t="inlineStr">
        <is>
          <t>A 23274-2023</t>
        </is>
      </c>
      <c r="B359" s="1" t="n">
        <v>45075.92153935185</v>
      </c>
      <c r="C359" s="1" t="n">
        <v>46130</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46130</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5732-2023</t>
        </is>
      </c>
      <c r="B361" s="1" t="n">
        <v>44962</v>
      </c>
      <c r="C361" s="1" t="n">
        <v>46130</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38720-2025</t>
        </is>
      </c>
      <c r="B362" s="1" t="n">
        <v>45886</v>
      </c>
      <c r="C362" s="1" t="n">
        <v>46130</v>
      </c>
      <c r="D362" t="inlineStr">
        <is>
          <t>STOCKHOLMS LÄN</t>
        </is>
      </c>
      <c r="E362" t="inlineStr">
        <is>
          <t>NORRTÄLJE</t>
        </is>
      </c>
      <c r="G362" t="n">
        <v>1.6</v>
      </c>
      <c r="H362" t="n">
        <v>0</v>
      </c>
      <c r="I362" t="n">
        <v>0</v>
      </c>
      <c r="J362" t="n">
        <v>0</v>
      </c>
      <c r="K362" t="n">
        <v>0</v>
      </c>
      <c r="L362" t="n">
        <v>0</v>
      </c>
      <c r="M362" t="n">
        <v>0</v>
      </c>
      <c r="N362" t="n">
        <v>0</v>
      </c>
      <c r="O362" t="n">
        <v>0</v>
      </c>
      <c r="P362" t="n">
        <v>0</v>
      </c>
      <c r="Q362" t="n">
        <v>0</v>
      </c>
      <c r="R362" s="2" t="inlineStr"/>
    </row>
    <row r="363" ht="15" customHeight="1">
      <c r="A363" t="inlineStr">
        <is>
          <t>A 25609-2023</t>
        </is>
      </c>
      <c r="B363" s="1" t="n">
        <v>45089</v>
      </c>
      <c r="C363" s="1" t="n">
        <v>46130</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33569-2023</t>
        </is>
      </c>
      <c r="B364" s="1" t="n">
        <v>45131.666875</v>
      </c>
      <c r="C364" s="1" t="n">
        <v>46130</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8400-2024</t>
        </is>
      </c>
      <c r="B365" s="1" t="n">
        <v>45352.74090277778</v>
      </c>
      <c r="C365" s="1" t="n">
        <v>46130</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2182-2022</t>
        </is>
      </c>
      <c r="B366" s="1" t="n">
        <v>44578</v>
      </c>
      <c r="C366" s="1" t="n">
        <v>46130</v>
      </c>
      <c r="D366" t="inlineStr">
        <is>
          <t>STOCKHOLMS LÄN</t>
        </is>
      </c>
      <c r="E366" t="inlineStr">
        <is>
          <t>NORRTÄLJE</t>
        </is>
      </c>
      <c r="G366" t="n">
        <v>7.2</v>
      </c>
      <c r="H366" t="n">
        <v>0</v>
      </c>
      <c r="I366" t="n">
        <v>0</v>
      </c>
      <c r="J366" t="n">
        <v>0</v>
      </c>
      <c r="K366" t="n">
        <v>0</v>
      </c>
      <c r="L366" t="n">
        <v>0</v>
      </c>
      <c r="M366" t="n">
        <v>0</v>
      </c>
      <c r="N366" t="n">
        <v>0</v>
      </c>
      <c r="O366" t="n">
        <v>0</v>
      </c>
      <c r="P366" t="n">
        <v>0</v>
      </c>
      <c r="Q366" t="n">
        <v>0</v>
      </c>
      <c r="R366" s="2" t="inlineStr"/>
    </row>
    <row r="367" ht="15" customHeight="1">
      <c r="A367" t="inlineStr">
        <is>
          <t>A 50569-2022</t>
        </is>
      </c>
      <c r="B367" s="1" t="n">
        <v>44866.63775462963</v>
      </c>
      <c r="C367" s="1" t="n">
        <v>46130</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16620-2024</t>
        </is>
      </c>
      <c r="B368" s="1" t="n">
        <v>45408.57707175926</v>
      </c>
      <c r="C368" s="1" t="n">
        <v>46130</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39152-2025</t>
        </is>
      </c>
      <c r="B369" s="1" t="n">
        <v>45888</v>
      </c>
      <c r="C369" s="1" t="n">
        <v>46130</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22833-2024</t>
        </is>
      </c>
      <c r="B370" s="1" t="n">
        <v>45448.56746527777</v>
      </c>
      <c r="C370" s="1" t="n">
        <v>46130</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60224-2023</t>
        </is>
      </c>
      <c r="B371" s="1" t="n">
        <v>45257</v>
      </c>
      <c r="C371" s="1" t="n">
        <v>46130</v>
      </c>
      <c r="D371" t="inlineStr">
        <is>
          <t>STOCKHOLMS LÄN</t>
        </is>
      </c>
      <c r="E371" t="inlineStr">
        <is>
          <t>NORRTÄLJE</t>
        </is>
      </c>
      <c r="G371" t="n">
        <v>8.1</v>
      </c>
      <c r="H371" t="n">
        <v>0</v>
      </c>
      <c r="I371" t="n">
        <v>0</v>
      </c>
      <c r="J371" t="n">
        <v>0</v>
      </c>
      <c r="K371" t="n">
        <v>0</v>
      </c>
      <c r="L371" t="n">
        <v>0</v>
      </c>
      <c r="M371" t="n">
        <v>0</v>
      </c>
      <c r="N371" t="n">
        <v>0</v>
      </c>
      <c r="O371" t="n">
        <v>0</v>
      </c>
      <c r="P371" t="n">
        <v>0</v>
      </c>
      <c r="Q371" t="n">
        <v>0</v>
      </c>
      <c r="R371" s="2" t="inlineStr"/>
    </row>
    <row r="372" ht="15" customHeight="1">
      <c r="A372" t="inlineStr">
        <is>
          <t>A 22416-2025</t>
        </is>
      </c>
      <c r="B372" s="1" t="n">
        <v>45786.55645833333</v>
      </c>
      <c r="C372" s="1" t="n">
        <v>46130</v>
      </c>
      <c r="D372" t="inlineStr">
        <is>
          <t>STOCKHOLMS LÄN</t>
        </is>
      </c>
      <c r="E372" t="inlineStr">
        <is>
          <t>NORRTÄLJE</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46130</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58785-2024</t>
        </is>
      </c>
      <c r="B374" s="1" t="n">
        <v>45635.88849537037</v>
      </c>
      <c r="C374" s="1" t="n">
        <v>46130</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46130</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46130</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46130</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46130</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39692-2025</t>
        </is>
      </c>
      <c r="B379" s="1" t="n">
        <v>45890.68083333333</v>
      </c>
      <c r="C379" s="1" t="n">
        <v>46130</v>
      </c>
      <c r="D379" t="inlineStr">
        <is>
          <t>STOCKHOLMS LÄN</t>
        </is>
      </c>
      <c r="E379" t="inlineStr">
        <is>
          <t>NORRTÄLJE</t>
        </is>
      </c>
      <c r="G379" t="n">
        <v>10.5</v>
      </c>
      <c r="H379" t="n">
        <v>0</v>
      </c>
      <c r="I379" t="n">
        <v>0</v>
      </c>
      <c r="J379" t="n">
        <v>0</v>
      </c>
      <c r="K379" t="n">
        <v>0</v>
      </c>
      <c r="L379" t="n">
        <v>0</v>
      </c>
      <c r="M379" t="n">
        <v>0</v>
      </c>
      <c r="N379" t="n">
        <v>0</v>
      </c>
      <c r="O379" t="n">
        <v>0</v>
      </c>
      <c r="P379" t="n">
        <v>0</v>
      </c>
      <c r="Q379" t="n">
        <v>0</v>
      </c>
      <c r="R379" s="2" t="inlineStr"/>
    </row>
    <row r="380" ht="15" customHeight="1">
      <c r="A380" t="inlineStr">
        <is>
          <t>A 27677-2025</t>
        </is>
      </c>
      <c r="B380" s="1" t="n">
        <v>45813.63650462963</v>
      </c>
      <c r="C380" s="1" t="n">
        <v>46130</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32071-2023</t>
        </is>
      </c>
      <c r="B381" s="1" t="n">
        <v>45119.57728009259</v>
      </c>
      <c r="C381" s="1" t="n">
        <v>46130</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46130</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24245-2024</t>
        </is>
      </c>
      <c r="B383" s="1" t="n">
        <v>45457</v>
      </c>
      <c r="C383" s="1" t="n">
        <v>46130</v>
      </c>
      <c r="D383" t="inlineStr">
        <is>
          <t>STOCKHOLMS LÄN</t>
        </is>
      </c>
      <c r="E383" t="inlineStr">
        <is>
          <t>NORRTÄLJE</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26115-2024</t>
        </is>
      </c>
      <c r="B384" s="1" t="n">
        <v>45468.45628472222</v>
      </c>
      <c r="C384" s="1" t="n">
        <v>46130</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40230-2025</t>
        </is>
      </c>
      <c r="B385" s="1" t="n">
        <v>45894.71101851852</v>
      </c>
      <c r="C385" s="1" t="n">
        <v>46130</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40228-2025</t>
        </is>
      </c>
      <c r="B386" s="1" t="n">
        <v>45894.70854166667</v>
      </c>
      <c r="C386" s="1" t="n">
        <v>46130</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35636-2025</t>
        </is>
      </c>
      <c r="B387" s="1" t="n">
        <v>45859</v>
      </c>
      <c r="C387" s="1" t="n">
        <v>46130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46130</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46130</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54273-2021</t>
        </is>
      </c>
      <c r="B390" s="1" t="n">
        <v>44470.72987268519</v>
      </c>
      <c r="C390" s="1" t="n">
        <v>46130</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43212-2022</t>
        </is>
      </c>
      <c r="B391" s="1" t="n">
        <v>44834.38636574074</v>
      </c>
      <c r="C391" s="1" t="n">
        <v>46130</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62998-2023</t>
        </is>
      </c>
      <c r="B392" s="1" t="n">
        <v>45272.64479166667</v>
      </c>
      <c r="C392" s="1" t="n">
        <v>46130</v>
      </c>
      <c r="D392" t="inlineStr">
        <is>
          <t>STOCKHOLMS LÄN</t>
        </is>
      </c>
      <c r="E392" t="inlineStr">
        <is>
          <t>NORRTÄLJE</t>
        </is>
      </c>
      <c r="G392" t="n">
        <v>16.3</v>
      </c>
      <c r="H392" t="n">
        <v>0</v>
      </c>
      <c r="I392" t="n">
        <v>0</v>
      </c>
      <c r="J392" t="n">
        <v>0</v>
      </c>
      <c r="K392" t="n">
        <v>0</v>
      </c>
      <c r="L392" t="n">
        <v>0</v>
      </c>
      <c r="M392" t="n">
        <v>0</v>
      </c>
      <c r="N392" t="n">
        <v>0</v>
      </c>
      <c r="O392" t="n">
        <v>0</v>
      </c>
      <c r="P392" t="n">
        <v>0</v>
      </c>
      <c r="Q392" t="n">
        <v>0</v>
      </c>
      <c r="R392" s="2" t="inlineStr"/>
    </row>
    <row r="393" ht="15" customHeight="1">
      <c r="A393" t="inlineStr">
        <is>
          <t>A 63015-2023</t>
        </is>
      </c>
      <c r="B393" s="1" t="n">
        <v>45272</v>
      </c>
      <c r="C393" s="1" t="n">
        <v>46130</v>
      </c>
      <c r="D393" t="inlineStr">
        <is>
          <t>STOCKHOLMS LÄN</t>
        </is>
      </c>
      <c r="E393" t="inlineStr">
        <is>
          <t>NORRTÄLJE</t>
        </is>
      </c>
      <c r="G393" t="n">
        <v>13.1</v>
      </c>
      <c r="H393" t="n">
        <v>0</v>
      </c>
      <c r="I393" t="n">
        <v>0</v>
      </c>
      <c r="J393" t="n">
        <v>0</v>
      </c>
      <c r="K393" t="n">
        <v>0</v>
      </c>
      <c r="L393" t="n">
        <v>0</v>
      </c>
      <c r="M393" t="n">
        <v>0</v>
      </c>
      <c r="N393" t="n">
        <v>0</v>
      </c>
      <c r="O393" t="n">
        <v>0</v>
      </c>
      <c r="P393" t="n">
        <v>0</v>
      </c>
      <c r="Q393" t="n">
        <v>0</v>
      </c>
      <c r="R393" s="2" t="inlineStr"/>
    </row>
    <row r="394" ht="15" customHeight="1">
      <c r="A394" t="inlineStr">
        <is>
          <t>A 40217-2025</t>
        </is>
      </c>
      <c r="B394" s="1" t="n">
        <v>45894.68864583333</v>
      </c>
      <c r="C394" s="1" t="n">
        <v>46130</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35639-2025</t>
        </is>
      </c>
      <c r="B395" s="1" t="n">
        <v>45859</v>
      </c>
      <c r="C395" s="1" t="n">
        <v>46130</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40032-2025</t>
        </is>
      </c>
      <c r="B396" s="1" t="n">
        <v>45893</v>
      </c>
      <c r="C396" s="1" t="n">
        <v>46130</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40097-2025</t>
        </is>
      </c>
      <c r="B397" s="1" t="n">
        <v>45894.48322916667</v>
      </c>
      <c r="C397" s="1" t="n">
        <v>46130</v>
      </c>
      <c r="D397" t="inlineStr">
        <is>
          <t>STOCKHOLMS LÄN</t>
        </is>
      </c>
      <c r="E397" t="inlineStr">
        <is>
          <t>NORRTÄLJE</t>
        </is>
      </c>
      <c r="G397" t="n">
        <v>3</v>
      </c>
      <c r="H397" t="n">
        <v>0</v>
      </c>
      <c r="I397" t="n">
        <v>0</v>
      </c>
      <c r="J397" t="n">
        <v>0</v>
      </c>
      <c r="K397" t="n">
        <v>0</v>
      </c>
      <c r="L397" t="n">
        <v>0</v>
      </c>
      <c r="M397" t="n">
        <v>0</v>
      </c>
      <c r="N397" t="n">
        <v>0</v>
      </c>
      <c r="O397" t="n">
        <v>0</v>
      </c>
      <c r="P397" t="n">
        <v>0</v>
      </c>
      <c r="Q397" t="n">
        <v>0</v>
      </c>
      <c r="R397" s="2" t="inlineStr"/>
    </row>
    <row r="398" ht="15" customHeight="1">
      <c r="A398" t="inlineStr">
        <is>
          <t>A 12901-2024</t>
        </is>
      </c>
      <c r="B398" s="1" t="n">
        <v>45385.37922453704</v>
      </c>
      <c r="C398" s="1" t="n">
        <v>46130</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12301-2025</t>
        </is>
      </c>
      <c r="B399" s="1" t="n">
        <v>45729.7271875</v>
      </c>
      <c r="C399" s="1" t="n">
        <v>46130</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8950-2025</t>
        </is>
      </c>
      <c r="B400" s="1" t="n">
        <v>45713</v>
      </c>
      <c r="C400" s="1" t="n">
        <v>46130</v>
      </c>
      <c r="D400" t="inlineStr">
        <is>
          <t>STOCKHOLMS LÄN</t>
        </is>
      </c>
      <c r="E400" t="inlineStr">
        <is>
          <t>NORRTÄLJE</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20730-2024</t>
        </is>
      </c>
      <c r="B401" s="1" t="n">
        <v>45436</v>
      </c>
      <c r="C401" s="1" t="n">
        <v>46130</v>
      </c>
      <c r="D401" t="inlineStr">
        <is>
          <t>STOCKHOLMS LÄN</t>
        </is>
      </c>
      <c r="E401" t="inlineStr">
        <is>
          <t>NORRTÄLJE</t>
        </is>
      </c>
      <c r="G401" t="n">
        <v>7.3</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45896.38466435186</v>
      </c>
      <c r="C402" s="1" t="n">
        <v>46130</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33175-2024</t>
        </is>
      </c>
      <c r="B403" s="1" t="n">
        <v>45518</v>
      </c>
      <c r="C403" s="1" t="n">
        <v>46130</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13283-2025</t>
        </is>
      </c>
      <c r="B404" s="1" t="n">
        <v>45735</v>
      </c>
      <c r="C404" s="1" t="n">
        <v>46130</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34295-2024</t>
        </is>
      </c>
      <c r="B405" s="1" t="n">
        <v>45524</v>
      </c>
      <c r="C405" s="1" t="n">
        <v>46130</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40292-2025</t>
        </is>
      </c>
      <c r="B406" s="1" t="n">
        <v>45895.3867824074</v>
      </c>
      <c r="C406" s="1" t="n">
        <v>46130</v>
      </c>
      <c r="D406" t="inlineStr">
        <is>
          <t>STOCKHOLMS LÄN</t>
        </is>
      </c>
      <c r="E406" t="inlineStr">
        <is>
          <t>NORRTÄLJE</t>
        </is>
      </c>
      <c r="G406" t="n">
        <v>3.5</v>
      </c>
      <c r="H406" t="n">
        <v>0</v>
      </c>
      <c r="I406" t="n">
        <v>0</v>
      </c>
      <c r="J406" t="n">
        <v>0</v>
      </c>
      <c r="K406" t="n">
        <v>0</v>
      </c>
      <c r="L406" t="n">
        <v>0</v>
      </c>
      <c r="M406" t="n">
        <v>0</v>
      </c>
      <c r="N406" t="n">
        <v>0</v>
      </c>
      <c r="O406" t="n">
        <v>0</v>
      </c>
      <c r="P406" t="n">
        <v>0</v>
      </c>
      <c r="Q406" t="n">
        <v>0</v>
      </c>
      <c r="R406" s="2" t="inlineStr"/>
    </row>
    <row r="407" ht="15" customHeight="1">
      <c r="A407" t="inlineStr">
        <is>
          <t>A 40294-2025</t>
        </is>
      </c>
      <c r="B407" s="1" t="n">
        <v>45895.38778935185</v>
      </c>
      <c r="C407" s="1" t="n">
        <v>46130</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27831-2024</t>
        </is>
      </c>
      <c r="B408" s="1" t="n">
        <v>45475.61896990741</v>
      </c>
      <c r="C408" s="1" t="n">
        <v>46130</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6537-2024</t>
        </is>
      </c>
      <c r="B409" s="1" t="n">
        <v>45341.39853009259</v>
      </c>
      <c r="C409" s="1" t="n">
        <v>46130</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52260-2022</t>
        </is>
      </c>
      <c r="B410" s="1" t="n">
        <v>44869</v>
      </c>
      <c r="C410" s="1" t="n">
        <v>46130</v>
      </c>
      <c r="D410" t="inlineStr">
        <is>
          <t>STOCKHOLMS LÄN</t>
        </is>
      </c>
      <c r="E410" t="inlineStr">
        <is>
          <t>NORRTÄLJE</t>
        </is>
      </c>
      <c r="G410" t="n">
        <v>3.1</v>
      </c>
      <c r="H410" t="n">
        <v>0</v>
      </c>
      <c r="I410" t="n">
        <v>0</v>
      </c>
      <c r="J410" t="n">
        <v>0</v>
      </c>
      <c r="K410" t="n">
        <v>0</v>
      </c>
      <c r="L410" t="n">
        <v>0</v>
      </c>
      <c r="M410" t="n">
        <v>0</v>
      </c>
      <c r="N410" t="n">
        <v>0</v>
      </c>
      <c r="O410" t="n">
        <v>0</v>
      </c>
      <c r="P410" t="n">
        <v>0</v>
      </c>
      <c r="Q410" t="n">
        <v>0</v>
      </c>
      <c r="R410" s="2" t="inlineStr"/>
    </row>
    <row r="411" ht="15" customHeight="1">
      <c r="A411" t="inlineStr">
        <is>
          <t>A 41275-2025</t>
        </is>
      </c>
      <c r="B411" s="1" t="n">
        <v>45898.62625</v>
      </c>
      <c r="C411" s="1" t="n">
        <v>46130</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40837-2025</t>
        </is>
      </c>
      <c r="B412" s="1" t="n">
        <v>45897.51328703704</v>
      </c>
      <c r="C412" s="1" t="n">
        <v>46130</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52729-2025</t>
        </is>
      </c>
      <c r="B413" s="1" t="n">
        <v>45957.3636574074</v>
      </c>
      <c r="C413" s="1" t="n">
        <v>46130</v>
      </c>
      <c r="D413" t="inlineStr">
        <is>
          <t>STOCKHOLMS LÄN</t>
        </is>
      </c>
      <c r="E413" t="inlineStr">
        <is>
          <t>NORRTÄLJE</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46130</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52777-2025</t>
        </is>
      </c>
      <c r="B415" s="1" t="n">
        <v>45957.41832175926</v>
      </c>
      <c r="C415" s="1" t="n">
        <v>46130</v>
      </c>
      <c r="D415" t="inlineStr">
        <is>
          <t>STOCKHOLMS LÄN</t>
        </is>
      </c>
      <c r="E415" t="inlineStr">
        <is>
          <t>NORRTÄLJE</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41158-2025</t>
        </is>
      </c>
      <c r="B416" s="1" t="n">
        <v>45898.5315625</v>
      </c>
      <c r="C416" s="1" t="n">
        <v>46130</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55058-2021</t>
        </is>
      </c>
      <c r="B417" s="1" t="n">
        <v>44474.62141203704</v>
      </c>
      <c r="C417" s="1" t="n">
        <v>46130</v>
      </c>
      <c r="D417" t="inlineStr">
        <is>
          <t>STOCKHOLMS LÄN</t>
        </is>
      </c>
      <c r="E417" t="inlineStr">
        <is>
          <t>NORRTÄLJE</t>
        </is>
      </c>
      <c r="G417" t="n">
        <v>1.9</v>
      </c>
      <c r="H417" t="n">
        <v>0</v>
      </c>
      <c r="I417" t="n">
        <v>0</v>
      </c>
      <c r="J417" t="n">
        <v>0</v>
      </c>
      <c r="K417" t="n">
        <v>0</v>
      </c>
      <c r="L417" t="n">
        <v>0</v>
      </c>
      <c r="M417" t="n">
        <v>0</v>
      </c>
      <c r="N417" t="n">
        <v>0</v>
      </c>
      <c r="O417" t="n">
        <v>0</v>
      </c>
      <c r="P417" t="n">
        <v>0</v>
      </c>
      <c r="Q417" t="n">
        <v>0</v>
      </c>
      <c r="R417" s="2" t="inlineStr"/>
    </row>
    <row r="418" ht="15" customHeight="1">
      <c r="A418" t="inlineStr">
        <is>
          <t>A 40192-2023</t>
        </is>
      </c>
      <c r="B418" s="1" t="n">
        <v>45169</v>
      </c>
      <c r="C418" s="1" t="n">
        <v>46130</v>
      </c>
      <c r="D418" t="inlineStr">
        <is>
          <t>STOCKHOLMS LÄN</t>
        </is>
      </c>
      <c r="E418" t="inlineStr">
        <is>
          <t>NORRTÄLJE</t>
        </is>
      </c>
      <c r="F418" t="inlineStr">
        <is>
          <t>Kyrkan</t>
        </is>
      </c>
      <c r="G418" t="n">
        <v>0.7</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46130</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41106-2025</t>
        </is>
      </c>
      <c r="B420" s="1" t="n">
        <v>45898.45636574074</v>
      </c>
      <c r="C420" s="1" t="n">
        <v>46130</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21803-2022</t>
        </is>
      </c>
      <c r="B421" s="1" t="n">
        <v>44708.67822916667</v>
      </c>
      <c r="C421" s="1" t="n">
        <v>46130</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41174-2025</t>
        </is>
      </c>
      <c r="B422" s="1" t="n">
        <v>45898.54921296296</v>
      </c>
      <c r="C422" s="1" t="n">
        <v>46130</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52553-2025</t>
        </is>
      </c>
      <c r="B423" s="1" t="n">
        <v>45954.5624537037</v>
      </c>
      <c r="C423" s="1" t="n">
        <v>46130</v>
      </c>
      <c r="D423" t="inlineStr">
        <is>
          <t>STOCKHOLMS LÄN</t>
        </is>
      </c>
      <c r="E423" t="inlineStr">
        <is>
          <t>NORRTÄLJE</t>
        </is>
      </c>
      <c r="G423" t="n">
        <v>4.4</v>
      </c>
      <c r="H423" t="n">
        <v>0</v>
      </c>
      <c r="I423" t="n">
        <v>0</v>
      </c>
      <c r="J423" t="n">
        <v>0</v>
      </c>
      <c r="K423" t="n">
        <v>0</v>
      </c>
      <c r="L423" t="n">
        <v>0</v>
      </c>
      <c r="M423" t="n">
        <v>0</v>
      </c>
      <c r="N423" t="n">
        <v>0</v>
      </c>
      <c r="O423" t="n">
        <v>0</v>
      </c>
      <c r="P423" t="n">
        <v>0</v>
      </c>
      <c r="Q423" t="n">
        <v>0</v>
      </c>
      <c r="R423" s="2" t="inlineStr"/>
    </row>
    <row r="424" ht="15" customHeight="1">
      <c r="A424" t="inlineStr">
        <is>
          <t>A 41110-2025</t>
        </is>
      </c>
      <c r="B424" s="1" t="n">
        <v>45898.45976851852</v>
      </c>
      <c r="C424" s="1" t="n">
        <v>46130</v>
      </c>
      <c r="D424" t="inlineStr">
        <is>
          <t>STOCKHOLMS LÄN</t>
        </is>
      </c>
      <c r="E424" t="inlineStr">
        <is>
          <t>NORRTÄLJE</t>
        </is>
      </c>
      <c r="F424" t="inlineStr">
        <is>
          <t>Holmen skog AB</t>
        </is>
      </c>
      <c r="G424" t="n">
        <v>6.7</v>
      </c>
      <c r="H424" t="n">
        <v>0</v>
      </c>
      <c r="I424" t="n">
        <v>0</v>
      </c>
      <c r="J424" t="n">
        <v>0</v>
      </c>
      <c r="K424" t="n">
        <v>0</v>
      </c>
      <c r="L424" t="n">
        <v>0</v>
      </c>
      <c r="M424" t="n">
        <v>0</v>
      </c>
      <c r="N424" t="n">
        <v>0</v>
      </c>
      <c r="O424" t="n">
        <v>0</v>
      </c>
      <c r="P424" t="n">
        <v>0</v>
      </c>
      <c r="Q424" t="n">
        <v>0</v>
      </c>
      <c r="R424" s="2" t="inlineStr"/>
    </row>
    <row r="425" ht="15" customHeight="1">
      <c r="A425" t="inlineStr">
        <is>
          <t>A 4035-2023</t>
        </is>
      </c>
      <c r="B425" s="1" t="n">
        <v>44952.57989583333</v>
      </c>
      <c r="C425" s="1" t="n">
        <v>46130</v>
      </c>
      <c r="D425" t="inlineStr">
        <is>
          <t>STOCKHOLMS LÄN</t>
        </is>
      </c>
      <c r="E425" t="inlineStr">
        <is>
          <t>NORRTÄLJE</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41259-2025</t>
        </is>
      </c>
      <c r="B426" s="1" t="n">
        <v>45898.61054398148</v>
      </c>
      <c r="C426" s="1" t="n">
        <v>46130</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24687-2025</t>
        </is>
      </c>
      <c r="B427" s="1" t="n">
        <v>45798.66767361111</v>
      </c>
      <c r="C427" s="1" t="n">
        <v>46130</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41053-2025</t>
        </is>
      </c>
      <c r="B428" s="1" t="n">
        <v>45898.40480324074</v>
      </c>
      <c r="C428" s="1" t="n">
        <v>46130</v>
      </c>
      <c r="D428" t="inlineStr">
        <is>
          <t>STOCKHOLMS LÄN</t>
        </is>
      </c>
      <c r="E428" t="inlineStr">
        <is>
          <t>NORRTÄLJE</t>
        </is>
      </c>
      <c r="F428" t="inlineStr">
        <is>
          <t>Holmen skog AB</t>
        </is>
      </c>
      <c r="G428" t="n">
        <v>2.5</v>
      </c>
      <c r="H428" t="n">
        <v>0</v>
      </c>
      <c r="I428" t="n">
        <v>0</v>
      </c>
      <c r="J428" t="n">
        <v>0</v>
      </c>
      <c r="K428" t="n">
        <v>0</v>
      </c>
      <c r="L428" t="n">
        <v>0</v>
      </c>
      <c r="M428" t="n">
        <v>0</v>
      </c>
      <c r="N428" t="n">
        <v>0</v>
      </c>
      <c r="O428" t="n">
        <v>0</v>
      </c>
      <c r="P428" t="n">
        <v>0</v>
      </c>
      <c r="Q428" t="n">
        <v>0</v>
      </c>
      <c r="R428" s="2" t="inlineStr"/>
    </row>
    <row r="429" ht="15" customHeight="1">
      <c r="A429" t="inlineStr">
        <is>
          <t>A 40829-2025</t>
        </is>
      </c>
      <c r="B429" s="1" t="n">
        <v>45897.50802083333</v>
      </c>
      <c r="C429" s="1" t="n">
        <v>46130</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40831-2025</t>
        </is>
      </c>
      <c r="B430" s="1" t="n">
        <v>45897.51077546296</v>
      </c>
      <c r="C430" s="1" t="n">
        <v>46130</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26644-2024</t>
        </is>
      </c>
      <c r="B431" s="1" t="n">
        <v>45469</v>
      </c>
      <c r="C431" s="1" t="n">
        <v>46130</v>
      </c>
      <c r="D431" t="inlineStr">
        <is>
          <t>STOCKHOLMS LÄN</t>
        </is>
      </c>
      <c r="E431" t="inlineStr">
        <is>
          <t>NORRTÄLJE</t>
        </is>
      </c>
      <c r="G431" t="n">
        <v>4.3</v>
      </c>
      <c r="H431" t="n">
        <v>0</v>
      </c>
      <c r="I431" t="n">
        <v>0</v>
      </c>
      <c r="J431" t="n">
        <v>0</v>
      </c>
      <c r="K431" t="n">
        <v>0</v>
      </c>
      <c r="L431" t="n">
        <v>0</v>
      </c>
      <c r="M431" t="n">
        <v>0</v>
      </c>
      <c r="N431" t="n">
        <v>0</v>
      </c>
      <c r="O431" t="n">
        <v>0</v>
      </c>
      <c r="P431" t="n">
        <v>0</v>
      </c>
      <c r="Q431" t="n">
        <v>0</v>
      </c>
      <c r="R431" s="2" t="inlineStr"/>
    </row>
    <row r="432" ht="15" customHeight="1">
      <c r="A432" t="inlineStr">
        <is>
          <t>A 26668-2024</t>
        </is>
      </c>
      <c r="B432" s="1" t="n">
        <v>45469</v>
      </c>
      <c r="C432" s="1" t="n">
        <v>46130</v>
      </c>
      <c r="D432" t="inlineStr">
        <is>
          <t>STOCKHOLMS LÄN</t>
        </is>
      </c>
      <c r="E432" t="inlineStr">
        <is>
          <t>NORRTÄLJE</t>
        </is>
      </c>
      <c r="G432" t="n">
        <v>4.8</v>
      </c>
      <c r="H432" t="n">
        <v>0</v>
      </c>
      <c r="I432" t="n">
        <v>0</v>
      </c>
      <c r="J432" t="n">
        <v>0</v>
      </c>
      <c r="K432" t="n">
        <v>0</v>
      </c>
      <c r="L432" t="n">
        <v>0</v>
      </c>
      <c r="M432" t="n">
        <v>0</v>
      </c>
      <c r="N432" t="n">
        <v>0</v>
      </c>
      <c r="O432" t="n">
        <v>0</v>
      </c>
      <c r="P432" t="n">
        <v>0</v>
      </c>
      <c r="Q432" t="n">
        <v>0</v>
      </c>
      <c r="R432" s="2" t="inlineStr"/>
    </row>
    <row r="433" ht="15" customHeight="1">
      <c r="A433" t="inlineStr">
        <is>
          <t>A 53087-2025</t>
        </is>
      </c>
      <c r="B433" s="1" t="n">
        <v>45958.41065972222</v>
      </c>
      <c r="C433" s="1" t="n">
        <v>46130</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41272-2025</t>
        </is>
      </c>
      <c r="B434" s="1" t="n">
        <v>45898.62373842593</v>
      </c>
      <c r="C434" s="1" t="n">
        <v>46130</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24690-2025</t>
        </is>
      </c>
      <c r="B435" s="1" t="n">
        <v>45798.67082175926</v>
      </c>
      <c r="C435" s="1" t="n">
        <v>46130</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24638-2025</t>
        </is>
      </c>
      <c r="B436" s="1" t="n">
        <v>45798</v>
      </c>
      <c r="C436" s="1" t="n">
        <v>46130</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24351-2025</t>
        </is>
      </c>
      <c r="B437" s="1" t="n">
        <v>45797.58399305555</v>
      </c>
      <c r="C437" s="1" t="n">
        <v>46130</v>
      </c>
      <c r="D437" t="inlineStr">
        <is>
          <t>STOCKHOLMS LÄN</t>
        </is>
      </c>
      <c r="E437" t="inlineStr">
        <is>
          <t>NORRTÄLJE</t>
        </is>
      </c>
      <c r="G437" t="n">
        <v>1.5</v>
      </c>
      <c r="H437" t="n">
        <v>0</v>
      </c>
      <c r="I437" t="n">
        <v>0</v>
      </c>
      <c r="J437" t="n">
        <v>0</v>
      </c>
      <c r="K437" t="n">
        <v>0</v>
      </c>
      <c r="L437" t="n">
        <v>0</v>
      </c>
      <c r="M437" t="n">
        <v>0</v>
      </c>
      <c r="N437" t="n">
        <v>0</v>
      </c>
      <c r="O437" t="n">
        <v>0</v>
      </c>
      <c r="P437" t="n">
        <v>0</v>
      </c>
      <c r="Q437" t="n">
        <v>0</v>
      </c>
      <c r="R437" s="2" t="inlineStr"/>
    </row>
    <row r="438" ht="15" customHeight="1">
      <c r="A438" t="inlineStr">
        <is>
          <t>A 41036-2025</t>
        </is>
      </c>
      <c r="B438" s="1" t="n">
        <v>45898.38552083333</v>
      </c>
      <c r="C438" s="1" t="n">
        <v>46130</v>
      </c>
      <c r="D438" t="inlineStr">
        <is>
          <t>STOCKHOLMS LÄN</t>
        </is>
      </c>
      <c r="E438" t="inlineStr">
        <is>
          <t>NORRTÄLJE</t>
        </is>
      </c>
      <c r="F438" t="inlineStr">
        <is>
          <t>Holmen skog AB</t>
        </is>
      </c>
      <c r="G438" t="n">
        <v>2.7</v>
      </c>
      <c r="H438" t="n">
        <v>0</v>
      </c>
      <c r="I438" t="n">
        <v>0</v>
      </c>
      <c r="J438" t="n">
        <v>0</v>
      </c>
      <c r="K438" t="n">
        <v>0</v>
      </c>
      <c r="L438" t="n">
        <v>0</v>
      </c>
      <c r="M438" t="n">
        <v>0</v>
      </c>
      <c r="N438" t="n">
        <v>0</v>
      </c>
      <c r="O438" t="n">
        <v>0</v>
      </c>
      <c r="P438" t="n">
        <v>0</v>
      </c>
      <c r="Q438" t="n">
        <v>0</v>
      </c>
      <c r="R438" s="2" t="inlineStr"/>
    </row>
    <row r="439" ht="15" customHeight="1">
      <c r="A439" t="inlineStr">
        <is>
          <t>A 19058-2024</t>
        </is>
      </c>
      <c r="B439" s="1" t="n">
        <v>45427.89121527778</v>
      </c>
      <c r="C439" s="1" t="n">
        <v>46130</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19057-2024</t>
        </is>
      </c>
      <c r="B440" s="1" t="n">
        <v>45427.88731481481</v>
      </c>
      <c r="C440" s="1" t="n">
        <v>46130</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52704-2025</t>
        </is>
      </c>
      <c r="B441" s="1" t="n">
        <v>45956.89097222222</v>
      </c>
      <c r="C441" s="1" t="n">
        <v>46130</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15733-2025</t>
        </is>
      </c>
      <c r="B442" s="1" t="n">
        <v>45748</v>
      </c>
      <c r="C442" s="1" t="n">
        <v>46130</v>
      </c>
      <c r="D442" t="inlineStr">
        <is>
          <t>STOCKHOLMS LÄN</t>
        </is>
      </c>
      <c r="E442" t="inlineStr">
        <is>
          <t>NORRTÄLJE</t>
        </is>
      </c>
      <c r="G442" t="n">
        <v>13.3</v>
      </c>
      <c r="H442" t="n">
        <v>0</v>
      </c>
      <c r="I442" t="n">
        <v>0</v>
      </c>
      <c r="J442" t="n">
        <v>0</v>
      </c>
      <c r="K442" t="n">
        <v>0</v>
      </c>
      <c r="L442" t="n">
        <v>0</v>
      </c>
      <c r="M442" t="n">
        <v>0</v>
      </c>
      <c r="N442" t="n">
        <v>0</v>
      </c>
      <c r="O442" t="n">
        <v>0</v>
      </c>
      <c r="P442" t="n">
        <v>0</v>
      </c>
      <c r="Q442" t="n">
        <v>0</v>
      </c>
      <c r="R442" s="2" t="inlineStr"/>
    </row>
    <row r="443" ht="15" customHeight="1">
      <c r="A443" t="inlineStr">
        <is>
          <t>A 52734-2025</t>
        </is>
      </c>
      <c r="B443" s="1" t="n">
        <v>45957.3710300926</v>
      </c>
      <c r="C443" s="1" t="n">
        <v>46130</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28603-2024</t>
        </is>
      </c>
      <c r="B444" s="1" t="n">
        <v>45478.42887731481</v>
      </c>
      <c r="C444" s="1" t="n">
        <v>46130</v>
      </c>
      <c r="D444" t="inlineStr">
        <is>
          <t>STOCKHOLMS LÄN</t>
        </is>
      </c>
      <c r="E444" t="inlineStr">
        <is>
          <t>NORRTÄLJE</t>
        </is>
      </c>
      <c r="G444" t="n">
        <v>5.6</v>
      </c>
      <c r="H444" t="n">
        <v>0</v>
      </c>
      <c r="I444" t="n">
        <v>0</v>
      </c>
      <c r="J444" t="n">
        <v>0</v>
      </c>
      <c r="K444" t="n">
        <v>0</v>
      </c>
      <c r="L444" t="n">
        <v>0</v>
      </c>
      <c r="M444" t="n">
        <v>0</v>
      </c>
      <c r="N444" t="n">
        <v>0</v>
      </c>
      <c r="O444" t="n">
        <v>0</v>
      </c>
      <c r="P444" t="n">
        <v>0</v>
      </c>
      <c r="Q444" t="n">
        <v>0</v>
      </c>
      <c r="R444" s="2" t="inlineStr"/>
    </row>
    <row r="445" ht="15" customHeight="1">
      <c r="A445" t="inlineStr">
        <is>
          <t>A 37085-2021</t>
        </is>
      </c>
      <c r="B445" s="1" t="n">
        <v>44395</v>
      </c>
      <c r="C445" s="1" t="n">
        <v>46130</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10511-2025</t>
        </is>
      </c>
      <c r="B446" s="1" t="n">
        <v>45721.40780092592</v>
      </c>
      <c r="C446" s="1" t="n">
        <v>46130</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25702-2025</t>
        </is>
      </c>
      <c r="B447" s="1" t="n">
        <v>45800</v>
      </c>
      <c r="C447" s="1" t="n">
        <v>46130</v>
      </c>
      <c r="D447" t="inlineStr">
        <is>
          <t>STOCKHOLMS LÄN</t>
        </is>
      </c>
      <c r="E447" t="inlineStr">
        <is>
          <t>NORRTÄLJE</t>
        </is>
      </c>
      <c r="G447" t="n">
        <v>5.3</v>
      </c>
      <c r="H447" t="n">
        <v>0</v>
      </c>
      <c r="I447" t="n">
        <v>0</v>
      </c>
      <c r="J447" t="n">
        <v>0</v>
      </c>
      <c r="K447" t="n">
        <v>0</v>
      </c>
      <c r="L447" t="n">
        <v>0</v>
      </c>
      <c r="M447" t="n">
        <v>0</v>
      </c>
      <c r="N447" t="n">
        <v>0</v>
      </c>
      <c r="O447" t="n">
        <v>0</v>
      </c>
      <c r="P447" t="n">
        <v>0</v>
      </c>
      <c r="Q447" t="n">
        <v>0</v>
      </c>
      <c r="R447" s="2" t="inlineStr"/>
    </row>
    <row r="448" ht="15" customHeight="1">
      <c r="A448" t="inlineStr">
        <is>
          <t>A 25721-2025</t>
        </is>
      </c>
      <c r="B448" s="1" t="n">
        <v>45800</v>
      </c>
      <c r="C448" s="1" t="n">
        <v>46130</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42038-2025</t>
        </is>
      </c>
      <c r="B449" s="1" t="n">
        <v>45903.61431712963</v>
      </c>
      <c r="C449" s="1" t="n">
        <v>46130</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46988-2024</t>
        </is>
      </c>
      <c r="B450" s="1" t="n">
        <v>45586</v>
      </c>
      <c r="C450" s="1" t="n">
        <v>46130</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41964-2025</t>
        </is>
      </c>
      <c r="B451" s="1" t="n">
        <v>45903.47270833333</v>
      </c>
      <c r="C451" s="1" t="n">
        <v>46130</v>
      </c>
      <c r="D451" t="inlineStr">
        <is>
          <t>STOCKHOLMS LÄN</t>
        </is>
      </c>
      <c r="E451" t="inlineStr">
        <is>
          <t>NORRTÄLJE</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71552-2021</t>
        </is>
      </c>
      <c r="B452" s="1" t="n">
        <v>44540</v>
      </c>
      <c r="C452" s="1" t="n">
        <v>46130</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41966-2025</t>
        </is>
      </c>
      <c r="B453" s="1" t="n">
        <v>45903.47456018518</v>
      </c>
      <c r="C453" s="1" t="n">
        <v>46130</v>
      </c>
      <c r="D453" t="inlineStr">
        <is>
          <t>STOCKHOLMS LÄN</t>
        </is>
      </c>
      <c r="E453" t="inlineStr">
        <is>
          <t>NORRTÄLJE</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25733-2025</t>
        </is>
      </c>
      <c r="B454" s="1" t="n">
        <v>45800</v>
      </c>
      <c r="C454" s="1" t="n">
        <v>46130</v>
      </c>
      <c r="D454" t="inlineStr">
        <is>
          <t>STOCKHOLMS LÄN</t>
        </is>
      </c>
      <c r="E454" t="inlineStr">
        <is>
          <t>NORRTÄLJE</t>
        </is>
      </c>
      <c r="G454" t="n">
        <v>2.2</v>
      </c>
      <c r="H454" t="n">
        <v>0</v>
      </c>
      <c r="I454" t="n">
        <v>0</v>
      </c>
      <c r="J454" t="n">
        <v>0</v>
      </c>
      <c r="K454" t="n">
        <v>0</v>
      </c>
      <c r="L454" t="n">
        <v>0</v>
      </c>
      <c r="M454" t="n">
        <v>0</v>
      </c>
      <c r="N454" t="n">
        <v>0</v>
      </c>
      <c r="O454" t="n">
        <v>0</v>
      </c>
      <c r="P454" t="n">
        <v>0</v>
      </c>
      <c r="Q454" t="n">
        <v>0</v>
      </c>
      <c r="R454" s="2" t="inlineStr"/>
    </row>
    <row r="455" ht="15" customHeight="1">
      <c r="A455" t="inlineStr">
        <is>
          <t>A 17382-2024</t>
        </is>
      </c>
      <c r="B455" s="1" t="n">
        <v>45414.65855324074</v>
      </c>
      <c r="C455" s="1" t="n">
        <v>46130</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52773-2025</t>
        </is>
      </c>
      <c r="B456" s="1" t="n">
        <v>45957.41457175926</v>
      </c>
      <c r="C456" s="1" t="n">
        <v>46130</v>
      </c>
      <c r="D456" t="inlineStr">
        <is>
          <t>STOCKHOLMS LÄN</t>
        </is>
      </c>
      <c r="E456" t="inlineStr">
        <is>
          <t>NORRTÄLJE</t>
        </is>
      </c>
      <c r="F456" t="inlineStr">
        <is>
          <t>Sveaskog</t>
        </is>
      </c>
      <c r="G456" t="n">
        <v>10.5</v>
      </c>
      <c r="H456" t="n">
        <v>0</v>
      </c>
      <c r="I456" t="n">
        <v>0</v>
      </c>
      <c r="J456" t="n">
        <v>0</v>
      </c>
      <c r="K456" t="n">
        <v>0</v>
      </c>
      <c r="L456" t="n">
        <v>0</v>
      </c>
      <c r="M456" t="n">
        <v>0</v>
      </c>
      <c r="N456" t="n">
        <v>0</v>
      </c>
      <c r="O456" t="n">
        <v>0</v>
      </c>
      <c r="P456" t="n">
        <v>0</v>
      </c>
      <c r="Q456" t="n">
        <v>0</v>
      </c>
      <c r="R456" s="2" t="inlineStr"/>
    </row>
    <row r="457" ht="15" customHeight="1">
      <c r="A457" t="inlineStr">
        <is>
          <t>A 52776-2025</t>
        </is>
      </c>
      <c r="B457" s="1" t="n">
        <v>45957.41724537037</v>
      </c>
      <c r="C457" s="1" t="n">
        <v>46130</v>
      </c>
      <c r="D457" t="inlineStr">
        <is>
          <t>STOCKHOLMS LÄN</t>
        </is>
      </c>
      <c r="E457" t="inlineStr">
        <is>
          <t>NORRTÄLJE</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25557-2023</t>
        </is>
      </c>
      <c r="B458" s="1" t="n">
        <v>45089</v>
      </c>
      <c r="C458" s="1" t="n">
        <v>46130</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25571-2025</t>
        </is>
      </c>
      <c r="B459" s="1" t="n">
        <v>45803.4675</v>
      </c>
      <c r="C459" s="1" t="n">
        <v>46130</v>
      </c>
      <c r="D459" t="inlineStr">
        <is>
          <t>STOCKHOLMS LÄN</t>
        </is>
      </c>
      <c r="E459" t="inlineStr">
        <is>
          <t>NORRTÄLJE</t>
        </is>
      </c>
      <c r="G459" t="n">
        <v>5.4</v>
      </c>
      <c r="H459" t="n">
        <v>0</v>
      </c>
      <c r="I459" t="n">
        <v>0</v>
      </c>
      <c r="J459" t="n">
        <v>0</v>
      </c>
      <c r="K459" t="n">
        <v>0</v>
      </c>
      <c r="L459" t="n">
        <v>0</v>
      </c>
      <c r="M459" t="n">
        <v>0</v>
      </c>
      <c r="N459" t="n">
        <v>0</v>
      </c>
      <c r="O459" t="n">
        <v>0</v>
      </c>
      <c r="P459" t="n">
        <v>0</v>
      </c>
      <c r="Q459" t="n">
        <v>0</v>
      </c>
      <c r="R459" s="2" t="inlineStr"/>
    </row>
    <row r="460" ht="15" customHeight="1">
      <c r="A460" t="inlineStr">
        <is>
          <t>A 52703-2025</t>
        </is>
      </c>
      <c r="B460" s="1" t="n">
        <v>45956.88643518519</v>
      </c>
      <c r="C460" s="1" t="n">
        <v>46130</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9914-2023</t>
        </is>
      </c>
      <c r="B461" s="1" t="n">
        <v>44985</v>
      </c>
      <c r="C461" s="1" t="n">
        <v>46130</v>
      </c>
      <c r="D461" t="inlineStr">
        <is>
          <t>STOCKHOLMS LÄN</t>
        </is>
      </c>
      <c r="E461" t="inlineStr">
        <is>
          <t>NORRTÄLJE</t>
        </is>
      </c>
      <c r="G461" t="n">
        <v>4.2</v>
      </c>
      <c r="H461" t="n">
        <v>0</v>
      </c>
      <c r="I461" t="n">
        <v>0</v>
      </c>
      <c r="J461" t="n">
        <v>0</v>
      </c>
      <c r="K461" t="n">
        <v>0</v>
      </c>
      <c r="L461" t="n">
        <v>0</v>
      </c>
      <c r="M461" t="n">
        <v>0</v>
      </c>
      <c r="N461" t="n">
        <v>0</v>
      </c>
      <c r="O461" t="n">
        <v>0</v>
      </c>
      <c r="P461" t="n">
        <v>0</v>
      </c>
      <c r="Q461" t="n">
        <v>0</v>
      </c>
      <c r="R461" s="2" t="inlineStr"/>
    </row>
    <row r="462" ht="15" customHeight="1">
      <c r="A462" t="inlineStr">
        <is>
          <t>A 30699-2025</t>
        </is>
      </c>
      <c r="B462" s="1" t="n">
        <v>45831.54618055555</v>
      </c>
      <c r="C462" s="1" t="n">
        <v>46130</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53561-2023</t>
        </is>
      </c>
      <c r="B463" s="1" t="n">
        <v>45224</v>
      </c>
      <c r="C463" s="1" t="n">
        <v>46130</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46130</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25712-2025</t>
        </is>
      </c>
      <c r="B465" s="1" t="n">
        <v>45803.69228009259</v>
      </c>
      <c r="C465" s="1" t="n">
        <v>46130</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41218-2024</t>
        </is>
      </c>
      <c r="B466" s="1" t="n">
        <v>45559.54706018518</v>
      </c>
      <c r="C466" s="1" t="n">
        <v>46130</v>
      </c>
      <c r="D466" t="inlineStr">
        <is>
          <t>STOCKHOLMS LÄN</t>
        </is>
      </c>
      <c r="E466" t="inlineStr">
        <is>
          <t>NORRTÄLJE</t>
        </is>
      </c>
      <c r="G466" t="n">
        <v>6</v>
      </c>
      <c r="H466" t="n">
        <v>0</v>
      </c>
      <c r="I466" t="n">
        <v>0</v>
      </c>
      <c r="J466" t="n">
        <v>0</v>
      </c>
      <c r="K466" t="n">
        <v>0</v>
      </c>
      <c r="L466" t="n">
        <v>0</v>
      </c>
      <c r="M466" t="n">
        <v>0</v>
      </c>
      <c r="N466" t="n">
        <v>0</v>
      </c>
      <c r="O466" t="n">
        <v>0</v>
      </c>
      <c r="P466" t="n">
        <v>0</v>
      </c>
      <c r="Q466" t="n">
        <v>0</v>
      </c>
      <c r="R466" s="2" t="inlineStr"/>
    </row>
    <row r="467" ht="15" customHeight="1">
      <c r="A467" t="inlineStr">
        <is>
          <t>A 26051-2025</t>
        </is>
      </c>
      <c r="B467" s="1" t="n">
        <v>45804.74479166666</v>
      </c>
      <c r="C467" s="1" t="n">
        <v>46130</v>
      </c>
      <c r="D467" t="inlineStr">
        <is>
          <t>STOCKHOLMS LÄN</t>
        </is>
      </c>
      <c r="E467" t="inlineStr">
        <is>
          <t>NORRTÄLJE</t>
        </is>
      </c>
      <c r="G467" t="n">
        <v>3.2</v>
      </c>
      <c r="H467" t="n">
        <v>0</v>
      </c>
      <c r="I467" t="n">
        <v>0</v>
      </c>
      <c r="J467" t="n">
        <v>0</v>
      </c>
      <c r="K467" t="n">
        <v>0</v>
      </c>
      <c r="L467" t="n">
        <v>0</v>
      </c>
      <c r="M467" t="n">
        <v>0</v>
      </c>
      <c r="N467" t="n">
        <v>0</v>
      </c>
      <c r="O467" t="n">
        <v>0</v>
      </c>
      <c r="P467" t="n">
        <v>0</v>
      </c>
      <c r="Q467" t="n">
        <v>0</v>
      </c>
      <c r="R467" s="2" t="inlineStr"/>
    </row>
    <row r="468" ht="15" customHeight="1">
      <c r="A468" t="inlineStr">
        <is>
          <t>A 58302-2022</t>
        </is>
      </c>
      <c r="B468" s="1" t="n">
        <v>44901</v>
      </c>
      <c r="C468" s="1" t="n">
        <v>46130</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39238-2024</t>
        </is>
      </c>
      <c r="B469" s="1" t="n">
        <v>45549</v>
      </c>
      <c r="C469" s="1" t="n">
        <v>46130</v>
      </c>
      <c r="D469" t="inlineStr">
        <is>
          <t>STOCKHOLMS LÄN</t>
        </is>
      </c>
      <c r="E469" t="inlineStr">
        <is>
          <t>NORRTÄLJE</t>
        </is>
      </c>
      <c r="G469" t="n">
        <v>3.6</v>
      </c>
      <c r="H469" t="n">
        <v>0</v>
      </c>
      <c r="I469" t="n">
        <v>0</v>
      </c>
      <c r="J469" t="n">
        <v>0</v>
      </c>
      <c r="K469" t="n">
        <v>0</v>
      </c>
      <c r="L469" t="n">
        <v>0</v>
      </c>
      <c r="M469" t="n">
        <v>0</v>
      </c>
      <c r="N469" t="n">
        <v>0</v>
      </c>
      <c r="O469" t="n">
        <v>0</v>
      </c>
      <c r="P469" t="n">
        <v>0</v>
      </c>
      <c r="Q469" t="n">
        <v>0</v>
      </c>
      <c r="R469" s="2" t="inlineStr"/>
    </row>
    <row r="470" ht="15" customHeight="1">
      <c r="A470" t="inlineStr">
        <is>
          <t>A 38449-2022</t>
        </is>
      </c>
      <c r="B470" s="1" t="n">
        <v>44813</v>
      </c>
      <c r="C470" s="1" t="n">
        <v>46130</v>
      </c>
      <c r="D470" t="inlineStr">
        <is>
          <t>STOCKHOLMS LÄN</t>
        </is>
      </c>
      <c r="E470" t="inlineStr">
        <is>
          <t>NORRTÄLJE</t>
        </is>
      </c>
      <c r="G470" t="n">
        <v>4.2</v>
      </c>
      <c r="H470" t="n">
        <v>0</v>
      </c>
      <c r="I470" t="n">
        <v>0</v>
      </c>
      <c r="J470" t="n">
        <v>0</v>
      </c>
      <c r="K470" t="n">
        <v>0</v>
      </c>
      <c r="L470" t="n">
        <v>0</v>
      </c>
      <c r="M470" t="n">
        <v>0</v>
      </c>
      <c r="N470" t="n">
        <v>0</v>
      </c>
      <c r="O470" t="n">
        <v>0</v>
      </c>
      <c r="P470" t="n">
        <v>0</v>
      </c>
      <c r="Q470" t="n">
        <v>0</v>
      </c>
      <c r="R470" s="2" t="inlineStr"/>
    </row>
    <row r="471" ht="15" customHeight="1">
      <c r="A471" t="inlineStr">
        <is>
          <t>A 25697-2025</t>
        </is>
      </c>
      <c r="B471" s="1" t="n">
        <v>45803.66587962963</v>
      </c>
      <c r="C471" s="1" t="n">
        <v>46130</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46130</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20011-2025</t>
        </is>
      </c>
      <c r="B473" s="1" t="n">
        <v>45772.29622685185</v>
      </c>
      <c r="C473" s="1" t="n">
        <v>46130</v>
      </c>
      <c r="D473" t="inlineStr">
        <is>
          <t>STOCKHOLMS LÄN</t>
        </is>
      </c>
      <c r="E473" t="inlineStr">
        <is>
          <t>NORRTÄLJE</t>
        </is>
      </c>
      <c r="G473" t="n">
        <v>3.5</v>
      </c>
      <c r="H473" t="n">
        <v>0</v>
      </c>
      <c r="I473" t="n">
        <v>0</v>
      </c>
      <c r="J473" t="n">
        <v>0</v>
      </c>
      <c r="K473" t="n">
        <v>0</v>
      </c>
      <c r="L473" t="n">
        <v>0</v>
      </c>
      <c r="M473" t="n">
        <v>0</v>
      </c>
      <c r="N473" t="n">
        <v>0</v>
      </c>
      <c r="O473" t="n">
        <v>0</v>
      </c>
      <c r="P473" t="n">
        <v>0</v>
      </c>
      <c r="Q473" t="n">
        <v>0</v>
      </c>
      <c r="R473" s="2" t="inlineStr"/>
    </row>
    <row r="474" ht="15" customHeight="1">
      <c r="A474" t="inlineStr">
        <is>
          <t>A 47259-2024</t>
        </is>
      </c>
      <c r="B474" s="1" t="n">
        <v>45586</v>
      </c>
      <c r="C474" s="1" t="n">
        <v>46130</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23269-2023</t>
        </is>
      </c>
      <c r="B475" s="1" t="n">
        <v>45075.91148148148</v>
      </c>
      <c r="C475" s="1" t="n">
        <v>46130</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23060-2023</t>
        </is>
      </c>
      <c r="B476" s="1" t="n">
        <v>45075</v>
      </c>
      <c r="C476" s="1" t="n">
        <v>46130</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53000-2025</t>
        </is>
      </c>
      <c r="B477" s="1" t="n">
        <v>45957.74357638889</v>
      </c>
      <c r="C477" s="1" t="n">
        <v>46130</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53115-2025</t>
        </is>
      </c>
      <c r="B478" s="1" t="n">
        <v>45958.44614583333</v>
      </c>
      <c r="C478" s="1" t="n">
        <v>46130</v>
      </c>
      <c r="D478" t="inlineStr">
        <is>
          <t>STOCKHOLMS LÄN</t>
        </is>
      </c>
      <c r="E478" t="inlineStr">
        <is>
          <t>NORRTÄLJE</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52743-2024</t>
        </is>
      </c>
      <c r="B479" s="1" t="n">
        <v>45610.47414351852</v>
      </c>
      <c r="C479" s="1" t="n">
        <v>46130</v>
      </c>
      <c r="D479" t="inlineStr">
        <is>
          <t>STOCKHOLMS LÄN</t>
        </is>
      </c>
      <c r="E479" t="inlineStr">
        <is>
          <t>NORRTÄLJE</t>
        </is>
      </c>
      <c r="G479" t="n">
        <v>1.5</v>
      </c>
      <c r="H479" t="n">
        <v>0</v>
      </c>
      <c r="I479" t="n">
        <v>0</v>
      </c>
      <c r="J479" t="n">
        <v>0</v>
      </c>
      <c r="K479" t="n">
        <v>0</v>
      </c>
      <c r="L479" t="n">
        <v>0</v>
      </c>
      <c r="M479" t="n">
        <v>0</v>
      </c>
      <c r="N479" t="n">
        <v>0</v>
      </c>
      <c r="O479" t="n">
        <v>0</v>
      </c>
      <c r="P479" t="n">
        <v>0</v>
      </c>
      <c r="Q479" t="n">
        <v>0</v>
      </c>
      <c r="R479" s="2" t="inlineStr"/>
    </row>
    <row r="480" ht="15" customHeight="1">
      <c r="A480" t="inlineStr">
        <is>
          <t>A 26675-2025</t>
        </is>
      </c>
      <c r="B480" s="1" t="n">
        <v>45810.42393518519</v>
      </c>
      <c r="C480" s="1" t="n">
        <v>46130</v>
      </c>
      <c r="D480" t="inlineStr">
        <is>
          <t>STOCKHOLMS LÄN</t>
        </is>
      </c>
      <c r="E480" t="inlineStr">
        <is>
          <t>NORRTÄLJE</t>
        </is>
      </c>
      <c r="G480" t="n">
        <v>2.7</v>
      </c>
      <c r="H480" t="n">
        <v>0</v>
      </c>
      <c r="I480" t="n">
        <v>0</v>
      </c>
      <c r="J480" t="n">
        <v>0</v>
      </c>
      <c r="K480" t="n">
        <v>0</v>
      </c>
      <c r="L480" t="n">
        <v>0</v>
      </c>
      <c r="M480" t="n">
        <v>0</v>
      </c>
      <c r="N480" t="n">
        <v>0</v>
      </c>
      <c r="O480" t="n">
        <v>0</v>
      </c>
      <c r="P480" t="n">
        <v>0</v>
      </c>
      <c r="Q480" t="n">
        <v>0</v>
      </c>
      <c r="R480" s="2" t="inlineStr"/>
    </row>
    <row r="481" ht="15" customHeight="1">
      <c r="A481" t="inlineStr">
        <is>
          <t>A 24835-2025</t>
        </is>
      </c>
      <c r="B481" s="1" t="n">
        <v>45799</v>
      </c>
      <c r="C481" s="1" t="n">
        <v>46130</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43169-2025</t>
        </is>
      </c>
      <c r="B482" s="1" t="n">
        <v>45910</v>
      </c>
      <c r="C482" s="1" t="n">
        <v>46130</v>
      </c>
      <c r="D482" t="inlineStr">
        <is>
          <t>STOCKHOLMS LÄN</t>
        </is>
      </c>
      <c r="E482" t="inlineStr">
        <is>
          <t>NORRTÄLJE</t>
        </is>
      </c>
      <c r="G482" t="n">
        <v>6.9</v>
      </c>
      <c r="H482" t="n">
        <v>0</v>
      </c>
      <c r="I482" t="n">
        <v>0</v>
      </c>
      <c r="J482" t="n">
        <v>0</v>
      </c>
      <c r="K482" t="n">
        <v>0</v>
      </c>
      <c r="L482" t="n">
        <v>0</v>
      </c>
      <c r="M482" t="n">
        <v>0</v>
      </c>
      <c r="N482" t="n">
        <v>0</v>
      </c>
      <c r="O482" t="n">
        <v>0</v>
      </c>
      <c r="P482" t="n">
        <v>0</v>
      </c>
      <c r="Q482" t="n">
        <v>0</v>
      </c>
      <c r="R482" s="2" t="inlineStr"/>
    </row>
    <row r="483" ht="15" customHeight="1">
      <c r="A483" t="inlineStr">
        <is>
          <t>A 43269-2025</t>
        </is>
      </c>
      <c r="B483" s="1" t="n">
        <v>45910.5819212963</v>
      </c>
      <c r="C483" s="1" t="n">
        <v>46130</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11499-2023</t>
        </is>
      </c>
      <c r="B484" s="1" t="n">
        <v>44993.66707175926</v>
      </c>
      <c r="C484" s="1" t="n">
        <v>46130</v>
      </c>
      <c r="D484" t="inlineStr">
        <is>
          <t>STOCKHOLMS LÄN</t>
        </is>
      </c>
      <c r="E484" t="inlineStr">
        <is>
          <t>NORRTÄLJE</t>
        </is>
      </c>
      <c r="F484" t="inlineStr">
        <is>
          <t>Holmen skog AB</t>
        </is>
      </c>
      <c r="G484" t="n">
        <v>2.8</v>
      </c>
      <c r="H484" t="n">
        <v>0</v>
      </c>
      <c r="I484" t="n">
        <v>0</v>
      </c>
      <c r="J484" t="n">
        <v>0</v>
      </c>
      <c r="K484" t="n">
        <v>0</v>
      </c>
      <c r="L484" t="n">
        <v>0</v>
      </c>
      <c r="M484" t="n">
        <v>0</v>
      </c>
      <c r="N484" t="n">
        <v>0</v>
      </c>
      <c r="O484" t="n">
        <v>0</v>
      </c>
      <c r="P484" t="n">
        <v>0</v>
      </c>
      <c r="Q484" t="n">
        <v>0</v>
      </c>
      <c r="R484" s="2" t="inlineStr"/>
    </row>
    <row r="485" ht="15" customHeight="1">
      <c r="A485" t="inlineStr">
        <is>
          <t>A 23061-2025</t>
        </is>
      </c>
      <c r="B485" s="1" t="n">
        <v>45790.81410879629</v>
      </c>
      <c r="C485" s="1" t="n">
        <v>46130</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64600-2021</t>
        </is>
      </c>
      <c r="B486" s="1" t="n">
        <v>44511.70518518519</v>
      </c>
      <c r="C486" s="1" t="n">
        <v>46130</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35640-2024</t>
        </is>
      </c>
      <c r="B487" s="1" t="n">
        <v>45531</v>
      </c>
      <c r="C487" s="1" t="n">
        <v>46130</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26747-2025</t>
        </is>
      </c>
      <c r="B488" s="1" t="n">
        <v>45810.5333912037</v>
      </c>
      <c r="C488" s="1" t="n">
        <v>46130</v>
      </c>
      <c r="D488" t="inlineStr">
        <is>
          <t>STOCKHOLMS LÄN</t>
        </is>
      </c>
      <c r="E488" t="inlineStr">
        <is>
          <t>NORRTÄLJE</t>
        </is>
      </c>
      <c r="G488" t="n">
        <v>1.9</v>
      </c>
      <c r="H488" t="n">
        <v>0</v>
      </c>
      <c r="I488" t="n">
        <v>0</v>
      </c>
      <c r="J488" t="n">
        <v>0</v>
      </c>
      <c r="K488" t="n">
        <v>0</v>
      </c>
      <c r="L488" t="n">
        <v>0</v>
      </c>
      <c r="M488" t="n">
        <v>0</v>
      </c>
      <c r="N488" t="n">
        <v>0</v>
      </c>
      <c r="O488" t="n">
        <v>0</v>
      </c>
      <c r="P488" t="n">
        <v>0</v>
      </c>
      <c r="Q488" t="n">
        <v>0</v>
      </c>
      <c r="R488" s="2" t="inlineStr"/>
    </row>
    <row r="489" ht="15" customHeight="1">
      <c r="A489" t="inlineStr">
        <is>
          <t>A 8586-2023</t>
        </is>
      </c>
      <c r="B489" s="1" t="n">
        <v>44977</v>
      </c>
      <c r="C489" s="1" t="n">
        <v>46130</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67990-2021</t>
        </is>
      </c>
      <c r="B490" s="1" t="n">
        <v>44525</v>
      </c>
      <c r="C490" s="1" t="n">
        <v>46130</v>
      </c>
      <c r="D490" t="inlineStr">
        <is>
          <t>STOCKHOLMS LÄN</t>
        </is>
      </c>
      <c r="E490" t="inlineStr">
        <is>
          <t>NORRTÄLJE</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26702-2025</t>
        </is>
      </c>
      <c r="B491" s="1" t="n">
        <v>45810.45236111111</v>
      </c>
      <c r="C491" s="1" t="n">
        <v>46130</v>
      </c>
      <c r="D491" t="inlineStr">
        <is>
          <t>STOCKHOLMS LÄN</t>
        </is>
      </c>
      <c r="E491" t="inlineStr">
        <is>
          <t>NORRTÄLJE</t>
        </is>
      </c>
      <c r="G491" t="n">
        <v>7.3</v>
      </c>
      <c r="H491" t="n">
        <v>0</v>
      </c>
      <c r="I491" t="n">
        <v>0</v>
      </c>
      <c r="J491" t="n">
        <v>0</v>
      </c>
      <c r="K491" t="n">
        <v>0</v>
      </c>
      <c r="L491" t="n">
        <v>0</v>
      </c>
      <c r="M491" t="n">
        <v>0</v>
      </c>
      <c r="N491" t="n">
        <v>0</v>
      </c>
      <c r="O491" t="n">
        <v>0</v>
      </c>
      <c r="P491" t="n">
        <v>0</v>
      </c>
      <c r="Q491" t="n">
        <v>0</v>
      </c>
      <c r="R491" s="2" t="inlineStr"/>
    </row>
    <row r="492" ht="15" customHeight="1">
      <c r="A492" t="inlineStr">
        <is>
          <t>A 30719-2025</t>
        </is>
      </c>
      <c r="B492" s="1" t="n">
        <v>45831</v>
      </c>
      <c r="C492" s="1" t="n">
        <v>46130</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53629-2025</t>
        </is>
      </c>
      <c r="B493" s="1" t="n">
        <v>45960.49570601852</v>
      </c>
      <c r="C493" s="1" t="n">
        <v>46130</v>
      </c>
      <c r="D493" t="inlineStr">
        <is>
          <t>STOCKHOLMS LÄN</t>
        </is>
      </c>
      <c r="E493" t="inlineStr">
        <is>
          <t>NORRTÄLJE</t>
        </is>
      </c>
      <c r="F493" t="inlineStr">
        <is>
          <t>Naturvårdsverket</t>
        </is>
      </c>
      <c r="G493" t="n">
        <v>7.9</v>
      </c>
      <c r="H493" t="n">
        <v>0</v>
      </c>
      <c r="I493" t="n">
        <v>0</v>
      </c>
      <c r="J493" t="n">
        <v>0</v>
      </c>
      <c r="K493" t="n">
        <v>0</v>
      </c>
      <c r="L493" t="n">
        <v>0</v>
      </c>
      <c r="M493" t="n">
        <v>0</v>
      </c>
      <c r="N493" t="n">
        <v>0</v>
      </c>
      <c r="O493" t="n">
        <v>0</v>
      </c>
      <c r="P493" t="n">
        <v>0</v>
      </c>
      <c r="Q493" t="n">
        <v>0</v>
      </c>
      <c r="R493" s="2" t="inlineStr"/>
    </row>
    <row r="494" ht="15" customHeight="1">
      <c r="A494" t="inlineStr">
        <is>
          <t>A 26708-2025</t>
        </is>
      </c>
      <c r="B494" s="1" t="n">
        <v>45810.45633101852</v>
      </c>
      <c r="C494" s="1" t="n">
        <v>46130</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53747-2025</t>
        </is>
      </c>
      <c r="B495" s="1" t="n">
        <v>45960.65415509259</v>
      </c>
      <c r="C495" s="1" t="n">
        <v>46130</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53299-2025</t>
        </is>
      </c>
      <c r="B496" s="1" t="n">
        <v>45959.31901620371</v>
      </c>
      <c r="C496" s="1" t="n">
        <v>46130</v>
      </c>
      <c r="D496" t="inlineStr">
        <is>
          <t>STOCKHOLMS LÄN</t>
        </is>
      </c>
      <c r="E496" t="inlineStr">
        <is>
          <t>NORRTÄLJE</t>
        </is>
      </c>
      <c r="G496" t="n">
        <v>4.8</v>
      </c>
      <c r="H496" t="n">
        <v>0</v>
      </c>
      <c r="I496" t="n">
        <v>0</v>
      </c>
      <c r="J496" t="n">
        <v>0</v>
      </c>
      <c r="K496" t="n">
        <v>0</v>
      </c>
      <c r="L496" t="n">
        <v>0</v>
      </c>
      <c r="M496" t="n">
        <v>0</v>
      </c>
      <c r="N496" t="n">
        <v>0</v>
      </c>
      <c r="O496" t="n">
        <v>0</v>
      </c>
      <c r="P496" t="n">
        <v>0</v>
      </c>
      <c r="Q496" t="n">
        <v>0</v>
      </c>
      <c r="R496" s="2" t="inlineStr"/>
    </row>
    <row r="497" ht="15" customHeight="1">
      <c r="A497" t="inlineStr">
        <is>
          <t>A 27040-2025</t>
        </is>
      </c>
      <c r="B497" s="1" t="n">
        <v>45811.60451388889</v>
      </c>
      <c r="C497" s="1" t="n">
        <v>46130</v>
      </c>
      <c r="D497" t="inlineStr">
        <is>
          <t>STOCKHOLMS LÄN</t>
        </is>
      </c>
      <c r="E497" t="inlineStr">
        <is>
          <t>NORRTÄLJE</t>
        </is>
      </c>
      <c r="G497" t="n">
        <v>4.3</v>
      </c>
      <c r="H497" t="n">
        <v>0</v>
      </c>
      <c r="I497" t="n">
        <v>0</v>
      </c>
      <c r="J497" t="n">
        <v>0</v>
      </c>
      <c r="K497" t="n">
        <v>0</v>
      </c>
      <c r="L497" t="n">
        <v>0</v>
      </c>
      <c r="M497" t="n">
        <v>0</v>
      </c>
      <c r="N497" t="n">
        <v>0</v>
      </c>
      <c r="O497" t="n">
        <v>0</v>
      </c>
      <c r="P497" t="n">
        <v>0</v>
      </c>
      <c r="Q497" t="n">
        <v>0</v>
      </c>
      <c r="R497" s="2" t="inlineStr"/>
    </row>
    <row r="498" ht="15" customHeight="1">
      <c r="A498" t="inlineStr">
        <is>
          <t>A 44343-2025</t>
        </is>
      </c>
      <c r="B498" s="1" t="n">
        <v>45916.43378472222</v>
      </c>
      <c r="C498" s="1" t="n">
        <v>46130</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21696-2024</t>
        </is>
      </c>
      <c r="B499" s="1" t="n">
        <v>45442.45686342593</v>
      </c>
      <c r="C499" s="1" t="n">
        <v>46130</v>
      </c>
      <c r="D499" t="inlineStr">
        <is>
          <t>STOCKHOLMS LÄN</t>
        </is>
      </c>
      <c r="E499" t="inlineStr">
        <is>
          <t>NORRTÄLJE</t>
        </is>
      </c>
      <c r="G499" t="n">
        <v>2.9</v>
      </c>
      <c r="H499" t="n">
        <v>0</v>
      </c>
      <c r="I499" t="n">
        <v>0</v>
      </c>
      <c r="J499" t="n">
        <v>0</v>
      </c>
      <c r="K499" t="n">
        <v>0</v>
      </c>
      <c r="L499" t="n">
        <v>0</v>
      </c>
      <c r="M499" t="n">
        <v>0</v>
      </c>
      <c r="N499" t="n">
        <v>0</v>
      </c>
      <c r="O499" t="n">
        <v>0</v>
      </c>
      <c r="P499" t="n">
        <v>0</v>
      </c>
      <c r="Q499" t="n">
        <v>0</v>
      </c>
      <c r="R499" s="2" t="inlineStr"/>
    </row>
    <row r="500" ht="15" customHeight="1">
      <c r="A500" t="inlineStr">
        <is>
          <t>A 43916-2025</t>
        </is>
      </c>
      <c r="B500" s="1" t="n">
        <v>45914.78884259259</v>
      </c>
      <c r="C500" s="1" t="n">
        <v>46130</v>
      </c>
      <c r="D500" t="inlineStr">
        <is>
          <t>STOCKHOLMS LÄN</t>
        </is>
      </c>
      <c r="E500" t="inlineStr">
        <is>
          <t>NORRTÄLJE</t>
        </is>
      </c>
      <c r="G500" t="n">
        <v>1.5</v>
      </c>
      <c r="H500" t="n">
        <v>0</v>
      </c>
      <c r="I500" t="n">
        <v>0</v>
      </c>
      <c r="J500" t="n">
        <v>0</v>
      </c>
      <c r="K500" t="n">
        <v>0</v>
      </c>
      <c r="L500" t="n">
        <v>0</v>
      </c>
      <c r="M500" t="n">
        <v>0</v>
      </c>
      <c r="N500" t="n">
        <v>0</v>
      </c>
      <c r="O500" t="n">
        <v>0</v>
      </c>
      <c r="P500" t="n">
        <v>0</v>
      </c>
      <c r="Q500" t="n">
        <v>0</v>
      </c>
      <c r="R500" s="2" t="inlineStr"/>
    </row>
    <row r="501" ht="15" customHeight="1">
      <c r="A501" t="inlineStr">
        <is>
          <t>A 37136-2023</t>
        </is>
      </c>
      <c r="B501" s="1" t="n">
        <v>45155</v>
      </c>
      <c r="C501" s="1" t="n">
        <v>46130</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44311-2025</t>
        </is>
      </c>
      <c r="B502" s="1" t="n">
        <v>45916.38394675926</v>
      </c>
      <c r="C502" s="1" t="n">
        <v>46130</v>
      </c>
      <c r="D502" t="inlineStr">
        <is>
          <t>STOCKHOLMS LÄN</t>
        </is>
      </c>
      <c r="E502" t="inlineStr">
        <is>
          <t>NORRTÄLJE</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44349-2025</t>
        </is>
      </c>
      <c r="B503" s="1" t="n">
        <v>45916.43929398148</v>
      </c>
      <c r="C503" s="1" t="n">
        <v>46130</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44354-2025</t>
        </is>
      </c>
      <c r="B504" s="1" t="n">
        <v>45916.44655092592</v>
      </c>
      <c r="C504" s="1" t="n">
        <v>46130</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1740-2023</t>
        </is>
      </c>
      <c r="B505" s="1" t="n">
        <v>44938</v>
      </c>
      <c r="C505" s="1" t="n">
        <v>46130</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44333-2025</t>
        </is>
      </c>
      <c r="B506" s="1" t="n">
        <v>45916.42293981482</v>
      </c>
      <c r="C506" s="1" t="n">
        <v>46130</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44306-2025</t>
        </is>
      </c>
      <c r="B507" s="1" t="n">
        <v>45916.37736111111</v>
      </c>
      <c r="C507" s="1" t="n">
        <v>46130</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54907-2025</t>
        </is>
      </c>
      <c r="B508" s="1" t="n">
        <v>45967.37137731481</v>
      </c>
      <c r="C508" s="1" t="n">
        <v>46130</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44937-2025</t>
        </is>
      </c>
      <c r="B509" s="1" t="n">
        <v>45918</v>
      </c>
      <c r="C509" s="1" t="n">
        <v>46130</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27697-2025</t>
        </is>
      </c>
      <c r="B510" s="1" t="n">
        <v>45813.66961805556</v>
      </c>
      <c r="C510" s="1" t="n">
        <v>46130</v>
      </c>
      <c r="D510" t="inlineStr">
        <is>
          <t>STOCKHOLMS LÄN</t>
        </is>
      </c>
      <c r="E510" t="inlineStr">
        <is>
          <t>NORRTÄLJE</t>
        </is>
      </c>
      <c r="G510" t="n">
        <v>6.2</v>
      </c>
      <c r="H510" t="n">
        <v>0</v>
      </c>
      <c r="I510" t="n">
        <v>0</v>
      </c>
      <c r="J510" t="n">
        <v>0</v>
      </c>
      <c r="K510" t="n">
        <v>0</v>
      </c>
      <c r="L510" t="n">
        <v>0</v>
      </c>
      <c r="M510" t="n">
        <v>0</v>
      </c>
      <c r="N510" t="n">
        <v>0</v>
      </c>
      <c r="O510" t="n">
        <v>0</v>
      </c>
      <c r="P510" t="n">
        <v>0</v>
      </c>
      <c r="Q510" t="n">
        <v>0</v>
      </c>
      <c r="R510" s="2" t="inlineStr"/>
    </row>
    <row r="511" ht="15" customHeight="1">
      <c r="A511" t="inlineStr">
        <is>
          <t>A 27700-2025</t>
        </is>
      </c>
      <c r="B511" s="1" t="n">
        <v>45813.6799537037</v>
      </c>
      <c r="C511" s="1" t="n">
        <v>46130</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27554-2025</t>
        </is>
      </c>
      <c r="B512" s="1" t="n">
        <v>45813.4709375</v>
      </c>
      <c r="C512" s="1" t="n">
        <v>46130</v>
      </c>
      <c r="D512" t="inlineStr">
        <is>
          <t>STOCKHOLMS LÄN</t>
        </is>
      </c>
      <c r="E512" t="inlineStr">
        <is>
          <t>NORRTÄLJE</t>
        </is>
      </c>
      <c r="F512" t="inlineStr">
        <is>
          <t>Övriga Aktiebolag</t>
        </is>
      </c>
      <c r="G512" t="n">
        <v>2.5</v>
      </c>
      <c r="H512" t="n">
        <v>0</v>
      </c>
      <c r="I512" t="n">
        <v>0</v>
      </c>
      <c r="J512" t="n">
        <v>0</v>
      </c>
      <c r="K512" t="n">
        <v>0</v>
      </c>
      <c r="L512" t="n">
        <v>0</v>
      </c>
      <c r="M512" t="n">
        <v>0</v>
      </c>
      <c r="N512" t="n">
        <v>0</v>
      </c>
      <c r="O512" t="n">
        <v>0</v>
      </c>
      <c r="P512" t="n">
        <v>0</v>
      </c>
      <c r="Q512" t="n">
        <v>0</v>
      </c>
      <c r="R512" s="2" t="inlineStr"/>
    </row>
    <row r="513" ht="15" customHeight="1">
      <c r="A513" t="inlineStr">
        <is>
          <t>A 11901-2024</t>
        </is>
      </c>
      <c r="B513" s="1" t="n">
        <v>45376.55638888889</v>
      </c>
      <c r="C513" s="1" t="n">
        <v>46130</v>
      </c>
      <c r="D513" t="inlineStr">
        <is>
          <t>STOCKHOLMS LÄN</t>
        </is>
      </c>
      <c r="E513" t="inlineStr">
        <is>
          <t>NORRTÄLJE</t>
        </is>
      </c>
      <c r="F513" t="inlineStr">
        <is>
          <t>Holmen skog AB</t>
        </is>
      </c>
      <c r="G513" t="n">
        <v>3.5</v>
      </c>
      <c r="H513" t="n">
        <v>0</v>
      </c>
      <c r="I513" t="n">
        <v>0</v>
      </c>
      <c r="J513" t="n">
        <v>0</v>
      </c>
      <c r="K513" t="n">
        <v>0</v>
      </c>
      <c r="L513" t="n">
        <v>0</v>
      </c>
      <c r="M513" t="n">
        <v>0</v>
      </c>
      <c r="N513" t="n">
        <v>0</v>
      </c>
      <c r="O513" t="n">
        <v>0</v>
      </c>
      <c r="P513" t="n">
        <v>0</v>
      </c>
      <c r="Q513" t="n">
        <v>0</v>
      </c>
      <c r="R513" s="2" t="inlineStr"/>
    </row>
    <row r="514" ht="15" customHeight="1">
      <c r="A514" t="inlineStr">
        <is>
          <t>A 5423-2023</t>
        </is>
      </c>
      <c r="B514" s="1" t="n">
        <v>44959.74533564815</v>
      </c>
      <c r="C514" s="1" t="n">
        <v>46130</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22359-2025</t>
        </is>
      </c>
      <c r="B515" s="1" t="n">
        <v>45786</v>
      </c>
      <c r="C515" s="1" t="n">
        <v>46130</v>
      </c>
      <c r="D515" t="inlineStr">
        <is>
          <t>STOCKHOLMS LÄN</t>
        </is>
      </c>
      <c r="E515" t="inlineStr">
        <is>
          <t>NORRTÄLJE</t>
        </is>
      </c>
      <c r="G515" t="n">
        <v>5</v>
      </c>
      <c r="H515" t="n">
        <v>0</v>
      </c>
      <c r="I515" t="n">
        <v>0</v>
      </c>
      <c r="J515" t="n">
        <v>0</v>
      </c>
      <c r="K515" t="n">
        <v>0</v>
      </c>
      <c r="L515" t="n">
        <v>0</v>
      </c>
      <c r="M515" t="n">
        <v>0</v>
      </c>
      <c r="N515" t="n">
        <v>0</v>
      </c>
      <c r="O515" t="n">
        <v>0</v>
      </c>
      <c r="P515" t="n">
        <v>0</v>
      </c>
      <c r="Q515" t="n">
        <v>0</v>
      </c>
      <c r="R515" s="2" t="inlineStr"/>
    </row>
    <row r="516" ht="15" customHeight="1">
      <c r="A516" t="inlineStr">
        <is>
          <t>A 58492-2022</t>
        </is>
      </c>
      <c r="B516" s="1" t="n">
        <v>44902</v>
      </c>
      <c r="C516" s="1" t="n">
        <v>46130</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55503-2025</t>
        </is>
      </c>
      <c r="B517" s="1" t="n">
        <v>45971</v>
      </c>
      <c r="C517" s="1" t="n">
        <v>46130</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27802-2025</t>
        </is>
      </c>
      <c r="B518" s="1" t="n">
        <v>45817.2565625</v>
      </c>
      <c r="C518" s="1" t="n">
        <v>46130</v>
      </c>
      <c r="D518" t="inlineStr">
        <is>
          <t>STOCKHOLMS LÄN</t>
        </is>
      </c>
      <c r="E518" t="inlineStr">
        <is>
          <t>NORRTÄLJE</t>
        </is>
      </c>
      <c r="G518" t="n">
        <v>3</v>
      </c>
      <c r="H518" t="n">
        <v>0</v>
      </c>
      <c r="I518" t="n">
        <v>0</v>
      </c>
      <c r="J518" t="n">
        <v>0</v>
      </c>
      <c r="K518" t="n">
        <v>0</v>
      </c>
      <c r="L518" t="n">
        <v>0</v>
      </c>
      <c r="M518" t="n">
        <v>0</v>
      </c>
      <c r="N518" t="n">
        <v>0</v>
      </c>
      <c r="O518" t="n">
        <v>0</v>
      </c>
      <c r="P518" t="n">
        <v>0</v>
      </c>
      <c r="Q518" t="n">
        <v>0</v>
      </c>
      <c r="R518" s="2" t="inlineStr"/>
    </row>
    <row r="519" ht="15" customHeight="1">
      <c r="A519" t="inlineStr">
        <is>
          <t>A 27806-2025</t>
        </is>
      </c>
      <c r="B519" s="1" t="n">
        <v>45817.30329861111</v>
      </c>
      <c r="C519" s="1" t="n">
        <v>46130</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27808-2025</t>
        </is>
      </c>
      <c r="B520" s="1" t="n">
        <v>45817.31085648148</v>
      </c>
      <c r="C520" s="1" t="n">
        <v>46130</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27810-2025</t>
        </is>
      </c>
      <c r="B521" s="1" t="n">
        <v>45817.31708333334</v>
      </c>
      <c r="C521" s="1" t="n">
        <v>46130</v>
      </c>
      <c r="D521" t="inlineStr">
        <is>
          <t>STOCKHOLMS LÄN</t>
        </is>
      </c>
      <c r="E521" t="inlineStr">
        <is>
          <t>NORRTÄLJE</t>
        </is>
      </c>
      <c r="G521" t="n">
        <v>3.9</v>
      </c>
      <c r="H521" t="n">
        <v>0</v>
      </c>
      <c r="I521" t="n">
        <v>0</v>
      </c>
      <c r="J521" t="n">
        <v>0</v>
      </c>
      <c r="K521" t="n">
        <v>0</v>
      </c>
      <c r="L521" t="n">
        <v>0</v>
      </c>
      <c r="M521" t="n">
        <v>0</v>
      </c>
      <c r="N521" t="n">
        <v>0</v>
      </c>
      <c r="O521" t="n">
        <v>0</v>
      </c>
      <c r="P521" t="n">
        <v>0</v>
      </c>
      <c r="Q521" t="n">
        <v>0</v>
      </c>
      <c r="R521" s="2" t="inlineStr"/>
    </row>
    <row r="522" ht="15" customHeight="1">
      <c r="A522" t="inlineStr">
        <is>
          <t>A 27811-2025</t>
        </is>
      </c>
      <c r="B522" s="1" t="n">
        <v>45817.31986111111</v>
      </c>
      <c r="C522" s="1" t="n">
        <v>46130</v>
      </c>
      <c r="D522" t="inlineStr">
        <is>
          <t>STOCKHOLMS LÄN</t>
        </is>
      </c>
      <c r="E522" t="inlineStr">
        <is>
          <t>NORRTÄLJE</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27818-2025</t>
        </is>
      </c>
      <c r="B523" s="1" t="n">
        <v>45817.33503472222</v>
      </c>
      <c r="C523" s="1" t="n">
        <v>46130</v>
      </c>
      <c r="D523" t="inlineStr">
        <is>
          <t>STOCKHOLMS LÄN</t>
        </is>
      </c>
      <c r="E523" t="inlineStr">
        <is>
          <t>NORRTÄLJE</t>
        </is>
      </c>
      <c r="F523" t="inlineStr">
        <is>
          <t>Sveaskog</t>
        </is>
      </c>
      <c r="G523" t="n">
        <v>0.3</v>
      </c>
      <c r="H523" t="n">
        <v>0</v>
      </c>
      <c r="I523" t="n">
        <v>0</v>
      </c>
      <c r="J523" t="n">
        <v>0</v>
      </c>
      <c r="K523" t="n">
        <v>0</v>
      </c>
      <c r="L523" t="n">
        <v>0</v>
      </c>
      <c r="M523" t="n">
        <v>0</v>
      </c>
      <c r="N523" t="n">
        <v>0</v>
      </c>
      <c r="O523" t="n">
        <v>0</v>
      </c>
      <c r="P523" t="n">
        <v>0</v>
      </c>
      <c r="Q523" t="n">
        <v>0</v>
      </c>
      <c r="R523" s="2" t="inlineStr"/>
    </row>
    <row r="524" ht="15" customHeight="1">
      <c r="A524" t="inlineStr">
        <is>
          <t>A 4581-2025</t>
        </is>
      </c>
      <c r="B524" s="1" t="n">
        <v>45687</v>
      </c>
      <c r="C524" s="1" t="n">
        <v>46130</v>
      </c>
      <c r="D524" t="inlineStr">
        <is>
          <t>STOCKHOLMS LÄN</t>
        </is>
      </c>
      <c r="E524" t="inlineStr">
        <is>
          <t>NORRTÄLJE</t>
        </is>
      </c>
      <c r="F524" t="inlineStr">
        <is>
          <t>Holmen skog AB</t>
        </is>
      </c>
      <c r="G524" t="n">
        <v>2.8</v>
      </c>
      <c r="H524" t="n">
        <v>0</v>
      </c>
      <c r="I524" t="n">
        <v>0</v>
      </c>
      <c r="J524" t="n">
        <v>0</v>
      </c>
      <c r="K524" t="n">
        <v>0</v>
      </c>
      <c r="L524" t="n">
        <v>0</v>
      </c>
      <c r="M524" t="n">
        <v>0</v>
      </c>
      <c r="N524" t="n">
        <v>0</v>
      </c>
      <c r="O524" t="n">
        <v>0</v>
      </c>
      <c r="P524" t="n">
        <v>0</v>
      </c>
      <c r="Q524" t="n">
        <v>0</v>
      </c>
      <c r="R524" s="2" t="inlineStr"/>
    </row>
    <row r="525" ht="15" customHeight="1">
      <c r="A525" t="inlineStr">
        <is>
          <t>A 15528-2025</t>
        </is>
      </c>
      <c r="B525" s="1" t="n">
        <v>45747.63471064815</v>
      </c>
      <c r="C525" s="1" t="n">
        <v>46130</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27803-2025</t>
        </is>
      </c>
      <c r="B526" s="1" t="n">
        <v>45817.291875</v>
      </c>
      <c r="C526" s="1" t="n">
        <v>46130</v>
      </c>
      <c r="D526" t="inlineStr">
        <is>
          <t>STOCKHOLMS LÄN</t>
        </is>
      </c>
      <c r="E526" t="inlineStr">
        <is>
          <t>NORRTÄLJE</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27813-2025</t>
        </is>
      </c>
      <c r="B527" s="1" t="n">
        <v>45817.32538194444</v>
      </c>
      <c r="C527" s="1" t="n">
        <v>46130</v>
      </c>
      <c r="D527" t="inlineStr">
        <is>
          <t>STOCKHOLMS LÄN</t>
        </is>
      </c>
      <c r="E527" t="inlineStr">
        <is>
          <t>NORRTÄLJE</t>
        </is>
      </c>
      <c r="G527" t="n">
        <v>1.6</v>
      </c>
      <c r="H527" t="n">
        <v>0</v>
      </c>
      <c r="I527" t="n">
        <v>0</v>
      </c>
      <c r="J527" t="n">
        <v>0</v>
      </c>
      <c r="K527" t="n">
        <v>0</v>
      </c>
      <c r="L527" t="n">
        <v>0</v>
      </c>
      <c r="M527" t="n">
        <v>0</v>
      </c>
      <c r="N527" t="n">
        <v>0</v>
      </c>
      <c r="O527" t="n">
        <v>0</v>
      </c>
      <c r="P527" t="n">
        <v>0</v>
      </c>
      <c r="Q527" t="n">
        <v>0</v>
      </c>
      <c r="R527" s="2" t="inlineStr"/>
    </row>
    <row r="528" ht="15" customHeight="1">
      <c r="A528" t="inlineStr">
        <is>
          <t>A 27801-2025</t>
        </is>
      </c>
      <c r="B528" s="1" t="n">
        <v>45817.25471064815</v>
      </c>
      <c r="C528" s="1" t="n">
        <v>46130</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36157-2024</t>
        </is>
      </c>
      <c r="B529" s="1" t="n">
        <v>45534.38240740741</v>
      </c>
      <c r="C529" s="1" t="n">
        <v>46130</v>
      </c>
      <c r="D529" t="inlineStr">
        <is>
          <t>STOCKHOLMS LÄN</t>
        </is>
      </c>
      <c r="E529" t="inlineStr">
        <is>
          <t>NORRTÄLJE</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62398-2022</t>
        </is>
      </c>
      <c r="B530" s="1" t="n">
        <v>44923.90159722222</v>
      </c>
      <c r="C530" s="1" t="n">
        <v>46130</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17039-2024</t>
        </is>
      </c>
      <c r="B531" s="1" t="n">
        <v>45412.4104050926</v>
      </c>
      <c r="C531" s="1" t="n">
        <v>46130</v>
      </c>
      <c r="D531" t="inlineStr">
        <is>
          <t>STOCKHOLMS LÄN</t>
        </is>
      </c>
      <c r="E531" t="inlineStr">
        <is>
          <t>NORRTÄLJE</t>
        </is>
      </c>
      <c r="G531" t="n">
        <v>5.9</v>
      </c>
      <c r="H531" t="n">
        <v>0</v>
      </c>
      <c r="I531" t="n">
        <v>0</v>
      </c>
      <c r="J531" t="n">
        <v>0</v>
      </c>
      <c r="K531" t="n">
        <v>0</v>
      </c>
      <c r="L531" t="n">
        <v>0</v>
      </c>
      <c r="M531" t="n">
        <v>0</v>
      </c>
      <c r="N531" t="n">
        <v>0</v>
      </c>
      <c r="O531" t="n">
        <v>0</v>
      </c>
      <c r="P531" t="n">
        <v>0</v>
      </c>
      <c r="Q531" t="n">
        <v>0</v>
      </c>
      <c r="R531" s="2" t="inlineStr"/>
    </row>
    <row r="532" ht="15" customHeight="1">
      <c r="A532" t="inlineStr">
        <is>
          <t>A 27821-2025</t>
        </is>
      </c>
      <c r="B532" s="1" t="n">
        <v>45817.34083333334</v>
      </c>
      <c r="C532" s="1" t="n">
        <v>46130</v>
      </c>
      <c r="D532" t="inlineStr">
        <is>
          <t>STOCKHOLMS LÄN</t>
        </is>
      </c>
      <c r="E532" t="inlineStr">
        <is>
          <t>NORRTÄLJE</t>
        </is>
      </c>
      <c r="G532" t="n">
        <v>3.2</v>
      </c>
      <c r="H532" t="n">
        <v>0</v>
      </c>
      <c r="I532" t="n">
        <v>0</v>
      </c>
      <c r="J532" t="n">
        <v>0</v>
      </c>
      <c r="K532" t="n">
        <v>0</v>
      </c>
      <c r="L532" t="n">
        <v>0</v>
      </c>
      <c r="M532" t="n">
        <v>0</v>
      </c>
      <c r="N532" t="n">
        <v>0</v>
      </c>
      <c r="O532" t="n">
        <v>0</v>
      </c>
      <c r="P532" t="n">
        <v>0</v>
      </c>
      <c r="Q532" t="n">
        <v>0</v>
      </c>
      <c r="R532" s="2" t="inlineStr"/>
    </row>
    <row r="533" ht="15" customHeight="1">
      <c r="A533" t="inlineStr">
        <is>
          <t>A 3509-2022</t>
        </is>
      </c>
      <c r="B533" s="1" t="n">
        <v>44585</v>
      </c>
      <c r="C533" s="1" t="n">
        <v>46130</v>
      </c>
      <c r="D533" t="inlineStr">
        <is>
          <t>STOCKHOLMS LÄN</t>
        </is>
      </c>
      <c r="E533" t="inlineStr">
        <is>
          <t>NORRTÄLJE</t>
        </is>
      </c>
      <c r="F533" t="inlineStr">
        <is>
          <t>Kommuner</t>
        </is>
      </c>
      <c r="G533" t="n">
        <v>0.8</v>
      </c>
      <c r="H533" t="n">
        <v>0</v>
      </c>
      <c r="I533" t="n">
        <v>0</v>
      </c>
      <c r="J533" t="n">
        <v>0</v>
      </c>
      <c r="K533" t="n">
        <v>0</v>
      </c>
      <c r="L533" t="n">
        <v>0</v>
      </c>
      <c r="M533" t="n">
        <v>0</v>
      </c>
      <c r="N533" t="n">
        <v>0</v>
      </c>
      <c r="O533" t="n">
        <v>0</v>
      </c>
      <c r="P533" t="n">
        <v>0</v>
      </c>
      <c r="Q533" t="n">
        <v>0</v>
      </c>
      <c r="R533" s="2" t="inlineStr"/>
    </row>
    <row r="534" ht="15" customHeight="1">
      <c r="A534" t="inlineStr">
        <is>
          <t>A 45697-2025</t>
        </is>
      </c>
      <c r="B534" s="1" t="n">
        <v>45923.39877314815</v>
      </c>
      <c r="C534" s="1" t="n">
        <v>46130</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7697-2025</t>
        </is>
      </c>
      <c r="B535" s="1" t="n">
        <v>45706.40086805556</v>
      </c>
      <c r="C535" s="1" t="n">
        <v>46130</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39669-2024</t>
        </is>
      </c>
      <c r="B536" s="1" t="n">
        <v>45552.52827546297</v>
      </c>
      <c r="C536" s="1" t="n">
        <v>46130</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35256-2025</t>
        </is>
      </c>
      <c r="B537" s="1" t="n">
        <v>45853</v>
      </c>
      <c r="C537" s="1" t="n">
        <v>46130</v>
      </c>
      <c r="D537" t="inlineStr">
        <is>
          <t>STOCKHOLMS LÄN</t>
        </is>
      </c>
      <c r="E537" t="inlineStr">
        <is>
          <t>NORRTÄLJE</t>
        </is>
      </c>
      <c r="G537" t="n">
        <v>6.4</v>
      </c>
      <c r="H537" t="n">
        <v>0</v>
      </c>
      <c r="I537" t="n">
        <v>0</v>
      </c>
      <c r="J537" t="n">
        <v>0</v>
      </c>
      <c r="K537" t="n">
        <v>0</v>
      </c>
      <c r="L537" t="n">
        <v>0</v>
      </c>
      <c r="M537" t="n">
        <v>0</v>
      </c>
      <c r="N537" t="n">
        <v>0</v>
      </c>
      <c r="O537" t="n">
        <v>0</v>
      </c>
      <c r="P537" t="n">
        <v>0</v>
      </c>
      <c r="Q537" t="n">
        <v>0</v>
      </c>
      <c r="R537" s="2" t="inlineStr"/>
    </row>
    <row r="538" ht="15" customHeight="1">
      <c r="A538" t="inlineStr">
        <is>
          <t>A 2982-2023</t>
        </is>
      </c>
      <c r="B538" s="1" t="n">
        <v>44945.67409722223</v>
      </c>
      <c r="C538" s="1" t="n">
        <v>46130</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46130</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35127-2023</t>
        </is>
      </c>
      <c r="B540" s="1" t="n">
        <v>45145.51</v>
      </c>
      <c r="C540" s="1" t="n">
        <v>46130</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44075-2023</t>
        </is>
      </c>
      <c r="B541" s="1" t="n">
        <v>45188.41637731482</v>
      </c>
      <c r="C541" s="1" t="n">
        <v>46130</v>
      </c>
      <c r="D541" t="inlineStr">
        <is>
          <t>STOCKHOLMS LÄN</t>
        </is>
      </c>
      <c r="E541" t="inlineStr">
        <is>
          <t>NORRTÄLJE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46130</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46130</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46130</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46415-2025</t>
        </is>
      </c>
      <c r="B545" s="1" t="n">
        <v>45925.58636574074</v>
      </c>
      <c r="C545" s="1" t="n">
        <v>46130</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5389-2025</t>
        </is>
      </c>
      <c r="B546" s="1" t="n">
        <v>45692</v>
      </c>
      <c r="C546" s="1" t="n">
        <v>46130</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46130</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59499-2023</t>
        </is>
      </c>
      <c r="B548" s="1" t="n">
        <v>45254</v>
      </c>
      <c r="C548" s="1" t="n">
        <v>46130</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29250-2025</t>
        </is>
      </c>
      <c r="B549" s="1" t="n">
        <v>45824.37275462963</v>
      </c>
      <c r="C549" s="1" t="n">
        <v>46130</v>
      </c>
      <c r="D549" t="inlineStr">
        <is>
          <t>STOCKHOLMS LÄN</t>
        </is>
      </c>
      <c r="E549" t="inlineStr">
        <is>
          <t>NORRTÄLJE</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60654-2023</t>
        </is>
      </c>
      <c r="B550" s="1" t="n">
        <v>45260.43225694444</v>
      </c>
      <c r="C550" s="1" t="n">
        <v>46130</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60656-2023</t>
        </is>
      </c>
      <c r="B551" s="1" t="n">
        <v>45260.4333449074</v>
      </c>
      <c r="C551" s="1" t="n">
        <v>46130</v>
      </c>
      <c r="D551" t="inlineStr">
        <is>
          <t>STOCKHOLMS LÄN</t>
        </is>
      </c>
      <c r="E551" t="inlineStr">
        <is>
          <t>NORRTÄLJE</t>
        </is>
      </c>
      <c r="G551" t="n">
        <v>4.8</v>
      </c>
      <c r="H551" t="n">
        <v>0</v>
      </c>
      <c r="I551" t="n">
        <v>0</v>
      </c>
      <c r="J551" t="n">
        <v>0</v>
      </c>
      <c r="K551" t="n">
        <v>0</v>
      </c>
      <c r="L551" t="n">
        <v>0</v>
      </c>
      <c r="M551" t="n">
        <v>0</v>
      </c>
      <c r="N551" t="n">
        <v>0</v>
      </c>
      <c r="O551" t="n">
        <v>0</v>
      </c>
      <c r="P551" t="n">
        <v>0</v>
      </c>
      <c r="Q551" t="n">
        <v>0</v>
      </c>
      <c r="R551" s="2" t="inlineStr"/>
    </row>
    <row r="552" ht="15" customHeight="1">
      <c r="A552" t="inlineStr">
        <is>
          <t>A 55599-2025</t>
        </is>
      </c>
      <c r="B552" s="1" t="n">
        <v>45971.76810185185</v>
      </c>
      <c r="C552" s="1" t="n">
        <v>46130</v>
      </c>
      <c r="D552" t="inlineStr">
        <is>
          <t>STOCKHOLMS LÄN</t>
        </is>
      </c>
      <c r="E552" t="inlineStr">
        <is>
          <t>NORRTÄLJE</t>
        </is>
      </c>
      <c r="F552" t="inlineStr">
        <is>
          <t>Holmen skog AB</t>
        </is>
      </c>
      <c r="G552" t="n">
        <v>6.4</v>
      </c>
      <c r="H552" t="n">
        <v>0</v>
      </c>
      <c r="I552" t="n">
        <v>0</v>
      </c>
      <c r="J552" t="n">
        <v>0</v>
      </c>
      <c r="K552" t="n">
        <v>0</v>
      </c>
      <c r="L552" t="n">
        <v>0</v>
      </c>
      <c r="M552" t="n">
        <v>0</v>
      </c>
      <c r="N552" t="n">
        <v>0</v>
      </c>
      <c r="O552" t="n">
        <v>0</v>
      </c>
      <c r="P552" t="n">
        <v>0</v>
      </c>
      <c r="Q552" t="n">
        <v>0</v>
      </c>
      <c r="R552" s="2" t="inlineStr"/>
    </row>
    <row r="553" ht="15" customHeight="1">
      <c r="A553" t="inlineStr">
        <is>
          <t>A 22697-2022</t>
        </is>
      </c>
      <c r="B553" s="1" t="n">
        <v>44714.56040509259</v>
      </c>
      <c r="C553" s="1" t="n">
        <v>46130</v>
      </c>
      <c r="D553" t="inlineStr">
        <is>
          <t>STOCKHOLMS LÄN</t>
        </is>
      </c>
      <c r="E553" t="inlineStr">
        <is>
          <t>NORRTÄLJE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47460-2025</t>
        </is>
      </c>
      <c r="B554" s="1" t="n">
        <v>45930.66012731481</v>
      </c>
      <c r="C554" s="1" t="n">
        <v>46130</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46900-2025</t>
        </is>
      </c>
      <c r="B555" s="1" t="n">
        <v>45929.38712962963</v>
      </c>
      <c r="C555" s="1" t="n">
        <v>46130</v>
      </c>
      <c r="D555" t="inlineStr">
        <is>
          <t>STOCKHOLMS LÄN</t>
        </is>
      </c>
      <c r="E555" t="inlineStr">
        <is>
          <t>NORRTÄLJE</t>
        </is>
      </c>
      <c r="F555" t="inlineStr">
        <is>
          <t>Holmen skog AB</t>
        </is>
      </c>
      <c r="G555" t="n">
        <v>6.2</v>
      </c>
      <c r="H555" t="n">
        <v>0</v>
      </c>
      <c r="I555" t="n">
        <v>0</v>
      </c>
      <c r="J555" t="n">
        <v>0</v>
      </c>
      <c r="K555" t="n">
        <v>0</v>
      </c>
      <c r="L555" t="n">
        <v>0</v>
      </c>
      <c r="M555" t="n">
        <v>0</v>
      </c>
      <c r="N555" t="n">
        <v>0</v>
      </c>
      <c r="O555" t="n">
        <v>0</v>
      </c>
      <c r="P555" t="n">
        <v>0</v>
      </c>
      <c r="Q555" t="n">
        <v>0</v>
      </c>
      <c r="R555" s="2" t="inlineStr"/>
    </row>
    <row r="556" ht="15" customHeight="1">
      <c r="A556" t="inlineStr">
        <is>
          <t>A 48180-2023</t>
        </is>
      </c>
      <c r="B556" s="1" t="n">
        <v>45205</v>
      </c>
      <c r="C556" s="1" t="n">
        <v>46130</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57353-2024</t>
        </is>
      </c>
      <c r="B557" s="1" t="n">
        <v>45629.65143518519</v>
      </c>
      <c r="C557" s="1" t="n">
        <v>46130</v>
      </c>
      <c r="D557" t="inlineStr">
        <is>
          <t>STOCKHOLMS LÄN</t>
        </is>
      </c>
      <c r="E557" t="inlineStr">
        <is>
          <t>NORRTÄLJE</t>
        </is>
      </c>
      <c r="F557" t="inlineStr">
        <is>
          <t>Holmen skog AB</t>
        </is>
      </c>
      <c r="G557" t="n">
        <v>0.9</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46130</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55696-2022</t>
        </is>
      </c>
      <c r="B559" s="1" t="n">
        <v>44888</v>
      </c>
      <c r="C559" s="1" t="n">
        <v>46130</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50907-2022</t>
        </is>
      </c>
      <c r="B560" s="1" t="n">
        <v>44867.62090277778</v>
      </c>
      <c r="C560" s="1" t="n">
        <v>46130</v>
      </c>
      <c r="D560" t="inlineStr">
        <is>
          <t>STOCKHOLMS LÄN</t>
        </is>
      </c>
      <c r="E560" t="inlineStr">
        <is>
          <t>NORRTÄLJE</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6919-2025</t>
        </is>
      </c>
      <c r="B561" s="1" t="n">
        <v>45701.44372685185</v>
      </c>
      <c r="C561" s="1" t="n">
        <v>46130</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47496-2025</t>
        </is>
      </c>
      <c r="B562" s="1" t="n">
        <v>45930.79252314815</v>
      </c>
      <c r="C562" s="1" t="n">
        <v>46130</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47497-2025</t>
        </is>
      </c>
      <c r="B563" s="1" t="n">
        <v>45930.80217592593</v>
      </c>
      <c r="C563" s="1" t="n">
        <v>46130</v>
      </c>
      <c r="D563" t="inlineStr">
        <is>
          <t>STOCKHOLMS LÄN</t>
        </is>
      </c>
      <c r="E563" t="inlineStr">
        <is>
          <t>NORRTÄLJE</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53362-2023</t>
        </is>
      </c>
      <c r="B564" s="1" t="n">
        <v>45223</v>
      </c>
      <c r="C564" s="1" t="n">
        <v>46130</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30668-2025</t>
        </is>
      </c>
      <c r="B565" s="1" t="n">
        <v>45831.51659722222</v>
      </c>
      <c r="C565" s="1" t="n">
        <v>46130</v>
      </c>
      <c r="D565" t="inlineStr">
        <is>
          <t>STOCKHOLMS LÄN</t>
        </is>
      </c>
      <c r="E565" t="inlineStr">
        <is>
          <t>NORRTÄLJE</t>
        </is>
      </c>
      <c r="G565" t="n">
        <v>4.9</v>
      </c>
      <c r="H565" t="n">
        <v>0</v>
      </c>
      <c r="I565" t="n">
        <v>0</v>
      </c>
      <c r="J565" t="n">
        <v>0</v>
      </c>
      <c r="K565" t="n">
        <v>0</v>
      </c>
      <c r="L565" t="n">
        <v>0</v>
      </c>
      <c r="M565" t="n">
        <v>0</v>
      </c>
      <c r="N565" t="n">
        <v>0</v>
      </c>
      <c r="O565" t="n">
        <v>0</v>
      </c>
      <c r="P565" t="n">
        <v>0</v>
      </c>
      <c r="Q565" t="n">
        <v>0</v>
      </c>
      <c r="R565" s="2" t="inlineStr"/>
    </row>
    <row r="566" ht="15" customHeight="1">
      <c r="A566" t="inlineStr">
        <is>
          <t>A 48718-2025</t>
        </is>
      </c>
      <c r="B566" s="1" t="n">
        <v>45936</v>
      </c>
      <c r="C566" s="1" t="n">
        <v>46130</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8433-2022</t>
        </is>
      </c>
      <c r="B567" s="1" t="n">
        <v>44611</v>
      </c>
      <c r="C567" s="1" t="n">
        <v>46130</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48360-2025</t>
        </is>
      </c>
      <c r="B568" s="1" t="n">
        <v>45933.66253472222</v>
      </c>
      <c r="C568" s="1" t="n">
        <v>46130</v>
      </c>
      <c r="D568" t="inlineStr">
        <is>
          <t>STOCKHOLMS LÄN</t>
        </is>
      </c>
      <c r="E568" t="inlineStr">
        <is>
          <t>NORRTÄLJE</t>
        </is>
      </c>
      <c r="G568" t="n">
        <v>4.1</v>
      </c>
      <c r="H568" t="n">
        <v>0</v>
      </c>
      <c r="I568" t="n">
        <v>0</v>
      </c>
      <c r="J568" t="n">
        <v>0</v>
      </c>
      <c r="K568" t="n">
        <v>0</v>
      </c>
      <c r="L568" t="n">
        <v>0</v>
      </c>
      <c r="M568" t="n">
        <v>0</v>
      </c>
      <c r="N568" t="n">
        <v>0</v>
      </c>
      <c r="O568" t="n">
        <v>0</v>
      </c>
      <c r="P568" t="n">
        <v>0</v>
      </c>
      <c r="Q568" t="n">
        <v>0</v>
      </c>
      <c r="R568" s="2" t="inlineStr"/>
    </row>
    <row r="569" ht="15" customHeight="1">
      <c r="A569" t="inlineStr">
        <is>
          <t>A 48370-2025</t>
        </is>
      </c>
      <c r="B569" s="1" t="n">
        <v>45933.67854166667</v>
      </c>
      <c r="C569" s="1" t="n">
        <v>46130</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10215-2023</t>
        </is>
      </c>
      <c r="B570" s="1" t="n">
        <v>44986.5887962963</v>
      </c>
      <c r="C570" s="1" t="n">
        <v>46130</v>
      </c>
      <c r="D570" t="inlineStr">
        <is>
          <t>STOCKHOLMS LÄN</t>
        </is>
      </c>
      <c r="E570" t="inlineStr">
        <is>
          <t>NORRTÄLJE</t>
        </is>
      </c>
      <c r="G570" t="n">
        <v>6.5</v>
      </c>
      <c r="H570" t="n">
        <v>0</v>
      </c>
      <c r="I570" t="n">
        <v>0</v>
      </c>
      <c r="J570" t="n">
        <v>0</v>
      </c>
      <c r="K570" t="n">
        <v>0</v>
      </c>
      <c r="L570" t="n">
        <v>0</v>
      </c>
      <c r="M570" t="n">
        <v>0</v>
      </c>
      <c r="N570" t="n">
        <v>0</v>
      </c>
      <c r="O570" t="n">
        <v>0</v>
      </c>
      <c r="P570" t="n">
        <v>0</v>
      </c>
      <c r="Q570" t="n">
        <v>0</v>
      </c>
      <c r="R570" s="2" t="inlineStr"/>
    </row>
    <row r="571" ht="15" customHeight="1">
      <c r="A571" t="inlineStr">
        <is>
          <t>A 48443-2025</t>
        </is>
      </c>
      <c r="B571" s="1" t="n">
        <v>45935.55326388889</v>
      </c>
      <c r="C571" s="1" t="n">
        <v>46130</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30639-2025</t>
        </is>
      </c>
      <c r="B572" s="1" t="n">
        <v>45831.4844212963</v>
      </c>
      <c r="C572" s="1" t="n">
        <v>46130</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31170-2025</t>
        </is>
      </c>
      <c r="B573" s="1" t="n">
        <v>45832.66385416667</v>
      </c>
      <c r="C573" s="1" t="n">
        <v>46130</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48127-2025</t>
        </is>
      </c>
      <c r="B574" s="1" t="n">
        <v>45933.36621527778</v>
      </c>
      <c r="C574" s="1" t="n">
        <v>46130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48364-2025</t>
        </is>
      </c>
      <c r="B575" s="1" t="n">
        <v>45933.66796296297</v>
      </c>
      <c r="C575" s="1" t="n">
        <v>46130</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48179-2025</t>
        </is>
      </c>
      <c r="B576" s="1" t="n">
        <v>45933.44907407407</v>
      </c>
      <c r="C576" s="1" t="n">
        <v>46130</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14127-2025</t>
        </is>
      </c>
      <c r="B577" s="1" t="n">
        <v>45740.47055555556</v>
      </c>
      <c r="C577" s="1" t="n">
        <v>46130</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31559-2022</t>
        </is>
      </c>
      <c r="B578" s="1" t="n">
        <v>44775</v>
      </c>
      <c r="C578" s="1" t="n">
        <v>46130</v>
      </c>
      <c r="D578" t="inlineStr">
        <is>
          <t>STOCKHOLMS LÄN</t>
        </is>
      </c>
      <c r="E578" t="inlineStr">
        <is>
          <t>NORRTÄLJE</t>
        </is>
      </c>
      <c r="G578" t="n">
        <v>5.6</v>
      </c>
      <c r="H578" t="n">
        <v>0</v>
      </c>
      <c r="I578" t="n">
        <v>0</v>
      </c>
      <c r="J578" t="n">
        <v>0</v>
      </c>
      <c r="K578" t="n">
        <v>0</v>
      </c>
      <c r="L578" t="n">
        <v>0</v>
      </c>
      <c r="M578" t="n">
        <v>0</v>
      </c>
      <c r="N578" t="n">
        <v>0</v>
      </c>
      <c r="O578" t="n">
        <v>0</v>
      </c>
      <c r="P578" t="n">
        <v>0</v>
      </c>
      <c r="Q578" t="n">
        <v>0</v>
      </c>
      <c r="R578" s="2" t="inlineStr"/>
    </row>
    <row r="579" ht="15" customHeight="1">
      <c r="A579" t="inlineStr">
        <is>
          <t>A 52001-2023</t>
        </is>
      </c>
      <c r="B579" s="1" t="n">
        <v>45223</v>
      </c>
      <c r="C579" s="1" t="n">
        <v>46130</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46130</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48593-2025</t>
        </is>
      </c>
      <c r="B581" s="1" t="n">
        <v>45936.4627662037</v>
      </c>
      <c r="C581" s="1" t="n">
        <v>46130</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56207-2025</t>
        </is>
      </c>
      <c r="B582" s="1" t="n">
        <v>45974.47329861111</v>
      </c>
      <c r="C582" s="1" t="n">
        <v>46130</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31874-2025</t>
        </is>
      </c>
      <c r="B583" s="1" t="n">
        <v>45834</v>
      </c>
      <c r="C583" s="1" t="n">
        <v>46130</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31868-2025</t>
        </is>
      </c>
      <c r="B584" s="1" t="n">
        <v>45834.6447337963</v>
      </c>
      <c r="C584" s="1" t="n">
        <v>46130</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49129-2025</t>
        </is>
      </c>
      <c r="B585" s="1" t="n">
        <v>45937.89517361111</v>
      </c>
      <c r="C585" s="1" t="n">
        <v>46130</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6413-2025</t>
        </is>
      </c>
      <c r="B586" s="1" t="n">
        <v>45699.46283564815</v>
      </c>
      <c r="C586" s="1" t="n">
        <v>46130</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22456-2023</t>
        </is>
      </c>
      <c r="B587" s="1" t="n">
        <v>45070</v>
      </c>
      <c r="C587" s="1" t="n">
        <v>46130</v>
      </c>
      <c r="D587" t="inlineStr">
        <is>
          <t>STOCKHOLMS LÄN</t>
        </is>
      </c>
      <c r="E587" t="inlineStr">
        <is>
          <t>NORRTÄLJE</t>
        </is>
      </c>
      <c r="G587" t="n">
        <v>3.1</v>
      </c>
      <c r="H587" t="n">
        <v>0</v>
      </c>
      <c r="I587" t="n">
        <v>0</v>
      </c>
      <c r="J587" t="n">
        <v>0</v>
      </c>
      <c r="K587" t="n">
        <v>0</v>
      </c>
      <c r="L587" t="n">
        <v>0</v>
      </c>
      <c r="M587" t="n">
        <v>0</v>
      </c>
      <c r="N587" t="n">
        <v>0</v>
      </c>
      <c r="O587" t="n">
        <v>0</v>
      </c>
      <c r="P587" t="n">
        <v>0</v>
      </c>
      <c r="Q587" t="n">
        <v>0</v>
      </c>
      <c r="R587" s="2" t="inlineStr"/>
    </row>
    <row r="588" ht="15" customHeight="1">
      <c r="A588" t="inlineStr">
        <is>
          <t>A 48780-2025</t>
        </is>
      </c>
      <c r="B588" s="1" t="n">
        <v>45937.30377314815</v>
      </c>
      <c r="C588" s="1" t="n">
        <v>46130</v>
      </c>
      <c r="D588" t="inlineStr">
        <is>
          <t>STOCKHOLMS LÄN</t>
        </is>
      </c>
      <c r="E588" t="inlineStr">
        <is>
          <t>NORRTÄLJE</t>
        </is>
      </c>
      <c r="G588" t="n">
        <v>7.7</v>
      </c>
      <c r="H588" t="n">
        <v>0</v>
      </c>
      <c r="I588" t="n">
        <v>0</v>
      </c>
      <c r="J588" t="n">
        <v>0</v>
      </c>
      <c r="K588" t="n">
        <v>0</v>
      </c>
      <c r="L588" t="n">
        <v>0</v>
      </c>
      <c r="M588" t="n">
        <v>0</v>
      </c>
      <c r="N588" t="n">
        <v>0</v>
      </c>
      <c r="O588" t="n">
        <v>0</v>
      </c>
      <c r="P588" t="n">
        <v>0</v>
      </c>
      <c r="Q588" t="n">
        <v>0</v>
      </c>
      <c r="R588" s="2" t="inlineStr"/>
    </row>
    <row r="589" ht="15" customHeight="1">
      <c r="A589" t="inlineStr">
        <is>
          <t>A 31880-2025</t>
        </is>
      </c>
      <c r="B589" s="1" t="n">
        <v>45834.65538194445</v>
      </c>
      <c r="C589" s="1" t="n">
        <v>46130</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19580-2022</t>
        </is>
      </c>
      <c r="B590" s="1" t="n">
        <v>44693</v>
      </c>
      <c r="C590" s="1" t="n">
        <v>46130</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32283-2025</t>
        </is>
      </c>
      <c r="B591" s="1" t="n">
        <v>45835.68076388889</v>
      </c>
      <c r="C591" s="1" t="n">
        <v>46130</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32122-2025</t>
        </is>
      </c>
      <c r="B592" s="1" t="n">
        <v>45835.4928125</v>
      </c>
      <c r="C592" s="1" t="n">
        <v>46130</v>
      </c>
      <c r="D592" t="inlineStr">
        <is>
          <t>STOCKHOLMS LÄN</t>
        </is>
      </c>
      <c r="E592" t="inlineStr">
        <is>
          <t>NORRTÄLJE</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5823-2023</t>
        </is>
      </c>
      <c r="B593" s="1" t="n">
        <v>44963</v>
      </c>
      <c r="C593" s="1" t="n">
        <v>46130</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30731-2023</t>
        </is>
      </c>
      <c r="B594" s="1" t="n">
        <v>45112</v>
      </c>
      <c r="C594" s="1" t="n">
        <v>46130</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49836-2025</t>
        </is>
      </c>
      <c r="B595" s="1" t="n">
        <v>45940.46862268518</v>
      </c>
      <c r="C595" s="1" t="n">
        <v>46130</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32094-2025</t>
        </is>
      </c>
      <c r="B596" s="1" t="n">
        <v>45835.46034722222</v>
      </c>
      <c r="C596" s="1" t="n">
        <v>46130</v>
      </c>
      <c r="D596" t="inlineStr">
        <is>
          <t>STOCKHOLMS LÄN</t>
        </is>
      </c>
      <c r="E596" t="inlineStr">
        <is>
          <t>NORRTÄLJE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51653-2022</t>
        </is>
      </c>
      <c r="B597" s="1" t="n">
        <v>44867</v>
      </c>
      <c r="C597" s="1" t="n">
        <v>46130</v>
      </c>
      <c r="D597" t="inlineStr">
        <is>
          <t>STOCKHOLMS LÄN</t>
        </is>
      </c>
      <c r="E597" t="inlineStr">
        <is>
          <t>NORRTÄLJE</t>
        </is>
      </c>
      <c r="G597" t="n">
        <v>6.6</v>
      </c>
      <c r="H597" t="n">
        <v>0</v>
      </c>
      <c r="I597" t="n">
        <v>0</v>
      </c>
      <c r="J597" t="n">
        <v>0</v>
      </c>
      <c r="K597" t="n">
        <v>0</v>
      </c>
      <c r="L597" t="n">
        <v>0</v>
      </c>
      <c r="M597" t="n">
        <v>0</v>
      </c>
      <c r="N597" t="n">
        <v>0</v>
      </c>
      <c r="O597" t="n">
        <v>0</v>
      </c>
      <c r="P597" t="n">
        <v>0</v>
      </c>
      <c r="Q597" t="n">
        <v>0</v>
      </c>
      <c r="R597" s="2" t="inlineStr"/>
    </row>
    <row r="598" ht="15" customHeight="1">
      <c r="A598" t="inlineStr">
        <is>
          <t>A 32016-2025</t>
        </is>
      </c>
      <c r="B598" s="1" t="n">
        <v>45835</v>
      </c>
      <c r="C598" s="1" t="n">
        <v>46130</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32396-2025</t>
        </is>
      </c>
      <c r="B599" s="1" t="n">
        <v>45837</v>
      </c>
      <c r="C599" s="1" t="n">
        <v>46130</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32397-2025</t>
        </is>
      </c>
      <c r="B600" s="1" t="n">
        <v>45837.94081018519</v>
      </c>
      <c r="C600" s="1" t="n">
        <v>46130</v>
      </c>
      <c r="D600" t="inlineStr">
        <is>
          <t>STOCKHOLMS LÄN</t>
        </is>
      </c>
      <c r="E600" t="inlineStr">
        <is>
          <t>NORRTÄLJE</t>
        </is>
      </c>
      <c r="G600" t="n">
        <v>5.9</v>
      </c>
      <c r="H600" t="n">
        <v>0</v>
      </c>
      <c r="I600" t="n">
        <v>0</v>
      </c>
      <c r="J600" t="n">
        <v>0</v>
      </c>
      <c r="K600" t="n">
        <v>0</v>
      </c>
      <c r="L600" t="n">
        <v>0</v>
      </c>
      <c r="M600" t="n">
        <v>0</v>
      </c>
      <c r="N600" t="n">
        <v>0</v>
      </c>
      <c r="O600" t="n">
        <v>0</v>
      </c>
      <c r="P600" t="n">
        <v>0</v>
      </c>
      <c r="Q600" t="n">
        <v>0</v>
      </c>
      <c r="R600" s="2" t="inlineStr"/>
    </row>
    <row r="601" ht="15" customHeight="1">
      <c r="A601" t="inlineStr">
        <is>
          <t>A 32103-2022</t>
        </is>
      </c>
      <c r="B601" s="1" t="n">
        <v>44778</v>
      </c>
      <c r="C601" s="1" t="n">
        <v>46130</v>
      </c>
      <c r="D601" t="inlineStr">
        <is>
          <t>STOCKHOLMS LÄN</t>
        </is>
      </c>
      <c r="E601" t="inlineStr">
        <is>
          <t>NORRTÄLJE</t>
        </is>
      </c>
      <c r="G601" t="n">
        <v>3.4</v>
      </c>
      <c r="H601" t="n">
        <v>0</v>
      </c>
      <c r="I601" t="n">
        <v>0</v>
      </c>
      <c r="J601" t="n">
        <v>0</v>
      </c>
      <c r="K601" t="n">
        <v>0</v>
      </c>
      <c r="L601" t="n">
        <v>0</v>
      </c>
      <c r="M601" t="n">
        <v>0</v>
      </c>
      <c r="N601" t="n">
        <v>0</v>
      </c>
      <c r="O601" t="n">
        <v>0</v>
      </c>
      <c r="P601" t="n">
        <v>0</v>
      </c>
      <c r="Q601" t="n">
        <v>0</v>
      </c>
      <c r="R601" s="2" t="inlineStr"/>
    </row>
    <row r="602" ht="15" customHeight="1">
      <c r="A602" t="inlineStr">
        <is>
          <t>A 55952-2024</t>
        </is>
      </c>
      <c r="B602" s="1" t="n">
        <v>45623.62563657408</v>
      </c>
      <c r="C602" s="1" t="n">
        <v>46130</v>
      </c>
      <c r="D602" t="inlineStr">
        <is>
          <t>STOCKHOLMS LÄN</t>
        </is>
      </c>
      <c r="E602" t="inlineStr">
        <is>
          <t>NORRTÄLJE</t>
        </is>
      </c>
      <c r="F602" t="inlineStr">
        <is>
          <t>Holmen skog AB</t>
        </is>
      </c>
      <c r="G602" t="n">
        <v>2.8</v>
      </c>
      <c r="H602" t="n">
        <v>0</v>
      </c>
      <c r="I602" t="n">
        <v>0</v>
      </c>
      <c r="J602" t="n">
        <v>0</v>
      </c>
      <c r="K602" t="n">
        <v>0</v>
      </c>
      <c r="L602" t="n">
        <v>0</v>
      </c>
      <c r="M602" t="n">
        <v>0</v>
      </c>
      <c r="N602" t="n">
        <v>0</v>
      </c>
      <c r="O602" t="n">
        <v>0</v>
      </c>
      <c r="P602" t="n">
        <v>0</v>
      </c>
      <c r="Q602" t="n">
        <v>0</v>
      </c>
      <c r="R602" s="2" t="inlineStr"/>
    </row>
    <row r="603" ht="15" customHeight="1">
      <c r="A603" t="inlineStr">
        <is>
          <t>A 32480-2025</t>
        </is>
      </c>
      <c r="B603" s="1" t="n">
        <v>45838.43261574074</v>
      </c>
      <c r="C603" s="1" t="n">
        <v>46130</v>
      </c>
      <c r="D603" t="inlineStr">
        <is>
          <t>STOCKHOLMS LÄN</t>
        </is>
      </c>
      <c r="E603" t="inlineStr">
        <is>
          <t>NORRTÄLJE</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23070-2023</t>
        </is>
      </c>
      <c r="B604" s="1" t="n">
        <v>45075</v>
      </c>
      <c r="C604" s="1" t="n">
        <v>46130</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8792-2025</t>
        </is>
      </c>
      <c r="B605" s="1" t="n">
        <v>45712</v>
      </c>
      <c r="C605" s="1" t="n">
        <v>46130</v>
      </c>
      <c r="D605" t="inlineStr">
        <is>
          <t>STOCKHOLMS LÄN</t>
        </is>
      </c>
      <c r="E605" t="inlineStr">
        <is>
          <t>NORRTÄLJE</t>
        </is>
      </c>
      <c r="F605" t="inlineStr">
        <is>
          <t>Övriga Aktiebolag</t>
        </is>
      </c>
      <c r="G605" t="n">
        <v>6.6</v>
      </c>
      <c r="H605" t="n">
        <v>0</v>
      </c>
      <c r="I605" t="n">
        <v>0</v>
      </c>
      <c r="J605" t="n">
        <v>0</v>
      </c>
      <c r="K605" t="n">
        <v>0</v>
      </c>
      <c r="L605" t="n">
        <v>0</v>
      </c>
      <c r="M605" t="n">
        <v>0</v>
      </c>
      <c r="N605" t="n">
        <v>0</v>
      </c>
      <c r="O605" t="n">
        <v>0</v>
      </c>
      <c r="P605" t="n">
        <v>0</v>
      </c>
      <c r="Q605" t="n">
        <v>0</v>
      </c>
      <c r="R605" s="2" t="inlineStr"/>
    </row>
    <row r="606" ht="15" customHeight="1">
      <c r="A606" t="inlineStr">
        <is>
          <t>A 32395-2025</t>
        </is>
      </c>
      <c r="B606" s="1" t="n">
        <v>45837.93730324074</v>
      </c>
      <c r="C606" s="1" t="n">
        <v>46130</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7571-2024</t>
        </is>
      </c>
      <c r="B607" s="1" t="n">
        <v>45348.46300925926</v>
      </c>
      <c r="C607" s="1" t="n">
        <v>46130</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50097-2025</t>
        </is>
      </c>
      <c r="B608" s="1" t="n">
        <v>45943.50207175926</v>
      </c>
      <c r="C608" s="1" t="n">
        <v>46130</v>
      </c>
      <c r="D608" t="inlineStr">
        <is>
          <t>STOCKHOLMS LÄN</t>
        </is>
      </c>
      <c r="E608" t="inlineStr">
        <is>
          <t>NORRTÄLJE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33211-2025</t>
        </is>
      </c>
      <c r="B609" s="1" t="n">
        <v>45840.62755787037</v>
      </c>
      <c r="C609" s="1" t="n">
        <v>46130</v>
      </c>
      <c r="D609" t="inlineStr">
        <is>
          <t>STOCKHOLMS LÄN</t>
        </is>
      </c>
      <c r="E609" t="inlineStr">
        <is>
          <t>NORRTÄLJE</t>
        </is>
      </c>
      <c r="G609" t="n">
        <v>5.1</v>
      </c>
      <c r="H609" t="n">
        <v>0</v>
      </c>
      <c r="I609" t="n">
        <v>0</v>
      </c>
      <c r="J609" t="n">
        <v>0</v>
      </c>
      <c r="K609" t="n">
        <v>0</v>
      </c>
      <c r="L609" t="n">
        <v>0</v>
      </c>
      <c r="M609" t="n">
        <v>0</v>
      </c>
      <c r="N609" t="n">
        <v>0</v>
      </c>
      <c r="O609" t="n">
        <v>0</v>
      </c>
      <c r="P609" t="n">
        <v>0</v>
      </c>
      <c r="Q609" t="n">
        <v>0</v>
      </c>
      <c r="R609" s="2" t="inlineStr"/>
    </row>
    <row r="610" ht="15" customHeight="1">
      <c r="A610" t="inlineStr">
        <is>
          <t>A 36269-2022</t>
        </is>
      </c>
      <c r="B610" s="1" t="n">
        <v>44803</v>
      </c>
      <c r="C610" s="1" t="n">
        <v>46130</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32903-2025</t>
        </is>
      </c>
      <c r="B611" s="1" t="n">
        <v>45839.62398148148</v>
      </c>
      <c r="C611" s="1" t="n">
        <v>46130</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33265-2025</t>
        </is>
      </c>
      <c r="B612" s="1" t="n">
        <v>45840.67829861111</v>
      </c>
      <c r="C612" s="1" t="n">
        <v>46130</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5665-2025</t>
        </is>
      </c>
      <c r="B613" s="1" t="n">
        <v>45693</v>
      </c>
      <c r="C613" s="1" t="n">
        <v>46130</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32872-2025</t>
        </is>
      </c>
      <c r="B614" s="1" t="n">
        <v>45839</v>
      </c>
      <c r="C614" s="1" t="n">
        <v>46130</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50333-2025</t>
        </is>
      </c>
      <c r="B615" s="1" t="n">
        <v>45944.47178240741</v>
      </c>
      <c r="C615" s="1" t="n">
        <v>46130</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12407-2025</t>
        </is>
      </c>
      <c r="B616" s="1" t="n">
        <v>45730.42851851852</v>
      </c>
      <c r="C616" s="1" t="n">
        <v>46130</v>
      </c>
      <c r="D616" t="inlineStr">
        <is>
          <t>STOCKHOLMS LÄN</t>
        </is>
      </c>
      <c r="E616" t="inlineStr">
        <is>
          <t>NORRTÄLJE</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50563-2025</t>
        </is>
      </c>
      <c r="B617" s="1" t="n">
        <v>45944</v>
      </c>
      <c r="C617" s="1" t="n">
        <v>46130</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26636-2023</t>
        </is>
      </c>
      <c r="B618" s="1" t="n">
        <v>45092</v>
      </c>
      <c r="C618" s="1" t="n">
        <v>46130</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26637-2023</t>
        </is>
      </c>
      <c r="B619" s="1" t="n">
        <v>45092</v>
      </c>
      <c r="C619" s="1" t="n">
        <v>46130</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46130</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23266-2023</t>
        </is>
      </c>
      <c r="B621" s="1" t="n">
        <v>45075.90817129629</v>
      </c>
      <c r="C621" s="1" t="n">
        <v>46130</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33702-2025</t>
        </is>
      </c>
      <c r="B622" s="1" t="n">
        <v>45841.74596064815</v>
      </c>
      <c r="C622" s="1" t="n">
        <v>46130</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33336-2025</t>
        </is>
      </c>
      <c r="B623" s="1" t="n">
        <v>45841.35611111111</v>
      </c>
      <c r="C623" s="1" t="n">
        <v>46130</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35161-2022</t>
        </is>
      </c>
      <c r="B624" s="1" t="n">
        <v>44797</v>
      </c>
      <c r="C624" s="1" t="n">
        <v>46130</v>
      </c>
      <c r="D624" t="inlineStr">
        <is>
          <t>STOCKHOLMS LÄN</t>
        </is>
      </c>
      <c r="E624" t="inlineStr">
        <is>
          <t>NORRTÄLJE</t>
        </is>
      </c>
      <c r="G624" t="n">
        <v>6</v>
      </c>
      <c r="H624" t="n">
        <v>0</v>
      </c>
      <c r="I624" t="n">
        <v>0</v>
      </c>
      <c r="J624" t="n">
        <v>0</v>
      </c>
      <c r="K624" t="n">
        <v>0</v>
      </c>
      <c r="L624" t="n">
        <v>0</v>
      </c>
      <c r="M624" t="n">
        <v>0</v>
      </c>
      <c r="N624" t="n">
        <v>0</v>
      </c>
      <c r="O624" t="n">
        <v>0</v>
      </c>
      <c r="P624" t="n">
        <v>0</v>
      </c>
      <c r="Q624" t="n">
        <v>0</v>
      </c>
      <c r="R624" s="2" t="inlineStr"/>
    </row>
    <row r="625" ht="15" customHeight="1">
      <c r="A625" t="inlineStr">
        <is>
          <t>A 33552-2025</t>
        </is>
      </c>
      <c r="B625" s="1" t="n">
        <v>45841.5737962963</v>
      </c>
      <c r="C625" s="1" t="n">
        <v>46130</v>
      </c>
      <c r="D625" t="inlineStr">
        <is>
          <t>STOCKHOLMS LÄN</t>
        </is>
      </c>
      <c r="E625" t="inlineStr">
        <is>
          <t>NORRTÄLJE</t>
        </is>
      </c>
      <c r="G625" t="n">
        <v>8.9</v>
      </c>
      <c r="H625" t="n">
        <v>0</v>
      </c>
      <c r="I625" t="n">
        <v>0</v>
      </c>
      <c r="J625" t="n">
        <v>0</v>
      </c>
      <c r="K625" t="n">
        <v>0</v>
      </c>
      <c r="L625" t="n">
        <v>0</v>
      </c>
      <c r="M625" t="n">
        <v>0</v>
      </c>
      <c r="N625" t="n">
        <v>0</v>
      </c>
      <c r="O625" t="n">
        <v>0</v>
      </c>
      <c r="P625" t="n">
        <v>0</v>
      </c>
      <c r="Q625" t="n">
        <v>0</v>
      </c>
      <c r="R625" s="2" t="inlineStr"/>
    </row>
    <row r="626" ht="15" customHeight="1">
      <c r="A626" t="inlineStr">
        <is>
          <t>A 33824-2025</t>
        </is>
      </c>
      <c r="B626" s="1" t="n">
        <v>45842.46885416667</v>
      </c>
      <c r="C626" s="1" t="n">
        <v>46130</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58863-2024</t>
        </is>
      </c>
      <c r="B627" s="1" t="n">
        <v>45636.41572916666</v>
      </c>
      <c r="C627" s="1" t="n">
        <v>46130</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51240-2025</t>
        </is>
      </c>
      <c r="B628" s="1" t="n">
        <v>45947.70420138889</v>
      </c>
      <c r="C628" s="1" t="n">
        <v>46130</v>
      </c>
      <c r="D628" t="inlineStr">
        <is>
          <t>STOCKHOLMS LÄN</t>
        </is>
      </c>
      <c r="E628" t="inlineStr">
        <is>
          <t>NORRTÄLJE</t>
        </is>
      </c>
      <c r="F628" t="inlineStr">
        <is>
          <t>Naturvårdsverket</t>
        </is>
      </c>
      <c r="G628" t="n">
        <v>3</v>
      </c>
      <c r="H628" t="n">
        <v>0</v>
      </c>
      <c r="I628" t="n">
        <v>0</v>
      </c>
      <c r="J628" t="n">
        <v>0</v>
      </c>
      <c r="K628" t="n">
        <v>0</v>
      </c>
      <c r="L628" t="n">
        <v>0</v>
      </c>
      <c r="M628" t="n">
        <v>0</v>
      </c>
      <c r="N628" t="n">
        <v>0</v>
      </c>
      <c r="O628" t="n">
        <v>0</v>
      </c>
      <c r="P628" t="n">
        <v>0</v>
      </c>
      <c r="Q628" t="n">
        <v>0</v>
      </c>
      <c r="R628" s="2" t="inlineStr"/>
    </row>
    <row r="629" ht="15" customHeight="1">
      <c r="A629" t="inlineStr">
        <is>
          <t>A 15447-2023</t>
        </is>
      </c>
      <c r="B629" s="1" t="n">
        <v>45020</v>
      </c>
      <c r="C629" s="1" t="n">
        <v>46130</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34391-2023</t>
        </is>
      </c>
      <c r="B630" s="1" t="n">
        <v>45139.51457175926</v>
      </c>
      <c r="C630" s="1" t="n">
        <v>46130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46073-2024</t>
        </is>
      </c>
      <c r="B631" s="1" t="n">
        <v>45581</v>
      </c>
      <c r="C631" s="1" t="n">
        <v>46130</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59477-2025</t>
        </is>
      </c>
      <c r="B632" s="1" t="n">
        <v>45989.58679398148</v>
      </c>
      <c r="C632" s="1" t="n">
        <v>46130</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51121-2025</t>
        </is>
      </c>
      <c r="B633" s="1" t="n">
        <v>45947.53293981482</v>
      </c>
      <c r="C633" s="1" t="n">
        <v>46130</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53312-2024</t>
        </is>
      </c>
      <c r="B634" s="1" t="n">
        <v>45614.39627314815</v>
      </c>
      <c r="C634" s="1" t="n">
        <v>46130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36689-2023</t>
        </is>
      </c>
      <c r="B635" s="1" t="n">
        <v>45152</v>
      </c>
      <c r="C635" s="1" t="n">
        <v>46130</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34139-2025</t>
        </is>
      </c>
      <c r="B636" s="1" t="n">
        <v>45845</v>
      </c>
      <c r="C636" s="1" t="n">
        <v>46130</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34006-2025</t>
        </is>
      </c>
      <c r="B637" s="1" t="n">
        <v>45844.62609953704</v>
      </c>
      <c r="C637" s="1" t="n">
        <v>46130</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56114-2025</t>
        </is>
      </c>
      <c r="B638" s="1" t="n">
        <v>45973.74474537037</v>
      </c>
      <c r="C638" s="1" t="n">
        <v>46130</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21158-2022</t>
        </is>
      </c>
      <c r="B639" s="1" t="n">
        <v>44704</v>
      </c>
      <c r="C639" s="1" t="n">
        <v>46130</v>
      </c>
      <c r="D639" t="inlineStr">
        <is>
          <t>STOCKHOLMS LÄN</t>
        </is>
      </c>
      <c r="E639" t="inlineStr">
        <is>
          <t>NORRTÄLJE</t>
        </is>
      </c>
      <c r="G639" t="n">
        <v>17.8</v>
      </c>
      <c r="H639" t="n">
        <v>0</v>
      </c>
      <c r="I639" t="n">
        <v>0</v>
      </c>
      <c r="J639" t="n">
        <v>0</v>
      </c>
      <c r="K639" t="n">
        <v>0</v>
      </c>
      <c r="L639" t="n">
        <v>0</v>
      </c>
      <c r="M639" t="n">
        <v>0</v>
      </c>
      <c r="N639" t="n">
        <v>0</v>
      </c>
      <c r="O639" t="n">
        <v>0</v>
      </c>
      <c r="P639" t="n">
        <v>0</v>
      </c>
      <c r="Q639" t="n">
        <v>0</v>
      </c>
      <c r="R639" s="2" t="inlineStr"/>
    </row>
    <row r="640" ht="15" customHeight="1">
      <c r="A640" t="inlineStr">
        <is>
          <t>A 15915-2023</t>
        </is>
      </c>
      <c r="B640" s="1" t="n">
        <v>45022</v>
      </c>
      <c r="C640" s="1" t="n">
        <v>46130</v>
      </c>
      <c r="D640" t="inlineStr">
        <is>
          <t>STOCKHOLMS LÄN</t>
        </is>
      </c>
      <c r="E640" t="inlineStr">
        <is>
          <t>NORRTÄLJE</t>
        </is>
      </c>
      <c r="G640" t="n">
        <v>2.9</v>
      </c>
      <c r="H640" t="n">
        <v>0</v>
      </c>
      <c r="I640" t="n">
        <v>0</v>
      </c>
      <c r="J640" t="n">
        <v>0</v>
      </c>
      <c r="K640" t="n">
        <v>0</v>
      </c>
      <c r="L640" t="n">
        <v>0</v>
      </c>
      <c r="M640" t="n">
        <v>0</v>
      </c>
      <c r="N640" t="n">
        <v>0</v>
      </c>
      <c r="O640" t="n">
        <v>0</v>
      </c>
      <c r="P640" t="n">
        <v>0</v>
      </c>
      <c r="Q640" t="n">
        <v>0</v>
      </c>
      <c r="R640" s="2" t="inlineStr"/>
    </row>
    <row r="641" ht="15" customHeight="1">
      <c r="A641" t="inlineStr">
        <is>
          <t>A 58993-2022</t>
        </is>
      </c>
      <c r="B641" s="1" t="n">
        <v>44903</v>
      </c>
      <c r="C641" s="1" t="n">
        <v>46130</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34010-2025</t>
        </is>
      </c>
      <c r="B642" s="1" t="n">
        <v>45844.91234953704</v>
      </c>
      <c r="C642" s="1" t="n">
        <v>46130</v>
      </c>
      <c r="D642" t="inlineStr">
        <is>
          <t>STOCKHOLMS LÄN</t>
        </is>
      </c>
      <c r="E642" t="inlineStr">
        <is>
          <t>NORRTÄLJE</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39905-2023</t>
        </is>
      </c>
      <c r="B643" s="1" t="n">
        <v>45168.44489583333</v>
      </c>
      <c r="C643" s="1" t="n">
        <v>46130</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33793-2022</t>
        </is>
      </c>
      <c r="B644" s="1" t="n">
        <v>44790</v>
      </c>
      <c r="C644" s="1" t="n">
        <v>46130</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17304-2024</t>
        </is>
      </c>
      <c r="B645" s="1" t="n">
        <v>45414</v>
      </c>
      <c r="C645" s="1" t="n">
        <v>46130</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16852-2024</t>
        </is>
      </c>
      <c r="B646" s="1" t="n">
        <v>45411.54768518519</v>
      </c>
      <c r="C646" s="1" t="n">
        <v>46130</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4326-2023</t>
        </is>
      </c>
      <c r="B647" s="1" t="n">
        <v>44953.70481481482</v>
      </c>
      <c r="C647" s="1" t="n">
        <v>46130</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33385-2024</t>
        </is>
      </c>
      <c r="B648" s="1" t="n">
        <v>45519</v>
      </c>
      <c r="C648" s="1" t="n">
        <v>46130</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29714-2023</t>
        </is>
      </c>
      <c r="B649" s="1" t="n">
        <v>45107.42538194444</v>
      </c>
      <c r="C649" s="1" t="n">
        <v>46130</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30508-2023</t>
        </is>
      </c>
      <c r="B650" s="1" t="n">
        <v>45111</v>
      </c>
      <c r="C650" s="1" t="n">
        <v>46130</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35110-2025</t>
        </is>
      </c>
      <c r="B651" s="1" t="n">
        <v>45852.58030092593</v>
      </c>
      <c r="C651" s="1" t="n">
        <v>46130</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35254-2025</t>
        </is>
      </c>
      <c r="B652" s="1" t="n">
        <v>45853</v>
      </c>
      <c r="C652" s="1" t="n">
        <v>46130</v>
      </c>
      <c r="D652" t="inlineStr">
        <is>
          <t>STOCKHOLMS LÄN</t>
        </is>
      </c>
      <c r="E652" t="inlineStr">
        <is>
          <t>NORRTÄLJE</t>
        </is>
      </c>
      <c r="G652" t="n">
        <v>6.5</v>
      </c>
      <c r="H652" t="n">
        <v>0</v>
      </c>
      <c r="I652" t="n">
        <v>0</v>
      </c>
      <c r="J652" t="n">
        <v>0</v>
      </c>
      <c r="K652" t="n">
        <v>0</v>
      </c>
      <c r="L652" t="n">
        <v>0</v>
      </c>
      <c r="M652" t="n">
        <v>0</v>
      </c>
      <c r="N652" t="n">
        <v>0</v>
      </c>
      <c r="O652" t="n">
        <v>0</v>
      </c>
      <c r="P652" t="n">
        <v>0</v>
      </c>
      <c r="Q652" t="n">
        <v>0</v>
      </c>
      <c r="R652" s="2" t="inlineStr"/>
    </row>
    <row r="653" ht="15" customHeight="1">
      <c r="A653" t="inlineStr">
        <is>
          <t>A 35479-2025</t>
        </is>
      </c>
      <c r="B653" s="1" t="n">
        <v>45855.69387731481</v>
      </c>
      <c r="C653" s="1" t="n">
        <v>46130</v>
      </c>
      <c r="D653" t="inlineStr">
        <is>
          <t>STOCKHOLMS LÄN</t>
        </is>
      </c>
      <c r="E653" t="inlineStr">
        <is>
          <t>NORRTÄLJE</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8296-2023</t>
        </is>
      </c>
      <c r="B654" s="1" t="n">
        <v>44974</v>
      </c>
      <c r="C654" s="1" t="n">
        <v>46130</v>
      </c>
      <c r="D654" t="inlineStr">
        <is>
          <t>STOCKHOLMS LÄN</t>
        </is>
      </c>
      <c r="E654" t="inlineStr">
        <is>
          <t>NORRTÄLJE</t>
        </is>
      </c>
      <c r="G654" t="n">
        <v>3.8</v>
      </c>
      <c r="H654" t="n">
        <v>0</v>
      </c>
      <c r="I654" t="n">
        <v>0</v>
      </c>
      <c r="J654" t="n">
        <v>0</v>
      </c>
      <c r="K654" t="n">
        <v>0</v>
      </c>
      <c r="L654" t="n">
        <v>0</v>
      </c>
      <c r="M654" t="n">
        <v>0</v>
      </c>
      <c r="N654" t="n">
        <v>0</v>
      </c>
      <c r="O654" t="n">
        <v>0</v>
      </c>
      <c r="P654" t="n">
        <v>0</v>
      </c>
      <c r="Q654" t="n">
        <v>0</v>
      </c>
      <c r="R654" s="2" t="inlineStr"/>
    </row>
    <row r="655" ht="15" customHeight="1">
      <c r="A655" t="inlineStr">
        <is>
          <t>A 35451-2025</t>
        </is>
      </c>
      <c r="B655" s="1" t="n">
        <v>45855.57033564815</v>
      </c>
      <c r="C655" s="1" t="n">
        <v>46130</v>
      </c>
      <c r="D655" t="inlineStr">
        <is>
          <t>STOCKHOLMS LÄN</t>
        </is>
      </c>
      <c r="E655" t="inlineStr">
        <is>
          <t>NORRTÄLJE</t>
        </is>
      </c>
      <c r="F655" t="inlineStr">
        <is>
          <t>Holmen skog AB</t>
        </is>
      </c>
      <c r="G655" t="n">
        <v>7.4</v>
      </c>
      <c r="H655" t="n">
        <v>0</v>
      </c>
      <c r="I655" t="n">
        <v>0</v>
      </c>
      <c r="J655" t="n">
        <v>0</v>
      </c>
      <c r="K655" t="n">
        <v>0</v>
      </c>
      <c r="L655" t="n">
        <v>0</v>
      </c>
      <c r="M655" t="n">
        <v>0</v>
      </c>
      <c r="N655" t="n">
        <v>0</v>
      </c>
      <c r="O655" t="n">
        <v>0</v>
      </c>
      <c r="P655" t="n">
        <v>0</v>
      </c>
      <c r="Q655" t="n">
        <v>0</v>
      </c>
      <c r="R655" s="2" t="inlineStr"/>
    </row>
    <row r="656" ht="15" customHeight="1">
      <c r="A656" t="inlineStr">
        <is>
          <t>A 35478-2025</t>
        </is>
      </c>
      <c r="B656" s="1" t="n">
        <v>45855.68413194444</v>
      </c>
      <c r="C656" s="1" t="n">
        <v>46130</v>
      </c>
      <c r="D656" t="inlineStr">
        <is>
          <t>STOCKHOLMS LÄN</t>
        </is>
      </c>
      <c r="E656" t="inlineStr">
        <is>
          <t>NORRTÄLJE</t>
        </is>
      </c>
      <c r="F656" t="inlineStr">
        <is>
          <t>Holmen skog AB</t>
        </is>
      </c>
      <c r="G656" t="n">
        <v>2.7</v>
      </c>
      <c r="H656" t="n">
        <v>0</v>
      </c>
      <c r="I656" t="n">
        <v>0</v>
      </c>
      <c r="J656" t="n">
        <v>0</v>
      </c>
      <c r="K656" t="n">
        <v>0</v>
      </c>
      <c r="L656" t="n">
        <v>0</v>
      </c>
      <c r="M656" t="n">
        <v>0</v>
      </c>
      <c r="N656" t="n">
        <v>0</v>
      </c>
      <c r="O656" t="n">
        <v>0</v>
      </c>
      <c r="P656" t="n">
        <v>0</v>
      </c>
      <c r="Q656" t="n">
        <v>0</v>
      </c>
      <c r="R656" s="2" t="inlineStr"/>
    </row>
    <row r="657" ht="15" customHeight="1">
      <c r="A657" t="inlineStr">
        <is>
          <t>A 31236-2022</t>
        </is>
      </c>
      <c r="B657" s="1" t="n">
        <v>44771</v>
      </c>
      <c r="C657" s="1" t="n">
        <v>46130</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52593-2024</t>
        </is>
      </c>
      <c r="B658" s="1" t="n">
        <v>45609.70778935185</v>
      </c>
      <c r="C658" s="1" t="n">
        <v>46130</v>
      </c>
      <c r="D658" t="inlineStr">
        <is>
          <t>STOCKHOLMS LÄN</t>
        </is>
      </c>
      <c r="E658" t="inlineStr">
        <is>
          <t>NORRTÄLJE</t>
        </is>
      </c>
      <c r="F658" t="inlineStr">
        <is>
          <t>Holmen skog AB</t>
        </is>
      </c>
      <c r="G658" t="n">
        <v>2.4</v>
      </c>
      <c r="H658" t="n">
        <v>0</v>
      </c>
      <c r="I658" t="n">
        <v>0</v>
      </c>
      <c r="J658" t="n">
        <v>0</v>
      </c>
      <c r="K658" t="n">
        <v>0</v>
      </c>
      <c r="L658" t="n">
        <v>0</v>
      </c>
      <c r="M658" t="n">
        <v>0</v>
      </c>
      <c r="N658" t="n">
        <v>0</v>
      </c>
      <c r="O658" t="n">
        <v>0</v>
      </c>
      <c r="P658" t="n">
        <v>0</v>
      </c>
      <c r="Q658" t="n">
        <v>0</v>
      </c>
      <c r="R658" s="2" t="inlineStr"/>
    </row>
    <row r="659" ht="15" customHeight="1">
      <c r="A659" t="inlineStr">
        <is>
          <t>A 52617-2024</t>
        </is>
      </c>
      <c r="B659" s="1" t="n">
        <v>45609.85146990741</v>
      </c>
      <c r="C659" s="1" t="n">
        <v>46130</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27824-2022</t>
        </is>
      </c>
      <c r="B660" s="1" t="n">
        <v>44743.59331018518</v>
      </c>
      <c r="C660" s="1" t="n">
        <v>46130</v>
      </c>
      <c r="D660" t="inlineStr">
        <is>
          <t>STOCKHOLMS LÄN</t>
        </is>
      </c>
      <c r="E660" t="inlineStr">
        <is>
          <t>NORRTÄLJE</t>
        </is>
      </c>
      <c r="F660" t="inlineStr">
        <is>
          <t>Kommuner</t>
        </is>
      </c>
      <c r="G660" t="n">
        <v>3.1</v>
      </c>
      <c r="H660" t="n">
        <v>0</v>
      </c>
      <c r="I660" t="n">
        <v>0</v>
      </c>
      <c r="J660" t="n">
        <v>0</v>
      </c>
      <c r="K660" t="n">
        <v>0</v>
      </c>
      <c r="L660" t="n">
        <v>0</v>
      </c>
      <c r="M660" t="n">
        <v>0</v>
      </c>
      <c r="N660" t="n">
        <v>0</v>
      </c>
      <c r="O660" t="n">
        <v>0</v>
      </c>
      <c r="P660" t="n">
        <v>0</v>
      </c>
      <c r="Q660" t="n">
        <v>0</v>
      </c>
      <c r="R660" s="2" t="inlineStr"/>
    </row>
    <row r="661" ht="15" customHeight="1">
      <c r="A661" t="inlineStr">
        <is>
          <t>A 47521-2024</t>
        </is>
      </c>
      <c r="B661" s="1" t="n">
        <v>45587.62565972222</v>
      </c>
      <c r="C661" s="1" t="n">
        <v>46130</v>
      </c>
      <c r="D661" t="inlineStr">
        <is>
          <t>STOCKHOLMS LÄN</t>
        </is>
      </c>
      <c r="E661" t="inlineStr">
        <is>
          <t>NORRTÄLJE</t>
        </is>
      </c>
      <c r="G661" t="n">
        <v>4.7</v>
      </c>
      <c r="H661" t="n">
        <v>0</v>
      </c>
      <c r="I661" t="n">
        <v>0</v>
      </c>
      <c r="J661" t="n">
        <v>0</v>
      </c>
      <c r="K661" t="n">
        <v>0</v>
      </c>
      <c r="L661" t="n">
        <v>0</v>
      </c>
      <c r="M661" t="n">
        <v>0</v>
      </c>
      <c r="N661" t="n">
        <v>0</v>
      </c>
      <c r="O661" t="n">
        <v>0</v>
      </c>
      <c r="P661" t="n">
        <v>0</v>
      </c>
      <c r="Q661" t="n">
        <v>0</v>
      </c>
      <c r="R661" s="2" t="inlineStr"/>
    </row>
    <row r="662" ht="15" customHeight="1">
      <c r="A662" t="inlineStr">
        <is>
          <t>A 20698-2025</t>
        </is>
      </c>
      <c r="B662" s="1" t="n">
        <v>45776.47122685185</v>
      </c>
      <c r="C662" s="1" t="n">
        <v>46130</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36396-2025</t>
        </is>
      </c>
      <c r="B663" s="1" t="n">
        <v>45868.62267361111</v>
      </c>
      <c r="C663" s="1" t="n">
        <v>46130</v>
      </c>
      <c r="D663" t="inlineStr">
        <is>
          <t>STOCKHOLMS LÄN</t>
        </is>
      </c>
      <c r="E663" t="inlineStr">
        <is>
          <t>NORRTÄLJE</t>
        </is>
      </c>
      <c r="G663" t="n">
        <v>4.1</v>
      </c>
      <c r="H663" t="n">
        <v>0</v>
      </c>
      <c r="I663" t="n">
        <v>0</v>
      </c>
      <c r="J663" t="n">
        <v>0</v>
      </c>
      <c r="K663" t="n">
        <v>0</v>
      </c>
      <c r="L663" t="n">
        <v>0</v>
      </c>
      <c r="M663" t="n">
        <v>0</v>
      </c>
      <c r="N663" t="n">
        <v>0</v>
      </c>
      <c r="O663" t="n">
        <v>0</v>
      </c>
      <c r="P663" t="n">
        <v>0</v>
      </c>
      <c r="Q663" t="n">
        <v>0</v>
      </c>
      <c r="R663" s="2" t="inlineStr"/>
    </row>
    <row r="664" ht="15" customHeight="1">
      <c r="A664" t="inlineStr">
        <is>
          <t>A 50534-2024</t>
        </is>
      </c>
      <c r="B664" s="1" t="n">
        <v>45601.56726851852</v>
      </c>
      <c r="C664" s="1" t="n">
        <v>46130</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46130</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58530-2024</t>
        </is>
      </c>
      <c r="B666" s="1" t="n">
        <v>45635.44788194444</v>
      </c>
      <c r="C666" s="1" t="n">
        <v>46130</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22232-2024</t>
        </is>
      </c>
      <c r="B667" s="1" t="n">
        <v>45446.4287962963</v>
      </c>
      <c r="C667" s="1" t="n">
        <v>46130</v>
      </c>
      <c r="D667" t="inlineStr">
        <is>
          <t>STOCKHOLMS LÄN</t>
        </is>
      </c>
      <c r="E667" t="inlineStr">
        <is>
          <t>NORRTÄLJE</t>
        </is>
      </c>
      <c r="G667" t="n">
        <v>12.8</v>
      </c>
      <c r="H667" t="n">
        <v>0</v>
      </c>
      <c r="I667" t="n">
        <v>0</v>
      </c>
      <c r="J667" t="n">
        <v>0</v>
      </c>
      <c r="K667" t="n">
        <v>0</v>
      </c>
      <c r="L667" t="n">
        <v>0</v>
      </c>
      <c r="M667" t="n">
        <v>0</v>
      </c>
      <c r="N667" t="n">
        <v>0</v>
      </c>
      <c r="O667" t="n">
        <v>0</v>
      </c>
      <c r="P667" t="n">
        <v>0</v>
      </c>
      <c r="Q667" t="n">
        <v>0</v>
      </c>
      <c r="R667" s="2" t="inlineStr"/>
    </row>
    <row r="668" ht="15" customHeight="1">
      <c r="A668" t="inlineStr">
        <is>
          <t>A 34444-2024</t>
        </is>
      </c>
      <c r="B668" s="1" t="n">
        <v>45525</v>
      </c>
      <c r="C668" s="1" t="n">
        <v>46130</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30620-2022</t>
        </is>
      </c>
      <c r="B669" s="1" t="n">
        <v>44763.40914351852</v>
      </c>
      <c r="C669" s="1" t="n">
        <v>46130</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57602-2024</t>
        </is>
      </c>
      <c r="B670" s="1" t="n">
        <v>45630.52866898148</v>
      </c>
      <c r="C670" s="1" t="n">
        <v>46130</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11854-2025</t>
        </is>
      </c>
      <c r="B671" s="1" t="n">
        <v>45728.38924768518</v>
      </c>
      <c r="C671" s="1" t="n">
        <v>46130</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1283-2025</t>
        </is>
      </c>
      <c r="B672" s="1" t="n">
        <v>45667.49878472222</v>
      </c>
      <c r="C672" s="1" t="n">
        <v>46130</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60217-2021</t>
        </is>
      </c>
      <c r="B673" s="1" t="n">
        <v>44495.5893287037</v>
      </c>
      <c r="C673" s="1" t="n">
        <v>46130</v>
      </c>
      <c r="D673" t="inlineStr">
        <is>
          <t>STOCKHOLMS LÄN</t>
        </is>
      </c>
      <c r="E673" t="inlineStr">
        <is>
          <t>NORRTÄLJE</t>
        </is>
      </c>
      <c r="G673" t="n">
        <v>4.3</v>
      </c>
      <c r="H673" t="n">
        <v>0</v>
      </c>
      <c r="I673" t="n">
        <v>0</v>
      </c>
      <c r="J673" t="n">
        <v>0</v>
      </c>
      <c r="K673" t="n">
        <v>0</v>
      </c>
      <c r="L673" t="n">
        <v>0</v>
      </c>
      <c r="M673" t="n">
        <v>0</v>
      </c>
      <c r="N673" t="n">
        <v>0</v>
      </c>
      <c r="O673" t="n">
        <v>0</v>
      </c>
      <c r="P673" t="n">
        <v>0</v>
      </c>
      <c r="Q673" t="n">
        <v>0</v>
      </c>
      <c r="R673" s="2" t="inlineStr"/>
    </row>
    <row r="674" ht="15" customHeight="1">
      <c r="A674" t="inlineStr">
        <is>
          <t>A 28900-2022</t>
        </is>
      </c>
      <c r="B674" s="1" t="n">
        <v>44749.55258101852</v>
      </c>
      <c r="C674" s="1" t="n">
        <v>46130</v>
      </c>
      <c r="D674" t="inlineStr">
        <is>
          <t>STOCKHOLMS LÄN</t>
        </is>
      </c>
      <c r="E674" t="inlineStr">
        <is>
          <t>NORRTÄLJE</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32514-2022</t>
        </is>
      </c>
      <c r="B675" s="1" t="n">
        <v>44782</v>
      </c>
      <c r="C675" s="1" t="n">
        <v>46130</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58142-2025</t>
        </is>
      </c>
      <c r="B676" s="1" t="n">
        <v>45982.63791666667</v>
      </c>
      <c r="C676" s="1" t="n">
        <v>46130</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57953-2025</t>
        </is>
      </c>
      <c r="B677" s="1" t="n">
        <v>45982.35016203704</v>
      </c>
      <c r="C677" s="1" t="n">
        <v>46130</v>
      </c>
      <c r="D677" t="inlineStr">
        <is>
          <t>STOCKHOLMS LÄN</t>
        </is>
      </c>
      <c r="E677" t="inlineStr">
        <is>
          <t>NORRTÄLJE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23125-2022</t>
        </is>
      </c>
      <c r="B678" s="1" t="n">
        <v>44719</v>
      </c>
      <c r="C678" s="1" t="n">
        <v>46130</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9329-2023</t>
        </is>
      </c>
      <c r="B679" s="1" t="n">
        <v>44980</v>
      </c>
      <c r="C679" s="1" t="n">
        <v>46130</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6855-2025</t>
        </is>
      </c>
      <c r="B680" s="1" t="n">
        <v>45700</v>
      </c>
      <c r="C680" s="1" t="n">
        <v>46130</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14873-2025</t>
        </is>
      </c>
      <c r="B681" s="1" t="n">
        <v>45743.44953703704</v>
      </c>
      <c r="C681" s="1" t="n">
        <v>46130</v>
      </c>
      <c r="D681" t="inlineStr">
        <is>
          <t>STOCKHOLMS LÄN</t>
        </is>
      </c>
      <c r="E681" t="inlineStr">
        <is>
          <t>NORRTÄLJE</t>
        </is>
      </c>
      <c r="G681" t="n">
        <v>10.2</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46130</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8135-2025</t>
        </is>
      </c>
      <c r="B683" s="1" t="n">
        <v>45707.84997685185</v>
      </c>
      <c r="C683" s="1" t="n">
        <v>46130</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31936-2022</t>
        </is>
      </c>
      <c r="B684" s="1" t="n">
        <v>44777</v>
      </c>
      <c r="C684" s="1" t="n">
        <v>46130</v>
      </c>
      <c r="D684" t="inlineStr">
        <is>
          <t>STOCKHOLMS LÄN</t>
        </is>
      </c>
      <c r="E684" t="inlineStr">
        <is>
          <t>NORRTÄLJE</t>
        </is>
      </c>
      <c r="G684" t="n">
        <v>5.2</v>
      </c>
      <c r="H684" t="n">
        <v>0</v>
      </c>
      <c r="I684" t="n">
        <v>0</v>
      </c>
      <c r="J684" t="n">
        <v>0</v>
      </c>
      <c r="K684" t="n">
        <v>0</v>
      </c>
      <c r="L684" t="n">
        <v>0</v>
      </c>
      <c r="M684" t="n">
        <v>0</v>
      </c>
      <c r="N684" t="n">
        <v>0</v>
      </c>
      <c r="O684" t="n">
        <v>0</v>
      </c>
      <c r="P684" t="n">
        <v>0</v>
      </c>
      <c r="Q684" t="n">
        <v>0</v>
      </c>
      <c r="R684" s="2" t="inlineStr"/>
    </row>
    <row r="685" ht="15" customHeight="1">
      <c r="A685" t="inlineStr">
        <is>
          <t>A 20692-2025</t>
        </is>
      </c>
      <c r="B685" s="1" t="n">
        <v>45776.46369212963</v>
      </c>
      <c r="C685" s="1" t="n">
        <v>46130</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24887-2023</t>
        </is>
      </c>
      <c r="B686" s="1" t="n">
        <v>45085</v>
      </c>
      <c r="C686" s="1" t="n">
        <v>46130</v>
      </c>
      <c r="D686" t="inlineStr">
        <is>
          <t>STOCKHOLMS LÄN</t>
        </is>
      </c>
      <c r="E686" t="inlineStr">
        <is>
          <t>NORRTÄLJE</t>
        </is>
      </c>
      <c r="G686" t="n">
        <v>13.9</v>
      </c>
      <c r="H686" t="n">
        <v>0</v>
      </c>
      <c r="I686" t="n">
        <v>0</v>
      </c>
      <c r="J686" t="n">
        <v>0</v>
      </c>
      <c r="K686" t="n">
        <v>0</v>
      </c>
      <c r="L686" t="n">
        <v>0</v>
      </c>
      <c r="M686" t="n">
        <v>0</v>
      </c>
      <c r="N686" t="n">
        <v>0</v>
      </c>
      <c r="O686" t="n">
        <v>0</v>
      </c>
      <c r="P686" t="n">
        <v>0</v>
      </c>
      <c r="Q686" t="n">
        <v>0</v>
      </c>
      <c r="R686" s="2" t="inlineStr"/>
    </row>
    <row r="687" ht="15" customHeight="1">
      <c r="A687" t="inlineStr">
        <is>
          <t>A 56428-2023</t>
        </is>
      </c>
      <c r="B687" s="1" t="n">
        <v>45243.45289351852</v>
      </c>
      <c r="C687" s="1" t="n">
        <v>46130</v>
      </c>
      <c r="D687" t="inlineStr">
        <is>
          <t>STOCKHOLMS LÄN</t>
        </is>
      </c>
      <c r="E687" t="inlineStr">
        <is>
          <t>NORRTÄLJE</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46071-2024</t>
        </is>
      </c>
      <c r="B688" s="1" t="n">
        <v>45581</v>
      </c>
      <c r="C688" s="1" t="n">
        <v>46130</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29369-2024</t>
        </is>
      </c>
      <c r="B689" s="1" t="n">
        <v>45483.57244212963</v>
      </c>
      <c r="C689" s="1" t="n">
        <v>46130</v>
      </c>
      <c r="D689" t="inlineStr">
        <is>
          <t>STOCKHOLMS LÄN</t>
        </is>
      </c>
      <c r="E689" t="inlineStr">
        <is>
          <t>NORRTÄLJE</t>
        </is>
      </c>
      <c r="G689" t="n">
        <v>15.9</v>
      </c>
      <c r="H689" t="n">
        <v>0</v>
      </c>
      <c r="I689" t="n">
        <v>0</v>
      </c>
      <c r="J689" t="n">
        <v>0</v>
      </c>
      <c r="K689" t="n">
        <v>0</v>
      </c>
      <c r="L689" t="n">
        <v>0</v>
      </c>
      <c r="M689" t="n">
        <v>0</v>
      </c>
      <c r="N689" t="n">
        <v>0</v>
      </c>
      <c r="O689" t="n">
        <v>0</v>
      </c>
      <c r="P689" t="n">
        <v>0</v>
      </c>
      <c r="Q689" t="n">
        <v>0</v>
      </c>
      <c r="R689" s="2" t="inlineStr"/>
    </row>
    <row r="690" ht="15" customHeight="1">
      <c r="A690" t="inlineStr">
        <is>
          <t>A 37630-2025</t>
        </is>
      </c>
      <c r="B690" s="1" t="n">
        <v>45880.46372685185</v>
      </c>
      <c r="C690" s="1" t="n">
        <v>46130</v>
      </c>
      <c r="D690" t="inlineStr">
        <is>
          <t>STOCKHOLMS LÄN</t>
        </is>
      </c>
      <c r="E690" t="inlineStr">
        <is>
          <t>NORRTÄLJE</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30338-2022</t>
        </is>
      </c>
      <c r="B691" s="1" t="n">
        <v>44760</v>
      </c>
      <c r="C691" s="1" t="n">
        <v>46130</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37632-2025</t>
        </is>
      </c>
      <c r="B692" s="1" t="n">
        <v>45880.46524305556</v>
      </c>
      <c r="C692" s="1" t="n">
        <v>46130</v>
      </c>
      <c r="D692" t="inlineStr">
        <is>
          <t>STOCKHOLMS LÄN</t>
        </is>
      </c>
      <c r="E692" t="inlineStr">
        <is>
          <t>NORRTÄLJE</t>
        </is>
      </c>
      <c r="F692" t="inlineStr">
        <is>
          <t>Sveaskog</t>
        </is>
      </c>
      <c r="G692" t="n">
        <v>6.4</v>
      </c>
      <c r="H692" t="n">
        <v>0</v>
      </c>
      <c r="I692" t="n">
        <v>0</v>
      </c>
      <c r="J692" t="n">
        <v>0</v>
      </c>
      <c r="K692" t="n">
        <v>0</v>
      </c>
      <c r="L692" t="n">
        <v>0</v>
      </c>
      <c r="M692" t="n">
        <v>0</v>
      </c>
      <c r="N692" t="n">
        <v>0</v>
      </c>
      <c r="O692" t="n">
        <v>0</v>
      </c>
      <c r="P692" t="n">
        <v>0</v>
      </c>
      <c r="Q692" t="n">
        <v>0</v>
      </c>
      <c r="R692" s="2" t="inlineStr"/>
    </row>
    <row r="693" ht="15" customHeight="1">
      <c r="A693" t="inlineStr">
        <is>
          <t>A 29841-2024</t>
        </is>
      </c>
      <c r="B693" s="1" t="n">
        <v>45485.60261574074</v>
      </c>
      <c r="C693" s="1" t="n">
        <v>46130</v>
      </c>
      <c r="D693" t="inlineStr">
        <is>
          <t>STOCKHOLMS LÄN</t>
        </is>
      </c>
      <c r="E693" t="inlineStr">
        <is>
          <t>NORRTÄLJE</t>
        </is>
      </c>
      <c r="G693" t="n">
        <v>15.9</v>
      </c>
      <c r="H693" t="n">
        <v>0</v>
      </c>
      <c r="I693" t="n">
        <v>0</v>
      </c>
      <c r="J693" t="n">
        <v>0</v>
      </c>
      <c r="K693" t="n">
        <v>0</v>
      </c>
      <c r="L693" t="n">
        <v>0</v>
      </c>
      <c r="M693" t="n">
        <v>0</v>
      </c>
      <c r="N693" t="n">
        <v>0</v>
      </c>
      <c r="O693" t="n">
        <v>0</v>
      </c>
      <c r="P693" t="n">
        <v>0</v>
      </c>
      <c r="Q693" t="n">
        <v>0</v>
      </c>
      <c r="R693" s="2" t="inlineStr"/>
    </row>
    <row r="694" ht="15" customHeight="1">
      <c r="A694" t="inlineStr">
        <is>
          <t>A 18541-2023</t>
        </is>
      </c>
      <c r="B694" s="1" t="n">
        <v>45042.74291666667</v>
      </c>
      <c r="C694" s="1" t="n">
        <v>46130</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37628-2025</t>
        </is>
      </c>
      <c r="B695" s="1" t="n">
        <v>45880.46189814815</v>
      </c>
      <c r="C695" s="1" t="n">
        <v>46130</v>
      </c>
      <c r="D695" t="inlineStr">
        <is>
          <t>STOCKHOLMS LÄN</t>
        </is>
      </c>
      <c r="E695" t="inlineStr">
        <is>
          <t>NORRTÄLJE</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32857-2021</t>
        </is>
      </c>
      <c r="B696" s="1" t="n">
        <v>44375</v>
      </c>
      <c r="C696" s="1" t="n">
        <v>46130</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51325-2023</t>
        </is>
      </c>
      <c r="B697" s="1" t="n">
        <v>45219</v>
      </c>
      <c r="C697" s="1" t="n">
        <v>46130</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21729-2024</t>
        </is>
      </c>
      <c r="B698" s="1" t="n">
        <v>45442</v>
      </c>
      <c r="C698" s="1" t="n">
        <v>46130</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58403-2025</t>
        </is>
      </c>
      <c r="B699" s="1" t="n">
        <v>45985.56777777777</v>
      </c>
      <c r="C699" s="1" t="n">
        <v>46130</v>
      </c>
      <c r="D699" t="inlineStr">
        <is>
          <t>STOCKHOLMS LÄN</t>
        </is>
      </c>
      <c r="E699" t="inlineStr">
        <is>
          <t>NORRTÄLJE</t>
        </is>
      </c>
      <c r="F699" t="inlineStr">
        <is>
          <t>Naturvårdsverket</t>
        </is>
      </c>
      <c r="G699" t="n">
        <v>13.5</v>
      </c>
      <c r="H699" t="n">
        <v>0</v>
      </c>
      <c r="I699" t="n">
        <v>0</v>
      </c>
      <c r="J699" t="n">
        <v>0</v>
      </c>
      <c r="K699" t="n">
        <v>0</v>
      </c>
      <c r="L699" t="n">
        <v>0</v>
      </c>
      <c r="M699" t="n">
        <v>0</v>
      </c>
      <c r="N699" t="n">
        <v>0</v>
      </c>
      <c r="O699" t="n">
        <v>0</v>
      </c>
      <c r="P699" t="n">
        <v>0</v>
      </c>
      <c r="Q699" t="n">
        <v>0</v>
      </c>
      <c r="R699" s="2" t="inlineStr"/>
    </row>
    <row r="700" ht="15" customHeight="1">
      <c r="A700" t="inlineStr">
        <is>
          <t>A 21894-2023</t>
        </is>
      </c>
      <c r="B700" s="1" t="n">
        <v>45068.51783564815</v>
      </c>
      <c r="C700" s="1" t="n">
        <v>46130</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46130</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58939-2025</t>
        </is>
      </c>
      <c r="B702" s="1" t="n">
        <v>45987.5681712963</v>
      </c>
      <c r="C702" s="1" t="n">
        <v>46130</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26703-2025</t>
        </is>
      </c>
      <c r="B703" s="1" t="n">
        <v>45810.45263888889</v>
      </c>
      <c r="C703" s="1" t="n">
        <v>46130</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13137-2024</t>
        </is>
      </c>
      <c r="B704" s="1" t="n">
        <v>45386.34175925926</v>
      </c>
      <c r="C704" s="1" t="n">
        <v>46130</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38153-2025</t>
        </is>
      </c>
      <c r="B705" s="1" t="n">
        <v>45882.59722222222</v>
      </c>
      <c r="C705" s="1" t="n">
        <v>46130</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57788-2025</t>
        </is>
      </c>
      <c r="B706" s="1" t="n">
        <v>45981.5778125</v>
      </c>
      <c r="C706" s="1" t="n">
        <v>46130</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46130</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59672-2025</t>
        </is>
      </c>
      <c r="B708" s="1" t="n">
        <v>45992.45884259259</v>
      </c>
      <c r="C708" s="1" t="n">
        <v>46130</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38593-2025</t>
        </is>
      </c>
      <c r="B709" s="1" t="n">
        <v>45884.48696759259</v>
      </c>
      <c r="C709" s="1" t="n">
        <v>46130</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7806-2025</t>
        </is>
      </c>
      <c r="B710" s="1" t="n">
        <v>45706.61178240741</v>
      </c>
      <c r="C710" s="1" t="n">
        <v>46130</v>
      </c>
      <c r="D710" t="inlineStr">
        <is>
          <t>STOCKHOLMS LÄN</t>
        </is>
      </c>
      <c r="E710" t="inlineStr">
        <is>
          <t>NORRTÄLJE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37444-2021</t>
        </is>
      </c>
      <c r="B711" s="1" t="n">
        <v>44398</v>
      </c>
      <c r="C711" s="1" t="n">
        <v>46130</v>
      </c>
      <c r="D711" t="inlineStr">
        <is>
          <t>STOCKHOLMS LÄN</t>
        </is>
      </c>
      <c r="E711" t="inlineStr">
        <is>
          <t>NORRTÄLJE</t>
        </is>
      </c>
      <c r="F711" t="inlineStr">
        <is>
          <t>Holmen skog AB</t>
        </is>
      </c>
      <c r="G711" t="n">
        <v>3.2</v>
      </c>
      <c r="H711" t="n">
        <v>0</v>
      </c>
      <c r="I711" t="n">
        <v>0</v>
      </c>
      <c r="J711" t="n">
        <v>0</v>
      </c>
      <c r="K711" t="n">
        <v>0</v>
      </c>
      <c r="L711" t="n">
        <v>0</v>
      </c>
      <c r="M711" t="n">
        <v>0</v>
      </c>
      <c r="N711" t="n">
        <v>0</v>
      </c>
      <c r="O711" t="n">
        <v>0</v>
      </c>
      <c r="P711" t="n">
        <v>0</v>
      </c>
      <c r="Q711" t="n">
        <v>0</v>
      </c>
      <c r="R711" s="2" t="inlineStr"/>
    </row>
    <row r="712" ht="15" customHeight="1">
      <c r="A712" t="inlineStr">
        <is>
          <t>A 60223-2025</t>
        </is>
      </c>
      <c r="B712" s="1" t="n">
        <v>45994.54497685185</v>
      </c>
      <c r="C712" s="1" t="n">
        <v>46130</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59914-2025</t>
        </is>
      </c>
      <c r="B713" s="1" t="n">
        <v>45993.37056712963</v>
      </c>
      <c r="C713" s="1" t="n">
        <v>46130</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67921-2021</t>
        </is>
      </c>
      <c r="B714" s="1" t="n">
        <v>44525</v>
      </c>
      <c r="C714" s="1" t="n">
        <v>46130</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45173-2023</t>
        </is>
      </c>
      <c r="B715" s="1" t="n">
        <v>45191</v>
      </c>
      <c r="C715" s="1" t="n">
        <v>46130</v>
      </c>
      <c r="D715" t="inlineStr">
        <is>
          <t>STOCKHOLMS LÄN</t>
        </is>
      </c>
      <c r="E715" t="inlineStr">
        <is>
          <t>NORRTÄLJE</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59041-2025</t>
        </is>
      </c>
      <c r="B716" s="1" t="n">
        <v>45988</v>
      </c>
      <c r="C716" s="1" t="n">
        <v>46130</v>
      </c>
      <c r="D716" t="inlineStr">
        <is>
          <t>STOCKHOLMS LÄN</t>
        </is>
      </c>
      <c r="E716" t="inlineStr">
        <is>
          <t>NORRTÄLJE</t>
        </is>
      </c>
      <c r="G716" t="n">
        <v>6.6</v>
      </c>
      <c r="H716" t="n">
        <v>0</v>
      </c>
      <c r="I716" t="n">
        <v>0</v>
      </c>
      <c r="J716" t="n">
        <v>0</v>
      </c>
      <c r="K716" t="n">
        <v>0</v>
      </c>
      <c r="L716" t="n">
        <v>0</v>
      </c>
      <c r="M716" t="n">
        <v>0</v>
      </c>
      <c r="N716" t="n">
        <v>0</v>
      </c>
      <c r="O716" t="n">
        <v>0</v>
      </c>
      <c r="P716" t="n">
        <v>0</v>
      </c>
      <c r="Q716" t="n">
        <v>0</v>
      </c>
      <c r="R716" s="2" t="inlineStr"/>
    </row>
    <row r="717" ht="15" customHeight="1">
      <c r="A717" t="inlineStr">
        <is>
          <t>A 60214-2025</t>
        </is>
      </c>
      <c r="B717" s="1" t="n">
        <v>45994.53761574074</v>
      </c>
      <c r="C717" s="1" t="n">
        <v>46130</v>
      </c>
      <c r="D717" t="inlineStr">
        <is>
          <t>STOCKHOLMS LÄN</t>
        </is>
      </c>
      <c r="E717" t="inlineStr">
        <is>
          <t>NORRTÄLJE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60253-2025</t>
        </is>
      </c>
      <c r="B718" s="1" t="n">
        <v>45994.59827546297</v>
      </c>
      <c r="C718" s="1" t="n">
        <v>46130</v>
      </c>
      <c r="D718" t="inlineStr">
        <is>
          <t>STOCKHOLMS LÄN</t>
        </is>
      </c>
      <c r="E718" t="inlineStr">
        <is>
          <t>NORRTÄLJE</t>
        </is>
      </c>
      <c r="F718" t="inlineStr">
        <is>
          <t>Holmen skog AB</t>
        </is>
      </c>
      <c r="G718" t="n">
        <v>3.6</v>
      </c>
      <c r="H718" t="n">
        <v>0</v>
      </c>
      <c r="I718" t="n">
        <v>0</v>
      </c>
      <c r="J718" t="n">
        <v>0</v>
      </c>
      <c r="K718" t="n">
        <v>0</v>
      </c>
      <c r="L718" t="n">
        <v>0</v>
      </c>
      <c r="M718" t="n">
        <v>0</v>
      </c>
      <c r="N718" t="n">
        <v>0</v>
      </c>
      <c r="O718" t="n">
        <v>0</v>
      </c>
      <c r="P718" t="n">
        <v>0</v>
      </c>
      <c r="Q718" t="n">
        <v>0</v>
      </c>
      <c r="R718" s="2" t="inlineStr"/>
    </row>
    <row r="719" ht="15" customHeight="1">
      <c r="A719" t="inlineStr">
        <is>
          <t>A 59907-2025</t>
        </is>
      </c>
      <c r="B719" s="1" t="n">
        <v>45993.35350694445</v>
      </c>
      <c r="C719" s="1" t="n">
        <v>46130</v>
      </c>
      <c r="D719" t="inlineStr">
        <is>
          <t>STOCKHOLMS LÄN</t>
        </is>
      </c>
      <c r="E719" t="inlineStr">
        <is>
          <t>NORRTÄLJE</t>
        </is>
      </c>
      <c r="G719" t="n">
        <v>1.2</v>
      </c>
      <c r="H719" t="n">
        <v>0</v>
      </c>
      <c r="I719" t="n">
        <v>0</v>
      </c>
      <c r="J719" t="n">
        <v>0</v>
      </c>
      <c r="K719" t="n">
        <v>0</v>
      </c>
      <c r="L719" t="n">
        <v>0</v>
      </c>
      <c r="M719" t="n">
        <v>0</v>
      </c>
      <c r="N719" t="n">
        <v>0</v>
      </c>
      <c r="O719" t="n">
        <v>0</v>
      </c>
      <c r="P719" t="n">
        <v>0</v>
      </c>
      <c r="Q719" t="n">
        <v>0</v>
      </c>
      <c r="R719" s="2" t="inlineStr"/>
    </row>
    <row r="720" ht="15" customHeight="1">
      <c r="A720" t="inlineStr">
        <is>
          <t>A 64137-2021</t>
        </is>
      </c>
      <c r="B720" s="1" t="n">
        <v>44510.51422453704</v>
      </c>
      <c r="C720" s="1" t="n">
        <v>46130</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59924-2025</t>
        </is>
      </c>
      <c r="B721" s="1" t="n">
        <v>45993.38928240741</v>
      </c>
      <c r="C721" s="1" t="n">
        <v>46130</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38720-2022</t>
        </is>
      </c>
      <c r="B722" s="1" t="n">
        <v>44815.74539351852</v>
      </c>
      <c r="C722" s="1" t="n">
        <v>46130</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34432-2021</t>
        </is>
      </c>
      <c r="B723" s="1" t="n">
        <v>44380.77346064815</v>
      </c>
      <c r="C723" s="1" t="n">
        <v>46130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19911-2025</t>
        </is>
      </c>
      <c r="B724" s="1" t="n">
        <v>45771</v>
      </c>
      <c r="C724" s="1" t="n">
        <v>46130</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14130-2025</t>
        </is>
      </c>
      <c r="B725" s="1" t="n">
        <v>45740.47288194444</v>
      </c>
      <c r="C725" s="1" t="n">
        <v>46130</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60649-2025</t>
        </is>
      </c>
      <c r="B726" s="1" t="n">
        <v>45996.4560300926</v>
      </c>
      <c r="C726" s="1" t="n">
        <v>46130</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12532-2025</t>
        </is>
      </c>
      <c r="B727" s="1" t="n">
        <v>45730.69143518519</v>
      </c>
      <c r="C727" s="1" t="n">
        <v>46130</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40175-2024</t>
        </is>
      </c>
      <c r="B728" s="1" t="n">
        <v>45554.55707175926</v>
      </c>
      <c r="C728" s="1" t="n">
        <v>46130</v>
      </c>
      <c r="D728" t="inlineStr">
        <is>
          <t>STOCKHOLMS LÄN</t>
        </is>
      </c>
      <c r="E728" t="inlineStr">
        <is>
          <t>NORRTÄLJE</t>
        </is>
      </c>
      <c r="G728" t="n">
        <v>7.7</v>
      </c>
      <c r="H728" t="n">
        <v>0</v>
      </c>
      <c r="I728" t="n">
        <v>0</v>
      </c>
      <c r="J728" t="n">
        <v>0</v>
      </c>
      <c r="K728" t="n">
        <v>0</v>
      </c>
      <c r="L728" t="n">
        <v>0</v>
      </c>
      <c r="M728" t="n">
        <v>0</v>
      </c>
      <c r="N728" t="n">
        <v>0</v>
      </c>
      <c r="O728" t="n">
        <v>0</v>
      </c>
      <c r="P728" t="n">
        <v>0</v>
      </c>
      <c r="Q728" t="n">
        <v>0</v>
      </c>
      <c r="R728" s="2" t="inlineStr"/>
    </row>
    <row r="729" ht="15" customHeight="1">
      <c r="A729" t="inlineStr">
        <is>
          <t>A 16229-2022</t>
        </is>
      </c>
      <c r="B729" s="1" t="n">
        <v>44670.4190162037</v>
      </c>
      <c r="C729" s="1" t="n">
        <v>46130</v>
      </c>
      <c r="D729" t="inlineStr">
        <is>
          <t>STOCKHOLMS LÄN</t>
        </is>
      </c>
      <c r="E729" t="inlineStr">
        <is>
          <t>NORRTÄLJE</t>
        </is>
      </c>
      <c r="G729" t="n">
        <v>7.4</v>
      </c>
      <c r="H729" t="n">
        <v>0</v>
      </c>
      <c r="I729" t="n">
        <v>0</v>
      </c>
      <c r="J729" t="n">
        <v>0</v>
      </c>
      <c r="K729" t="n">
        <v>0</v>
      </c>
      <c r="L729" t="n">
        <v>0</v>
      </c>
      <c r="M729" t="n">
        <v>0</v>
      </c>
      <c r="N729" t="n">
        <v>0</v>
      </c>
      <c r="O729" t="n">
        <v>0</v>
      </c>
      <c r="P729" t="n">
        <v>0</v>
      </c>
      <c r="Q729" t="n">
        <v>0</v>
      </c>
      <c r="R729" s="2" t="inlineStr"/>
    </row>
    <row r="730" ht="15" customHeight="1">
      <c r="A730" t="inlineStr">
        <is>
          <t>A 60745-2025</t>
        </is>
      </c>
      <c r="B730" s="1" t="n">
        <v>45999.37753472223</v>
      </c>
      <c r="C730" s="1" t="n">
        <v>46130</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46914-2022</t>
        </is>
      </c>
      <c r="B731" s="1" t="n">
        <v>44851</v>
      </c>
      <c r="C731" s="1" t="n">
        <v>46130</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60928-2025</t>
        </is>
      </c>
      <c r="B732" s="1" t="n">
        <v>45999.633125</v>
      </c>
      <c r="C732" s="1" t="n">
        <v>46130</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20244-2025</t>
        </is>
      </c>
      <c r="B733" s="1" t="n">
        <v>45772.71221064815</v>
      </c>
      <c r="C733" s="1" t="n">
        <v>46130</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60948-2025</t>
        </is>
      </c>
      <c r="B734" s="1" t="n">
        <v>45999.650625</v>
      </c>
      <c r="C734" s="1" t="n">
        <v>46130</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50143-2023</t>
        </is>
      </c>
      <c r="B735" s="1" t="n">
        <v>45215</v>
      </c>
      <c r="C735" s="1" t="n">
        <v>46130</v>
      </c>
      <c r="D735" t="inlineStr">
        <is>
          <t>STOCKHOLMS LÄN</t>
        </is>
      </c>
      <c r="E735" t="inlineStr">
        <is>
          <t>NORRTÄLJE</t>
        </is>
      </c>
      <c r="G735" t="n">
        <v>10.3</v>
      </c>
      <c r="H735" t="n">
        <v>0</v>
      </c>
      <c r="I735" t="n">
        <v>0</v>
      </c>
      <c r="J735" t="n">
        <v>0</v>
      </c>
      <c r="K735" t="n">
        <v>0</v>
      </c>
      <c r="L735" t="n">
        <v>0</v>
      </c>
      <c r="M735" t="n">
        <v>0</v>
      </c>
      <c r="N735" t="n">
        <v>0</v>
      </c>
      <c r="O735" t="n">
        <v>0</v>
      </c>
      <c r="P735" t="n">
        <v>0</v>
      </c>
      <c r="Q735" t="n">
        <v>0</v>
      </c>
      <c r="R735" s="2" t="inlineStr"/>
    </row>
    <row r="736" ht="15" customHeight="1">
      <c r="A736" t="inlineStr">
        <is>
          <t>A 61160-2025</t>
        </is>
      </c>
      <c r="B736" s="1" t="n">
        <v>46000.55262731481</v>
      </c>
      <c r="C736" s="1" t="n">
        <v>46130</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20015-2023</t>
        </is>
      </c>
      <c r="B737" s="1" t="n">
        <v>45054</v>
      </c>
      <c r="C737" s="1" t="n">
        <v>46130</v>
      </c>
      <c r="D737" t="inlineStr">
        <is>
          <t>STOCKHOLMS LÄN</t>
        </is>
      </c>
      <c r="E737" t="inlineStr">
        <is>
          <t>NORRTÄLJE</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5027-2025</t>
        </is>
      </c>
      <c r="B738" s="1" t="n">
        <v>45691.41101851852</v>
      </c>
      <c r="C738" s="1" t="n">
        <v>46130</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61769-2025</t>
        </is>
      </c>
      <c r="B739" s="1" t="n">
        <v>46002.64556712963</v>
      </c>
      <c r="C739" s="1" t="n">
        <v>46130</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8315-2025</t>
        </is>
      </c>
      <c r="B740" s="1" t="n">
        <v>45708.61761574074</v>
      </c>
      <c r="C740" s="1" t="n">
        <v>46130</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46130</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61289-2025</t>
        </is>
      </c>
      <c r="B742" s="1" t="n">
        <v>46000.73659722223</v>
      </c>
      <c r="C742" s="1" t="n">
        <v>46130</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61419-2025</t>
        </is>
      </c>
      <c r="B743" s="1" t="n">
        <v>46001.54137731482</v>
      </c>
      <c r="C743" s="1" t="n">
        <v>46130</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61430-2025</t>
        </is>
      </c>
      <c r="B744" s="1" t="n">
        <v>46001.55583333333</v>
      </c>
      <c r="C744" s="1" t="n">
        <v>46130</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61452-2025</t>
        </is>
      </c>
      <c r="B745" s="1" t="n">
        <v>46001.58043981482</v>
      </c>
      <c r="C745" s="1" t="n">
        <v>46130</v>
      </c>
      <c r="D745" t="inlineStr">
        <is>
          <t>STOCKHOLMS LÄN</t>
        </is>
      </c>
      <c r="E745" t="inlineStr">
        <is>
          <t>NORRTÄLJE</t>
        </is>
      </c>
      <c r="F745" t="inlineStr">
        <is>
          <t>Holmen skog AB</t>
        </is>
      </c>
      <c r="G745" t="n">
        <v>3.7</v>
      </c>
      <c r="H745" t="n">
        <v>0</v>
      </c>
      <c r="I745" t="n">
        <v>0</v>
      </c>
      <c r="J745" t="n">
        <v>0</v>
      </c>
      <c r="K745" t="n">
        <v>0</v>
      </c>
      <c r="L745" t="n">
        <v>0</v>
      </c>
      <c r="M745" t="n">
        <v>0</v>
      </c>
      <c r="N745" t="n">
        <v>0</v>
      </c>
      <c r="O745" t="n">
        <v>0</v>
      </c>
      <c r="P745" t="n">
        <v>0</v>
      </c>
      <c r="Q745" t="n">
        <v>0</v>
      </c>
      <c r="R745" s="2" t="inlineStr"/>
    </row>
    <row r="746" ht="15" customHeight="1">
      <c r="A746" t="inlineStr">
        <is>
          <t>A 12251-2025</t>
        </is>
      </c>
      <c r="B746" s="1" t="n">
        <v>45729.60859953704</v>
      </c>
      <c r="C746" s="1" t="n">
        <v>46130</v>
      </c>
      <c r="D746" t="inlineStr">
        <is>
          <t>STOCKHOLMS LÄN</t>
        </is>
      </c>
      <c r="E746" t="inlineStr">
        <is>
          <t>NORRTÄLJE</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54776-2023</t>
        </is>
      </c>
      <c r="B747" s="1" t="n">
        <v>45236.46369212963</v>
      </c>
      <c r="C747" s="1" t="n">
        <v>46130</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20144-2023</t>
        </is>
      </c>
      <c r="B748" s="1" t="n">
        <v>45055.43509259259</v>
      </c>
      <c r="C748" s="1" t="n">
        <v>46130</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13314-2025</t>
        </is>
      </c>
      <c r="B749" s="1" t="n">
        <v>45735.59287037037</v>
      </c>
      <c r="C749" s="1" t="n">
        <v>46130</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53499-2025</t>
        </is>
      </c>
      <c r="B750" s="1" t="n">
        <v>45960</v>
      </c>
      <c r="C750" s="1" t="n">
        <v>46130</v>
      </c>
      <c r="D750" t="inlineStr">
        <is>
          <t>STOCKHOLMS LÄN</t>
        </is>
      </c>
      <c r="E750" t="inlineStr">
        <is>
          <t>NORRTÄLJE</t>
        </is>
      </c>
      <c r="G750" t="n">
        <v>23.8</v>
      </c>
      <c r="H750" t="n">
        <v>0</v>
      </c>
      <c r="I750" t="n">
        <v>0</v>
      </c>
      <c r="J750" t="n">
        <v>0</v>
      </c>
      <c r="K750" t="n">
        <v>0</v>
      </c>
      <c r="L750" t="n">
        <v>0</v>
      </c>
      <c r="M750" t="n">
        <v>0</v>
      </c>
      <c r="N750" t="n">
        <v>0</v>
      </c>
      <c r="O750" t="n">
        <v>0</v>
      </c>
      <c r="P750" t="n">
        <v>0</v>
      </c>
      <c r="Q750" t="n">
        <v>0</v>
      </c>
      <c r="R750" s="2" t="inlineStr"/>
    </row>
    <row r="751" ht="15" customHeight="1">
      <c r="A751" t="inlineStr">
        <is>
          <t>A 23056-2023</t>
        </is>
      </c>
      <c r="B751" s="1" t="n">
        <v>45075</v>
      </c>
      <c r="C751" s="1" t="n">
        <v>46130</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62708-2025</t>
        </is>
      </c>
      <c r="B752" s="1" t="n">
        <v>46008.50986111111</v>
      </c>
      <c r="C752" s="1" t="n">
        <v>46130</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13172-2025</t>
        </is>
      </c>
      <c r="B753" s="1" t="n">
        <v>45735.36873842592</v>
      </c>
      <c r="C753" s="1" t="n">
        <v>46130</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62689-2025</t>
        </is>
      </c>
      <c r="B754" s="1" t="n">
        <v>46008.47171296296</v>
      </c>
      <c r="C754" s="1" t="n">
        <v>46130</v>
      </c>
      <c r="D754" t="inlineStr">
        <is>
          <t>STOCKHOLMS LÄN</t>
        </is>
      </c>
      <c r="E754" t="inlineStr">
        <is>
          <t>NORRTÄLJE</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46130</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46130</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46130</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62681-2025</t>
        </is>
      </c>
      <c r="B758" s="1" t="n">
        <v>46008.45534722223</v>
      </c>
      <c r="C758" s="1" t="n">
        <v>46130</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73307-2021</t>
        </is>
      </c>
      <c r="B759" s="1" t="n">
        <v>44549</v>
      </c>
      <c r="C759" s="1" t="n">
        <v>46130</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34478-2025</t>
        </is>
      </c>
      <c r="B760" s="1" t="n">
        <v>45847</v>
      </c>
      <c r="C760" s="1" t="n">
        <v>46130</v>
      </c>
      <c r="D760" t="inlineStr">
        <is>
          <t>STOCKHOLMS LÄN</t>
        </is>
      </c>
      <c r="E760" t="inlineStr">
        <is>
          <t>NORRTÄLJE</t>
        </is>
      </c>
      <c r="F760" t="inlineStr">
        <is>
          <t>Övriga Aktiebolag</t>
        </is>
      </c>
      <c r="G760" t="n">
        <v>10.8</v>
      </c>
      <c r="H760" t="n">
        <v>0</v>
      </c>
      <c r="I760" t="n">
        <v>0</v>
      </c>
      <c r="J760" t="n">
        <v>0</v>
      </c>
      <c r="K760" t="n">
        <v>0</v>
      </c>
      <c r="L760" t="n">
        <v>0</v>
      </c>
      <c r="M760" t="n">
        <v>0</v>
      </c>
      <c r="N760" t="n">
        <v>0</v>
      </c>
      <c r="O760" t="n">
        <v>0</v>
      </c>
      <c r="P760" t="n">
        <v>0</v>
      </c>
      <c r="Q760" t="n">
        <v>0</v>
      </c>
      <c r="R760" s="2" t="inlineStr"/>
    </row>
    <row r="761" ht="15" customHeight="1">
      <c r="A761" t="inlineStr">
        <is>
          <t>A 21731-2023</t>
        </is>
      </c>
      <c r="B761" s="1" t="n">
        <v>45063</v>
      </c>
      <c r="C761" s="1" t="n">
        <v>46130</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21745-2023</t>
        </is>
      </c>
      <c r="B762" s="1" t="n">
        <v>45065.55917824074</v>
      </c>
      <c r="C762" s="1" t="n">
        <v>46130</v>
      </c>
      <c r="D762" t="inlineStr">
        <is>
          <t>STOCKHOLMS LÄN</t>
        </is>
      </c>
      <c r="E762" t="inlineStr">
        <is>
          <t>NORRTÄLJE</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30221-2024</t>
        </is>
      </c>
      <c r="B763" s="1" t="n">
        <v>45490.45342592592</v>
      </c>
      <c r="C763" s="1" t="n">
        <v>46130</v>
      </c>
      <c r="D763" t="inlineStr">
        <is>
          <t>STOCKHOLMS LÄN</t>
        </is>
      </c>
      <c r="E763" t="inlineStr">
        <is>
          <t>NORRTÄLJE</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62922-2025</t>
        </is>
      </c>
      <c r="B764" s="1" t="n">
        <v>46009.38064814815</v>
      </c>
      <c r="C764" s="1" t="n">
        <v>46130</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26365-2024</t>
        </is>
      </c>
      <c r="B765" s="1" t="n">
        <v>45469</v>
      </c>
      <c r="C765" s="1" t="n">
        <v>46130</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50602-2021</t>
        </is>
      </c>
      <c r="B766" s="1" t="n">
        <v>44459</v>
      </c>
      <c r="C766" s="1" t="n">
        <v>46130</v>
      </c>
      <c r="D766" t="inlineStr">
        <is>
          <t>STOCKHOLMS LÄN</t>
        </is>
      </c>
      <c r="E766" t="inlineStr">
        <is>
          <t>NORRTÄLJE</t>
        </is>
      </c>
      <c r="F766" t="inlineStr">
        <is>
          <t>Holmen skog AB</t>
        </is>
      </c>
      <c r="G766" t="n">
        <v>2</v>
      </c>
      <c r="H766" t="n">
        <v>0</v>
      </c>
      <c r="I766" t="n">
        <v>0</v>
      </c>
      <c r="J766" t="n">
        <v>0</v>
      </c>
      <c r="K766" t="n">
        <v>0</v>
      </c>
      <c r="L766" t="n">
        <v>0</v>
      </c>
      <c r="M766" t="n">
        <v>0</v>
      </c>
      <c r="N766" t="n">
        <v>0</v>
      </c>
      <c r="O766" t="n">
        <v>0</v>
      </c>
      <c r="P766" t="n">
        <v>0</v>
      </c>
      <c r="Q766" t="n">
        <v>0</v>
      </c>
      <c r="R766" s="2" t="inlineStr"/>
    </row>
    <row r="767" ht="15" customHeight="1">
      <c r="A767" t="inlineStr">
        <is>
          <t>A 48798-2021</t>
        </is>
      </c>
      <c r="B767" s="1" t="n">
        <v>44452</v>
      </c>
      <c r="C767" s="1" t="n">
        <v>46130</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30283-2022</t>
        </is>
      </c>
      <c r="B768" s="1" t="n">
        <v>44760</v>
      </c>
      <c r="C768" s="1" t="n">
        <v>46130</v>
      </c>
      <c r="D768" t="inlineStr">
        <is>
          <t>STOCKHOLMS LÄN</t>
        </is>
      </c>
      <c r="E768" t="inlineStr">
        <is>
          <t>NORRTÄLJE</t>
        </is>
      </c>
      <c r="G768" t="n">
        <v>6.2</v>
      </c>
      <c r="H768" t="n">
        <v>0</v>
      </c>
      <c r="I768" t="n">
        <v>0</v>
      </c>
      <c r="J768" t="n">
        <v>0</v>
      </c>
      <c r="K768" t="n">
        <v>0</v>
      </c>
      <c r="L768" t="n">
        <v>0</v>
      </c>
      <c r="M768" t="n">
        <v>0</v>
      </c>
      <c r="N768" t="n">
        <v>0</v>
      </c>
      <c r="O768" t="n">
        <v>0</v>
      </c>
      <c r="P768" t="n">
        <v>0</v>
      </c>
      <c r="Q768" t="n">
        <v>0</v>
      </c>
      <c r="R768" s="2" t="inlineStr"/>
    </row>
    <row r="769" ht="15" customHeight="1">
      <c r="A769" t="inlineStr">
        <is>
          <t>A 30290-2022</t>
        </is>
      </c>
      <c r="B769" s="1" t="n">
        <v>44760</v>
      </c>
      <c r="C769" s="1" t="n">
        <v>46130</v>
      </c>
      <c r="D769" t="inlineStr">
        <is>
          <t>STOCKHOLMS LÄN</t>
        </is>
      </c>
      <c r="E769" t="inlineStr">
        <is>
          <t>NORRTÄLJE</t>
        </is>
      </c>
      <c r="G769" t="n">
        <v>4.8</v>
      </c>
      <c r="H769" t="n">
        <v>0</v>
      </c>
      <c r="I769" t="n">
        <v>0</v>
      </c>
      <c r="J769" t="n">
        <v>0</v>
      </c>
      <c r="K769" t="n">
        <v>0</v>
      </c>
      <c r="L769" t="n">
        <v>0</v>
      </c>
      <c r="M769" t="n">
        <v>0</v>
      </c>
      <c r="N769" t="n">
        <v>0</v>
      </c>
      <c r="O769" t="n">
        <v>0</v>
      </c>
      <c r="P769" t="n">
        <v>0</v>
      </c>
      <c r="Q769" t="n">
        <v>0</v>
      </c>
      <c r="R769" s="2" t="inlineStr"/>
    </row>
    <row r="770" ht="15" customHeight="1">
      <c r="A770" t="inlineStr">
        <is>
          <t>A 38985-2022</t>
        </is>
      </c>
      <c r="B770" s="1" t="n">
        <v>44816</v>
      </c>
      <c r="C770" s="1" t="n">
        <v>46130</v>
      </c>
      <c r="D770" t="inlineStr">
        <is>
          <t>STOCKHOLMS LÄN</t>
        </is>
      </c>
      <c r="E770" t="inlineStr">
        <is>
          <t>NORRTÄLJE</t>
        </is>
      </c>
      <c r="G770" t="n">
        <v>10.1</v>
      </c>
      <c r="H770" t="n">
        <v>0</v>
      </c>
      <c r="I770" t="n">
        <v>0</v>
      </c>
      <c r="J770" t="n">
        <v>0</v>
      </c>
      <c r="K770" t="n">
        <v>0</v>
      </c>
      <c r="L770" t="n">
        <v>0</v>
      </c>
      <c r="M770" t="n">
        <v>0</v>
      </c>
      <c r="N770" t="n">
        <v>0</v>
      </c>
      <c r="O770" t="n">
        <v>0</v>
      </c>
      <c r="P770" t="n">
        <v>0</v>
      </c>
      <c r="Q770" t="n">
        <v>0</v>
      </c>
      <c r="R770" s="2" t="inlineStr"/>
    </row>
    <row r="771" ht="15" customHeight="1">
      <c r="A771" t="inlineStr">
        <is>
          <t>A 25625-2023</t>
        </is>
      </c>
      <c r="B771" s="1" t="n">
        <v>45089</v>
      </c>
      <c r="C771" s="1" t="n">
        <v>46130</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14132-2025</t>
        </is>
      </c>
      <c r="B772" s="1" t="n">
        <v>45740.47550925926</v>
      </c>
      <c r="C772" s="1" t="n">
        <v>46130</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14133-2025</t>
        </is>
      </c>
      <c r="B773" s="1" t="n">
        <v>45740.47724537037</v>
      </c>
      <c r="C773" s="1" t="n">
        <v>46130</v>
      </c>
      <c r="D773" t="inlineStr">
        <is>
          <t>STOCKHOLMS LÄN</t>
        </is>
      </c>
      <c r="E773" t="inlineStr">
        <is>
          <t>NORRTÄLJE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7186-2024</t>
        </is>
      </c>
      <c r="B774" s="1" t="n">
        <v>45344</v>
      </c>
      <c r="C774" s="1" t="n">
        <v>46130</v>
      </c>
      <c r="D774" t="inlineStr">
        <is>
          <t>STOCKHOLMS LÄN</t>
        </is>
      </c>
      <c r="E774" t="inlineStr">
        <is>
          <t>NORRTÄLJE</t>
        </is>
      </c>
      <c r="G774" t="n">
        <v>4.9</v>
      </c>
      <c r="H774" t="n">
        <v>0</v>
      </c>
      <c r="I774" t="n">
        <v>0</v>
      </c>
      <c r="J774" t="n">
        <v>0</v>
      </c>
      <c r="K774" t="n">
        <v>0</v>
      </c>
      <c r="L774" t="n">
        <v>0</v>
      </c>
      <c r="M774" t="n">
        <v>0</v>
      </c>
      <c r="N774" t="n">
        <v>0</v>
      </c>
      <c r="O774" t="n">
        <v>0</v>
      </c>
      <c r="P774" t="n">
        <v>0</v>
      </c>
      <c r="Q774" t="n">
        <v>0</v>
      </c>
      <c r="R774" s="2" t="inlineStr"/>
    </row>
    <row r="775" ht="15" customHeight="1">
      <c r="A775" t="inlineStr">
        <is>
          <t>A 39202-2024</t>
        </is>
      </c>
      <c r="B775" s="1" t="n">
        <v>45548.72306712963</v>
      </c>
      <c r="C775" s="1" t="n">
        <v>46130</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124-2026</t>
        </is>
      </c>
      <c r="B776" s="1" t="n">
        <v>46024.58378472222</v>
      </c>
      <c r="C776" s="1" t="n">
        <v>46130</v>
      </c>
      <c r="D776" t="inlineStr">
        <is>
          <t>STOCKHOLMS LÄN</t>
        </is>
      </c>
      <c r="E776" t="inlineStr">
        <is>
          <t>NORRTÄLJE</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197-2026</t>
        </is>
      </c>
      <c r="B777" s="1" t="n">
        <v>46026</v>
      </c>
      <c r="C777" s="1" t="n">
        <v>46130</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53792-2023</t>
        </is>
      </c>
      <c r="B778" s="1" t="n">
        <v>45231.34144675926</v>
      </c>
      <c r="C778" s="1" t="n">
        <v>46130</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11280-2023</t>
        </is>
      </c>
      <c r="B779" s="1" t="n">
        <v>44992</v>
      </c>
      <c r="C779" s="1" t="n">
        <v>46130</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57442-2021</t>
        </is>
      </c>
      <c r="B780" s="1" t="n">
        <v>44483</v>
      </c>
      <c r="C780" s="1" t="n">
        <v>46130</v>
      </c>
      <c r="D780" t="inlineStr">
        <is>
          <t>STOCKHOLMS LÄN</t>
        </is>
      </c>
      <c r="E780" t="inlineStr">
        <is>
          <t>NORRTÄLJE</t>
        </is>
      </c>
      <c r="G780" t="n">
        <v>3.3</v>
      </c>
      <c r="H780" t="n">
        <v>0</v>
      </c>
      <c r="I780" t="n">
        <v>0</v>
      </c>
      <c r="J780" t="n">
        <v>0</v>
      </c>
      <c r="K780" t="n">
        <v>0</v>
      </c>
      <c r="L780" t="n">
        <v>0</v>
      </c>
      <c r="M780" t="n">
        <v>0</v>
      </c>
      <c r="N780" t="n">
        <v>0</v>
      </c>
      <c r="O780" t="n">
        <v>0</v>
      </c>
      <c r="P780" t="n">
        <v>0</v>
      </c>
      <c r="Q780" t="n">
        <v>0</v>
      </c>
      <c r="R780" s="2" t="inlineStr"/>
    </row>
    <row r="781" ht="15" customHeight="1">
      <c r="A781" t="inlineStr">
        <is>
          <t>A 19952-2023</t>
        </is>
      </c>
      <c r="B781" s="1" t="n">
        <v>45054.54091435186</v>
      </c>
      <c r="C781" s="1" t="n">
        <v>46130</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19994-2023</t>
        </is>
      </c>
      <c r="B782" s="1" t="n">
        <v>45054</v>
      </c>
      <c r="C782" s="1" t="n">
        <v>46130</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718-2026</t>
        </is>
      </c>
      <c r="B783" s="1" t="n">
        <v>46029.63174768518</v>
      </c>
      <c r="C783" s="1" t="n">
        <v>46130</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694-2026</t>
        </is>
      </c>
      <c r="B784" s="1" t="n">
        <v>46029.61375</v>
      </c>
      <c r="C784" s="1" t="n">
        <v>46130</v>
      </c>
      <c r="D784" t="inlineStr">
        <is>
          <t>STOCKHOLMS LÄN</t>
        </is>
      </c>
      <c r="E784" t="inlineStr">
        <is>
          <t>NORRTÄLJE</t>
        </is>
      </c>
      <c r="G784" t="n">
        <v>9.6</v>
      </c>
      <c r="H784" t="n">
        <v>0</v>
      </c>
      <c r="I784" t="n">
        <v>0</v>
      </c>
      <c r="J784" t="n">
        <v>0</v>
      </c>
      <c r="K784" t="n">
        <v>0</v>
      </c>
      <c r="L784" t="n">
        <v>0</v>
      </c>
      <c r="M784" t="n">
        <v>0</v>
      </c>
      <c r="N784" t="n">
        <v>0</v>
      </c>
      <c r="O784" t="n">
        <v>0</v>
      </c>
      <c r="P784" t="n">
        <v>0</v>
      </c>
      <c r="Q784" t="n">
        <v>0</v>
      </c>
      <c r="R784" s="2" t="inlineStr"/>
    </row>
    <row r="785" ht="15" customHeight="1">
      <c r="A785" t="inlineStr">
        <is>
          <t>A 29003-2023</t>
        </is>
      </c>
      <c r="B785" s="1" t="n">
        <v>45104</v>
      </c>
      <c r="C785" s="1" t="n">
        <v>46130</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15956-2023</t>
        </is>
      </c>
      <c r="B786" s="1" t="n">
        <v>45022.61003472222</v>
      </c>
      <c r="C786" s="1" t="n">
        <v>46130</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693-2026</t>
        </is>
      </c>
      <c r="B787" s="1" t="n">
        <v>46029.6133449074</v>
      </c>
      <c r="C787" s="1" t="n">
        <v>46130</v>
      </c>
      <c r="D787" t="inlineStr">
        <is>
          <t>STOCKHOLMS LÄN</t>
        </is>
      </c>
      <c r="E787" t="inlineStr">
        <is>
          <t>NORRTÄLJE</t>
        </is>
      </c>
      <c r="G787" t="n">
        <v>9.6</v>
      </c>
      <c r="H787" t="n">
        <v>0</v>
      </c>
      <c r="I787" t="n">
        <v>0</v>
      </c>
      <c r="J787" t="n">
        <v>0</v>
      </c>
      <c r="K787" t="n">
        <v>0</v>
      </c>
      <c r="L787" t="n">
        <v>0</v>
      </c>
      <c r="M787" t="n">
        <v>0</v>
      </c>
      <c r="N787" t="n">
        <v>0</v>
      </c>
      <c r="O787" t="n">
        <v>0</v>
      </c>
      <c r="P787" t="n">
        <v>0</v>
      </c>
      <c r="Q787" t="n">
        <v>0</v>
      </c>
      <c r="R787" s="2" t="inlineStr"/>
    </row>
    <row r="788" ht="15" customHeight="1">
      <c r="A788" t="inlineStr">
        <is>
          <t>A 812-2026</t>
        </is>
      </c>
      <c r="B788" s="1" t="n">
        <v>46030.33358796296</v>
      </c>
      <c r="C788" s="1" t="n">
        <v>46130</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717-2026</t>
        </is>
      </c>
      <c r="B789" s="1" t="n">
        <v>46029.63028935185</v>
      </c>
      <c r="C789" s="1" t="n">
        <v>46130</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475-2026</t>
        </is>
      </c>
      <c r="B790" s="1" t="n">
        <v>46029.39351851852</v>
      </c>
      <c r="C790" s="1" t="n">
        <v>46130</v>
      </c>
      <c r="D790" t="inlineStr">
        <is>
          <t>STOCKHOLMS LÄN</t>
        </is>
      </c>
      <c r="E790" t="inlineStr">
        <is>
          <t>NORRTÄLJE</t>
        </is>
      </c>
      <c r="G790" t="n">
        <v>4.6</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46130</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3383-2023</t>
        </is>
      </c>
      <c r="B792" s="1" t="n">
        <v>44949</v>
      </c>
      <c r="C792" s="1" t="n">
        <v>46130</v>
      </c>
      <c r="D792" t="inlineStr">
        <is>
          <t>STOCKHOLMS LÄN</t>
        </is>
      </c>
      <c r="E792" t="inlineStr">
        <is>
          <t>NORRTÄLJE</t>
        </is>
      </c>
      <c r="G792" t="n">
        <v>14.6</v>
      </c>
      <c r="H792" t="n">
        <v>0</v>
      </c>
      <c r="I792" t="n">
        <v>0</v>
      </c>
      <c r="J792" t="n">
        <v>0</v>
      </c>
      <c r="K792" t="n">
        <v>0</v>
      </c>
      <c r="L792" t="n">
        <v>0</v>
      </c>
      <c r="M792" t="n">
        <v>0</v>
      </c>
      <c r="N792" t="n">
        <v>0</v>
      </c>
      <c r="O792" t="n">
        <v>0</v>
      </c>
      <c r="P792" t="n">
        <v>0</v>
      </c>
      <c r="Q792" t="n">
        <v>0</v>
      </c>
      <c r="R792" s="2" t="inlineStr"/>
    </row>
    <row r="793" ht="15" customHeight="1">
      <c r="A793" t="inlineStr">
        <is>
          <t>A 4316-2023</t>
        </is>
      </c>
      <c r="B793" s="1" t="n">
        <v>44953.67443287037</v>
      </c>
      <c r="C793" s="1" t="n">
        <v>46130</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5839-2023</t>
        </is>
      </c>
      <c r="B794" s="1" t="n">
        <v>44963</v>
      </c>
      <c r="C794" s="1" t="n">
        <v>46130</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1789-2026</t>
        </is>
      </c>
      <c r="B795" s="1" t="n">
        <v>46034</v>
      </c>
      <c r="C795" s="1" t="n">
        <v>46130</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5804-2025</t>
        </is>
      </c>
      <c r="B796" s="1" t="n">
        <v>45694.68207175926</v>
      </c>
      <c r="C796" s="1" t="n">
        <v>46130</v>
      </c>
      <c r="D796" t="inlineStr">
        <is>
          <t>STOCKHOLMS LÄN</t>
        </is>
      </c>
      <c r="E796" t="inlineStr">
        <is>
          <t>NORRTÄLJE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24705-2023</t>
        </is>
      </c>
      <c r="B797" s="1" t="n">
        <v>45084.54459490741</v>
      </c>
      <c r="C797" s="1" t="n">
        <v>46130</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1755-2026</t>
        </is>
      </c>
      <c r="B798" s="1" t="n">
        <v>46034.66230324074</v>
      </c>
      <c r="C798" s="1" t="n">
        <v>46130</v>
      </c>
      <c r="D798" t="inlineStr">
        <is>
          <t>STOCKHOLMS LÄN</t>
        </is>
      </c>
      <c r="E798" t="inlineStr">
        <is>
          <t>NORRTÄLJE</t>
        </is>
      </c>
      <c r="F798" t="inlineStr">
        <is>
          <t>Holmen skog AB</t>
        </is>
      </c>
      <c r="G798" t="n">
        <v>3.5</v>
      </c>
      <c r="H798" t="n">
        <v>0</v>
      </c>
      <c r="I798" t="n">
        <v>0</v>
      </c>
      <c r="J798" t="n">
        <v>0</v>
      </c>
      <c r="K798" t="n">
        <v>0</v>
      </c>
      <c r="L798" t="n">
        <v>0</v>
      </c>
      <c r="M798" t="n">
        <v>0</v>
      </c>
      <c r="N798" t="n">
        <v>0</v>
      </c>
      <c r="O798" t="n">
        <v>0</v>
      </c>
      <c r="P798" t="n">
        <v>0</v>
      </c>
      <c r="Q798" t="n">
        <v>0</v>
      </c>
      <c r="R798" s="2" t="inlineStr"/>
    </row>
    <row r="799" ht="15" customHeight="1">
      <c r="A799" t="inlineStr">
        <is>
          <t>A 54358-2022</t>
        </is>
      </c>
      <c r="B799" s="1" t="n">
        <v>44882</v>
      </c>
      <c r="C799" s="1" t="n">
        <v>46130</v>
      </c>
      <c r="D799" t="inlineStr">
        <is>
          <t>STOCKHOLMS LÄN</t>
        </is>
      </c>
      <c r="E799" t="inlineStr">
        <is>
          <t>NORRTÄLJE</t>
        </is>
      </c>
      <c r="G799" t="n">
        <v>3.3</v>
      </c>
      <c r="H799" t="n">
        <v>0</v>
      </c>
      <c r="I799" t="n">
        <v>0</v>
      </c>
      <c r="J799" t="n">
        <v>0</v>
      </c>
      <c r="K799" t="n">
        <v>0</v>
      </c>
      <c r="L799" t="n">
        <v>0</v>
      </c>
      <c r="M799" t="n">
        <v>0</v>
      </c>
      <c r="N799" t="n">
        <v>0</v>
      </c>
      <c r="O799" t="n">
        <v>0</v>
      </c>
      <c r="P799" t="n">
        <v>0</v>
      </c>
      <c r="Q799" t="n">
        <v>0</v>
      </c>
      <c r="R799" s="2" t="inlineStr"/>
    </row>
    <row r="800" ht="15" customHeight="1">
      <c r="A800" t="inlineStr">
        <is>
          <t>A 23749-2024</t>
        </is>
      </c>
      <c r="B800" s="1" t="n">
        <v>45455.33037037037</v>
      </c>
      <c r="C800" s="1" t="n">
        <v>46130</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35698-2023</t>
        </is>
      </c>
      <c r="B801" s="1" t="n">
        <v>45147</v>
      </c>
      <c r="C801" s="1" t="n">
        <v>46130</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2088-2026</t>
        </is>
      </c>
      <c r="B802" s="1" t="n">
        <v>46036.35909722222</v>
      </c>
      <c r="C802" s="1" t="n">
        <v>46130</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2116-2026</t>
        </is>
      </c>
      <c r="B803" s="1" t="n">
        <v>46036.38108796296</v>
      </c>
      <c r="C803" s="1" t="n">
        <v>46130</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73992-2021</t>
        </is>
      </c>
      <c r="B804" s="1" t="n">
        <v>44556</v>
      </c>
      <c r="C804" s="1" t="n">
        <v>46130</v>
      </c>
      <c r="D804" t="inlineStr">
        <is>
          <t>STOCKHOLMS LÄN</t>
        </is>
      </c>
      <c r="E804" t="inlineStr">
        <is>
          <t>NORRTÄLJE</t>
        </is>
      </c>
      <c r="G804" t="n">
        <v>12.5</v>
      </c>
      <c r="H804" t="n">
        <v>0</v>
      </c>
      <c r="I804" t="n">
        <v>0</v>
      </c>
      <c r="J804" t="n">
        <v>0</v>
      </c>
      <c r="K804" t="n">
        <v>0</v>
      </c>
      <c r="L804" t="n">
        <v>0</v>
      </c>
      <c r="M804" t="n">
        <v>0</v>
      </c>
      <c r="N804" t="n">
        <v>0</v>
      </c>
      <c r="O804" t="n">
        <v>0</v>
      </c>
      <c r="P804" t="n">
        <v>0</v>
      </c>
      <c r="Q804" t="n">
        <v>0</v>
      </c>
      <c r="R804" s="2" t="inlineStr"/>
    </row>
    <row r="805" ht="15" customHeight="1">
      <c r="A805" t="inlineStr">
        <is>
          <t>A 21329-2022</t>
        </is>
      </c>
      <c r="B805" s="1" t="n">
        <v>44705.60626157407</v>
      </c>
      <c r="C805" s="1" t="n">
        <v>46130</v>
      </c>
      <c r="D805" t="inlineStr">
        <is>
          <t>STOCKHOLMS LÄN</t>
        </is>
      </c>
      <c r="E805" t="inlineStr">
        <is>
          <t>NORRTÄLJE</t>
        </is>
      </c>
      <c r="G805" t="n">
        <v>4.1</v>
      </c>
      <c r="H805" t="n">
        <v>0</v>
      </c>
      <c r="I805" t="n">
        <v>0</v>
      </c>
      <c r="J805" t="n">
        <v>0</v>
      </c>
      <c r="K805" t="n">
        <v>0</v>
      </c>
      <c r="L805" t="n">
        <v>0</v>
      </c>
      <c r="M805" t="n">
        <v>0</v>
      </c>
      <c r="N805" t="n">
        <v>0</v>
      </c>
      <c r="O805" t="n">
        <v>0</v>
      </c>
      <c r="P805" t="n">
        <v>0</v>
      </c>
      <c r="Q805" t="n">
        <v>0</v>
      </c>
      <c r="R805" s="2" t="inlineStr"/>
    </row>
    <row r="806" ht="15" customHeight="1">
      <c r="A806" t="inlineStr">
        <is>
          <t>A 54276-2021</t>
        </is>
      </c>
      <c r="B806" s="1" t="n">
        <v>44470</v>
      </c>
      <c r="C806" s="1" t="n">
        <v>46130</v>
      </c>
      <c r="D806" t="inlineStr">
        <is>
          <t>STOCKHOLMS LÄN</t>
        </is>
      </c>
      <c r="E806" t="inlineStr">
        <is>
          <t>NORRTÄLJE</t>
        </is>
      </c>
      <c r="G806" t="n">
        <v>7.3</v>
      </c>
      <c r="H806" t="n">
        <v>0</v>
      </c>
      <c r="I806" t="n">
        <v>0</v>
      </c>
      <c r="J806" t="n">
        <v>0</v>
      </c>
      <c r="K806" t="n">
        <v>0</v>
      </c>
      <c r="L806" t="n">
        <v>0</v>
      </c>
      <c r="M806" t="n">
        <v>0</v>
      </c>
      <c r="N806" t="n">
        <v>0</v>
      </c>
      <c r="O806" t="n">
        <v>0</v>
      </c>
      <c r="P806" t="n">
        <v>0</v>
      </c>
      <c r="Q806" t="n">
        <v>0</v>
      </c>
      <c r="R806" s="2" t="inlineStr"/>
    </row>
    <row r="807" ht="15" customHeight="1">
      <c r="A807" t="inlineStr">
        <is>
          <t>A 10090-2022</t>
        </is>
      </c>
      <c r="B807" s="1" t="n">
        <v>44621</v>
      </c>
      <c r="C807" s="1" t="n">
        <v>46130</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46130</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51116-2022</t>
        </is>
      </c>
      <c r="B809" s="1" t="n">
        <v>44868.45741898148</v>
      </c>
      <c r="C809" s="1" t="n">
        <v>46130</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29972-2024</t>
        </is>
      </c>
      <c r="B810" s="1" t="n">
        <v>45485</v>
      </c>
      <c r="C810" s="1" t="n">
        <v>46130</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28809-2023</t>
        </is>
      </c>
      <c r="B811" s="1" t="n">
        <v>45104</v>
      </c>
      <c r="C811" s="1" t="n">
        <v>46130</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28813-2023</t>
        </is>
      </c>
      <c r="B812" s="1" t="n">
        <v>45104</v>
      </c>
      <c r="C812" s="1" t="n">
        <v>46130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19131-2025</t>
        </is>
      </c>
      <c r="B813" s="1" t="n">
        <v>45769</v>
      </c>
      <c r="C813" s="1" t="n">
        <v>46130</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11929-2024</t>
        </is>
      </c>
      <c r="B814" s="1" t="n">
        <v>45376.64532407407</v>
      </c>
      <c r="C814" s="1" t="n">
        <v>46130</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64145-2021</t>
        </is>
      </c>
      <c r="B815" s="1" t="n">
        <v>44510</v>
      </c>
      <c r="C815" s="1" t="n">
        <v>46130</v>
      </c>
      <c r="D815" t="inlineStr">
        <is>
          <t>STOCKHOLMS LÄN</t>
        </is>
      </c>
      <c r="E815" t="inlineStr">
        <is>
          <t>NORRTÄLJE</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45451-2024</t>
        </is>
      </c>
      <c r="B816" s="1" t="n">
        <v>45576</v>
      </c>
      <c r="C816" s="1" t="n">
        <v>46130</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3549-2026</t>
        </is>
      </c>
      <c r="B817" s="1" t="n">
        <v>46042</v>
      </c>
      <c r="C817" s="1" t="n">
        <v>46130</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17843-2024</t>
        </is>
      </c>
      <c r="B818" s="1" t="n">
        <v>45418</v>
      </c>
      <c r="C818" s="1" t="n">
        <v>46130</v>
      </c>
      <c r="D818" t="inlineStr">
        <is>
          <t>STOCKHOLMS LÄN</t>
        </is>
      </c>
      <c r="E818" t="inlineStr">
        <is>
          <t>NORRTÄLJE</t>
        </is>
      </c>
      <c r="G818" t="n">
        <v>5.4</v>
      </c>
      <c r="H818" t="n">
        <v>0</v>
      </c>
      <c r="I818" t="n">
        <v>0</v>
      </c>
      <c r="J818" t="n">
        <v>0</v>
      </c>
      <c r="K818" t="n">
        <v>0</v>
      </c>
      <c r="L818" t="n">
        <v>0</v>
      </c>
      <c r="M818" t="n">
        <v>0</v>
      </c>
      <c r="N818" t="n">
        <v>0</v>
      </c>
      <c r="O818" t="n">
        <v>0</v>
      </c>
      <c r="P818" t="n">
        <v>0</v>
      </c>
      <c r="Q818" t="n">
        <v>0</v>
      </c>
      <c r="R818" s="2" t="inlineStr"/>
    </row>
    <row r="819" ht="15" customHeight="1">
      <c r="A819" t="inlineStr">
        <is>
          <t>A 12890-2024</t>
        </is>
      </c>
      <c r="B819" s="1" t="n">
        <v>45385.36243055556</v>
      </c>
      <c r="C819" s="1" t="n">
        <v>46130</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4231-2026</t>
        </is>
      </c>
      <c r="B820" s="1" t="n">
        <v>46044</v>
      </c>
      <c r="C820" s="1" t="n">
        <v>46130</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36430-2024</t>
        </is>
      </c>
      <c r="B821" s="1" t="n">
        <v>45536</v>
      </c>
      <c r="C821" s="1" t="n">
        <v>46130</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4235-2026</t>
        </is>
      </c>
      <c r="B822" s="1" t="n">
        <v>46044</v>
      </c>
      <c r="C822" s="1" t="n">
        <v>46130</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41172-2023</t>
        </is>
      </c>
      <c r="B823" s="1" t="n">
        <v>45170</v>
      </c>
      <c r="C823" s="1" t="n">
        <v>46130</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67921-2021</t>
        </is>
      </c>
      <c r="B824" s="1" t="n">
        <v>44525</v>
      </c>
      <c r="C824" s="1" t="n">
        <v>46130</v>
      </c>
      <c r="D824" t="inlineStr">
        <is>
          <t>STOCKHOLMS LÄN</t>
        </is>
      </c>
      <c r="E824" t="inlineStr">
        <is>
          <t>NORRTÄLJE</t>
        </is>
      </c>
      <c r="G824" t="n">
        <v>6.3</v>
      </c>
      <c r="H824" t="n">
        <v>0</v>
      </c>
      <c r="I824" t="n">
        <v>0</v>
      </c>
      <c r="J824" t="n">
        <v>0</v>
      </c>
      <c r="K824" t="n">
        <v>0</v>
      </c>
      <c r="L824" t="n">
        <v>0</v>
      </c>
      <c r="M824" t="n">
        <v>0</v>
      </c>
      <c r="N824" t="n">
        <v>0</v>
      </c>
      <c r="O824" t="n">
        <v>0</v>
      </c>
      <c r="P824" t="n">
        <v>0</v>
      </c>
      <c r="Q824" t="n">
        <v>0</v>
      </c>
      <c r="R824" s="2" t="inlineStr"/>
    </row>
    <row r="825" ht="15" customHeight="1">
      <c r="A825" t="inlineStr">
        <is>
          <t>A 4227-2026</t>
        </is>
      </c>
      <c r="B825" s="1" t="n">
        <v>46044</v>
      </c>
      <c r="C825" s="1" t="n">
        <v>46130</v>
      </c>
      <c r="D825" t="inlineStr">
        <is>
          <t>STOCKHOLMS LÄN</t>
        </is>
      </c>
      <c r="E825" t="inlineStr">
        <is>
          <t>NORRTÄLJE</t>
        </is>
      </c>
      <c r="G825" t="n">
        <v>3.6</v>
      </c>
      <c r="H825" t="n">
        <v>0</v>
      </c>
      <c r="I825" t="n">
        <v>0</v>
      </c>
      <c r="J825" t="n">
        <v>0</v>
      </c>
      <c r="K825" t="n">
        <v>0</v>
      </c>
      <c r="L825" t="n">
        <v>0</v>
      </c>
      <c r="M825" t="n">
        <v>0</v>
      </c>
      <c r="N825" t="n">
        <v>0</v>
      </c>
      <c r="O825" t="n">
        <v>0</v>
      </c>
      <c r="P825" t="n">
        <v>0</v>
      </c>
      <c r="Q825" t="n">
        <v>0</v>
      </c>
      <c r="R825" s="2" t="inlineStr"/>
    </row>
    <row r="826" ht="15" customHeight="1">
      <c r="A826" t="inlineStr">
        <is>
          <t>A 72704-2021</t>
        </is>
      </c>
      <c r="B826" s="1" t="n">
        <v>44546</v>
      </c>
      <c r="C826" s="1" t="n">
        <v>46130</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65499-2021</t>
        </is>
      </c>
      <c r="B827" s="1" t="n">
        <v>44516</v>
      </c>
      <c r="C827" s="1" t="n">
        <v>46130</v>
      </c>
      <c r="D827" t="inlineStr">
        <is>
          <t>STOCKHOLMS LÄN</t>
        </is>
      </c>
      <c r="E827" t="inlineStr">
        <is>
          <t>NORRTÄLJE</t>
        </is>
      </c>
      <c r="F827" t="inlineStr">
        <is>
          <t>Kommuner</t>
        </is>
      </c>
      <c r="G827" t="n">
        <v>5.2</v>
      </c>
      <c r="H827" t="n">
        <v>0</v>
      </c>
      <c r="I827" t="n">
        <v>0</v>
      </c>
      <c r="J827" t="n">
        <v>0</v>
      </c>
      <c r="K827" t="n">
        <v>0</v>
      </c>
      <c r="L827" t="n">
        <v>0</v>
      </c>
      <c r="M827" t="n">
        <v>0</v>
      </c>
      <c r="N827" t="n">
        <v>0</v>
      </c>
      <c r="O827" t="n">
        <v>0</v>
      </c>
      <c r="P827" t="n">
        <v>0</v>
      </c>
      <c r="Q827" t="n">
        <v>0</v>
      </c>
      <c r="R827" s="2" t="inlineStr"/>
    </row>
    <row r="828" ht="15" customHeight="1">
      <c r="A828" t="inlineStr">
        <is>
          <t>A 65511-2021</t>
        </is>
      </c>
      <c r="B828" s="1" t="n">
        <v>44516.40674768519</v>
      </c>
      <c r="C828" s="1" t="n">
        <v>46130</v>
      </c>
      <c r="D828" t="inlineStr">
        <is>
          <t>STOCKHOLMS LÄN</t>
        </is>
      </c>
      <c r="E828" t="inlineStr">
        <is>
          <t>NORRTÄLJE</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26113-2024</t>
        </is>
      </c>
      <c r="B829" s="1" t="n">
        <v>45468.45541666666</v>
      </c>
      <c r="C829" s="1" t="n">
        <v>46130</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26116-2024</t>
        </is>
      </c>
      <c r="B830" s="1" t="n">
        <v>45468.45747685185</v>
      </c>
      <c r="C830" s="1" t="n">
        <v>46130</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3933-2026</t>
        </is>
      </c>
      <c r="B831" s="1" t="n">
        <v>46043.79916666666</v>
      </c>
      <c r="C831" s="1" t="n">
        <v>46130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52686-2024</t>
        </is>
      </c>
      <c r="B832" s="1" t="n">
        <v>45610.39271990741</v>
      </c>
      <c r="C832" s="1" t="n">
        <v>46130</v>
      </c>
      <c r="D832" t="inlineStr">
        <is>
          <t>STOCKHOLMS LÄN</t>
        </is>
      </c>
      <c r="E832" t="inlineStr">
        <is>
          <t>NORRTÄLJE</t>
        </is>
      </c>
      <c r="G832" t="n">
        <v>5.7</v>
      </c>
      <c r="H832" t="n">
        <v>0</v>
      </c>
      <c r="I832" t="n">
        <v>0</v>
      </c>
      <c r="J832" t="n">
        <v>0</v>
      </c>
      <c r="K832" t="n">
        <v>0</v>
      </c>
      <c r="L832" t="n">
        <v>0</v>
      </c>
      <c r="M832" t="n">
        <v>0</v>
      </c>
      <c r="N832" t="n">
        <v>0</v>
      </c>
      <c r="O832" t="n">
        <v>0</v>
      </c>
      <c r="P832" t="n">
        <v>0</v>
      </c>
      <c r="Q832" t="n">
        <v>0</v>
      </c>
      <c r="R832" s="2" t="inlineStr"/>
    </row>
    <row r="833" ht="15" customHeight="1">
      <c r="A833" t="inlineStr">
        <is>
          <t>A 31105-2022</t>
        </is>
      </c>
      <c r="B833" s="1" t="n">
        <v>44769.66039351852</v>
      </c>
      <c r="C833" s="1" t="n">
        <v>46130</v>
      </c>
      <c r="D833" t="inlineStr">
        <is>
          <t>STOCKHOLMS LÄN</t>
        </is>
      </c>
      <c r="E833" t="inlineStr">
        <is>
          <t>NORRTÄLJE</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4549-2026</t>
        </is>
      </c>
      <c r="B834" s="1" t="n">
        <v>46047</v>
      </c>
      <c r="C834" s="1" t="n">
        <v>46130</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62644-2023</t>
        </is>
      </c>
      <c r="B835" s="1" t="n">
        <v>45271</v>
      </c>
      <c r="C835" s="1" t="n">
        <v>46130</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60185-2024</t>
        </is>
      </c>
      <c r="B836" s="1" t="n">
        <v>45642.64634259259</v>
      </c>
      <c r="C836" s="1" t="n">
        <v>46130</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60765-2023</t>
        </is>
      </c>
      <c r="B837" s="1" t="n">
        <v>45260</v>
      </c>
      <c r="C837" s="1" t="n">
        <v>46130</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4886-2026</t>
        </is>
      </c>
      <c r="B838" s="1" t="n">
        <v>46048.66328703704</v>
      </c>
      <c r="C838" s="1" t="n">
        <v>46130</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12268-2022</t>
        </is>
      </c>
      <c r="B839" s="1" t="n">
        <v>44637</v>
      </c>
      <c r="C839" s="1" t="n">
        <v>46130</v>
      </c>
      <c r="D839" t="inlineStr">
        <is>
          <t>STOCKHOLMS LÄN</t>
        </is>
      </c>
      <c r="E839" t="inlineStr">
        <is>
          <t>NORRTÄLJE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4230-2026</t>
        </is>
      </c>
      <c r="B840" s="1" t="n">
        <v>46044.89366898148</v>
      </c>
      <c r="C840" s="1" t="n">
        <v>46130</v>
      </c>
      <c r="D840" t="inlineStr">
        <is>
          <t>STOCKHOLMS LÄN</t>
        </is>
      </c>
      <c r="E840" t="inlineStr">
        <is>
          <t>NORRTÄLJE</t>
        </is>
      </c>
      <c r="G840" t="n">
        <v>10.8</v>
      </c>
      <c r="H840" t="n">
        <v>0</v>
      </c>
      <c r="I840" t="n">
        <v>0</v>
      </c>
      <c r="J840" t="n">
        <v>0</v>
      </c>
      <c r="K840" t="n">
        <v>0</v>
      </c>
      <c r="L840" t="n">
        <v>0</v>
      </c>
      <c r="M840" t="n">
        <v>0</v>
      </c>
      <c r="N840" t="n">
        <v>0</v>
      </c>
      <c r="O840" t="n">
        <v>0</v>
      </c>
      <c r="P840" t="n">
        <v>0</v>
      </c>
      <c r="Q840" t="n">
        <v>0</v>
      </c>
      <c r="R840" s="2" t="inlineStr"/>
    </row>
    <row r="841" ht="15" customHeight="1">
      <c r="A841" t="inlineStr">
        <is>
          <t>A 4232-2026</t>
        </is>
      </c>
      <c r="B841" s="1" t="n">
        <v>46044.89594907407</v>
      </c>
      <c r="C841" s="1" t="n">
        <v>46130</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22832-2021</t>
        </is>
      </c>
      <c r="B842" s="1" t="n">
        <v>44325</v>
      </c>
      <c r="C842" s="1" t="n">
        <v>46130</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51315-2021</t>
        </is>
      </c>
      <c r="B843" s="1" t="n">
        <v>44461</v>
      </c>
      <c r="C843" s="1" t="n">
        <v>46130</v>
      </c>
      <c r="D843" t="inlineStr">
        <is>
          <t>STOCKHOLMS LÄN</t>
        </is>
      </c>
      <c r="E843" t="inlineStr">
        <is>
          <t>NORRTÄLJE</t>
        </is>
      </c>
      <c r="F843" t="inlineStr">
        <is>
          <t>Holmen skog AB</t>
        </is>
      </c>
      <c r="G843" t="n">
        <v>2.2</v>
      </c>
      <c r="H843" t="n">
        <v>0</v>
      </c>
      <c r="I843" t="n">
        <v>0</v>
      </c>
      <c r="J843" t="n">
        <v>0</v>
      </c>
      <c r="K843" t="n">
        <v>0</v>
      </c>
      <c r="L843" t="n">
        <v>0</v>
      </c>
      <c r="M843" t="n">
        <v>0</v>
      </c>
      <c r="N843" t="n">
        <v>0</v>
      </c>
      <c r="O843" t="n">
        <v>0</v>
      </c>
      <c r="P843" t="n">
        <v>0</v>
      </c>
      <c r="Q843" t="n">
        <v>0</v>
      </c>
      <c r="R843" s="2" t="inlineStr"/>
    </row>
    <row r="844" ht="15" customHeight="1">
      <c r="A844" t="inlineStr">
        <is>
          <t>A 22008-2024</t>
        </is>
      </c>
      <c r="B844" s="1" t="n">
        <v>45443</v>
      </c>
      <c r="C844" s="1" t="n">
        <v>46130</v>
      </c>
      <c r="D844" t="inlineStr">
        <is>
          <t>STOCKHOLMS LÄN</t>
        </is>
      </c>
      <c r="E844" t="inlineStr">
        <is>
          <t>NORRTÄLJE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5241-2026</t>
        </is>
      </c>
      <c r="B845" s="1" t="n">
        <v>46049.86471064815</v>
      </c>
      <c r="C845" s="1" t="n">
        <v>46130</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12703-2026</t>
        </is>
      </c>
      <c r="B846" s="1" t="n">
        <v>46091.58175925926</v>
      </c>
      <c r="C846" s="1" t="n">
        <v>46130</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5224-2026</t>
        </is>
      </c>
      <c r="B847" s="1" t="n">
        <v>46049.79521990741</v>
      </c>
      <c r="C847" s="1" t="n">
        <v>46130</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5227-2026</t>
        </is>
      </c>
      <c r="B848" s="1" t="n">
        <v>46049.80460648148</v>
      </c>
      <c r="C848" s="1" t="n">
        <v>46130</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5226-2026</t>
        </is>
      </c>
      <c r="B849" s="1" t="n">
        <v>46049.79961805556</v>
      </c>
      <c r="C849" s="1" t="n">
        <v>46130</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12718-2026</t>
        </is>
      </c>
      <c r="B850" s="1" t="n">
        <v>46091.60412037037</v>
      </c>
      <c r="C850" s="1" t="n">
        <v>46130</v>
      </c>
      <c r="D850" t="inlineStr">
        <is>
          <t>STOCKHOLMS LÄN</t>
        </is>
      </c>
      <c r="E850" t="inlineStr">
        <is>
          <t>NORRTÄLJE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13544-2026</t>
        </is>
      </c>
      <c r="B851" s="1" t="n">
        <v>46094.68538194444</v>
      </c>
      <c r="C851" s="1" t="n">
        <v>46130</v>
      </c>
      <c r="D851" t="inlineStr">
        <is>
          <t>STOCKHOLMS LÄN</t>
        </is>
      </c>
      <c r="E851" t="inlineStr">
        <is>
          <t>NORRTÄLJE</t>
        </is>
      </c>
      <c r="F851" t="inlineStr">
        <is>
          <t>Holmen skog AB</t>
        </is>
      </c>
      <c r="G851" t="n">
        <v>3.2</v>
      </c>
      <c r="H851" t="n">
        <v>0</v>
      </c>
      <c r="I851" t="n">
        <v>0</v>
      </c>
      <c r="J851" t="n">
        <v>0</v>
      </c>
      <c r="K851" t="n">
        <v>0</v>
      </c>
      <c r="L851" t="n">
        <v>0</v>
      </c>
      <c r="M851" t="n">
        <v>0</v>
      </c>
      <c r="N851" t="n">
        <v>0</v>
      </c>
      <c r="O851" t="n">
        <v>0</v>
      </c>
      <c r="P851" t="n">
        <v>0</v>
      </c>
      <c r="Q851" t="n">
        <v>0</v>
      </c>
      <c r="R851" s="2" t="inlineStr"/>
    </row>
    <row r="852" ht="15" customHeight="1">
      <c r="A852" t="inlineStr">
        <is>
          <t>A 13109-2026</t>
        </is>
      </c>
      <c r="B852" s="1" t="n">
        <v>46093.42730324074</v>
      </c>
      <c r="C852" s="1" t="n">
        <v>46130</v>
      </c>
      <c r="D852" t="inlineStr">
        <is>
          <t>STOCKHOLMS LÄN</t>
        </is>
      </c>
      <c r="E852" t="inlineStr">
        <is>
          <t>NORRTÄLJE</t>
        </is>
      </c>
      <c r="G852" t="n">
        <v>4</v>
      </c>
      <c r="H852" t="n">
        <v>0</v>
      </c>
      <c r="I852" t="n">
        <v>0</v>
      </c>
      <c r="J852" t="n">
        <v>0</v>
      </c>
      <c r="K852" t="n">
        <v>0</v>
      </c>
      <c r="L852" t="n">
        <v>0</v>
      </c>
      <c r="M852" t="n">
        <v>0</v>
      </c>
      <c r="N852" t="n">
        <v>0</v>
      </c>
      <c r="O852" t="n">
        <v>0</v>
      </c>
      <c r="P852" t="n">
        <v>0</v>
      </c>
      <c r="Q852" t="n">
        <v>0</v>
      </c>
      <c r="R852" s="2" t="inlineStr"/>
    </row>
    <row r="853" ht="15" customHeight="1">
      <c r="A853" t="inlineStr">
        <is>
          <t>A 13546-2026</t>
        </is>
      </c>
      <c r="B853" s="1" t="n">
        <v>46094.69196759259</v>
      </c>
      <c r="C853" s="1" t="n">
        <v>46130</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58277-2023</t>
        </is>
      </c>
      <c r="B854" s="1" t="n">
        <v>45245</v>
      </c>
      <c r="C854" s="1" t="n">
        <v>46130</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5934-2026</t>
        </is>
      </c>
      <c r="B855" s="1" t="n">
        <v>46052.47082175926</v>
      </c>
      <c r="C855" s="1" t="n">
        <v>46130</v>
      </c>
      <c r="D855" t="inlineStr">
        <is>
          <t>STOCKHOLMS LÄN</t>
        </is>
      </c>
      <c r="E855" t="inlineStr">
        <is>
          <t>NORRTÄLJE</t>
        </is>
      </c>
      <c r="F855" t="inlineStr">
        <is>
          <t>Holmen skog AB</t>
        </is>
      </c>
      <c r="G855" t="n">
        <v>5.5</v>
      </c>
      <c r="H855" t="n">
        <v>0</v>
      </c>
      <c r="I855" t="n">
        <v>0</v>
      </c>
      <c r="J855" t="n">
        <v>0</v>
      </c>
      <c r="K855" t="n">
        <v>0</v>
      </c>
      <c r="L855" t="n">
        <v>0</v>
      </c>
      <c r="M855" t="n">
        <v>0</v>
      </c>
      <c r="N855" t="n">
        <v>0</v>
      </c>
      <c r="O855" t="n">
        <v>0</v>
      </c>
      <c r="P855" t="n">
        <v>0</v>
      </c>
      <c r="Q855" t="n">
        <v>0</v>
      </c>
      <c r="R855" s="2" t="inlineStr"/>
    </row>
    <row r="856" ht="15" customHeight="1">
      <c r="A856" t="inlineStr">
        <is>
          <t>A 9480-2025</t>
        </is>
      </c>
      <c r="B856" s="1" t="n">
        <v>45715</v>
      </c>
      <c r="C856" s="1" t="n">
        <v>46130</v>
      </c>
      <c r="D856" t="inlineStr">
        <is>
          <t>STOCKHOLMS LÄN</t>
        </is>
      </c>
      <c r="E856" t="inlineStr">
        <is>
          <t>NORRTÄLJE</t>
        </is>
      </c>
      <c r="F856" t="inlineStr">
        <is>
          <t>Övriga Aktiebolag</t>
        </is>
      </c>
      <c r="G856" t="n">
        <v>3.9</v>
      </c>
      <c r="H856" t="n">
        <v>0</v>
      </c>
      <c r="I856" t="n">
        <v>0</v>
      </c>
      <c r="J856" t="n">
        <v>0</v>
      </c>
      <c r="K856" t="n">
        <v>0</v>
      </c>
      <c r="L856" t="n">
        <v>0</v>
      </c>
      <c r="M856" t="n">
        <v>0</v>
      </c>
      <c r="N856" t="n">
        <v>0</v>
      </c>
      <c r="O856" t="n">
        <v>0</v>
      </c>
      <c r="P856" t="n">
        <v>0</v>
      </c>
      <c r="Q856" t="n">
        <v>0</v>
      </c>
      <c r="R856" s="2" t="inlineStr"/>
    </row>
    <row r="857" ht="15" customHeight="1">
      <c r="A857" t="inlineStr">
        <is>
          <t>A 13122-2026</t>
        </is>
      </c>
      <c r="B857" s="1" t="n">
        <v>46093.45657407407</v>
      </c>
      <c r="C857" s="1" t="n">
        <v>46130</v>
      </c>
      <c r="D857" t="inlineStr">
        <is>
          <t>STOCKHOLMS LÄN</t>
        </is>
      </c>
      <c r="E857" t="inlineStr">
        <is>
          <t>NORRTÄLJE</t>
        </is>
      </c>
      <c r="G857" t="n">
        <v>4</v>
      </c>
      <c r="H857" t="n">
        <v>0</v>
      </c>
      <c r="I857" t="n">
        <v>0</v>
      </c>
      <c r="J857" t="n">
        <v>0</v>
      </c>
      <c r="K857" t="n">
        <v>0</v>
      </c>
      <c r="L857" t="n">
        <v>0</v>
      </c>
      <c r="M857" t="n">
        <v>0</v>
      </c>
      <c r="N857" t="n">
        <v>0</v>
      </c>
      <c r="O857" t="n">
        <v>0</v>
      </c>
      <c r="P857" t="n">
        <v>0</v>
      </c>
      <c r="Q857" t="n">
        <v>0</v>
      </c>
      <c r="R857" s="2" t="inlineStr"/>
    </row>
    <row r="858" ht="15" customHeight="1">
      <c r="A858" t="inlineStr">
        <is>
          <t>A 13204-2026</t>
        </is>
      </c>
      <c r="B858" s="1" t="n">
        <v>46093.60788194444</v>
      </c>
      <c r="C858" s="1" t="n">
        <v>46130</v>
      </c>
      <c r="D858" t="inlineStr">
        <is>
          <t>STOCKHOLMS LÄN</t>
        </is>
      </c>
      <c r="E858" t="inlineStr">
        <is>
          <t>NORRTÄLJE</t>
        </is>
      </c>
      <c r="G858" t="n">
        <v>3.5</v>
      </c>
      <c r="H858" t="n">
        <v>0</v>
      </c>
      <c r="I858" t="n">
        <v>0</v>
      </c>
      <c r="J858" t="n">
        <v>0</v>
      </c>
      <c r="K858" t="n">
        <v>0</v>
      </c>
      <c r="L858" t="n">
        <v>0</v>
      </c>
      <c r="M858" t="n">
        <v>0</v>
      </c>
      <c r="N858" t="n">
        <v>0</v>
      </c>
      <c r="O858" t="n">
        <v>0</v>
      </c>
      <c r="P858" t="n">
        <v>0</v>
      </c>
      <c r="Q858" t="n">
        <v>0</v>
      </c>
      <c r="R858" s="2" t="inlineStr"/>
    </row>
    <row r="859" ht="15" customHeight="1">
      <c r="A859" t="inlineStr">
        <is>
          <t>A 13545-2026</t>
        </is>
      </c>
      <c r="B859" s="1" t="n">
        <v>46094.6911574074</v>
      </c>
      <c r="C859" s="1" t="n">
        <v>46130</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4322-2023</t>
        </is>
      </c>
      <c r="B860" s="1" t="n">
        <v>44953.69298611111</v>
      </c>
      <c r="C860" s="1" t="n">
        <v>46130</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39610-2025</t>
        </is>
      </c>
      <c r="B861" s="1" t="n">
        <v>45890</v>
      </c>
      <c r="C861" s="1" t="n">
        <v>46130</v>
      </c>
      <c r="D861" t="inlineStr">
        <is>
          <t>STOCKHOLMS LÄN</t>
        </is>
      </c>
      <c r="E861" t="inlineStr">
        <is>
          <t>NORRTÄLJE</t>
        </is>
      </c>
      <c r="G861" t="n">
        <v>28.6</v>
      </c>
      <c r="H861" t="n">
        <v>0</v>
      </c>
      <c r="I861" t="n">
        <v>0</v>
      </c>
      <c r="J861" t="n">
        <v>0</v>
      </c>
      <c r="K861" t="n">
        <v>0</v>
      </c>
      <c r="L861" t="n">
        <v>0</v>
      </c>
      <c r="M861" t="n">
        <v>0</v>
      </c>
      <c r="N861" t="n">
        <v>0</v>
      </c>
      <c r="O861" t="n">
        <v>0</v>
      </c>
      <c r="P861" t="n">
        <v>0</v>
      </c>
      <c r="Q861" t="n">
        <v>0</v>
      </c>
      <c r="R861" s="2" t="inlineStr"/>
    </row>
    <row r="862" ht="15" customHeight="1">
      <c r="A862" t="inlineStr">
        <is>
          <t>A 35916-2024</t>
        </is>
      </c>
      <c r="B862" s="1" t="n">
        <v>45533</v>
      </c>
      <c r="C862" s="1" t="n">
        <v>46130</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38889-2024</t>
        </is>
      </c>
      <c r="B863" s="1" t="n">
        <v>45547</v>
      </c>
      <c r="C863" s="1" t="n">
        <v>46130</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6701-2026</t>
        </is>
      </c>
      <c r="B864" s="1" t="n">
        <v>46056</v>
      </c>
      <c r="C864" s="1" t="n">
        <v>46130</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3299-2022</t>
        </is>
      </c>
      <c r="B865" s="1" t="n">
        <v>44584.91001157407</v>
      </c>
      <c r="C865" s="1" t="n">
        <v>46130</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42075-2023</t>
        </is>
      </c>
      <c r="B866" s="1" t="n">
        <v>45177</v>
      </c>
      <c r="C866" s="1" t="n">
        <v>46130</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10676-2025</t>
        </is>
      </c>
      <c r="B867" s="1" t="n">
        <v>45721.88684027778</v>
      </c>
      <c r="C867" s="1" t="n">
        <v>46130</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6724-2026</t>
        </is>
      </c>
      <c r="B868" s="1" t="n">
        <v>46056.67717592593</v>
      </c>
      <c r="C868" s="1" t="n">
        <v>46130</v>
      </c>
      <c r="D868" t="inlineStr">
        <is>
          <t>STOCKHOLMS LÄN</t>
        </is>
      </c>
      <c r="E868" t="inlineStr">
        <is>
          <t>NORRTÄLJE</t>
        </is>
      </c>
      <c r="F868" t="inlineStr">
        <is>
          <t>Holmen skog AB</t>
        </is>
      </c>
      <c r="G868" t="n">
        <v>16.2</v>
      </c>
      <c r="H868" t="n">
        <v>0</v>
      </c>
      <c r="I868" t="n">
        <v>0</v>
      </c>
      <c r="J868" t="n">
        <v>0</v>
      </c>
      <c r="K868" t="n">
        <v>0</v>
      </c>
      <c r="L868" t="n">
        <v>0</v>
      </c>
      <c r="M868" t="n">
        <v>0</v>
      </c>
      <c r="N868" t="n">
        <v>0</v>
      </c>
      <c r="O868" t="n">
        <v>0</v>
      </c>
      <c r="P868" t="n">
        <v>0</v>
      </c>
      <c r="Q868" t="n">
        <v>0</v>
      </c>
      <c r="R868" s="2" t="inlineStr"/>
    </row>
    <row r="869" ht="15" customHeight="1">
      <c r="A869" t="inlineStr">
        <is>
          <t>A 50154-2024</t>
        </is>
      </c>
      <c r="B869" s="1" t="n">
        <v>45600.4558912037</v>
      </c>
      <c r="C869" s="1" t="n">
        <v>46130</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37273-2024</t>
        </is>
      </c>
      <c r="B870" s="1" t="n">
        <v>45540</v>
      </c>
      <c r="C870" s="1" t="n">
        <v>46130</v>
      </c>
      <c r="D870" t="inlineStr">
        <is>
          <t>STOCKHOLMS LÄN</t>
        </is>
      </c>
      <c r="E870" t="inlineStr">
        <is>
          <t>NORRTÄLJE</t>
        </is>
      </c>
      <c r="F870" t="inlineStr">
        <is>
          <t>Sveaskog</t>
        </is>
      </c>
      <c r="G870" t="n">
        <v>12.5</v>
      </c>
      <c r="H870" t="n">
        <v>0</v>
      </c>
      <c r="I870" t="n">
        <v>0</v>
      </c>
      <c r="J870" t="n">
        <v>0</v>
      </c>
      <c r="K870" t="n">
        <v>0</v>
      </c>
      <c r="L870" t="n">
        <v>0</v>
      </c>
      <c r="M870" t="n">
        <v>0</v>
      </c>
      <c r="N870" t="n">
        <v>0</v>
      </c>
      <c r="O870" t="n">
        <v>0</v>
      </c>
      <c r="P870" t="n">
        <v>0</v>
      </c>
      <c r="Q870" t="n">
        <v>0</v>
      </c>
      <c r="R870" s="2" t="inlineStr"/>
    </row>
    <row r="871" ht="15" customHeight="1">
      <c r="A871" t="inlineStr">
        <is>
          <t>A 6532-2026</t>
        </is>
      </c>
      <c r="B871" s="1" t="n">
        <v>46056.41300925926</v>
      </c>
      <c r="C871" s="1" t="n">
        <v>46130</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34773-2022</t>
        </is>
      </c>
      <c r="B872" s="1" t="n">
        <v>44795</v>
      </c>
      <c r="C872" s="1" t="n">
        <v>46130</v>
      </c>
      <c r="D872" t="inlineStr">
        <is>
          <t>STOCKHOLMS LÄN</t>
        </is>
      </c>
      <c r="E872" t="inlineStr">
        <is>
          <t>NORRTÄLJE</t>
        </is>
      </c>
      <c r="G872" t="n">
        <v>3.9</v>
      </c>
      <c r="H872" t="n">
        <v>0</v>
      </c>
      <c r="I872" t="n">
        <v>0</v>
      </c>
      <c r="J872" t="n">
        <v>0</v>
      </c>
      <c r="K872" t="n">
        <v>0</v>
      </c>
      <c r="L872" t="n">
        <v>0</v>
      </c>
      <c r="M872" t="n">
        <v>0</v>
      </c>
      <c r="N872" t="n">
        <v>0</v>
      </c>
      <c r="O872" t="n">
        <v>0</v>
      </c>
      <c r="P872" t="n">
        <v>0</v>
      </c>
      <c r="Q872" t="n">
        <v>0</v>
      </c>
      <c r="R872" s="2" t="inlineStr"/>
    </row>
    <row r="873" ht="15" customHeight="1">
      <c r="A873" t="inlineStr">
        <is>
          <t>A 23263-2023</t>
        </is>
      </c>
      <c r="B873" s="1" t="n">
        <v>45075</v>
      </c>
      <c r="C873" s="1" t="n">
        <v>46130</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23264-2023</t>
        </is>
      </c>
      <c r="B874" s="1" t="n">
        <v>45075</v>
      </c>
      <c r="C874" s="1" t="n">
        <v>46130</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23267-2023</t>
        </is>
      </c>
      <c r="B875" s="1" t="n">
        <v>45075.90934027778</v>
      </c>
      <c r="C875" s="1" t="n">
        <v>46130</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25654-2023</t>
        </is>
      </c>
      <c r="B876" s="1" t="n">
        <v>45089</v>
      </c>
      <c r="C876" s="1" t="n">
        <v>46130</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47758-2023</t>
        </is>
      </c>
      <c r="B877" s="1" t="n">
        <v>45203.83891203703</v>
      </c>
      <c r="C877" s="1" t="n">
        <v>46130</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7308-2026</t>
        </is>
      </c>
      <c r="B878" s="1" t="n">
        <v>46058.66025462963</v>
      </c>
      <c r="C878" s="1" t="n">
        <v>46130</v>
      </c>
      <c r="D878" t="inlineStr">
        <is>
          <t>STOCKHOLMS LÄN</t>
        </is>
      </c>
      <c r="E878" t="inlineStr">
        <is>
          <t>NORRTÄLJE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48151-2024</t>
        </is>
      </c>
      <c r="B879" s="1" t="n">
        <v>45589.68289351852</v>
      </c>
      <c r="C879" s="1" t="n">
        <v>46130</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14348-2026</t>
        </is>
      </c>
      <c r="B880" s="1" t="n">
        <v>46100.34112268518</v>
      </c>
      <c r="C880" s="1" t="n">
        <v>46130</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6838-2026</t>
        </is>
      </c>
      <c r="B881" s="1" t="n">
        <v>46057.41151620371</v>
      </c>
      <c r="C881" s="1" t="n">
        <v>46130</v>
      </c>
      <c r="D881" t="inlineStr">
        <is>
          <t>STOCKHOLMS LÄN</t>
        </is>
      </c>
      <c r="E881" t="inlineStr">
        <is>
          <t>NORRTÄLJE</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14475-2026</t>
        </is>
      </c>
      <c r="B882" s="1" t="n">
        <v>46100.57251157407</v>
      </c>
      <c r="C882" s="1" t="n">
        <v>46130</v>
      </c>
      <c r="D882" t="inlineStr">
        <is>
          <t>STOCKHOLMS LÄN</t>
        </is>
      </c>
      <c r="E882" t="inlineStr">
        <is>
          <t>NORRTÄLJE</t>
        </is>
      </c>
      <c r="G882" t="n">
        <v>12.3</v>
      </c>
      <c r="H882" t="n">
        <v>0</v>
      </c>
      <c r="I882" t="n">
        <v>0</v>
      </c>
      <c r="J882" t="n">
        <v>0</v>
      </c>
      <c r="K882" t="n">
        <v>0</v>
      </c>
      <c r="L882" t="n">
        <v>0</v>
      </c>
      <c r="M882" t="n">
        <v>0</v>
      </c>
      <c r="N882" t="n">
        <v>0</v>
      </c>
      <c r="O882" t="n">
        <v>0</v>
      </c>
      <c r="P882" t="n">
        <v>0</v>
      </c>
      <c r="Q882" t="n">
        <v>0</v>
      </c>
      <c r="R882" s="2" t="inlineStr"/>
    </row>
    <row r="883" ht="15" customHeight="1">
      <c r="A883" t="inlineStr">
        <is>
          <t>A 5831-2022</t>
        </is>
      </c>
      <c r="B883" s="1" t="n">
        <v>44596</v>
      </c>
      <c r="C883" s="1" t="n">
        <v>46130</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6874-2026</t>
        </is>
      </c>
      <c r="B884" s="1" t="n">
        <v>46057.45295138889</v>
      </c>
      <c r="C884" s="1" t="n">
        <v>46130</v>
      </c>
      <c r="D884" t="inlineStr">
        <is>
          <t>STOCKHOLMS LÄN</t>
        </is>
      </c>
      <c r="E884" t="inlineStr">
        <is>
          <t>NORRTÄLJE</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58853-2024</t>
        </is>
      </c>
      <c r="B885" s="1" t="n">
        <v>45636.38974537037</v>
      </c>
      <c r="C885" s="1" t="n">
        <v>46130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59712-2024</t>
        </is>
      </c>
      <c r="B886" s="1" t="n">
        <v>45639.45166666667</v>
      </c>
      <c r="C886" s="1" t="n">
        <v>46130</v>
      </c>
      <c r="D886" t="inlineStr">
        <is>
          <t>STOCKHOLMS LÄN</t>
        </is>
      </c>
      <c r="E886" t="inlineStr">
        <is>
          <t>NORRTÄLJE</t>
        </is>
      </c>
      <c r="G886" t="n">
        <v>4.4</v>
      </c>
      <c r="H886" t="n">
        <v>0</v>
      </c>
      <c r="I886" t="n">
        <v>0</v>
      </c>
      <c r="J886" t="n">
        <v>0</v>
      </c>
      <c r="K886" t="n">
        <v>0</v>
      </c>
      <c r="L886" t="n">
        <v>0</v>
      </c>
      <c r="M886" t="n">
        <v>0</v>
      </c>
      <c r="N886" t="n">
        <v>0</v>
      </c>
      <c r="O886" t="n">
        <v>0</v>
      </c>
      <c r="P886" t="n">
        <v>0</v>
      </c>
      <c r="Q886" t="n">
        <v>0</v>
      </c>
      <c r="R886" s="2" t="inlineStr"/>
    </row>
    <row r="887" ht="15" customHeight="1">
      <c r="A887" t="inlineStr">
        <is>
          <t>A 6828-2026</t>
        </is>
      </c>
      <c r="B887" s="1" t="n">
        <v>46057</v>
      </c>
      <c r="C887" s="1" t="n">
        <v>46130</v>
      </c>
      <c r="D887" t="inlineStr">
        <is>
          <t>STOCKHOLMS LÄN</t>
        </is>
      </c>
      <c r="E887" t="inlineStr">
        <is>
          <t>NORRTÄLJE</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59721-2024</t>
        </is>
      </c>
      <c r="B888" s="1" t="n">
        <v>45639.47385416667</v>
      </c>
      <c r="C888" s="1" t="n">
        <v>46130</v>
      </c>
      <c r="D888" t="inlineStr">
        <is>
          <t>STOCKHOLMS LÄN</t>
        </is>
      </c>
      <c r="E888" t="inlineStr">
        <is>
          <t>NORRTÄLJE</t>
        </is>
      </c>
      <c r="G888" t="n">
        <v>4.6</v>
      </c>
      <c r="H888" t="n">
        <v>0</v>
      </c>
      <c r="I888" t="n">
        <v>0</v>
      </c>
      <c r="J888" t="n">
        <v>0</v>
      </c>
      <c r="K888" t="n">
        <v>0</v>
      </c>
      <c r="L888" t="n">
        <v>0</v>
      </c>
      <c r="M888" t="n">
        <v>0</v>
      </c>
      <c r="N888" t="n">
        <v>0</v>
      </c>
      <c r="O888" t="n">
        <v>0</v>
      </c>
      <c r="P888" t="n">
        <v>0</v>
      </c>
      <c r="Q888" t="n">
        <v>0</v>
      </c>
      <c r="R888" s="2" t="inlineStr"/>
    </row>
    <row r="889" ht="15" customHeight="1">
      <c r="A889" t="inlineStr">
        <is>
          <t>A 60884-2024</t>
        </is>
      </c>
      <c r="B889" s="1" t="n">
        <v>45644.90815972222</v>
      </c>
      <c r="C889" s="1" t="n">
        <v>46130</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23150-2024</t>
        </is>
      </c>
      <c r="B890" s="1" t="n">
        <v>45450.64643518518</v>
      </c>
      <c r="C890" s="1" t="n">
        <v>46130</v>
      </c>
      <c r="D890" t="inlineStr">
        <is>
          <t>STOCKHOLMS LÄN</t>
        </is>
      </c>
      <c r="E890" t="inlineStr">
        <is>
          <t>NORRTÄLJE</t>
        </is>
      </c>
      <c r="F890" t="inlineStr">
        <is>
          <t>Kommuner</t>
        </is>
      </c>
      <c r="G890" t="n">
        <v>2.7</v>
      </c>
      <c r="H890" t="n">
        <v>0</v>
      </c>
      <c r="I890" t="n">
        <v>0</v>
      </c>
      <c r="J890" t="n">
        <v>0</v>
      </c>
      <c r="K890" t="n">
        <v>0</v>
      </c>
      <c r="L890" t="n">
        <v>0</v>
      </c>
      <c r="M890" t="n">
        <v>0</v>
      </c>
      <c r="N890" t="n">
        <v>0</v>
      </c>
      <c r="O890" t="n">
        <v>0</v>
      </c>
      <c r="P890" t="n">
        <v>0</v>
      </c>
      <c r="Q890" t="n">
        <v>0</v>
      </c>
      <c r="R890" s="2" t="inlineStr"/>
    </row>
    <row r="891" ht="15" customHeight="1">
      <c r="A891" t="inlineStr">
        <is>
          <t>A 7532-2026</t>
        </is>
      </c>
      <c r="B891" s="1" t="n">
        <v>46059</v>
      </c>
      <c r="C891" s="1" t="n">
        <v>46130</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59878-2024</t>
        </is>
      </c>
      <c r="B892" s="1" t="n">
        <v>45640.60240740741</v>
      </c>
      <c r="C892" s="1" t="n">
        <v>46130</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50182-2024</t>
        </is>
      </c>
      <c r="B893" s="1" t="n">
        <v>45600.47275462963</v>
      </c>
      <c r="C893" s="1" t="n">
        <v>46130</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2549-2022</t>
        </is>
      </c>
      <c r="B894" s="1" t="n">
        <v>44580</v>
      </c>
      <c r="C894" s="1" t="n">
        <v>46130</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31140-2023</t>
        </is>
      </c>
      <c r="B895" s="1" t="n">
        <v>45113</v>
      </c>
      <c r="C895" s="1" t="n">
        <v>46130</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31149-2023</t>
        </is>
      </c>
      <c r="B896" s="1" t="n">
        <v>45113</v>
      </c>
      <c r="C896" s="1" t="n">
        <v>46130</v>
      </c>
      <c r="D896" t="inlineStr">
        <is>
          <t>STOCKHOLMS LÄN</t>
        </is>
      </c>
      <c r="E896" t="inlineStr">
        <is>
          <t>NORRTÄLJE</t>
        </is>
      </c>
      <c r="G896" t="n">
        <v>7.1</v>
      </c>
      <c r="H896" t="n">
        <v>0</v>
      </c>
      <c r="I896" t="n">
        <v>0</v>
      </c>
      <c r="J896" t="n">
        <v>0</v>
      </c>
      <c r="K896" t="n">
        <v>0</v>
      </c>
      <c r="L896" t="n">
        <v>0</v>
      </c>
      <c r="M896" t="n">
        <v>0</v>
      </c>
      <c r="N896" t="n">
        <v>0</v>
      </c>
      <c r="O896" t="n">
        <v>0</v>
      </c>
      <c r="P896" t="n">
        <v>0</v>
      </c>
      <c r="Q896" t="n">
        <v>0</v>
      </c>
      <c r="R896" s="2" t="inlineStr"/>
    </row>
    <row r="897" ht="15" customHeight="1">
      <c r="A897" t="inlineStr">
        <is>
          <t>A 16835-2022</t>
        </is>
      </c>
      <c r="B897" s="1" t="n">
        <v>44673</v>
      </c>
      <c r="C897" s="1" t="n">
        <v>46130</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7723-2026</t>
        </is>
      </c>
      <c r="B898" s="1" t="n">
        <v>46062.49905092592</v>
      </c>
      <c r="C898" s="1" t="n">
        <v>46130</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7729-2026</t>
        </is>
      </c>
      <c r="B899" s="1" t="n">
        <v>46062.51100694444</v>
      </c>
      <c r="C899" s="1" t="n">
        <v>46130</v>
      </c>
      <c r="D899" t="inlineStr">
        <is>
          <t>STOCKHOLMS LÄN</t>
        </is>
      </c>
      <c r="E899" t="inlineStr">
        <is>
          <t>NORRTÄLJE</t>
        </is>
      </c>
      <c r="G899" t="n">
        <v>6.6</v>
      </c>
      <c r="H899" t="n">
        <v>0</v>
      </c>
      <c r="I899" t="n">
        <v>0</v>
      </c>
      <c r="J899" t="n">
        <v>0</v>
      </c>
      <c r="K899" t="n">
        <v>0</v>
      </c>
      <c r="L899" t="n">
        <v>0</v>
      </c>
      <c r="M899" t="n">
        <v>0</v>
      </c>
      <c r="N899" t="n">
        <v>0</v>
      </c>
      <c r="O899" t="n">
        <v>0</v>
      </c>
      <c r="P899" t="n">
        <v>0</v>
      </c>
      <c r="Q899" t="n">
        <v>0</v>
      </c>
      <c r="R899" s="2" t="inlineStr"/>
    </row>
    <row r="900" ht="15" customHeight="1">
      <c r="A900" t="inlineStr">
        <is>
          <t>A 13701-2022</t>
        </is>
      </c>
      <c r="B900" s="1" t="n">
        <v>44648</v>
      </c>
      <c r="C900" s="1" t="n">
        <v>46130</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13089-2022</t>
        </is>
      </c>
      <c r="B901" s="1" t="n">
        <v>44643</v>
      </c>
      <c r="C901" s="1" t="n">
        <v>46130</v>
      </c>
      <c r="D901" t="inlineStr">
        <is>
          <t>STOCKHOLMS LÄN</t>
        </is>
      </c>
      <c r="E901" t="inlineStr">
        <is>
          <t>NORRTÄLJE</t>
        </is>
      </c>
      <c r="G901" t="n">
        <v>4.5</v>
      </c>
      <c r="H901" t="n">
        <v>0</v>
      </c>
      <c r="I901" t="n">
        <v>0</v>
      </c>
      <c r="J901" t="n">
        <v>0</v>
      </c>
      <c r="K901" t="n">
        <v>0</v>
      </c>
      <c r="L901" t="n">
        <v>0</v>
      </c>
      <c r="M901" t="n">
        <v>0</v>
      </c>
      <c r="N901" t="n">
        <v>0</v>
      </c>
      <c r="O901" t="n">
        <v>0</v>
      </c>
      <c r="P901" t="n">
        <v>0</v>
      </c>
      <c r="Q901" t="n">
        <v>0</v>
      </c>
      <c r="R901" s="2" t="inlineStr"/>
    </row>
    <row r="902" ht="15" customHeight="1">
      <c r="A902" t="inlineStr">
        <is>
          <t>A 7582-2026</t>
        </is>
      </c>
      <c r="B902" s="1" t="n">
        <v>46061</v>
      </c>
      <c r="C902" s="1" t="n">
        <v>46130</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7793-2026</t>
        </is>
      </c>
      <c r="B903" s="1" t="n">
        <v>46062.59496527778</v>
      </c>
      <c r="C903" s="1" t="n">
        <v>46130</v>
      </c>
      <c r="D903" t="inlineStr">
        <is>
          <t>STOCKHOLMS LÄN</t>
        </is>
      </c>
      <c r="E903" t="inlineStr">
        <is>
          <t>NORRTÄLJE</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38759-2022</t>
        </is>
      </c>
      <c r="B904" s="1" t="n">
        <v>44816</v>
      </c>
      <c r="C904" s="1" t="n">
        <v>46130</v>
      </c>
      <c r="D904" t="inlineStr">
        <is>
          <t>STOCKHOLMS LÄN</t>
        </is>
      </c>
      <c r="E904" t="inlineStr">
        <is>
          <t>NORRTÄLJE</t>
        </is>
      </c>
      <c r="G904" t="n">
        <v>2.8</v>
      </c>
      <c r="H904" t="n">
        <v>0</v>
      </c>
      <c r="I904" t="n">
        <v>0</v>
      </c>
      <c r="J904" t="n">
        <v>0</v>
      </c>
      <c r="K904" t="n">
        <v>0</v>
      </c>
      <c r="L904" t="n">
        <v>0</v>
      </c>
      <c r="M904" t="n">
        <v>0</v>
      </c>
      <c r="N904" t="n">
        <v>0</v>
      </c>
      <c r="O904" t="n">
        <v>0</v>
      </c>
      <c r="P904" t="n">
        <v>0</v>
      </c>
      <c r="Q904" t="n">
        <v>0</v>
      </c>
      <c r="R904" s="2" t="inlineStr"/>
    </row>
    <row r="905" ht="15" customHeight="1">
      <c r="A905" t="inlineStr">
        <is>
          <t>A 23998-2024</t>
        </is>
      </c>
      <c r="B905" s="1" t="n">
        <v>45456</v>
      </c>
      <c r="C905" s="1" t="n">
        <v>46130</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54504-2024</t>
        </is>
      </c>
      <c r="B906" s="1" t="n">
        <v>45617.58453703704</v>
      </c>
      <c r="C906" s="1" t="n">
        <v>46130</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32595-2023</t>
        </is>
      </c>
      <c r="B907" s="1" t="n">
        <v>45121</v>
      </c>
      <c r="C907" s="1" t="n">
        <v>46130</v>
      </c>
      <c r="D907" t="inlineStr">
        <is>
          <t>STOCKHOLMS LÄN</t>
        </is>
      </c>
      <c r="E907" t="inlineStr">
        <is>
          <t>NORRTÄLJE</t>
        </is>
      </c>
      <c r="G907" t="n">
        <v>2.4</v>
      </c>
      <c r="H907" t="n">
        <v>0</v>
      </c>
      <c r="I907" t="n">
        <v>0</v>
      </c>
      <c r="J907" t="n">
        <v>0</v>
      </c>
      <c r="K907" t="n">
        <v>0</v>
      </c>
      <c r="L907" t="n">
        <v>0</v>
      </c>
      <c r="M907" t="n">
        <v>0</v>
      </c>
      <c r="N907" t="n">
        <v>0</v>
      </c>
      <c r="O907" t="n">
        <v>0</v>
      </c>
      <c r="P907" t="n">
        <v>0</v>
      </c>
      <c r="Q907" t="n">
        <v>0</v>
      </c>
      <c r="R907" s="2" t="inlineStr"/>
    </row>
    <row r="908" ht="15" customHeight="1">
      <c r="A908" t="inlineStr">
        <is>
          <t>A 11332-2025</t>
        </is>
      </c>
      <c r="B908" s="1" t="n">
        <v>45726.48152777777</v>
      </c>
      <c r="C908" s="1" t="n">
        <v>46130</v>
      </c>
      <c r="D908" t="inlineStr">
        <is>
          <t>STOCKHOLMS LÄN</t>
        </is>
      </c>
      <c r="E908" t="inlineStr">
        <is>
          <t>NORRTÄLJE</t>
        </is>
      </c>
      <c r="G908" t="n">
        <v>4.6</v>
      </c>
      <c r="H908" t="n">
        <v>0</v>
      </c>
      <c r="I908" t="n">
        <v>0</v>
      </c>
      <c r="J908" t="n">
        <v>0</v>
      </c>
      <c r="K908" t="n">
        <v>0</v>
      </c>
      <c r="L908" t="n">
        <v>0</v>
      </c>
      <c r="M908" t="n">
        <v>0</v>
      </c>
      <c r="N908" t="n">
        <v>0</v>
      </c>
      <c r="O908" t="n">
        <v>0</v>
      </c>
      <c r="P908" t="n">
        <v>0</v>
      </c>
      <c r="Q908" t="n">
        <v>0</v>
      </c>
      <c r="R908" s="2" t="inlineStr"/>
    </row>
    <row r="909" ht="15" customHeight="1">
      <c r="A909" t="inlineStr">
        <is>
          <t>A 13718-2022</t>
        </is>
      </c>
      <c r="B909" s="1" t="n">
        <v>44649</v>
      </c>
      <c r="C909" s="1" t="n">
        <v>46130</v>
      </c>
      <c r="D909" t="inlineStr">
        <is>
          <t>STOCKHOLMS LÄN</t>
        </is>
      </c>
      <c r="E909" t="inlineStr">
        <is>
          <t>NORRTÄLJE</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8091-2026</t>
        </is>
      </c>
      <c r="B910" s="1" t="n">
        <v>46063.70944444444</v>
      </c>
      <c r="C910" s="1" t="n">
        <v>46130</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8096-2026</t>
        </is>
      </c>
      <c r="B911" s="1" t="n">
        <v>46063.714375</v>
      </c>
      <c r="C911" s="1" t="n">
        <v>46130</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8055-2026</t>
        </is>
      </c>
      <c r="B912" s="1" t="n">
        <v>46063.62002314815</v>
      </c>
      <c r="C912" s="1" t="n">
        <v>46130</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54259-2023</t>
        </is>
      </c>
      <c r="B913" s="1" t="n">
        <v>45232</v>
      </c>
      <c r="C913" s="1" t="n">
        <v>46130</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13171-2025</t>
        </is>
      </c>
      <c r="B914" s="1" t="n">
        <v>45735.36594907408</v>
      </c>
      <c r="C914" s="1" t="n">
        <v>46130</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12299-2025</t>
        </is>
      </c>
      <c r="B915" s="1" t="n">
        <v>45729.71065972222</v>
      </c>
      <c r="C915" s="1" t="n">
        <v>46130</v>
      </c>
      <c r="D915" t="inlineStr">
        <is>
          <t>STOCKHOLMS LÄN</t>
        </is>
      </c>
      <c r="E915" t="inlineStr">
        <is>
          <t>NORRTÄLJE</t>
        </is>
      </c>
      <c r="F915" t="inlineStr">
        <is>
          <t>Holmen skog AB</t>
        </is>
      </c>
      <c r="G915" t="n">
        <v>6.9</v>
      </c>
      <c r="H915" t="n">
        <v>0</v>
      </c>
      <c r="I915" t="n">
        <v>0</v>
      </c>
      <c r="J915" t="n">
        <v>0</v>
      </c>
      <c r="K915" t="n">
        <v>0</v>
      </c>
      <c r="L915" t="n">
        <v>0</v>
      </c>
      <c r="M915" t="n">
        <v>0</v>
      </c>
      <c r="N915" t="n">
        <v>0</v>
      </c>
      <c r="O915" t="n">
        <v>0</v>
      </c>
      <c r="P915" t="n">
        <v>0</v>
      </c>
      <c r="Q915" t="n">
        <v>0</v>
      </c>
      <c r="R915" s="2" t="inlineStr"/>
    </row>
    <row r="916" ht="15" customHeight="1">
      <c r="A916" t="inlineStr">
        <is>
          <t>A 11900-2024</t>
        </is>
      </c>
      <c r="B916" s="1" t="n">
        <v>45376.55484953704</v>
      </c>
      <c r="C916" s="1" t="n">
        <v>46130</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15836-2026</t>
        </is>
      </c>
      <c r="B917" s="1" t="n">
        <v>46107.56134259259</v>
      </c>
      <c r="C917" s="1" t="n">
        <v>46130</v>
      </c>
      <c r="D917" t="inlineStr">
        <is>
          <t>STOCKHOLMS LÄN</t>
        </is>
      </c>
      <c r="E917" t="inlineStr">
        <is>
          <t>NORRTÄLJE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8454-2026</t>
        </is>
      </c>
      <c r="B918" s="1" t="n">
        <v>46065.42506944444</v>
      </c>
      <c r="C918" s="1" t="n">
        <v>46130</v>
      </c>
      <c r="D918" t="inlineStr">
        <is>
          <t>STOCKHOLMS LÄN</t>
        </is>
      </c>
      <c r="E918" t="inlineStr">
        <is>
          <t>NORRTÄLJE</t>
        </is>
      </c>
      <c r="G918" t="n">
        <v>3.2</v>
      </c>
      <c r="H918" t="n">
        <v>0</v>
      </c>
      <c r="I918" t="n">
        <v>0</v>
      </c>
      <c r="J918" t="n">
        <v>0</v>
      </c>
      <c r="K918" t="n">
        <v>0</v>
      </c>
      <c r="L918" t="n">
        <v>0</v>
      </c>
      <c r="M918" t="n">
        <v>0</v>
      </c>
      <c r="N918" t="n">
        <v>0</v>
      </c>
      <c r="O918" t="n">
        <v>0</v>
      </c>
      <c r="P918" t="n">
        <v>0</v>
      </c>
      <c r="Q918" t="n">
        <v>0</v>
      </c>
      <c r="R918" s="2" t="inlineStr"/>
    </row>
    <row r="919" ht="15" customHeight="1">
      <c r="A919" t="inlineStr">
        <is>
          <t>A 43300-2023</t>
        </is>
      </c>
      <c r="B919" s="1" t="n">
        <v>45183</v>
      </c>
      <c r="C919" s="1" t="n">
        <v>46130</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13276-2022</t>
        </is>
      </c>
      <c r="B920" s="1" t="n">
        <v>44644</v>
      </c>
      <c r="C920" s="1" t="n">
        <v>46130</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8465-2026</t>
        </is>
      </c>
      <c r="B921" s="1" t="n">
        <v>46065.44141203703</v>
      </c>
      <c r="C921" s="1" t="n">
        <v>46130</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11900-2022</t>
        </is>
      </c>
      <c r="B922" s="1" t="n">
        <v>44635</v>
      </c>
      <c r="C922" s="1" t="n">
        <v>46130</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14937-2026</t>
        </is>
      </c>
      <c r="B923" s="1" t="n">
        <v>46104</v>
      </c>
      <c r="C923" s="1" t="n">
        <v>46130</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14724-2022</t>
        </is>
      </c>
      <c r="B924" s="1" t="n">
        <v>44656</v>
      </c>
      <c r="C924" s="1" t="n">
        <v>46130</v>
      </c>
      <c r="D924" t="inlineStr">
        <is>
          <t>STOCKHOLMS LÄN</t>
        </is>
      </c>
      <c r="E924" t="inlineStr">
        <is>
          <t>NORRTÄLJE</t>
        </is>
      </c>
      <c r="F924" t="inlineStr">
        <is>
          <t>Sveaskog</t>
        </is>
      </c>
      <c r="G924" t="n">
        <v>9</v>
      </c>
      <c r="H924" t="n">
        <v>0</v>
      </c>
      <c r="I924" t="n">
        <v>0</v>
      </c>
      <c r="J924" t="n">
        <v>0</v>
      </c>
      <c r="K924" t="n">
        <v>0</v>
      </c>
      <c r="L924" t="n">
        <v>0</v>
      </c>
      <c r="M924" t="n">
        <v>0</v>
      </c>
      <c r="N924" t="n">
        <v>0</v>
      </c>
      <c r="O924" t="n">
        <v>0</v>
      </c>
      <c r="P924" t="n">
        <v>0</v>
      </c>
      <c r="Q924" t="n">
        <v>0</v>
      </c>
      <c r="R924" s="2" t="inlineStr"/>
    </row>
    <row r="925" ht="15" customHeight="1">
      <c r="A925" t="inlineStr">
        <is>
          <t>A 4580-2025</t>
        </is>
      </c>
      <c r="B925" s="1" t="n">
        <v>45687.5038425926</v>
      </c>
      <c r="C925" s="1" t="n">
        <v>46130</v>
      </c>
      <c r="D925" t="inlineStr">
        <is>
          <t>STOCKHOLMS LÄN</t>
        </is>
      </c>
      <c r="E925" t="inlineStr">
        <is>
          <t>NORRTÄLJE</t>
        </is>
      </c>
      <c r="F925" t="inlineStr">
        <is>
          <t>Holmen skog AB</t>
        </is>
      </c>
      <c r="G925" t="n">
        <v>4.8</v>
      </c>
      <c r="H925" t="n">
        <v>0</v>
      </c>
      <c r="I925" t="n">
        <v>0</v>
      </c>
      <c r="J925" t="n">
        <v>0</v>
      </c>
      <c r="K925" t="n">
        <v>0</v>
      </c>
      <c r="L925" t="n">
        <v>0</v>
      </c>
      <c r="M925" t="n">
        <v>0</v>
      </c>
      <c r="N925" t="n">
        <v>0</v>
      </c>
      <c r="O925" t="n">
        <v>0</v>
      </c>
      <c r="P925" t="n">
        <v>0</v>
      </c>
      <c r="Q925" t="n">
        <v>0</v>
      </c>
      <c r="R925" s="2" t="inlineStr"/>
    </row>
    <row r="926" ht="15" customHeight="1">
      <c r="A926" t="inlineStr">
        <is>
          <t>A 16202-2022</t>
        </is>
      </c>
      <c r="B926" s="1" t="n">
        <v>44670</v>
      </c>
      <c r="C926" s="1" t="n">
        <v>46130</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6003-2025</t>
        </is>
      </c>
      <c r="B927" s="1" t="n">
        <v>45695.57881944445</v>
      </c>
      <c r="C927" s="1" t="n">
        <v>46130</v>
      </c>
      <c r="D927" t="inlineStr">
        <is>
          <t>STOCKHOLMS LÄN</t>
        </is>
      </c>
      <c r="E927" t="inlineStr">
        <is>
          <t>NORRTÄLJE</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52321-2024</t>
        </is>
      </c>
      <c r="B928" s="1" t="n">
        <v>45608</v>
      </c>
      <c r="C928" s="1" t="n">
        <v>46130</v>
      </c>
      <c r="D928" t="inlineStr">
        <is>
          <t>STOCKHOLMS LÄN</t>
        </is>
      </c>
      <c r="E928" t="inlineStr">
        <is>
          <t>NORRTÄLJE</t>
        </is>
      </c>
      <c r="G928" t="n">
        <v>18.1</v>
      </c>
      <c r="H928" t="n">
        <v>0</v>
      </c>
      <c r="I928" t="n">
        <v>0</v>
      </c>
      <c r="J928" t="n">
        <v>0</v>
      </c>
      <c r="K928" t="n">
        <v>0</v>
      </c>
      <c r="L928" t="n">
        <v>0</v>
      </c>
      <c r="M928" t="n">
        <v>0</v>
      </c>
      <c r="N928" t="n">
        <v>0</v>
      </c>
      <c r="O928" t="n">
        <v>0</v>
      </c>
      <c r="P928" t="n">
        <v>0</v>
      </c>
      <c r="Q928" t="n">
        <v>0</v>
      </c>
      <c r="R928" s="2" t="inlineStr"/>
    </row>
    <row r="929" ht="15" customHeight="1">
      <c r="A929" t="inlineStr">
        <is>
          <t>A 8410-2026</t>
        </is>
      </c>
      <c r="B929" s="1" t="n">
        <v>46065.34261574074</v>
      </c>
      <c r="C929" s="1" t="n">
        <v>46130</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54558-2024</t>
        </is>
      </c>
      <c r="B930" s="1" t="n">
        <v>45617.62358796296</v>
      </c>
      <c r="C930" s="1" t="n">
        <v>46130</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8489-2026</t>
        </is>
      </c>
      <c r="B931" s="1" t="n">
        <v>46065.48268518518</v>
      </c>
      <c r="C931" s="1" t="n">
        <v>46130</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22157-2023</t>
        </is>
      </c>
      <c r="B932" s="1" t="n">
        <v>45069</v>
      </c>
      <c r="C932" s="1" t="n">
        <v>46130</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c r="U932">
        <f>HYPERLINK("https://klasma.github.io/Logging_0188/knärot/A 22157-2023 karta knärot.png", "A 22157-2023")</f>
        <v/>
      </c>
      <c r="V932">
        <f>HYPERLINK("https://klasma.github.io/Logging_0188/klagomål/A 22157-2023 FSC-klagomål.docx", "A 22157-2023")</f>
        <v/>
      </c>
      <c r="W932">
        <f>HYPERLINK("https://klasma.github.io/Logging_0188/klagomålsmail/A 22157-2023 FSC-klagomål mail.docx", "A 22157-2023")</f>
        <v/>
      </c>
      <c r="X932">
        <f>HYPERLINK("https://klasma.github.io/Logging_0188/tillsyn/A 22157-2023 tillsynsbegäran.docx", "A 22157-2023")</f>
        <v/>
      </c>
      <c r="Y932">
        <f>HYPERLINK("https://klasma.github.io/Logging_0188/tillsynsmail/A 22157-2023 tillsynsbegäran mail.docx", "A 22157-2023")</f>
        <v/>
      </c>
    </row>
    <row r="933" ht="15" customHeight="1">
      <c r="A933" t="inlineStr">
        <is>
          <t>A 8985-2026</t>
        </is>
      </c>
      <c r="B933" s="1" t="n">
        <v>46069.45234953704</v>
      </c>
      <c r="C933" s="1" t="n">
        <v>46130</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48633-2023</t>
        </is>
      </c>
      <c r="B934" s="1" t="n">
        <v>45208.58004629629</v>
      </c>
      <c r="C934" s="1" t="n">
        <v>46130</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47419-2023</t>
        </is>
      </c>
      <c r="B935" s="1" t="n">
        <v>45202.65660879629</v>
      </c>
      <c r="C935" s="1" t="n">
        <v>46130</v>
      </c>
      <c r="D935" t="inlineStr">
        <is>
          <t>STOCKHOLMS LÄN</t>
        </is>
      </c>
      <c r="E935" t="inlineStr">
        <is>
          <t>NORRTÄLJE</t>
        </is>
      </c>
      <c r="G935" t="n">
        <v>11.4</v>
      </c>
      <c r="H935" t="n">
        <v>0</v>
      </c>
      <c r="I935" t="n">
        <v>0</v>
      </c>
      <c r="J935" t="n">
        <v>0</v>
      </c>
      <c r="K935" t="n">
        <v>0</v>
      </c>
      <c r="L935" t="n">
        <v>0</v>
      </c>
      <c r="M935" t="n">
        <v>0</v>
      </c>
      <c r="N935" t="n">
        <v>0</v>
      </c>
      <c r="O935" t="n">
        <v>0</v>
      </c>
      <c r="P935" t="n">
        <v>0</v>
      </c>
      <c r="Q935" t="n">
        <v>0</v>
      </c>
      <c r="R935" s="2" t="inlineStr"/>
    </row>
    <row r="936" ht="15" customHeight="1">
      <c r="A936" t="inlineStr">
        <is>
          <t>A 652-2025</t>
        </is>
      </c>
      <c r="B936" s="1" t="n">
        <v>45664</v>
      </c>
      <c r="C936" s="1" t="n">
        <v>46130</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9103-2026</t>
        </is>
      </c>
      <c r="B937" s="1" t="n">
        <v>46069.65039351852</v>
      </c>
      <c r="C937" s="1" t="n">
        <v>46130</v>
      </c>
      <c r="D937" t="inlineStr">
        <is>
          <t>STOCKHOLMS LÄN</t>
        </is>
      </c>
      <c r="E937" t="inlineStr">
        <is>
          <t>NORRTÄLJE</t>
        </is>
      </c>
      <c r="F937" t="inlineStr">
        <is>
          <t>Holmen skog AB</t>
        </is>
      </c>
      <c r="G937" t="n">
        <v>3.6</v>
      </c>
      <c r="H937" t="n">
        <v>0</v>
      </c>
      <c r="I937" t="n">
        <v>0</v>
      </c>
      <c r="J937" t="n">
        <v>0</v>
      </c>
      <c r="K937" t="n">
        <v>0</v>
      </c>
      <c r="L937" t="n">
        <v>0</v>
      </c>
      <c r="M937" t="n">
        <v>0</v>
      </c>
      <c r="N937" t="n">
        <v>0</v>
      </c>
      <c r="O937" t="n">
        <v>0</v>
      </c>
      <c r="P937" t="n">
        <v>0</v>
      </c>
      <c r="Q937" t="n">
        <v>0</v>
      </c>
      <c r="R937" s="2" t="inlineStr"/>
    </row>
    <row r="938" ht="15" customHeight="1">
      <c r="A938" t="inlineStr">
        <is>
          <t>A 8989-2026</t>
        </is>
      </c>
      <c r="B938" s="1" t="n">
        <v>46069.45789351852</v>
      </c>
      <c r="C938" s="1" t="n">
        <v>46130</v>
      </c>
      <c r="D938" t="inlineStr">
        <is>
          <t>STOCKHOLMS LÄN</t>
        </is>
      </c>
      <c r="E938" t="inlineStr">
        <is>
          <t>NORRTÄLJE</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10653-2022</t>
        </is>
      </c>
      <c r="B939" s="1" t="n">
        <v>44624.59434027778</v>
      </c>
      <c r="C939" s="1" t="n">
        <v>46130</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35695-2023</t>
        </is>
      </c>
      <c r="B940" s="1" t="n">
        <v>45147.65407407407</v>
      </c>
      <c r="C940" s="1" t="n">
        <v>46130</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18665-2022</t>
        </is>
      </c>
      <c r="B941" s="1" t="n">
        <v>44687</v>
      </c>
      <c r="C941" s="1" t="n">
        <v>46130</v>
      </c>
      <c r="D941" t="inlineStr">
        <is>
          <t>STOCKHOLMS LÄN</t>
        </is>
      </c>
      <c r="E941" t="inlineStr">
        <is>
          <t>NORRTÄLJE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16243-2026</t>
        </is>
      </c>
      <c r="B942" s="1" t="n">
        <v>46111.45902777778</v>
      </c>
      <c r="C942" s="1" t="n">
        <v>46130</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17574-2025</t>
        </is>
      </c>
      <c r="B943" s="1" t="n">
        <v>45757.65178240741</v>
      </c>
      <c r="C943" s="1" t="n">
        <v>46130</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20370-2025</t>
        </is>
      </c>
      <c r="B944" s="1" t="n">
        <v>45775.41451388889</v>
      </c>
      <c r="C944" s="1" t="n">
        <v>46130</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19982-2022</t>
        </is>
      </c>
      <c r="B945" s="1" t="n">
        <v>44697</v>
      </c>
      <c r="C945" s="1" t="n">
        <v>46130</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35438-2023</t>
        </is>
      </c>
      <c r="B946" s="1" t="n">
        <v>45146</v>
      </c>
      <c r="C946" s="1" t="n">
        <v>46130</v>
      </c>
      <c r="D946" t="inlineStr">
        <is>
          <t>STOCKHOLMS LÄN</t>
        </is>
      </c>
      <c r="E946" t="inlineStr">
        <is>
          <t>NORRTÄLJE</t>
        </is>
      </c>
      <c r="F946" t="inlineStr">
        <is>
          <t>Kommuner</t>
        </is>
      </c>
      <c r="G946" t="n">
        <v>1.9</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46130</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8962-2026</t>
        </is>
      </c>
      <c r="B948" s="1" t="n">
        <v>46069.41644675926</v>
      </c>
      <c r="C948" s="1" t="n">
        <v>46130</v>
      </c>
      <c r="D948" t="inlineStr">
        <is>
          <t>STOCKHOLMS LÄN</t>
        </is>
      </c>
      <c r="E948" t="inlineStr">
        <is>
          <t>NORRTÄLJE</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16229-2026</t>
        </is>
      </c>
      <c r="B949" s="1" t="n">
        <v>46111.45084490741</v>
      </c>
      <c r="C949" s="1" t="n">
        <v>46130</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4183-2025</t>
        </is>
      </c>
      <c r="B950" s="1" t="n">
        <v>45685.44592592592</v>
      </c>
      <c r="C950" s="1" t="n">
        <v>46130</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17556-2025</t>
        </is>
      </c>
      <c r="B951" s="1" t="n">
        <v>45757.62482638889</v>
      </c>
      <c r="C951" s="1" t="n">
        <v>46130</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41335-2023</t>
        </is>
      </c>
      <c r="B952" s="1" t="n">
        <v>45174.68702546296</v>
      </c>
      <c r="C952" s="1" t="n">
        <v>46130</v>
      </c>
      <c r="D952" t="inlineStr">
        <is>
          <t>STOCKHOLMS LÄN</t>
        </is>
      </c>
      <c r="E952" t="inlineStr">
        <is>
          <t>NORRTÄLJE</t>
        </is>
      </c>
      <c r="F952" t="inlineStr">
        <is>
          <t>Holmen skog AB</t>
        </is>
      </c>
      <c r="G952" t="n">
        <v>4.4</v>
      </c>
      <c r="H952" t="n">
        <v>0</v>
      </c>
      <c r="I952" t="n">
        <v>0</v>
      </c>
      <c r="J952" t="n">
        <v>0</v>
      </c>
      <c r="K952" t="n">
        <v>0</v>
      </c>
      <c r="L952" t="n">
        <v>0</v>
      </c>
      <c r="M952" t="n">
        <v>0</v>
      </c>
      <c r="N952" t="n">
        <v>0</v>
      </c>
      <c r="O952" t="n">
        <v>0</v>
      </c>
      <c r="P952" t="n">
        <v>0</v>
      </c>
      <c r="Q952" t="n">
        <v>0</v>
      </c>
      <c r="R952" s="2" t="inlineStr"/>
    </row>
    <row r="953" ht="15" customHeight="1">
      <c r="A953" t="inlineStr">
        <is>
          <t>A 4484-2025</t>
        </is>
      </c>
      <c r="B953" s="1" t="n">
        <v>45686.65545138889</v>
      </c>
      <c r="C953" s="1" t="n">
        <v>46130</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8419-2025</t>
        </is>
      </c>
      <c r="B954" s="1" t="n">
        <v>45709.40231481481</v>
      </c>
      <c r="C954" s="1" t="n">
        <v>46130</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21480-2022</t>
        </is>
      </c>
      <c r="B955" s="1" t="n">
        <v>44704</v>
      </c>
      <c r="C955" s="1" t="n">
        <v>46130</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17025-2026</t>
        </is>
      </c>
      <c r="B956" s="1" t="n">
        <v>46113</v>
      </c>
      <c r="C956" s="1" t="n">
        <v>46130</v>
      </c>
      <c r="D956" t="inlineStr">
        <is>
          <t>STOCKHOLMS LÄN</t>
        </is>
      </c>
      <c r="E956" t="inlineStr">
        <is>
          <t>NORRTÄLJE</t>
        </is>
      </c>
      <c r="G956" t="n">
        <v>5.4</v>
      </c>
      <c r="H956" t="n">
        <v>0</v>
      </c>
      <c r="I956" t="n">
        <v>0</v>
      </c>
      <c r="J956" t="n">
        <v>0</v>
      </c>
      <c r="K956" t="n">
        <v>0</v>
      </c>
      <c r="L956" t="n">
        <v>0</v>
      </c>
      <c r="M956" t="n">
        <v>0</v>
      </c>
      <c r="N956" t="n">
        <v>0</v>
      </c>
      <c r="O956" t="n">
        <v>0</v>
      </c>
      <c r="P956" t="n">
        <v>0</v>
      </c>
      <c r="Q956" t="n">
        <v>0</v>
      </c>
      <c r="R956" s="2" t="inlineStr"/>
    </row>
    <row r="957" ht="15" customHeight="1">
      <c r="A957" t="inlineStr">
        <is>
          <t>A 1654-2025</t>
        </is>
      </c>
      <c r="B957" s="1" t="n">
        <v>45670.65921296296</v>
      </c>
      <c r="C957" s="1" t="n">
        <v>46130</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48686-2023</t>
        </is>
      </c>
      <c r="B958" s="1" t="n">
        <v>45208</v>
      </c>
      <c r="C958" s="1" t="n">
        <v>46130</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48691-2023</t>
        </is>
      </c>
      <c r="B959" s="1" t="n">
        <v>45208</v>
      </c>
      <c r="C959" s="1" t="n">
        <v>46130</v>
      </c>
      <c r="D959" t="inlineStr">
        <is>
          <t>STOCKHOLMS LÄN</t>
        </is>
      </c>
      <c r="E959" t="inlineStr">
        <is>
          <t>NORRTÄLJE</t>
        </is>
      </c>
      <c r="G959" t="n">
        <v>5.8</v>
      </c>
      <c r="H959" t="n">
        <v>0</v>
      </c>
      <c r="I959" t="n">
        <v>0</v>
      </c>
      <c r="J959" t="n">
        <v>0</v>
      </c>
      <c r="K959" t="n">
        <v>0</v>
      </c>
      <c r="L959" t="n">
        <v>0</v>
      </c>
      <c r="M959" t="n">
        <v>0</v>
      </c>
      <c r="N959" t="n">
        <v>0</v>
      </c>
      <c r="O959" t="n">
        <v>0</v>
      </c>
      <c r="P959" t="n">
        <v>0</v>
      </c>
      <c r="Q959" t="n">
        <v>0</v>
      </c>
      <c r="R959" s="2" t="inlineStr"/>
    </row>
    <row r="960" ht="15" customHeight="1">
      <c r="A960" t="inlineStr">
        <is>
          <t>A 55243-2023</t>
        </is>
      </c>
      <c r="B960" s="1" t="n">
        <v>45237</v>
      </c>
      <c r="C960" s="1" t="n">
        <v>46130</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35210-2023</t>
        </is>
      </c>
      <c r="B961" s="1" t="n">
        <v>45145.63584490741</v>
      </c>
      <c r="C961" s="1" t="n">
        <v>46130</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9720-2026</t>
        </is>
      </c>
      <c r="B962" s="1" t="n">
        <v>46072.45061342593</v>
      </c>
      <c r="C962" s="1" t="n">
        <v>46130</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10399-2026</t>
        </is>
      </c>
      <c r="B963" s="1" t="n">
        <v>46077</v>
      </c>
      <c r="C963" s="1" t="n">
        <v>46130</v>
      </c>
      <c r="D963" t="inlineStr">
        <is>
          <t>STOCKHOLMS LÄN</t>
        </is>
      </c>
      <c r="E963" t="inlineStr">
        <is>
          <t>NORRTÄLJE</t>
        </is>
      </c>
      <c r="F963" t="inlineStr">
        <is>
          <t>Övriga Aktiebolag</t>
        </is>
      </c>
      <c r="G963" t="n">
        <v>0.2</v>
      </c>
      <c r="H963" t="n">
        <v>0</v>
      </c>
      <c r="I963" t="n">
        <v>0</v>
      </c>
      <c r="J963" t="n">
        <v>0</v>
      </c>
      <c r="K963" t="n">
        <v>0</v>
      </c>
      <c r="L963" t="n">
        <v>0</v>
      </c>
      <c r="M963" t="n">
        <v>0</v>
      </c>
      <c r="N963" t="n">
        <v>0</v>
      </c>
      <c r="O963" t="n">
        <v>0</v>
      </c>
      <c r="P963" t="n">
        <v>0</v>
      </c>
      <c r="Q963" t="n">
        <v>0</v>
      </c>
      <c r="R963" s="2" t="inlineStr"/>
    </row>
    <row r="964" ht="15" customHeight="1">
      <c r="A964" t="inlineStr">
        <is>
          <t>A 17215-2026</t>
        </is>
      </c>
      <c r="B964" s="1" t="n">
        <v>46119.36524305555</v>
      </c>
      <c r="C964" s="1" t="n">
        <v>46130</v>
      </c>
      <c r="D964" t="inlineStr">
        <is>
          <t>STOCKHOLMS LÄN</t>
        </is>
      </c>
      <c r="E964" t="inlineStr">
        <is>
          <t>NORRTÄLJE</t>
        </is>
      </c>
      <c r="F964" t="inlineStr">
        <is>
          <t>Holmen skog AB</t>
        </is>
      </c>
      <c r="G964" t="n">
        <v>3.8</v>
      </c>
      <c r="H964" t="n">
        <v>0</v>
      </c>
      <c r="I964" t="n">
        <v>0</v>
      </c>
      <c r="J964" t="n">
        <v>0</v>
      </c>
      <c r="K964" t="n">
        <v>0</v>
      </c>
      <c r="L964" t="n">
        <v>0</v>
      </c>
      <c r="M964" t="n">
        <v>0</v>
      </c>
      <c r="N964" t="n">
        <v>0</v>
      </c>
      <c r="O964" t="n">
        <v>0</v>
      </c>
      <c r="P964" t="n">
        <v>0</v>
      </c>
      <c r="Q964" t="n">
        <v>0</v>
      </c>
      <c r="R964" s="2" t="inlineStr"/>
    </row>
    <row r="965" ht="15" customHeight="1">
      <c r="A965" t="inlineStr">
        <is>
          <t>A 17220-2026</t>
        </is>
      </c>
      <c r="B965" s="1" t="n">
        <v>46119.37436342592</v>
      </c>
      <c r="C965" s="1" t="n">
        <v>46130</v>
      </c>
      <c r="D965" t="inlineStr">
        <is>
          <t>STOCKHOLMS LÄN</t>
        </is>
      </c>
      <c r="E965" t="inlineStr">
        <is>
          <t>NORRTÄLJE</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6678-2025</t>
        </is>
      </c>
      <c r="B966" s="1" t="n">
        <v>45700</v>
      </c>
      <c r="C966" s="1" t="n">
        <v>46130</v>
      </c>
      <c r="D966" t="inlineStr">
        <is>
          <t>STOCKHOLMS LÄN</t>
        </is>
      </c>
      <c r="E966" t="inlineStr">
        <is>
          <t>NORRTÄLJE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10429-2026</t>
        </is>
      </c>
      <c r="B967" s="1" t="n">
        <v>46077.3822337963</v>
      </c>
      <c r="C967" s="1" t="n">
        <v>46130</v>
      </c>
      <c r="D967" t="inlineStr">
        <is>
          <t>STOCKHOLMS LÄN</t>
        </is>
      </c>
      <c r="E967" t="inlineStr">
        <is>
          <t>NORRTÄLJE</t>
        </is>
      </c>
      <c r="F967" t="inlineStr">
        <is>
          <t>Holmen skog AB</t>
        </is>
      </c>
      <c r="G967" t="n">
        <v>1.9</v>
      </c>
      <c r="H967" t="n">
        <v>0</v>
      </c>
      <c r="I967" t="n">
        <v>0</v>
      </c>
      <c r="J967" t="n">
        <v>0</v>
      </c>
      <c r="K967" t="n">
        <v>0</v>
      </c>
      <c r="L967" t="n">
        <v>0</v>
      </c>
      <c r="M967" t="n">
        <v>0</v>
      </c>
      <c r="N967" t="n">
        <v>0</v>
      </c>
      <c r="O967" t="n">
        <v>0</v>
      </c>
      <c r="P967" t="n">
        <v>0</v>
      </c>
      <c r="Q967" t="n">
        <v>0</v>
      </c>
      <c r="R967" s="2" t="inlineStr"/>
    </row>
    <row r="968" ht="15" customHeight="1">
      <c r="A968" t="inlineStr">
        <is>
          <t>A 17207-2026</t>
        </is>
      </c>
      <c r="B968" s="1" t="n">
        <v>46119.31914351852</v>
      </c>
      <c r="C968" s="1" t="n">
        <v>46130</v>
      </c>
      <c r="D968" t="inlineStr">
        <is>
          <t>STOCKHOLMS LÄN</t>
        </is>
      </c>
      <c r="E968" t="inlineStr">
        <is>
          <t>NORRTÄLJE</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17612-2022</t>
        </is>
      </c>
      <c r="B969" s="1" t="n">
        <v>44680</v>
      </c>
      <c r="C969" s="1" t="n">
        <v>46130</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17347-2026</t>
        </is>
      </c>
      <c r="B970" s="1" t="n">
        <v>46119.65369212963</v>
      </c>
      <c r="C970" s="1" t="n">
        <v>46130</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10586-2026</t>
        </is>
      </c>
      <c r="B971" s="1" t="n">
        <v>46077.68192129629</v>
      </c>
      <c r="C971" s="1" t="n">
        <v>46130</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10444-2026</t>
        </is>
      </c>
      <c r="B972" s="1" t="n">
        <v>46077.42230324074</v>
      </c>
      <c r="C972" s="1" t="n">
        <v>46130</v>
      </c>
      <c r="D972" t="inlineStr">
        <is>
          <t>STOCKHOLMS LÄN</t>
        </is>
      </c>
      <c r="E972" t="inlineStr">
        <is>
          <t>NORRTÄLJE</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58297-2023</t>
        </is>
      </c>
      <c r="B973" s="1" t="n">
        <v>45245</v>
      </c>
      <c r="C973" s="1" t="n">
        <v>46130</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10553-2026</t>
        </is>
      </c>
      <c r="B974" s="1" t="n">
        <v>46077.62944444444</v>
      </c>
      <c r="C974" s="1" t="n">
        <v>46130</v>
      </c>
      <c r="D974" t="inlineStr">
        <is>
          <t>STOCKHOLMS LÄN</t>
        </is>
      </c>
      <c r="E974" t="inlineStr">
        <is>
          <t>NORRTÄLJE</t>
        </is>
      </c>
      <c r="G974" t="n">
        <v>4.9</v>
      </c>
      <c r="H974" t="n">
        <v>0</v>
      </c>
      <c r="I974" t="n">
        <v>0</v>
      </c>
      <c r="J974" t="n">
        <v>0</v>
      </c>
      <c r="K974" t="n">
        <v>0</v>
      </c>
      <c r="L974" t="n">
        <v>0</v>
      </c>
      <c r="M974" t="n">
        <v>0</v>
      </c>
      <c r="N974" t="n">
        <v>0</v>
      </c>
      <c r="O974" t="n">
        <v>0</v>
      </c>
      <c r="P974" t="n">
        <v>0</v>
      </c>
      <c r="Q974" t="n">
        <v>0</v>
      </c>
      <c r="R974" s="2" t="inlineStr"/>
    </row>
    <row r="975" ht="15" customHeight="1">
      <c r="A975" t="inlineStr">
        <is>
          <t>A 17345-2026</t>
        </is>
      </c>
      <c r="B975" s="1" t="n">
        <v>46119.64990740741</v>
      </c>
      <c r="C975" s="1" t="n">
        <v>46130</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21726-2022</t>
        </is>
      </c>
      <c r="B976" s="1" t="n">
        <v>44708</v>
      </c>
      <c r="C976" s="1" t="n">
        <v>46130</v>
      </c>
      <c r="D976" t="inlineStr">
        <is>
          <t>STOCKHOLMS LÄN</t>
        </is>
      </c>
      <c r="E976" t="inlineStr">
        <is>
          <t>NORRTÄLJE</t>
        </is>
      </c>
      <c r="G976" t="n">
        <v>0.2</v>
      </c>
      <c r="H976" t="n">
        <v>0</v>
      </c>
      <c r="I976" t="n">
        <v>0</v>
      </c>
      <c r="J976" t="n">
        <v>0</v>
      </c>
      <c r="K976" t="n">
        <v>0</v>
      </c>
      <c r="L976" t="n">
        <v>0</v>
      </c>
      <c r="M976" t="n">
        <v>0</v>
      </c>
      <c r="N976" t="n">
        <v>0</v>
      </c>
      <c r="O976" t="n">
        <v>0</v>
      </c>
      <c r="P976" t="n">
        <v>0</v>
      </c>
      <c r="Q976" t="n">
        <v>0</v>
      </c>
      <c r="R976" s="2" t="inlineStr"/>
    </row>
    <row r="977" ht="15" customHeight="1">
      <c r="A977" t="inlineStr">
        <is>
          <t>A 21739-2022</t>
        </is>
      </c>
      <c r="B977" s="1" t="n">
        <v>44708.36708333333</v>
      </c>
      <c r="C977" s="1" t="n">
        <v>46130</v>
      </c>
      <c r="D977" t="inlineStr">
        <is>
          <t>STOCKHOLMS LÄN</t>
        </is>
      </c>
      <c r="E977" t="inlineStr">
        <is>
          <t>NORRTÄLJE</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28182-2022</t>
        </is>
      </c>
      <c r="B978" s="1" t="n">
        <v>44746.58530092592</v>
      </c>
      <c r="C978" s="1" t="n">
        <v>46130</v>
      </c>
      <c r="D978" t="inlineStr">
        <is>
          <t>STOCKHOLMS LÄN</t>
        </is>
      </c>
      <c r="E978" t="inlineStr">
        <is>
          <t>NORRTÄLJE</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3283-2025</t>
        </is>
      </c>
      <c r="B979" s="1" t="n">
        <v>45679</v>
      </c>
      <c r="C979" s="1" t="n">
        <v>46130</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18092-2022</t>
        </is>
      </c>
      <c r="B980" s="1" t="n">
        <v>44684</v>
      </c>
      <c r="C980" s="1" t="n">
        <v>46130</v>
      </c>
      <c r="D980" t="inlineStr">
        <is>
          <t>STOCKHOLMS LÄN</t>
        </is>
      </c>
      <c r="E980" t="inlineStr">
        <is>
          <t>NORRTÄLJE</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33295-2023</t>
        </is>
      </c>
      <c r="B981" s="1" t="n">
        <v>45127.69371527778</v>
      </c>
      <c r="C981" s="1" t="n">
        <v>46130</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58404-2023</t>
        </is>
      </c>
      <c r="B982" s="1" t="n">
        <v>45245</v>
      </c>
      <c r="C982" s="1" t="n">
        <v>46130</v>
      </c>
      <c r="D982" t="inlineStr">
        <is>
          <t>STOCKHOLMS LÄN</t>
        </is>
      </c>
      <c r="E982" t="inlineStr">
        <is>
          <t>NORRTÄLJE</t>
        </is>
      </c>
      <c r="G982" t="n">
        <v>53.5</v>
      </c>
      <c r="H982" t="n">
        <v>0</v>
      </c>
      <c r="I982" t="n">
        <v>0</v>
      </c>
      <c r="J982" t="n">
        <v>0</v>
      </c>
      <c r="K982" t="n">
        <v>0</v>
      </c>
      <c r="L982" t="n">
        <v>0</v>
      </c>
      <c r="M982" t="n">
        <v>0</v>
      </c>
      <c r="N982" t="n">
        <v>0</v>
      </c>
      <c r="O982" t="n">
        <v>0</v>
      </c>
      <c r="P982" t="n">
        <v>0</v>
      </c>
      <c r="Q982" t="n">
        <v>0</v>
      </c>
      <c r="R982" s="2" t="inlineStr"/>
    </row>
    <row r="983" ht="15" customHeight="1">
      <c r="A983" t="inlineStr">
        <is>
          <t>A 17209-2026</t>
        </is>
      </c>
      <c r="B983" s="1" t="n">
        <v>46119.33341435185</v>
      </c>
      <c r="C983" s="1" t="n">
        <v>46130</v>
      </c>
      <c r="D983" t="inlineStr">
        <is>
          <t>STOCKHOLMS LÄN</t>
        </is>
      </c>
      <c r="E983" t="inlineStr">
        <is>
          <t>NORRTÄLJE</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27885-2022</t>
        </is>
      </c>
      <c r="B984" s="1" t="n">
        <v>44743.67418981482</v>
      </c>
      <c r="C984" s="1" t="n">
        <v>46130</v>
      </c>
      <c r="D984" t="inlineStr">
        <is>
          <t>STOCKHOLMS LÄN</t>
        </is>
      </c>
      <c r="E984" t="inlineStr">
        <is>
          <t>NORRTÄLJE</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25525-2022</t>
        </is>
      </c>
      <c r="B985" s="1" t="n">
        <v>44732</v>
      </c>
      <c r="C985" s="1" t="n">
        <v>46130</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48722-2023</t>
        </is>
      </c>
      <c r="B986" s="1" t="n">
        <v>45208.70996527778</v>
      </c>
      <c r="C986" s="1" t="n">
        <v>46130</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17651-2026</t>
        </is>
      </c>
      <c r="B987" s="1" t="n">
        <v>46121.55334490741</v>
      </c>
      <c r="C987" s="1" t="n">
        <v>46130</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46130</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33353-2023</t>
        </is>
      </c>
      <c r="B989" s="1" t="n">
        <v>45128</v>
      </c>
      <c r="C989" s="1" t="n">
        <v>46130</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10646-2026</t>
        </is>
      </c>
      <c r="B990" s="1" t="n">
        <v>46078.34157407407</v>
      </c>
      <c r="C990" s="1" t="n">
        <v>46130</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35708-2022</t>
        </is>
      </c>
      <c r="B991" s="1" t="n">
        <v>44799.65013888889</v>
      </c>
      <c r="C991" s="1" t="n">
        <v>46130</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3426-2025</t>
        </is>
      </c>
      <c r="B992" s="1" t="n">
        <v>45680.42665509259</v>
      </c>
      <c r="C992" s="1" t="n">
        <v>46130</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9-2024</t>
        </is>
      </c>
      <c r="B993" s="1" t="n">
        <v>45293</v>
      </c>
      <c r="C993" s="1" t="n">
        <v>46130</v>
      </c>
      <c r="D993" t="inlineStr">
        <is>
          <t>STOCKHOLMS LÄN</t>
        </is>
      </c>
      <c r="E993" t="inlineStr">
        <is>
          <t>NORRTÄLJE</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51312-2023</t>
        </is>
      </c>
      <c r="B994" s="1" t="n">
        <v>45219.56697916667</v>
      </c>
      <c r="C994" s="1" t="n">
        <v>46130</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11849-2025</t>
        </is>
      </c>
      <c r="B995" s="1" t="n">
        <v>45728.38409722222</v>
      </c>
      <c r="C995" s="1" t="n">
        <v>46130</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38610-2022</t>
        </is>
      </c>
      <c r="B996" s="1" t="n">
        <v>44813.59915509259</v>
      </c>
      <c r="C996" s="1" t="n">
        <v>46130</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22816-2021</t>
        </is>
      </c>
      <c r="B997" s="1" t="n">
        <v>44325</v>
      </c>
      <c r="C997" s="1" t="n">
        <v>46130</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59468-2023</t>
        </is>
      </c>
      <c r="B998" s="1" t="n">
        <v>45254.41509259259</v>
      </c>
      <c r="C998" s="1" t="n">
        <v>46130</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18846-2022</t>
        </is>
      </c>
      <c r="B999" s="1" t="n">
        <v>44690</v>
      </c>
      <c r="C999" s="1" t="n">
        <v>46130</v>
      </c>
      <c r="D999" t="inlineStr">
        <is>
          <t>STOCKHOLMS LÄN</t>
        </is>
      </c>
      <c r="E999" t="inlineStr">
        <is>
          <t>NORRTÄLJE</t>
        </is>
      </c>
      <c r="G999" t="n">
        <v>7</v>
      </c>
      <c r="H999" t="n">
        <v>0</v>
      </c>
      <c r="I999" t="n">
        <v>0</v>
      </c>
      <c r="J999" t="n">
        <v>0</v>
      </c>
      <c r="K999" t="n">
        <v>0</v>
      </c>
      <c r="L999" t="n">
        <v>0</v>
      </c>
      <c r="M999" t="n">
        <v>0</v>
      </c>
      <c r="N999" t="n">
        <v>0</v>
      </c>
      <c r="O999" t="n">
        <v>0</v>
      </c>
      <c r="P999" t="n">
        <v>0</v>
      </c>
      <c r="Q999" t="n">
        <v>0</v>
      </c>
      <c r="R999" s="2" t="inlineStr"/>
    </row>
    <row r="1000" ht="15" customHeight="1">
      <c r="A1000" t="inlineStr">
        <is>
          <t>A 12535-2025</t>
        </is>
      </c>
      <c r="B1000" s="1" t="n">
        <v>45730.69502314815</v>
      </c>
      <c r="C1000" s="1" t="n">
        <v>46130</v>
      </c>
      <c r="D1000" t="inlineStr">
        <is>
          <t>STOCKHOLMS LÄN</t>
        </is>
      </c>
      <c r="E1000" t="inlineStr">
        <is>
          <t>NORRTÄLJE</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574-2023</t>
        </is>
      </c>
      <c r="B1001" s="1" t="n">
        <v>44925</v>
      </c>
      <c r="C1001" s="1" t="n">
        <v>46130</v>
      </c>
      <c r="D1001" t="inlineStr">
        <is>
          <t>STOCKHOLMS LÄN</t>
        </is>
      </c>
      <c r="E1001" t="inlineStr">
        <is>
          <t>NORRTÄLJE</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11648-2026</t>
        </is>
      </c>
      <c r="B1002" s="1" t="n">
        <v>46084.51575231482</v>
      </c>
      <c r="C1002" s="1" t="n">
        <v>46130</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37010-2022</t>
        </is>
      </c>
      <c r="B1003" s="1" t="n">
        <v>44806.41576388889</v>
      </c>
      <c r="C1003" s="1" t="n">
        <v>46130</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32705-2022</t>
        </is>
      </c>
      <c r="B1004" s="1" t="n">
        <v>44783</v>
      </c>
      <c r="C1004" s="1" t="n">
        <v>46130</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33149-2022</t>
        </is>
      </c>
      <c r="B1005" s="1" t="n">
        <v>44785</v>
      </c>
      <c r="C1005" s="1" t="n">
        <v>46130</v>
      </c>
      <c r="D1005" t="inlineStr">
        <is>
          <t>STOCKHOLMS LÄN</t>
        </is>
      </c>
      <c r="E1005" t="inlineStr">
        <is>
          <t>NORRTÄLJE</t>
        </is>
      </c>
      <c r="F1005" t="inlineStr">
        <is>
          <t>Holmen skog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14559-2024</t>
        </is>
      </c>
      <c r="B1006" s="1" t="n">
        <v>45394.72869212963</v>
      </c>
      <c r="C1006" s="1" t="n">
        <v>46130</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11-2024</t>
        </is>
      </c>
      <c r="B1007" s="1" t="n">
        <v>45293</v>
      </c>
      <c r="C1007" s="1" t="n">
        <v>46130</v>
      </c>
      <c r="D1007" t="inlineStr">
        <is>
          <t>STOCKHOLMS LÄN</t>
        </is>
      </c>
      <c r="E1007" t="inlineStr">
        <is>
          <t>NORRTÄLJE</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15256-2023</t>
        </is>
      </c>
      <c r="B1008" s="1" t="n">
        <v>45019.3959837963</v>
      </c>
      <c r="C1008" s="1" t="n">
        <v>46130</v>
      </c>
      <c r="D1008" t="inlineStr">
        <is>
          <t>STOCKHOLMS LÄN</t>
        </is>
      </c>
      <c r="E1008" t="inlineStr">
        <is>
          <t>NORRTÄLJE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12234-2026</t>
        </is>
      </c>
      <c r="B1009" s="1" t="n">
        <v>46087.4091087963</v>
      </c>
      <c r="C1009" s="1" t="n">
        <v>46130</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7413-2024</t>
        </is>
      </c>
      <c r="B1010" s="1" t="n">
        <v>45345.6059837963</v>
      </c>
      <c r="C1010" s="1" t="n">
        <v>46130</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58040-2024</t>
        </is>
      </c>
      <c r="B1011" s="1" t="n">
        <v>45631.73952546297</v>
      </c>
      <c r="C1011" s="1" t="n">
        <v>46130</v>
      </c>
      <c r="D1011" t="inlineStr">
        <is>
          <t>STOCKHOLMS LÄN</t>
        </is>
      </c>
      <c r="E1011" t="inlineStr">
        <is>
          <t>NORRTÄLJE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58041-2024</t>
        </is>
      </c>
      <c r="B1012" s="1" t="n">
        <v>45631.74673611111</v>
      </c>
      <c r="C1012" s="1" t="n">
        <v>46130</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31057-2022</t>
        </is>
      </c>
      <c r="B1013" s="1" t="n">
        <v>44769</v>
      </c>
      <c r="C1013" s="1" t="n">
        <v>46130</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25619-2022</t>
        </is>
      </c>
      <c r="B1014" s="1" t="n">
        <v>44732</v>
      </c>
      <c r="C1014" s="1" t="n">
        <v>46130</v>
      </c>
      <c r="D1014" t="inlineStr">
        <is>
          <t>STOCKHOLMS LÄN</t>
        </is>
      </c>
      <c r="E1014" t="inlineStr">
        <is>
          <t>NORRTÄLJE</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15422-2024</t>
        </is>
      </c>
      <c r="B1015" s="1" t="n">
        <v>45401.3653125</v>
      </c>
      <c r="C1015" s="1" t="n">
        <v>46130</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48716-2023</t>
        </is>
      </c>
      <c r="B1016" s="1" t="n">
        <v>45208.69671296296</v>
      </c>
      <c r="C1016" s="1" t="n">
        <v>46130</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55369-2023</t>
        </is>
      </c>
      <c r="B1017" s="1" t="n">
        <v>45238</v>
      </c>
      <c r="C1017" s="1" t="n">
        <v>46130</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20121-2022</t>
        </is>
      </c>
      <c r="B1018" s="1" t="n">
        <v>44698</v>
      </c>
      <c r="C1018" s="1" t="n">
        <v>46130</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26407-2024</t>
        </is>
      </c>
      <c r="B1019" s="1" t="n">
        <v>45469</v>
      </c>
      <c r="C1019" s="1" t="n">
        <v>46130</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10098-2022</t>
        </is>
      </c>
      <c r="B1020" s="1" t="n">
        <v>44621</v>
      </c>
      <c r="C1020" s="1" t="n">
        <v>46130</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49700-2023</t>
        </is>
      </c>
      <c r="B1021" s="1" t="n">
        <v>45212</v>
      </c>
      <c r="C1021" s="1" t="n">
        <v>46130</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59875-2024</t>
        </is>
      </c>
      <c r="B1022" s="1" t="n">
        <v>45640.58716435185</v>
      </c>
      <c r="C1022" s="1" t="n">
        <v>46130</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45220-2024</t>
        </is>
      </c>
      <c r="B1023" s="1" t="n">
        <v>45575</v>
      </c>
      <c r="C1023" s="1" t="n">
        <v>46130</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4658-2024</t>
        </is>
      </c>
      <c r="B1024" s="1" t="n">
        <v>45328.46336805556</v>
      </c>
      <c r="C1024" s="1" t="n">
        <v>46130</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48145-2024</t>
        </is>
      </c>
      <c r="B1025" s="1" t="n">
        <v>45589.6756712963</v>
      </c>
      <c r="C1025" s="1" t="n">
        <v>46130</v>
      </c>
      <c r="D1025" t="inlineStr">
        <is>
          <t>STOCKHOLMS LÄN</t>
        </is>
      </c>
      <c r="E1025" t="inlineStr">
        <is>
          <t>NORRTÄLJE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10642-2025</t>
        </is>
      </c>
      <c r="B1026" s="1" t="n">
        <v>45721.65858796296</v>
      </c>
      <c r="C1026" s="1" t="n">
        <v>46130</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24024-2024</t>
        </is>
      </c>
      <c r="B1027" s="1" t="n">
        <v>45456</v>
      </c>
      <c r="C1027" s="1" t="n">
        <v>46130</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35532-2024</t>
        </is>
      </c>
      <c r="B1028" s="1" t="n">
        <v>45531</v>
      </c>
      <c r="C1028" s="1" t="n">
        <v>46130</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21291-2021</t>
        </is>
      </c>
      <c r="B1029" s="1" t="n">
        <v>44319</v>
      </c>
      <c r="C1029" s="1" t="n">
        <v>46130</v>
      </c>
      <c r="D1029" t="inlineStr">
        <is>
          <t>STOCKHOLMS LÄN</t>
        </is>
      </c>
      <c r="E1029" t="inlineStr">
        <is>
          <t>NORRTÄLJE</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19118-2022</t>
        </is>
      </c>
      <c r="B1030" s="1" t="n">
        <v>44691.5652662037</v>
      </c>
      <c r="C1030" s="1" t="n">
        <v>46130</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22421-2021</t>
        </is>
      </c>
      <c r="B1031" s="1" t="n">
        <v>44326</v>
      </c>
      <c r="C1031" s="1" t="n">
        <v>46130</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59893-2022</t>
        </is>
      </c>
      <c r="B1032" s="1" t="n">
        <v>44908.77368055555</v>
      </c>
      <c r="C1032" s="1" t="n">
        <v>46130</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33226-2024</t>
        </is>
      </c>
      <c r="B1033" s="1" t="n">
        <v>45518</v>
      </c>
      <c r="C1033" s="1" t="n">
        <v>46130</v>
      </c>
      <c r="D1033" t="inlineStr">
        <is>
          <t>STOCKHOLMS LÄN</t>
        </is>
      </c>
      <c r="E1033" t="inlineStr">
        <is>
          <t>NORRTÄLJE</t>
        </is>
      </c>
      <c r="G1033" t="n">
        <v>13.8</v>
      </c>
      <c r="H1033" t="n">
        <v>0</v>
      </c>
      <c r="I1033" t="n">
        <v>0</v>
      </c>
      <c r="J1033" t="n">
        <v>0</v>
      </c>
      <c r="K1033" t="n">
        <v>0</v>
      </c>
      <c r="L1033" t="n">
        <v>0</v>
      </c>
      <c r="M1033" t="n">
        <v>0</v>
      </c>
      <c r="N1033" t="n">
        <v>0</v>
      </c>
      <c r="O1033" t="n">
        <v>0</v>
      </c>
      <c r="P1033" t="n">
        <v>0</v>
      </c>
      <c r="Q1033" t="n">
        <v>0</v>
      </c>
      <c r="R1033" s="2" t="inlineStr"/>
    </row>
    <row r="1034" ht="15" customHeight="1">
      <c r="A1034" t="inlineStr">
        <is>
          <t>A 16980-2023</t>
        </is>
      </c>
      <c r="B1034" s="1" t="n">
        <v>45033</v>
      </c>
      <c r="C1034" s="1" t="n">
        <v>46130</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31107-2022</t>
        </is>
      </c>
      <c r="B1035" s="1" t="n">
        <v>44769.66864583334</v>
      </c>
      <c r="C1035" s="1" t="n">
        <v>46130</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18539-2021</t>
        </is>
      </c>
      <c r="B1036" s="1" t="n">
        <v>44306</v>
      </c>
      <c r="C1036" s="1" t="n">
        <v>46130</v>
      </c>
      <c r="D1036" t="inlineStr">
        <is>
          <t>STOCKHOLMS LÄN</t>
        </is>
      </c>
      <c r="E1036" t="inlineStr">
        <is>
          <t>NORRTÄLJE</t>
        </is>
      </c>
      <c r="F1036" t="inlineStr">
        <is>
          <t>Holmen skog AB</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43170-2023</t>
        </is>
      </c>
      <c r="B1037" s="1" t="n">
        <v>45183</v>
      </c>
      <c r="C1037" s="1" t="n">
        <v>46130</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47626-2022</t>
        </is>
      </c>
      <c r="B1038" s="1" t="n">
        <v>44854</v>
      </c>
      <c r="C1038" s="1" t="n">
        <v>46130</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32101-2022</t>
        </is>
      </c>
      <c r="B1039" s="1" t="n">
        <v>44778.69210648148</v>
      </c>
      <c r="C1039" s="1" t="n">
        <v>46130</v>
      </c>
      <c r="D1039" t="inlineStr">
        <is>
          <t>STOCKHOLMS LÄN</t>
        </is>
      </c>
      <c r="E1039" t="inlineStr">
        <is>
          <t>NORRTÄLJE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28365-2022</t>
        </is>
      </c>
      <c r="B1040" s="1" t="n">
        <v>44747</v>
      </c>
      <c r="C1040" s="1" t="n">
        <v>46130</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42867-2022</t>
        </is>
      </c>
      <c r="B1041" s="1" t="n">
        <v>44832</v>
      </c>
      <c r="C1041" s="1" t="n">
        <v>46130</v>
      </c>
      <c r="D1041" t="inlineStr">
        <is>
          <t>STOCKHOLMS LÄN</t>
        </is>
      </c>
      <c r="E1041" t="inlineStr">
        <is>
          <t>NORRTÄLJE</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5645-2023</t>
        </is>
      </c>
      <c r="B1042" s="1" t="n">
        <v>44960.60469907407</v>
      </c>
      <c r="C1042" s="1" t="n">
        <v>46130</v>
      </c>
      <c r="D1042" t="inlineStr">
        <is>
          <t>STOCKHOLMS LÄN</t>
        </is>
      </c>
      <c r="E1042" t="inlineStr">
        <is>
          <t>NORRTÄLJE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46130</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47481-2024</t>
        </is>
      </c>
      <c r="B1044" s="1" t="n">
        <v>45587</v>
      </c>
      <c r="C1044" s="1" t="n">
        <v>46130</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24933-2023</t>
        </is>
      </c>
      <c r="B1045" s="1" t="n">
        <v>45085.5309375</v>
      </c>
      <c r="C1045" s="1" t="n">
        <v>46130</v>
      </c>
      <c r="D1045" t="inlineStr">
        <is>
          <t>STOCKHOLMS LÄN</t>
        </is>
      </c>
      <c r="E1045" t="inlineStr">
        <is>
          <t>NORRTÄLJE</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11062-2024</t>
        </is>
      </c>
      <c r="B1046" s="1" t="n">
        <v>45370</v>
      </c>
      <c r="C1046" s="1" t="n">
        <v>46130</v>
      </c>
      <c r="D1046" t="inlineStr">
        <is>
          <t>STOCKHOLMS LÄN</t>
        </is>
      </c>
      <c r="E1046" t="inlineStr">
        <is>
          <t>NORRTÄLJE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576-2023</t>
        </is>
      </c>
      <c r="B1047" s="1" t="n">
        <v>44925</v>
      </c>
      <c r="C1047" s="1" t="n">
        <v>46130</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46130</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68361-2021</t>
        </is>
      </c>
      <c r="B1049" s="1" t="n">
        <v>44528.91494212963</v>
      </c>
      <c r="C1049" s="1" t="n">
        <v>46130</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50469-2022</t>
        </is>
      </c>
      <c r="B1050" s="1" t="n">
        <v>44866.49827546296</v>
      </c>
      <c r="C1050" s="1" t="n">
        <v>46130</v>
      </c>
      <c r="D1050" t="inlineStr">
        <is>
          <t>STOCKHOLMS LÄN</t>
        </is>
      </c>
      <c r="E1050" t="inlineStr">
        <is>
          <t>NORRTÄLJE</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41976-2024</t>
        </is>
      </c>
      <c r="B1051" s="1" t="n">
        <v>45561.62141203704</v>
      </c>
      <c r="C1051" s="1" t="n">
        <v>46130</v>
      </c>
      <c r="D1051" t="inlineStr">
        <is>
          <t>STOCKHOLMS LÄN</t>
        </is>
      </c>
      <c r="E1051" t="inlineStr">
        <is>
          <t>NORRTÄLJE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46130</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30886-2022</t>
        </is>
      </c>
      <c r="B1053" s="1" t="n">
        <v>44767.60601851852</v>
      </c>
      <c r="C1053" s="1" t="n">
        <v>46130</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58989-2021</t>
        </is>
      </c>
      <c r="B1054" s="1" t="n">
        <v>44490.02482638889</v>
      </c>
      <c r="C1054" s="1" t="n">
        <v>46130</v>
      </c>
      <c r="D1054" t="inlineStr">
        <is>
          <t>STOCKHOLMS LÄN</t>
        </is>
      </c>
      <c r="E1054" t="inlineStr">
        <is>
          <t>NORRTÄLJE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58990-2021</t>
        </is>
      </c>
      <c r="B1055" s="1" t="n">
        <v>44490.03621527777</v>
      </c>
      <c r="C1055" s="1" t="n">
        <v>46130</v>
      </c>
      <c r="D1055" t="inlineStr">
        <is>
          <t>STOCKHOLMS LÄN</t>
        </is>
      </c>
      <c r="E1055" t="inlineStr">
        <is>
          <t>NORRTÄLJE</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11940-2023</t>
        </is>
      </c>
      <c r="B1056" s="1" t="n">
        <v>44995</v>
      </c>
      <c r="C1056" s="1" t="n">
        <v>46130</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29266-2022</t>
        </is>
      </c>
      <c r="B1057" s="1" t="n">
        <v>44750.66068287037</v>
      </c>
      <c r="C1057" s="1" t="n">
        <v>46130</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29278-2022</t>
        </is>
      </c>
      <c r="B1058" s="1" t="n">
        <v>44750</v>
      </c>
      <c r="C1058" s="1" t="n">
        <v>46130</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6401-2024</t>
        </is>
      </c>
      <c r="B1059" s="1" t="n">
        <v>45338</v>
      </c>
      <c r="C1059" s="1" t="n">
        <v>46130</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24501-2023</t>
        </is>
      </c>
      <c r="B1060" s="1" t="n">
        <v>45082</v>
      </c>
      <c r="C1060" s="1" t="n">
        <v>46130</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24520-2023</t>
        </is>
      </c>
      <c r="B1061" s="1" t="n">
        <v>45082.68922453704</v>
      </c>
      <c r="C1061" s="1" t="n">
        <v>46130</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38612-2022</t>
        </is>
      </c>
      <c r="B1062" s="1" t="n">
        <v>44813</v>
      </c>
      <c r="C1062" s="1" t="n">
        <v>46130</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33040-2021</t>
        </is>
      </c>
      <c r="B1063" s="1" t="n">
        <v>44376.50728009259</v>
      </c>
      <c r="C1063" s="1" t="n">
        <v>46130</v>
      </c>
      <c r="D1063" t="inlineStr">
        <is>
          <t>STOCKHOLMS LÄN</t>
        </is>
      </c>
      <c r="E1063" t="inlineStr">
        <is>
          <t>NORRTÄLJE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26117-2024</t>
        </is>
      </c>
      <c r="B1064" s="1" t="n">
        <v>45468.45877314815</v>
      </c>
      <c r="C1064" s="1" t="n">
        <v>46130</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61113-2023</t>
        </is>
      </c>
      <c r="B1065" s="1" t="n">
        <v>45261</v>
      </c>
      <c r="C1065" s="1" t="n">
        <v>46130</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60822-2023</t>
        </is>
      </c>
      <c r="B1066" s="1" t="n">
        <v>45259</v>
      </c>
      <c r="C1066" s="1" t="n">
        <v>46130</v>
      </c>
      <c r="D1066" t="inlineStr">
        <is>
          <t>STOCKHOLMS LÄN</t>
        </is>
      </c>
      <c r="E1066" t="inlineStr">
        <is>
          <t>NORRTÄLJE</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59310-2023</t>
        </is>
      </c>
      <c r="B1067" s="1" t="n">
        <v>45253.61146990741</v>
      </c>
      <c r="C1067" s="1" t="n">
        <v>46130</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20343-2024</t>
        </is>
      </c>
      <c r="B1068" s="1" t="n">
        <v>45435.43466435185</v>
      </c>
      <c r="C1068" s="1" t="n">
        <v>46130</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20345-2024</t>
        </is>
      </c>
      <c r="B1069" s="1" t="n">
        <v>45435.43820601852</v>
      </c>
      <c r="C1069" s="1" t="n">
        <v>46130</v>
      </c>
      <c r="D1069" t="inlineStr">
        <is>
          <t>STOCKHOLMS LÄN</t>
        </is>
      </c>
      <c r="E1069" t="inlineStr">
        <is>
          <t>NORRTÄLJE</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55010-2024</t>
        </is>
      </c>
      <c r="B1070" s="1" t="n">
        <v>45621.34425925926</v>
      </c>
      <c r="C1070" s="1" t="n">
        <v>46130</v>
      </c>
      <c r="D1070" t="inlineStr">
        <is>
          <t>STOCKHOLMS LÄN</t>
        </is>
      </c>
      <c r="E1070" t="inlineStr">
        <is>
          <t>NORRTÄLJE</t>
        </is>
      </c>
      <c r="F1070" t="inlineStr">
        <is>
          <t>Sveaskog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55018-2024</t>
        </is>
      </c>
      <c r="B1071" s="1" t="n">
        <v>45621.35712962963</v>
      </c>
      <c r="C1071" s="1" t="n">
        <v>46130</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50113-2024</t>
        </is>
      </c>
      <c r="B1072" s="1" t="n">
        <v>45600.411875</v>
      </c>
      <c r="C1072" s="1" t="n">
        <v>46130</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20336-2024</t>
        </is>
      </c>
      <c r="B1073" s="1" t="n">
        <v>45435.43123842592</v>
      </c>
      <c r="C1073" s="1" t="n">
        <v>46130</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64899-2023</t>
        </is>
      </c>
      <c r="B1074" s="1" t="n">
        <v>45282</v>
      </c>
      <c r="C1074" s="1" t="n">
        <v>46130</v>
      </c>
      <c r="D1074" t="inlineStr">
        <is>
          <t>STOCKHOLMS LÄN</t>
        </is>
      </c>
      <c r="E1074" t="inlineStr">
        <is>
          <t>NORRTÄLJE</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1847-2023</t>
        </is>
      </c>
      <c r="B1075" s="1" t="n">
        <v>44938</v>
      </c>
      <c r="C1075" s="1" t="n">
        <v>46130</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46130</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20291-2022</t>
        </is>
      </c>
      <c r="B1077" s="1" t="n">
        <v>44698</v>
      </c>
      <c r="C1077" s="1" t="n">
        <v>46130</v>
      </c>
      <c r="D1077" t="inlineStr">
        <is>
          <t>STOCKHOLMS LÄN</t>
        </is>
      </c>
      <c r="E1077" t="inlineStr">
        <is>
          <t>NORRTÄLJE</t>
        </is>
      </c>
      <c r="F1077" t="inlineStr">
        <is>
          <t>Naturvårdsverket</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12302-2025</t>
        </is>
      </c>
      <c r="B1078" s="1" t="n">
        <v>45729.72851851852</v>
      </c>
      <c r="C1078" s="1" t="n">
        <v>46130</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31926-2022</t>
        </is>
      </c>
      <c r="B1079" s="1" t="n">
        <v>44777</v>
      </c>
      <c r="C1079" s="1" t="n">
        <v>46130</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1425-2025</t>
        </is>
      </c>
      <c r="B1080" s="1" t="n">
        <v>45668.67446759259</v>
      </c>
      <c r="C1080" s="1" t="n">
        <v>46130</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1453-2025</t>
        </is>
      </c>
      <c r="B1081" s="1" t="n">
        <v>45670.3079050926</v>
      </c>
      <c r="C1081" s="1" t="n">
        <v>46130</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13860-2023</t>
        </is>
      </c>
      <c r="B1082" s="1" t="n">
        <v>45007</v>
      </c>
      <c r="C1082" s="1" t="n">
        <v>46130</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6070-2022</t>
        </is>
      </c>
      <c r="B1083" s="1" t="n">
        <v>44599.58428240741</v>
      </c>
      <c r="C1083" s="1" t="n">
        <v>46130</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9130-2025</t>
        </is>
      </c>
      <c r="B1084" s="1" t="n">
        <v>45713.92623842593</v>
      </c>
      <c r="C1084" s="1" t="n">
        <v>46130</v>
      </c>
      <c r="D1084" t="inlineStr">
        <is>
          <t>STOCKHOLMS LÄN</t>
        </is>
      </c>
      <c r="E1084" t="inlineStr">
        <is>
          <t>NORRTÄLJE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27828-2022</t>
        </is>
      </c>
      <c r="B1085" s="1" t="n">
        <v>44743.59765046297</v>
      </c>
      <c r="C1085" s="1" t="n">
        <v>46130</v>
      </c>
      <c r="D1085" t="inlineStr">
        <is>
          <t>STOCKHOLMS LÄN</t>
        </is>
      </c>
      <c r="E1085" t="inlineStr">
        <is>
          <t>NORRTÄLJE</t>
        </is>
      </c>
      <c r="F1085" t="inlineStr">
        <is>
          <t>Kommuner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59873-2024</t>
        </is>
      </c>
      <c r="B1086" s="1" t="n">
        <v>45640.57305555556</v>
      </c>
      <c r="C1086" s="1" t="n">
        <v>46130</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22412-2021</t>
        </is>
      </c>
      <c r="B1087" s="1" t="n">
        <v>44326.61967592593</v>
      </c>
      <c r="C1087" s="1" t="n">
        <v>46130</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48161-2022</t>
        </is>
      </c>
      <c r="B1088" s="1" t="n">
        <v>44858</v>
      </c>
      <c r="C1088" s="1" t="n">
        <v>46130</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43150-2023</t>
        </is>
      </c>
      <c r="B1089" s="1" t="n">
        <v>45183</v>
      </c>
      <c r="C1089" s="1" t="n">
        <v>46130</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59534-2024</t>
        </is>
      </c>
      <c r="B1090" s="1" t="n">
        <v>45638.5987037037</v>
      </c>
      <c r="C1090" s="1" t="n">
        <v>46130</v>
      </c>
      <c r="D1090" t="inlineStr">
        <is>
          <t>STOCKHOLMS LÄN</t>
        </is>
      </c>
      <c r="E1090" t="inlineStr">
        <is>
          <t>NORRTÄLJE</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23307-2024</t>
        </is>
      </c>
      <c r="B1091" s="1" t="n">
        <v>45453</v>
      </c>
      <c r="C1091" s="1" t="n">
        <v>46130</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19450-2025</t>
        </is>
      </c>
      <c r="B1092" s="1" t="n">
        <v>45770</v>
      </c>
      <c r="C1092" s="1" t="n">
        <v>46130</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2281-2024</t>
        </is>
      </c>
      <c r="B1093" s="1" t="n">
        <v>45310.40628472222</v>
      </c>
      <c r="C1093" s="1" t="n">
        <v>46130</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2287-2024</t>
        </is>
      </c>
      <c r="B1094" s="1" t="n">
        <v>45310</v>
      </c>
      <c r="C1094" s="1" t="n">
        <v>46130</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20618-2022</t>
        </is>
      </c>
      <c r="B1095" s="1" t="n">
        <v>44700.50659722222</v>
      </c>
      <c r="C1095" s="1" t="n">
        <v>46130</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59504-2023</t>
        </is>
      </c>
      <c r="B1096" s="1" t="n">
        <v>45254</v>
      </c>
      <c r="C1096" s="1" t="n">
        <v>46130</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25656-2023</t>
        </is>
      </c>
      <c r="B1097" s="1" t="n">
        <v>45089</v>
      </c>
      <c r="C1097" s="1" t="n">
        <v>46130</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38049-2023</t>
        </is>
      </c>
      <c r="B1098" s="1" t="n">
        <v>45159</v>
      </c>
      <c r="C1098" s="1" t="n">
        <v>46130</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3966-2024</t>
        </is>
      </c>
      <c r="B1099" s="1" t="n">
        <v>45322</v>
      </c>
      <c r="C1099" s="1" t="n">
        <v>46130</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17348-2024</t>
        </is>
      </c>
      <c r="B1100" s="1" t="n">
        <v>45414.58650462963</v>
      </c>
      <c r="C1100" s="1" t="n">
        <v>46130</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38591-2023</t>
        </is>
      </c>
      <c r="B1101" s="1" t="n">
        <v>45162</v>
      </c>
      <c r="C1101" s="1" t="n">
        <v>46130</v>
      </c>
      <c r="D1101" t="inlineStr">
        <is>
          <t>STOCKHOLMS LÄN</t>
        </is>
      </c>
      <c r="E1101" t="inlineStr">
        <is>
          <t>NORRTÄLJE</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3273-2025</t>
        </is>
      </c>
      <c r="B1102" s="1" t="n">
        <v>45679</v>
      </c>
      <c r="C1102" s="1" t="n">
        <v>46130</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34461-2023</t>
        </is>
      </c>
      <c r="B1103" s="1" t="n">
        <v>45139</v>
      </c>
      <c r="C1103" s="1" t="n">
        <v>46130</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15217-2023</t>
        </is>
      </c>
      <c r="B1104" s="1" t="n">
        <v>45019.28847222222</v>
      </c>
      <c r="C1104" s="1" t="n">
        <v>46130</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24522-2023</t>
        </is>
      </c>
      <c r="B1105" s="1" t="n">
        <v>45082.69179398148</v>
      </c>
      <c r="C1105" s="1" t="n">
        <v>46130</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29176-2024</t>
        </is>
      </c>
      <c r="B1106" s="1" t="n">
        <v>45482.53388888889</v>
      </c>
      <c r="C1106" s="1" t="n">
        <v>46130</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4596-2023</t>
        </is>
      </c>
      <c r="B1107" s="1" t="n">
        <v>44956</v>
      </c>
      <c r="C1107" s="1" t="n">
        <v>46130</v>
      </c>
      <c r="D1107" t="inlineStr">
        <is>
          <t>STOCKHOLMS LÄN</t>
        </is>
      </c>
      <c r="E1107" t="inlineStr">
        <is>
          <t>NORRTÄLJE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4438-2023</t>
        </is>
      </c>
      <c r="B1108" s="1" t="n">
        <v>44956</v>
      </c>
      <c r="C1108" s="1" t="n">
        <v>46130</v>
      </c>
      <c r="D1108" t="inlineStr">
        <is>
          <t>STOCKHOLMS LÄN</t>
        </is>
      </c>
      <c r="E1108" t="inlineStr">
        <is>
          <t>NORRTÄLJE</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24727-2023</t>
        </is>
      </c>
      <c r="B1109" s="1" t="n">
        <v>45084.57695601852</v>
      </c>
      <c r="C1109" s="1" t="n">
        <v>46130</v>
      </c>
      <c r="D1109" t="inlineStr">
        <is>
          <t>STOCKHOLMS LÄN</t>
        </is>
      </c>
      <c r="E1109" t="inlineStr">
        <is>
          <t>NORRTÄLJE</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59904-2023</t>
        </is>
      </c>
      <c r="B1110" s="1" t="n">
        <v>45257</v>
      </c>
      <c r="C1110" s="1" t="n">
        <v>46130</v>
      </c>
      <c r="D1110" t="inlineStr">
        <is>
          <t>STOCKHOLMS LÄN</t>
        </is>
      </c>
      <c r="E1110" t="inlineStr">
        <is>
          <t>NORRTÄLJE</t>
        </is>
      </c>
      <c r="G1110" t="n">
        <v>17.4</v>
      </c>
      <c r="H1110" t="n">
        <v>0</v>
      </c>
      <c r="I1110" t="n">
        <v>0</v>
      </c>
      <c r="J1110" t="n">
        <v>0</v>
      </c>
      <c r="K1110" t="n">
        <v>0</v>
      </c>
      <c r="L1110" t="n">
        <v>0</v>
      </c>
      <c r="M1110" t="n">
        <v>0</v>
      </c>
      <c r="N1110" t="n">
        <v>0</v>
      </c>
      <c r="O1110" t="n">
        <v>0</v>
      </c>
      <c r="P1110" t="n">
        <v>0</v>
      </c>
      <c r="Q1110" t="n">
        <v>0</v>
      </c>
      <c r="R1110" s="2" t="inlineStr"/>
    </row>
    <row r="1111" ht="15" customHeight="1">
      <c r="A1111" t="inlineStr">
        <is>
          <t>A 36308-2022</t>
        </is>
      </c>
      <c r="B1111" s="1" t="n">
        <v>44803</v>
      </c>
      <c r="C1111" s="1" t="n">
        <v>46130</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18787-2022</t>
        </is>
      </c>
      <c r="B1112" s="1" t="n">
        <v>44687</v>
      </c>
      <c r="C1112" s="1" t="n">
        <v>46130</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50108-2021</t>
        </is>
      </c>
      <c r="B1113" s="1" t="n">
        <v>44456</v>
      </c>
      <c r="C1113" s="1" t="n">
        <v>46130</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25621-2022</t>
        </is>
      </c>
      <c r="B1114" s="1" t="n">
        <v>44732</v>
      </c>
      <c r="C1114" s="1" t="n">
        <v>46130</v>
      </c>
      <c r="D1114" t="inlineStr">
        <is>
          <t>STOCKHOLMS LÄN</t>
        </is>
      </c>
      <c r="E1114" t="inlineStr">
        <is>
          <t>NORRTÄLJE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20304-2023</t>
        </is>
      </c>
      <c r="B1115" s="1" t="n">
        <v>45056</v>
      </c>
      <c r="C1115" s="1" t="n">
        <v>46130</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35235-2024</t>
        </is>
      </c>
      <c r="B1116" s="1" t="n">
        <v>45530</v>
      </c>
      <c r="C1116" s="1" t="n">
        <v>46130</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51061-2023</t>
        </is>
      </c>
      <c r="B1117" s="1" t="n">
        <v>45218.65849537037</v>
      </c>
      <c r="C1117" s="1" t="n">
        <v>46130</v>
      </c>
      <c r="D1117" t="inlineStr">
        <is>
          <t>STOCKHOLMS LÄN</t>
        </is>
      </c>
      <c r="E1117" t="inlineStr">
        <is>
          <t>NORRTÄLJE</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39213-2022</t>
        </is>
      </c>
      <c r="B1118" s="1" t="n">
        <v>44817.56120370371</v>
      </c>
      <c r="C1118" s="1" t="n">
        <v>46130</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36246-2021</t>
        </is>
      </c>
      <c r="B1119" s="1" t="n">
        <v>44390</v>
      </c>
      <c r="C1119" s="1" t="n">
        <v>46130</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46130</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11041-2025</t>
        </is>
      </c>
      <c r="B1121" s="1" t="n">
        <v>45723</v>
      </c>
      <c r="C1121" s="1" t="n">
        <v>46130</v>
      </c>
      <c r="D1121" t="inlineStr">
        <is>
          <t>STOCKHOLMS LÄN</t>
        </is>
      </c>
      <c r="E1121" t="inlineStr">
        <is>
          <t>NORRTÄLJE</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44917-2022</t>
        </is>
      </c>
      <c r="B1122" s="1" t="n">
        <v>44841.52804398148</v>
      </c>
      <c r="C1122" s="1" t="n">
        <v>46130</v>
      </c>
      <c r="D1122" t="inlineStr">
        <is>
          <t>STOCKHOLMS LÄN</t>
        </is>
      </c>
      <c r="E1122" t="inlineStr">
        <is>
          <t>NORRTÄLJE</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33173-2024</t>
        </is>
      </c>
      <c r="B1123" s="1" t="n">
        <v>45518</v>
      </c>
      <c r="C1123" s="1" t="n">
        <v>46130</v>
      </c>
      <c r="D1123" t="inlineStr">
        <is>
          <t>STOCKHOLMS LÄN</t>
        </is>
      </c>
      <c r="E1123" t="inlineStr">
        <is>
          <t>NORRTÄLJE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17551-2025</t>
        </is>
      </c>
      <c r="B1124" s="1" t="n">
        <v>45757.61421296297</v>
      </c>
      <c r="C1124" s="1" t="n">
        <v>46130</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10678-2025</t>
        </is>
      </c>
      <c r="B1125" s="1" t="n">
        <v>45721.89123842592</v>
      </c>
      <c r="C1125" s="1" t="n">
        <v>46130</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8370-2025</t>
        </is>
      </c>
      <c r="B1126" s="1" t="n">
        <v>45708</v>
      </c>
      <c r="C1126" s="1" t="n">
        <v>46130</v>
      </c>
      <c r="D1126" t="inlineStr">
        <is>
          <t>STOCKHOLMS LÄN</t>
        </is>
      </c>
      <c r="E1126" t="inlineStr">
        <is>
          <t>NORRTÄLJE</t>
        </is>
      </c>
      <c r="F1126" t="inlineStr">
        <is>
          <t>Övriga Aktiebolag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951-2023</t>
        </is>
      </c>
      <c r="B1127" s="1" t="n">
        <v>44934</v>
      </c>
      <c r="C1127" s="1" t="n">
        <v>46130</v>
      </c>
      <c r="D1127" t="inlineStr">
        <is>
          <t>STOCKHOLMS LÄN</t>
        </is>
      </c>
      <c r="E1127" t="inlineStr">
        <is>
          <t>NORRTÄLJE</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32100-2022</t>
        </is>
      </c>
      <c r="B1128" s="1" t="n">
        <v>44778</v>
      </c>
      <c r="C1128" s="1" t="n">
        <v>46130</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2888-2022</t>
        </is>
      </c>
      <c r="B1129" s="1" t="n">
        <v>44581</v>
      </c>
      <c r="C1129" s="1" t="n">
        <v>46130</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11902-2024</t>
        </is>
      </c>
      <c r="B1130" s="1" t="n">
        <v>45376.55704861111</v>
      </c>
      <c r="C1130" s="1" t="n">
        <v>46130</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13-2024</t>
        </is>
      </c>
      <c r="B1131" s="1" t="n">
        <v>45293.37263888889</v>
      </c>
      <c r="C1131" s="1" t="n">
        <v>46130</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58260-2023</t>
        </is>
      </c>
      <c r="B1132" s="1" t="n">
        <v>45245</v>
      </c>
      <c r="C1132" s="1" t="n">
        <v>46130</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58261-2023</t>
        </is>
      </c>
      <c r="B1133" s="1" t="n">
        <v>45245</v>
      </c>
      <c r="C1133" s="1" t="n">
        <v>46130</v>
      </c>
      <c r="D1133" t="inlineStr">
        <is>
          <t>STOCKHOLMS LÄN</t>
        </is>
      </c>
      <c r="E1133" t="inlineStr">
        <is>
          <t>NORRTÄLJE</t>
        </is>
      </c>
      <c r="G1133" t="n">
        <v>53.5</v>
      </c>
      <c r="H1133" t="n">
        <v>0</v>
      </c>
      <c r="I1133" t="n">
        <v>0</v>
      </c>
      <c r="J1133" t="n">
        <v>0</v>
      </c>
      <c r="K1133" t="n">
        <v>0</v>
      </c>
      <c r="L1133" t="n">
        <v>0</v>
      </c>
      <c r="M1133" t="n">
        <v>0</v>
      </c>
      <c r="N1133" t="n">
        <v>0</v>
      </c>
      <c r="O1133" t="n">
        <v>0</v>
      </c>
      <c r="P1133" t="n">
        <v>0</v>
      </c>
      <c r="Q1133" t="n">
        <v>0</v>
      </c>
      <c r="R1133" s="2" t="inlineStr"/>
    </row>
    <row r="1134" ht="15" customHeight="1">
      <c r="A1134" t="inlineStr">
        <is>
          <t>A 4553-2023</t>
        </is>
      </c>
      <c r="B1134" s="1" t="n">
        <v>44956.65920138889</v>
      </c>
      <c r="C1134" s="1" t="n">
        <v>46130</v>
      </c>
      <c r="D1134" t="inlineStr">
        <is>
          <t>STOCKHOLMS LÄN</t>
        </is>
      </c>
      <c r="E1134" t="inlineStr">
        <is>
          <t>NORRTÄLJE</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875-2023</t>
        </is>
      </c>
      <c r="B1135" s="1" t="n">
        <v>44931.65626157408</v>
      </c>
      <c r="C1135" s="1" t="n">
        <v>46130</v>
      </c>
      <c r="D1135" t="inlineStr">
        <is>
          <t>STOCKHOLMS LÄN</t>
        </is>
      </c>
      <c r="E1135" t="inlineStr">
        <is>
          <t>NORRTÄLJE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24575-2024</t>
        </is>
      </c>
      <c r="B1136" s="1" t="n">
        <v>45460.45523148148</v>
      </c>
      <c r="C1136" s="1" t="n">
        <v>46130</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19-2024</t>
        </is>
      </c>
      <c r="B1137" s="1" t="n">
        <v>45293</v>
      </c>
      <c r="C1137" s="1" t="n">
        <v>46130</v>
      </c>
      <c r="D1137" t="inlineStr">
        <is>
          <t>STOCKHOLMS LÄN</t>
        </is>
      </c>
      <c r="E1137" t="inlineStr">
        <is>
          <t>NORRTÄLJE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11333-2025</t>
        </is>
      </c>
      <c r="B1138" s="1" t="n">
        <v>45726.48377314815</v>
      </c>
      <c r="C1138" s="1" t="n">
        <v>46130</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21529-2021</t>
        </is>
      </c>
      <c r="B1139" s="1" t="n">
        <v>44321</v>
      </c>
      <c r="C1139" s="1" t="n">
        <v>46130</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31827-2023</t>
        </is>
      </c>
      <c r="B1140" s="1" t="n">
        <v>45118</v>
      </c>
      <c r="C1140" s="1" t="n">
        <v>46130</v>
      </c>
      <c r="D1140" t="inlineStr">
        <is>
          <t>STOCKHOLMS LÄN</t>
        </is>
      </c>
      <c r="E1140" t="inlineStr">
        <is>
          <t>NORRTÄLJE</t>
        </is>
      </c>
      <c r="F1140" t="inlineStr">
        <is>
          <t>Kyrkan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10973-2025</t>
        </is>
      </c>
      <c r="B1141" s="1" t="n">
        <v>45723</v>
      </c>
      <c r="C1141" s="1" t="n">
        <v>46130</v>
      </c>
      <c r="D1141" t="inlineStr">
        <is>
          <t>STOCKHOLMS LÄN</t>
        </is>
      </c>
      <c r="E1141" t="inlineStr">
        <is>
          <t>NORRTÄLJE</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54496-2024</t>
        </is>
      </c>
      <c r="B1142" s="1" t="n">
        <v>45617.57439814815</v>
      </c>
      <c r="C1142" s="1" t="n">
        <v>46130</v>
      </c>
      <c r="D1142" t="inlineStr">
        <is>
          <t>STOCKHOLMS LÄN</t>
        </is>
      </c>
      <c r="E1142" t="inlineStr">
        <is>
          <t>NORRTÄLJE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7796-2025</t>
        </is>
      </c>
      <c r="B1143" s="1" t="n">
        <v>45706.60130787037</v>
      </c>
      <c r="C1143" s="1" t="n">
        <v>46130</v>
      </c>
      <c r="D1143" t="inlineStr">
        <is>
          <t>STOCKHOLMS LÄN</t>
        </is>
      </c>
      <c r="E1143" t="inlineStr">
        <is>
          <t>NORRTÄLJE</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59767-2022</t>
        </is>
      </c>
      <c r="B1144" s="1" t="n">
        <v>44900</v>
      </c>
      <c r="C1144" s="1" t="n">
        <v>46130</v>
      </c>
      <c r="D1144" t="inlineStr">
        <is>
          <t>STOCKHOLMS LÄN</t>
        </is>
      </c>
      <c r="E1144" t="inlineStr">
        <is>
          <t>NORRTÄLJE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22756-2022</t>
        </is>
      </c>
      <c r="B1145" s="1" t="n">
        <v>44714.92253472222</v>
      </c>
      <c r="C1145" s="1" t="n">
        <v>46130</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58311-2023</t>
        </is>
      </c>
      <c r="B1146" s="1" t="n">
        <v>45245</v>
      </c>
      <c r="C1146" s="1" t="n">
        <v>46130</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8739-2024</t>
        </is>
      </c>
      <c r="B1147" s="1" t="n">
        <v>45356.47784722222</v>
      </c>
      <c r="C1147" s="1" t="n">
        <v>46130</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26640-2023</t>
        </is>
      </c>
      <c r="B1148" s="1" t="n">
        <v>45092</v>
      </c>
      <c r="C1148" s="1" t="n">
        <v>46130</v>
      </c>
      <c r="D1148" t="inlineStr">
        <is>
          <t>STOCKHOLMS LÄN</t>
        </is>
      </c>
      <c r="E1148" t="inlineStr">
        <is>
          <t>NORRTÄLJE</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62765-2022</t>
        </is>
      </c>
      <c r="B1149" s="1" t="n">
        <v>44637</v>
      </c>
      <c r="C1149" s="1" t="n">
        <v>46130</v>
      </c>
      <c r="D1149" t="inlineStr">
        <is>
          <t>STOCKHOLMS LÄN</t>
        </is>
      </c>
      <c r="E1149" t="inlineStr">
        <is>
          <t>NORRTÄLJE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38990-2022</t>
        </is>
      </c>
      <c r="B1150" s="1" t="n">
        <v>44816</v>
      </c>
      <c r="C1150" s="1" t="n">
        <v>46130</v>
      </c>
      <c r="D1150" t="inlineStr">
        <is>
          <t>STOCKHOLMS LÄN</t>
        </is>
      </c>
      <c r="E1150" t="inlineStr">
        <is>
          <t>NORRTÄLJE</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17545-2025</t>
        </is>
      </c>
      <c r="B1151" s="1" t="n">
        <v>45757.60658564815</v>
      </c>
      <c r="C1151" s="1" t="n">
        <v>46130</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17956-2025</t>
        </is>
      </c>
      <c r="B1152" s="1" t="n">
        <v>45760.91174768518</v>
      </c>
      <c r="C1152" s="1" t="n">
        <v>46130</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23265-2023</t>
        </is>
      </c>
      <c r="B1153" s="1" t="n">
        <v>45075.90703703704</v>
      </c>
      <c r="C1153" s="1" t="n">
        <v>46130</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30268-2024</t>
        </is>
      </c>
      <c r="B1154" s="1" t="n">
        <v>45490.60572916667</v>
      </c>
      <c r="C1154" s="1" t="n">
        <v>46130</v>
      </c>
      <c r="D1154" t="inlineStr">
        <is>
          <t>STOCKHOLMS LÄN</t>
        </is>
      </c>
      <c r="E1154" t="inlineStr">
        <is>
          <t>NORRTÄLJE</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59535-2024</t>
        </is>
      </c>
      <c r="B1155" s="1" t="n">
        <v>45638.59979166667</v>
      </c>
      <c r="C1155" s="1" t="n">
        <v>46130</v>
      </c>
      <c r="D1155" t="inlineStr">
        <is>
          <t>STOCKHOLMS LÄN</t>
        </is>
      </c>
      <c r="E1155" t="inlineStr">
        <is>
          <t>NORRTÄLJE</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9246-2024</t>
        </is>
      </c>
      <c r="B1156" s="1" t="n">
        <v>45357</v>
      </c>
      <c r="C1156" s="1" t="n">
        <v>46130</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45058.78607638889</v>
      </c>
      <c r="C1157" s="1" t="n">
        <v>46130</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50355-2024</t>
        </is>
      </c>
      <c r="B1158" s="1" t="n">
        <v>45600.86128472222</v>
      </c>
      <c r="C1158" s="1" t="n">
        <v>46130</v>
      </c>
      <c r="D1158" t="inlineStr">
        <is>
          <t>STOCKHOLMS LÄN</t>
        </is>
      </c>
      <c r="E1158" t="inlineStr">
        <is>
          <t>NORRTÄLJE</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60694-2024</t>
        </is>
      </c>
      <c r="B1159" s="1" t="n">
        <v>45644.47878472223</v>
      </c>
      <c r="C1159" s="1" t="n">
        <v>46130</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25094-2023</t>
        </is>
      </c>
      <c r="B1160" s="1" t="n">
        <v>45086.3629050926</v>
      </c>
      <c r="C1160" s="1" t="n">
        <v>46130</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59276-2023</t>
        </is>
      </c>
      <c r="B1161" s="1" t="n">
        <v>45253.55641203704</v>
      </c>
      <c r="C1161" s="1" t="n">
        <v>46130</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13767-2025</t>
        </is>
      </c>
      <c r="B1162" s="1" t="n">
        <v>45737.43347222222</v>
      </c>
      <c r="C1162" s="1" t="n">
        <v>46130</v>
      </c>
      <c r="D1162" t="inlineStr">
        <is>
          <t>STOCKHOLMS LÄN</t>
        </is>
      </c>
      <c r="E1162" t="inlineStr">
        <is>
          <t>NORRTÄLJE</t>
        </is>
      </c>
      <c r="F1162" t="inlineStr">
        <is>
          <t>Holmen skog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41587-2023</t>
        </is>
      </c>
      <c r="B1163" s="1" t="n">
        <v>45175</v>
      </c>
      <c r="C1163" s="1" t="n">
        <v>46130</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27381-2024</t>
        </is>
      </c>
      <c r="B1164" s="1" t="n">
        <v>45473.94501157408</v>
      </c>
      <c r="C1164" s="1" t="n">
        <v>46130</v>
      </c>
      <c r="D1164" t="inlineStr">
        <is>
          <t>STOCKHOLMS LÄN</t>
        </is>
      </c>
      <c r="E1164" t="inlineStr">
        <is>
          <t>NORRTÄLJE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60529-2023</t>
        </is>
      </c>
      <c r="B1165" s="1" t="n">
        <v>45259</v>
      </c>
      <c r="C1165" s="1" t="n">
        <v>46130</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59326-2023</t>
        </is>
      </c>
      <c r="B1166" s="1" t="n">
        <v>45253.63089120371</v>
      </c>
      <c r="C1166" s="1" t="n">
        <v>46130</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20790-2025</t>
        </is>
      </c>
      <c r="B1167" s="1" t="n">
        <v>45776.62563657408</v>
      </c>
      <c r="C1167" s="1" t="n">
        <v>46130</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3152-2024</t>
        </is>
      </c>
      <c r="B1168" s="1" t="n">
        <v>45316.60306712963</v>
      </c>
      <c r="C1168" s="1" t="n">
        <v>46130</v>
      </c>
      <c r="D1168" t="inlineStr">
        <is>
          <t>STOCKHOLMS LÄN</t>
        </is>
      </c>
      <c r="E1168" t="inlineStr">
        <is>
          <t>NORRTÄLJE</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20699-2025</t>
        </is>
      </c>
      <c r="B1169" s="1" t="n">
        <v>45776.47346064815</v>
      </c>
      <c r="C1169" s="1" t="n">
        <v>46130</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20779-2025</t>
        </is>
      </c>
      <c r="B1170" s="1" t="n">
        <v>45776.59871527777</v>
      </c>
      <c r="C1170" s="1" t="n">
        <v>46130</v>
      </c>
      <c r="D1170" t="inlineStr">
        <is>
          <t>STOCKHOLMS LÄN</t>
        </is>
      </c>
      <c r="E1170" t="inlineStr">
        <is>
          <t>NORRTÄLJE</t>
        </is>
      </c>
      <c r="G1170" t="n">
        <v>6.9</v>
      </c>
      <c r="H1170" t="n">
        <v>0</v>
      </c>
      <c r="I1170" t="n">
        <v>0</v>
      </c>
      <c r="J1170" t="n">
        <v>0</v>
      </c>
      <c r="K1170" t="n">
        <v>0</v>
      </c>
      <c r="L1170" t="n">
        <v>0</v>
      </c>
      <c r="M1170" t="n">
        <v>0</v>
      </c>
      <c r="N1170" t="n">
        <v>0</v>
      </c>
      <c r="O1170" t="n">
        <v>0</v>
      </c>
      <c r="P1170" t="n">
        <v>0</v>
      </c>
      <c r="Q1170" t="n">
        <v>0</v>
      </c>
      <c r="R1170" s="2" t="inlineStr"/>
    </row>
    <row r="1171">
      <c r="A1171" t="inlineStr">
        <is>
          <t>A 44836-2023</t>
        </is>
      </c>
      <c r="B1171" s="1" t="n">
        <v>45190.55609953704</v>
      </c>
      <c r="C1171" s="1" t="n">
        <v>46130</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2026-04-18T10:26:45Z</dcterms:created>
  <dcterms:modified xmlns:dcterms="http://purl.org/dc/terms/" xmlns:xsi="http://www.w3.org/2001/XMLSchema-instance" xsi:type="dcterms:W3CDTF">2026-04-18T10:26:46Z</dcterms:modified>
</cp:coreProperties>
</file>