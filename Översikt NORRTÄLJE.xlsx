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46108</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46108</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46108</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46108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46108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46108</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46108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46108</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46108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46108</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46108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46108</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46108</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46108</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46108</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46108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46108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46108</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46108</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46108</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46108</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46108</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15278-2024</t>
        </is>
      </c>
      <c r="B33" s="1" t="n">
        <v>45400.5958912037</v>
      </c>
      <c r="C33" s="1" t="n">
        <v>46108</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47346-2021</t>
        </is>
      </c>
      <c r="B34" s="1" t="n">
        <v>44447</v>
      </c>
      <c r="C34" s="1" t="n">
        <v>46108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46108</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46108</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46108</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46108</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46108</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3444-2023</t>
        </is>
      </c>
      <c r="B40" s="1" t="n">
        <v>44949</v>
      </c>
      <c r="C40" s="1" t="n">
        <v>46108</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72111-2021</t>
        </is>
      </c>
      <c r="B41" s="1" t="n">
        <v>44544</v>
      </c>
      <c r="C41" s="1" t="n">
        <v>46108</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56791-2025</t>
        </is>
      </c>
      <c r="B42" s="1" t="n">
        <v>45978</v>
      </c>
      <c r="C42" s="1" t="n">
        <v>46108</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15804-2025</t>
        </is>
      </c>
      <c r="B43" s="1" t="n">
        <v>45748.6521875</v>
      </c>
      <c r="C43" s="1" t="n">
        <v>46108</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46108</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46108</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46108</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46108</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72305-2021</t>
        </is>
      </c>
      <c r="B48" s="1" t="n">
        <v>44545</v>
      </c>
      <c r="C48" s="1" t="n">
        <v>46108</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47212-2025</t>
        </is>
      </c>
      <c r="B49" s="1" t="n">
        <v>45930</v>
      </c>
      <c r="C49" s="1" t="n">
        <v>46108</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21730-2025</t>
        </is>
      </c>
      <c r="B50" s="1" t="n">
        <v>45783.58123842593</v>
      </c>
      <c r="C50" s="1" t="n">
        <v>46108</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25687-2025</t>
        </is>
      </c>
      <c r="B51" s="1" t="n">
        <v>45800</v>
      </c>
      <c r="C51" s="1" t="n">
        <v>46108</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24052-2021</t>
        </is>
      </c>
      <c r="B52" s="1" t="n">
        <v>44336</v>
      </c>
      <c r="C52" s="1" t="n">
        <v>46108</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34521-2025</t>
        </is>
      </c>
      <c r="B53" s="1" t="n">
        <v>45847.47052083333</v>
      </c>
      <c r="C53" s="1" t="n">
        <v>46108</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44709-2022</t>
        </is>
      </c>
      <c r="B54" s="1" t="n">
        <v>44839</v>
      </c>
      <c r="C54" s="1" t="n">
        <v>46108</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17673-2021</t>
        </is>
      </c>
      <c r="B55" s="1" t="n">
        <v>44300</v>
      </c>
      <c r="C55" s="1" t="n">
        <v>46108</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46108</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46108</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46108</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2851-2023</t>
        </is>
      </c>
      <c r="B59" s="1" t="n">
        <v>44945</v>
      </c>
      <c r="C59" s="1" t="n">
        <v>46108</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52726-2025</t>
        </is>
      </c>
      <c r="B60" s="1" t="n">
        <v>45957.34722222222</v>
      </c>
      <c r="C60" s="1" t="n">
        <v>46108</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27870-2022</t>
        </is>
      </c>
      <c r="B61" s="1" t="n">
        <v>44743.64592592593</v>
      </c>
      <c r="C61" s="1" t="n">
        <v>46108</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50618-2022</t>
        </is>
      </c>
      <c r="B62" s="1" t="n">
        <v>44866</v>
      </c>
      <c r="C62" s="1" t="n">
        <v>46108</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54110-2024</t>
        </is>
      </c>
      <c r="B63" s="1" t="n">
        <v>45616.54866898148</v>
      </c>
      <c r="C63" s="1" t="n">
        <v>46108</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46108</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46108</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34524-2025</t>
        </is>
      </c>
      <c r="B66" s="1" t="n">
        <v>45847.47685185185</v>
      </c>
      <c r="C66" s="1" t="n">
        <v>46108</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15913-2026</t>
        </is>
      </c>
      <c r="B67" s="1" t="n">
        <v>46107.6456712963</v>
      </c>
      <c r="C67" s="1" t="n">
        <v>46108</v>
      </c>
      <c r="D67" t="inlineStr">
        <is>
          <t>STOCKHOLMS LÄN</t>
        </is>
      </c>
      <c r="E67" t="inlineStr">
        <is>
          <t>NORRTÄLJE</t>
        </is>
      </c>
      <c r="G67" t="n">
        <v>4.2</v>
      </c>
      <c r="H67" t="n">
        <v>2</v>
      </c>
      <c r="I67" t="n">
        <v>2</v>
      </c>
      <c r="J67" t="n">
        <v>0</v>
      </c>
      <c r="K67" t="n">
        <v>0</v>
      </c>
      <c r="L67" t="n">
        <v>0</v>
      </c>
      <c r="M67" t="n">
        <v>0</v>
      </c>
      <c r="N67" t="n">
        <v>0</v>
      </c>
      <c r="O67" t="n">
        <v>0</v>
      </c>
      <c r="P67" t="n">
        <v>0</v>
      </c>
      <c r="Q67" t="n">
        <v>3</v>
      </c>
      <c r="R67" s="2" t="inlineStr">
        <is>
          <t>Fjällig taggsvamp s.str.
Nästrot
Blåsippa</t>
        </is>
      </c>
      <c r="S67">
        <f>HYPERLINK("https://klasma.github.io/Logging_0188/artfynd/A 15913-2026 artfynd.xlsx", "A 15913-2026")</f>
        <v/>
      </c>
      <c r="T67">
        <f>HYPERLINK("https://klasma.github.io/Logging_0188/kartor/A 15913-2026 karta.png", "A 15913-2026")</f>
        <v/>
      </c>
      <c r="V67">
        <f>HYPERLINK("https://klasma.github.io/Logging_0188/klagomål/A 15913-2026 FSC-klagomål.docx", "A 15913-2026")</f>
        <v/>
      </c>
      <c r="W67">
        <f>HYPERLINK("https://klasma.github.io/Logging_0188/klagomålsmail/A 15913-2026 FSC-klagomål mail.docx", "A 15913-2026")</f>
        <v/>
      </c>
      <c r="X67">
        <f>HYPERLINK("https://klasma.github.io/Logging_0188/tillsyn/A 15913-2026 tillsynsbegäran.docx", "A 15913-2026")</f>
        <v/>
      </c>
      <c r="Y67">
        <f>HYPERLINK("https://klasma.github.io/Logging_0188/tillsynsmail/A 15913-2026 tillsynsbegäran mail.docx", "A 15913-2026")</f>
        <v/>
      </c>
    </row>
    <row r="68" ht="15" customHeight="1">
      <c r="A68" t="inlineStr">
        <is>
          <t>A 20185-2022</t>
        </is>
      </c>
      <c r="B68" s="1" t="n">
        <v>44698</v>
      </c>
      <c r="C68" s="1" t="n">
        <v>46108</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46108</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46108</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46108</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46108</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46108</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46108</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50697-2025</t>
        </is>
      </c>
      <c r="B75" s="1" t="n">
        <v>45945.90854166666</v>
      </c>
      <c r="C75" s="1" t="n">
        <v>46108</v>
      </c>
      <c r="D75" t="inlineStr">
        <is>
          <t>STOCKHOLMS LÄN</t>
        </is>
      </c>
      <c r="E75" t="inlineStr">
        <is>
          <t>NORRTÄLJE</t>
        </is>
      </c>
      <c r="G75" t="n">
        <v>5.5</v>
      </c>
      <c r="H75" t="n">
        <v>0</v>
      </c>
      <c r="I75" t="n">
        <v>0</v>
      </c>
      <c r="J75" t="n">
        <v>2</v>
      </c>
      <c r="K75" t="n">
        <v>0</v>
      </c>
      <c r="L75" t="n">
        <v>0</v>
      </c>
      <c r="M75" t="n">
        <v>0</v>
      </c>
      <c r="N75" t="n">
        <v>0</v>
      </c>
      <c r="O75" t="n">
        <v>2</v>
      </c>
      <c r="P75" t="n">
        <v>0</v>
      </c>
      <c r="Q75" t="n">
        <v>2</v>
      </c>
      <c r="R75" s="2" t="inlineStr">
        <is>
          <t>Skogsklocka
Småflikig brosklav</t>
        </is>
      </c>
      <c r="S75">
        <f>HYPERLINK("https://klasma.github.io/Logging_0188/artfynd/A 50697-2025 artfynd.xlsx", "A 50697-2025")</f>
        <v/>
      </c>
      <c r="T75">
        <f>HYPERLINK("https://klasma.github.io/Logging_0188/kartor/A 50697-2025 karta.png", "A 50697-2025")</f>
        <v/>
      </c>
      <c r="V75">
        <f>HYPERLINK("https://klasma.github.io/Logging_0188/klagomål/A 50697-2025 FSC-klagomål.docx", "A 50697-2025")</f>
        <v/>
      </c>
      <c r="W75">
        <f>HYPERLINK("https://klasma.github.io/Logging_0188/klagomålsmail/A 50697-2025 FSC-klagomål mail.docx", "A 50697-2025")</f>
        <v/>
      </c>
      <c r="X75">
        <f>HYPERLINK("https://klasma.github.io/Logging_0188/tillsyn/A 50697-2025 tillsynsbegäran.docx", "A 50697-2025")</f>
        <v/>
      </c>
      <c r="Y75">
        <f>HYPERLINK("https://klasma.github.io/Logging_0188/tillsynsmail/A 50697-2025 tillsynsbegäran mail.docx", "A 50697-2025")</f>
        <v/>
      </c>
    </row>
    <row r="76" ht="15" customHeight="1">
      <c r="A76" t="inlineStr">
        <is>
          <t>A 22190-2024</t>
        </is>
      </c>
      <c r="B76" s="1" t="n">
        <v>45446.35888888889</v>
      </c>
      <c r="C76" s="1" t="n">
        <v>46108</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17952-2022</t>
        </is>
      </c>
      <c r="B77" s="1" t="n">
        <v>44683</v>
      </c>
      <c r="C77" s="1" t="n">
        <v>46108</v>
      </c>
      <c r="D77" t="inlineStr">
        <is>
          <t>STOCKHOLMS LÄN</t>
        </is>
      </c>
      <c r="E77" t="inlineStr">
        <is>
          <t>NORRTÄLJE</t>
        </is>
      </c>
      <c r="G77" t="n">
        <v>51.1</v>
      </c>
      <c r="H77" t="n">
        <v>1</v>
      </c>
      <c r="I77" t="n">
        <v>0</v>
      </c>
      <c r="J77" t="n">
        <v>0</v>
      </c>
      <c r="K77" t="n">
        <v>1</v>
      </c>
      <c r="L77" t="n">
        <v>0</v>
      </c>
      <c r="M77" t="n">
        <v>0</v>
      </c>
      <c r="N77" t="n">
        <v>0</v>
      </c>
      <c r="O77" t="n">
        <v>1</v>
      </c>
      <c r="P77" t="n">
        <v>1</v>
      </c>
      <c r="Q77" t="n">
        <v>2</v>
      </c>
      <c r="R77" s="2" t="inlineStr">
        <is>
          <t>Kattunvisslare
Revlummer</t>
        </is>
      </c>
      <c r="S77">
        <f>HYPERLINK("https://klasma.github.io/Logging_0188/artfynd/A 17952-2022 artfynd.xlsx", "A 17952-2022")</f>
        <v/>
      </c>
      <c r="T77">
        <f>HYPERLINK("https://klasma.github.io/Logging_0188/kartor/A 17952-2022 karta.png", "A 17952-2022")</f>
        <v/>
      </c>
      <c r="V77">
        <f>HYPERLINK("https://klasma.github.io/Logging_0188/klagomål/A 17952-2022 FSC-klagomål.docx", "A 17952-2022")</f>
        <v/>
      </c>
      <c r="W77">
        <f>HYPERLINK("https://klasma.github.io/Logging_0188/klagomålsmail/A 17952-2022 FSC-klagomål mail.docx", "A 17952-2022")</f>
        <v/>
      </c>
      <c r="X77">
        <f>HYPERLINK("https://klasma.github.io/Logging_0188/tillsyn/A 17952-2022 tillsynsbegäran.docx", "A 17952-2022")</f>
        <v/>
      </c>
      <c r="Y77">
        <f>HYPERLINK("https://klasma.github.io/Logging_0188/tillsynsmail/A 17952-2022 tillsynsbegäran mail.docx", "A 17952-2022")</f>
        <v/>
      </c>
    </row>
    <row r="78" ht="15" customHeight="1">
      <c r="A78" t="inlineStr">
        <is>
          <t>A 51980-2022</t>
        </is>
      </c>
      <c r="B78" s="1" t="n">
        <v>44872</v>
      </c>
      <c r="C78" s="1" t="n">
        <v>46108</v>
      </c>
      <c r="D78" t="inlineStr">
        <is>
          <t>STOCKHOLMS LÄN</t>
        </is>
      </c>
      <c r="E78" t="inlineStr">
        <is>
          <t>NORRTÄLJE</t>
        </is>
      </c>
      <c r="G78" t="n">
        <v>7.9</v>
      </c>
      <c r="H78" t="n">
        <v>1</v>
      </c>
      <c r="I78" t="n">
        <v>2</v>
      </c>
      <c r="J78" t="n">
        <v>0</v>
      </c>
      <c r="K78" t="n">
        <v>0</v>
      </c>
      <c r="L78" t="n">
        <v>0</v>
      </c>
      <c r="M78" t="n">
        <v>0</v>
      </c>
      <c r="N78" t="n">
        <v>0</v>
      </c>
      <c r="O78" t="n">
        <v>0</v>
      </c>
      <c r="P78" t="n">
        <v>0</v>
      </c>
      <c r="Q78" t="n">
        <v>2</v>
      </c>
      <c r="R78" s="2" t="inlineStr">
        <is>
          <t>Rödgul trumpetsvamp
Skogsknipprot</t>
        </is>
      </c>
      <c r="S78">
        <f>HYPERLINK("https://klasma.github.io/Logging_0188/artfynd/A 51980-2022 artfynd.xlsx", "A 51980-2022")</f>
        <v/>
      </c>
      <c r="T78">
        <f>HYPERLINK("https://klasma.github.io/Logging_0188/kartor/A 51980-2022 karta.png", "A 51980-2022")</f>
        <v/>
      </c>
      <c r="V78">
        <f>HYPERLINK("https://klasma.github.io/Logging_0188/klagomål/A 51980-2022 FSC-klagomål.docx", "A 51980-2022")</f>
        <v/>
      </c>
      <c r="W78">
        <f>HYPERLINK("https://klasma.github.io/Logging_0188/klagomålsmail/A 51980-2022 FSC-klagomål mail.docx", "A 51980-2022")</f>
        <v/>
      </c>
      <c r="X78">
        <f>HYPERLINK("https://klasma.github.io/Logging_0188/tillsyn/A 51980-2022 tillsynsbegäran.docx", "A 51980-2022")</f>
        <v/>
      </c>
      <c r="Y78">
        <f>HYPERLINK("https://klasma.github.io/Logging_0188/tillsynsmail/A 51980-2022 tillsynsbegäran mail.docx", "A 51980-2022")</f>
        <v/>
      </c>
    </row>
    <row r="79" ht="15" customHeight="1">
      <c r="A79" t="inlineStr">
        <is>
          <t>A 53608-2025</t>
        </is>
      </c>
      <c r="B79" s="1" t="n">
        <v>45960</v>
      </c>
      <c r="C79" s="1" t="n">
        <v>46108</v>
      </c>
      <c r="D79" t="inlineStr">
        <is>
          <t>STOCKHOLMS LÄN</t>
        </is>
      </c>
      <c r="E79" t="inlineStr">
        <is>
          <t>NORRTÄLJE</t>
        </is>
      </c>
      <c r="F79" t="inlineStr">
        <is>
          <t>Holmen skog AB</t>
        </is>
      </c>
      <c r="G79" t="n">
        <v>3.2</v>
      </c>
      <c r="H79" t="n">
        <v>2</v>
      </c>
      <c r="I79" t="n">
        <v>0</v>
      </c>
      <c r="J79" t="n">
        <v>1</v>
      </c>
      <c r="K79" t="n">
        <v>0</v>
      </c>
      <c r="L79" t="n">
        <v>1</v>
      </c>
      <c r="M79" t="n">
        <v>0</v>
      </c>
      <c r="N79" t="n">
        <v>0</v>
      </c>
      <c r="O79" t="n">
        <v>2</v>
      </c>
      <c r="P79" t="n">
        <v>1</v>
      </c>
      <c r="Q79" t="n">
        <v>2</v>
      </c>
      <c r="R79" s="2" t="inlineStr">
        <is>
          <t>Asknätfjäril
Spillkråka</t>
        </is>
      </c>
      <c r="S79">
        <f>HYPERLINK("https://klasma.github.io/Logging_0188/artfynd/A 53608-2025 artfynd.xlsx", "A 53608-2025")</f>
        <v/>
      </c>
      <c r="T79">
        <f>HYPERLINK("https://klasma.github.io/Logging_0188/kartor/A 53608-2025 karta.png", "A 53608-2025")</f>
        <v/>
      </c>
      <c r="V79">
        <f>HYPERLINK("https://klasma.github.io/Logging_0188/klagomål/A 53608-2025 FSC-klagomål.docx", "A 53608-2025")</f>
        <v/>
      </c>
      <c r="W79">
        <f>HYPERLINK("https://klasma.github.io/Logging_0188/klagomålsmail/A 53608-2025 FSC-klagomål mail.docx", "A 53608-2025")</f>
        <v/>
      </c>
      <c r="X79">
        <f>HYPERLINK("https://klasma.github.io/Logging_0188/tillsyn/A 53608-2025 tillsynsbegäran.docx", "A 53608-2025")</f>
        <v/>
      </c>
      <c r="Y79">
        <f>HYPERLINK("https://klasma.github.io/Logging_0188/tillsynsmail/A 53608-2025 tillsynsbegäran mail.docx", "A 53608-2025")</f>
        <v/>
      </c>
      <c r="Z79">
        <f>HYPERLINK("https://klasma.github.io/Logging_0188/fåglar/A 53608-2025 prioriterade fågelarter.docx", "A 53608-2025")</f>
        <v/>
      </c>
    </row>
    <row r="80" ht="15" customHeight="1">
      <c r="A80" t="inlineStr">
        <is>
          <t>A 51220-2023</t>
        </is>
      </c>
      <c r="B80" s="1" t="n">
        <v>45219</v>
      </c>
      <c r="C80" s="1" t="n">
        <v>46108</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46108</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46108</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33548-2025</t>
        </is>
      </c>
      <c r="B83" s="1" t="n">
        <v>45841.5721875</v>
      </c>
      <c r="C83" s="1" t="n">
        <v>46108</v>
      </c>
      <c r="D83" t="inlineStr">
        <is>
          <t>STOCKHOLMS LÄN</t>
        </is>
      </c>
      <c r="E83" t="inlineStr">
        <is>
          <t>NORRTÄLJE</t>
        </is>
      </c>
      <c r="G83" t="n">
        <v>12.2</v>
      </c>
      <c r="H83" t="n">
        <v>1</v>
      </c>
      <c r="I83" t="n">
        <v>0</v>
      </c>
      <c r="J83" t="n">
        <v>1</v>
      </c>
      <c r="K83" t="n">
        <v>0</v>
      </c>
      <c r="L83" t="n">
        <v>0</v>
      </c>
      <c r="M83" t="n">
        <v>0</v>
      </c>
      <c r="N83" t="n">
        <v>0</v>
      </c>
      <c r="O83" t="n">
        <v>1</v>
      </c>
      <c r="P83" t="n">
        <v>0</v>
      </c>
      <c r="Q83" t="n">
        <v>2</v>
      </c>
      <c r="R83" s="2" t="inlineStr">
        <is>
          <t>Dofttaggsvamp
Sparvuggla</t>
        </is>
      </c>
      <c r="S83">
        <f>HYPERLINK("https://klasma.github.io/Logging_0188/artfynd/A 33548-2025 artfynd.xlsx", "A 33548-2025")</f>
        <v/>
      </c>
      <c r="T83">
        <f>HYPERLINK("https://klasma.github.io/Logging_0188/kartor/A 33548-2025 karta.png", "A 33548-2025")</f>
        <v/>
      </c>
      <c r="V83">
        <f>HYPERLINK("https://klasma.github.io/Logging_0188/klagomål/A 33548-2025 FSC-klagomål.docx", "A 33548-2025")</f>
        <v/>
      </c>
      <c r="W83">
        <f>HYPERLINK("https://klasma.github.io/Logging_0188/klagomålsmail/A 33548-2025 FSC-klagomål mail.docx", "A 33548-2025")</f>
        <v/>
      </c>
      <c r="X83">
        <f>HYPERLINK("https://klasma.github.io/Logging_0188/tillsyn/A 33548-2025 tillsynsbegäran.docx", "A 33548-2025")</f>
        <v/>
      </c>
      <c r="Y83">
        <f>HYPERLINK("https://klasma.github.io/Logging_0188/tillsynsmail/A 33548-2025 tillsynsbegäran mail.docx", "A 33548-2025")</f>
        <v/>
      </c>
      <c r="Z83">
        <f>HYPERLINK("https://klasma.github.io/Logging_0188/fåglar/A 33548-2025 prioriterade fågelarter.docx", "A 33548-2025")</f>
        <v/>
      </c>
    </row>
    <row r="84" ht="15" customHeight="1">
      <c r="A84" t="inlineStr">
        <is>
          <t>A 16260-2022</t>
        </is>
      </c>
      <c r="B84" s="1" t="n">
        <v>44670</v>
      </c>
      <c r="C84" s="1" t="n">
        <v>46108</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15925-2026</t>
        </is>
      </c>
      <c r="B85" s="1" t="n">
        <v>46107.66046296297</v>
      </c>
      <c r="C85" s="1" t="n">
        <v>46108</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52360-2024</t>
        </is>
      </c>
      <c r="B86" s="1" t="n">
        <v>45609.37094907407</v>
      </c>
      <c r="C86" s="1" t="n">
        <v>46108</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46108</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46108</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46108</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46108</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23146-2024</t>
        </is>
      </c>
      <c r="B91" s="1" t="n">
        <v>45450.63958333333</v>
      </c>
      <c r="C91" s="1" t="n">
        <v>46108</v>
      </c>
      <c r="D91" t="inlineStr">
        <is>
          <t>STOCKHOLMS LÄN</t>
        </is>
      </c>
      <c r="E91" t="inlineStr">
        <is>
          <t>NORRTÄLJE</t>
        </is>
      </c>
      <c r="F91" t="inlineStr">
        <is>
          <t>Kommuner</t>
        </is>
      </c>
      <c r="G91" t="n">
        <v>6</v>
      </c>
      <c r="H91" t="n">
        <v>0</v>
      </c>
      <c r="I91" t="n">
        <v>0</v>
      </c>
      <c r="J91" t="n">
        <v>1</v>
      </c>
      <c r="K91" t="n">
        <v>0</v>
      </c>
      <c r="L91" t="n">
        <v>0</v>
      </c>
      <c r="M91" t="n">
        <v>0</v>
      </c>
      <c r="N91" t="n">
        <v>0</v>
      </c>
      <c r="O91" t="n">
        <v>1</v>
      </c>
      <c r="P91" t="n">
        <v>0</v>
      </c>
      <c r="Q91" t="n">
        <v>1</v>
      </c>
      <c r="R91" s="2" t="inlineStr">
        <is>
          <t>Motaggsvamp</t>
        </is>
      </c>
      <c r="S91">
        <f>HYPERLINK("https://klasma.github.io/Logging_0188/artfynd/A 23146-2024 artfynd.xlsx", "A 23146-2024")</f>
        <v/>
      </c>
      <c r="T91">
        <f>HYPERLINK("https://klasma.github.io/Logging_0188/kartor/A 23146-2024 karta.png", "A 23146-2024")</f>
        <v/>
      </c>
      <c r="V91">
        <f>HYPERLINK("https://klasma.github.io/Logging_0188/klagomål/A 23146-2024 FSC-klagomål.docx", "A 23146-2024")</f>
        <v/>
      </c>
      <c r="W91">
        <f>HYPERLINK("https://klasma.github.io/Logging_0188/klagomålsmail/A 23146-2024 FSC-klagomål mail.docx", "A 23146-2024")</f>
        <v/>
      </c>
      <c r="X91">
        <f>HYPERLINK("https://klasma.github.io/Logging_0188/tillsyn/A 23146-2024 tillsynsbegäran.docx", "A 23146-2024")</f>
        <v/>
      </c>
      <c r="Y91">
        <f>HYPERLINK("https://klasma.github.io/Logging_0188/tillsynsmail/A 23146-2024 tillsynsbegäran mail.docx", "A 23146-2024")</f>
        <v/>
      </c>
    </row>
    <row r="92" ht="15" customHeight="1">
      <c r="A92" t="inlineStr">
        <is>
          <t>A 33477-2022</t>
        </is>
      </c>
      <c r="B92" s="1" t="n">
        <v>44788.70217592592</v>
      </c>
      <c r="C92" s="1" t="n">
        <v>46108</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4595-2023</t>
        </is>
      </c>
      <c r="B93" s="1" t="n">
        <v>44956</v>
      </c>
      <c r="C93" s="1" t="n">
        <v>46108</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27538-2024</t>
        </is>
      </c>
      <c r="B94" s="1" t="n">
        <v>45474</v>
      </c>
      <c r="C94" s="1" t="n">
        <v>46108</v>
      </c>
      <c r="D94" t="inlineStr">
        <is>
          <t>STOCKHOLMS LÄN</t>
        </is>
      </c>
      <c r="E94" t="inlineStr">
        <is>
          <t>NORRTÄLJE</t>
        </is>
      </c>
      <c r="G94" t="n">
        <v>1.5</v>
      </c>
      <c r="H94" t="n">
        <v>1</v>
      </c>
      <c r="I94" t="n">
        <v>1</v>
      </c>
      <c r="J94" t="n">
        <v>0</v>
      </c>
      <c r="K94" t="n">
        <v>0</v>
      </c>
      <c r="L94" t="n">
        <v>0</v>
      </c>
      <c r="M94" t="n">
        <v>0</v>
      </c>
      <c r="N94" t="n">
        <v>0</v>
      </c>
      <c r="O94" t="n">
        <v>0</v>
      </c>
      <c r="P94" t="n">
        <v>0</v>
      </c>
      <c r="Q94" t="n">
        <v>1</v>
      </c>
      <c r="R94" s="2" t="inlineStr">
        <is>
          <t>Skogsknipprot</t>
        </is>
      </c>
      <c r="S94">
        <f>HYPERLINK("https://klasma.github.io/Logging_0188/artfynd/A 27538-2024 artfynd.xlsx", "A 27538-2024")</f>
        <v/>
      </c>
      <c r="T94">
        <f>HYPERLINK("https://klasma.github.io/Logging_0188/kartor/A 27538-2024 karta.png", "A 27538-2024")</f>
        <v/>
      </c>
      <c r="V94">
        <f>HYPERLINK("https://klasma.github.io/Logging_0188/klagomål/A 27538-2024 FSC-klagomål.docx", "A 27538-2024")</f>
        <v/>
      </c>
      <c r="W94">
        <f>HYPERLINK("https://klasma.github.io/Logging_0188/klagomålsmail/A 27538-2024 FSC-klagomål mail.docx", "A 27538-2024")</f>
        <v/>
      </c>
      <c r="X94">
        <f>HYPERLINK("https://klasma.github.io/Logging_0188/tillsyn/A 27538-2024 tillsynsbegäran.docx", "A 27538-2024")</f>
        <v/>
      </c>
      <c r="Y94">
        <f>HYPERLINK("https://klasma.github.io/Logging_0188/tillsynsmail/A 27538-2024 tillsynsbegäran mail.docx", "A 27538-2024")</f>
        <v/>
      </c>
    </row>
    <row r="95" ht="15" customHeight="1">
      <c r="A95" t="inlineStr">
        <is>
          <t>A 48131-2023</t>
        </is>
      </c>
      <c r="B95" s="1" t="n">
        <v>45205</v>
      </c>
      <c r="C95" s="1" t="n">
        <v>46108</v>
      </c>
      <c r="D95" t="inlineStr">
        <is>
          <t>STOCKHOLMS LÄN</t>
        </is>
      </c>
      <c r="E95" t="inlineStr">
        <is>
          <t>NORRTÄLJE</t>
        </is>
      </c>
      <c r="G95" t="n">
        <v>2.3</v>
      </c>
      <c r="H95" t="n">
        <v>0</v>
      </c>
      <c r="I95" t="n">
        <v>0</v>
      </c>
      <c r="J95" t="n">
        <v>1</v>
      </c>
      <c r="K95" t="n">
        <v>0</v>
      </c>
      <c r="L95" t="n">
        <v>0</v>
      </c>
      <c r="M95" t="n">
        <v>0</v>
      </c>
      <c r="N95" t="n">
        <v>0</v>
      </c>
      <c r="O95" t="n">
        <v>1</v>
      </c>
      <c r="P95" t="n">
        <v>0</v>
      </c>
      <c r="Q95" t="n">
        <v>1</v>
      </c>
      <c r="R95" s="2" t="inlineStr">
        <is>
          <t>Slåtterfibbla</t>
        </is>
      </c>
      <c r="S95">
        <f>HYPERLINK("https://klasma.github.io/Logging_0188/artfynd/A 48131-2023 artfynd.xlsx", "A 48131-2023")</f>
        <v/>
      </c>
      <c r="T95">
        <f>HYPERLINK("https://klasma.github.io/Logging_0188/kartor/A 48131-2023 karta.png", "A 48131-2023")</f>
        <v/>
      </c>
      <c r="V95">
        <f>HYPERLINK("https://klasma.github.io/Logging_0188/klagomål/A 48131-2023 FSC-klagomål.docx", "A 48131-2023")</f>
        <v/>
      </c>
      <c r="W95">
        <f>HYPERLINK("https://klasma.github.io/Logging_0188/klagomålsmail/A 48131-2023 FSC-klagomål mail.docx", "A 48131-2023")</f>
        <v/>
      </c>
      <c r="X95">
        <f>HYPERLINK("https://klasma.github.io/Logging_0188/tillsyn/A 48131-2023 tillsynsbegäran.docx", "A 48131-2023")</f>
        <v/>
      </c>
      <c r="Y95">
        <f>HYPERLINK("https://klasma.github.io/Logging_0188/tillsynsmail/A 48131-2023 tillsynsbegäran mail.docx", "A 48131-2023")</f>
        <v/>
      </c>
    </row>
    <row r="96" ht="15" customHeight="1">
      <c r="A96" t="inlineStr">
        <is>
          <t>A 24535-2023</t>
        </is>
      </c>
      <c r="B96" s="1" t="n">
        <v>45082</v>
      </c>
      <c r="C96" s="1" t="n">
        <v>46108</v>
      </c>
      <c r="D96" t="inlineStr">
        <is>
          <t>STOCKHOLMS LÄN</t>
        </is>
      </c>
      <c r="E96" t="inlineStr">
        <is>
          <t>NORRTÄLJE</t>
        </is>
      </c>
      <c r="F96" t="inlineStr">
        <is>
          <t>Kommuner</t>
        </is>
      </c>
      <c r="G96" t="n">
        <v>2</v>
      </c>
      <c r="H96" t="n">
        <v>1</v>
      </c>
      <c r="I96" t="n">
        <v>0</v>
      </c>
      <c r="J96" t="n">
        <v>0</v>
      </c>
      <c r="K96" t="n">
        <v>0</v>
      </c>
      <c r="L96" t="n">
        <v>0</v>
      </c>
      <c r="M96" t="n">
        <v>0</v>
      </c>
      <c r="N96" t="n">
        <v>0</v>
      </c>
      <c r="O96" t="n">
        <v>0</v>
      </c>
      <c r="P96" t="n">
        <v>0</v>
      </c>
      <c r="Q96" t="n">
        <v>1</v>
      </c>
      <c r="R96" s="2" t="inlineStr">
        <is>
          <t>Blåsippa</t>
        </is>
      </c>
      <c r="S96">
        <f>HYPERLINK("https://klasma.github.io/Logging_0188/artfynd/A 24535-2023 artfynd.xlsx", "A 24535-2023")</f>
        <v/>
      </c>
      <c r="T96">
        <f>HYPERLINK("https://klasma.github.io/Logging_0188/kartor/A 24535-2023 karta.png", "A 24535-2023")</f>
        <v/>
      </c>
      <c r="V96">
        <f>HYPERLINK("https://klasma.github.io/Logging_0188/klagomål/A 24535-2023 FSC-klagomål.docx", "A 24535-2023")</f>
        <v/>
      </c>
      <c r="W96">
        <f>HYPERLINK("https://klasma.github.io/Logging_0188/klagomålsmail/A 24535-2023 FSC-klagomål mail.docx", "A 24535-2023")</f>
        <v/>
      </c>
      <c r="X96">
        <f>HYPERLINK("https://klasma.github.io/Logging_0188/tillsyn/A 24535-2023 tillsynsbegäran.docx", "A 24535-2023")</f>
        <v/>
      </c>
      <c r="Y96">
        <f>HYPERLINK("https://klasma.github.io/Logging_0188/tillsynsmail/A 24535-2023 tillsynsbegäran mail.docx", "A 24535-2023")</f>
        <v/>
      </c>
    </row>
    <row r="97" ht="15" customHeight="1">
      <c r="A97" t="inlineStr">
        <is>
          <t>A 40861-2025</t>
        </is>
      </c>
      <c r="B97" s="1" t="n">
        <v>45897.56356481482</v>
      </c>
      <c r="C97" s="1" t="n">
        <v>46108</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46108</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31281-2022</t>
        </is>
      </c>
      <c r="B99" s="1" t="n">
        <v>44771</v>
      </c>
      <c r="C99" s="1" t="n">
        <v>46108</v>
      </c>
      <c r="D99" t="inlineStr">
        <is>
          <t>STOCKHOLMS LÄN</t>
        </is>
      </c>
      <c r="E99" t="inlineStr">
        <is>
          <t>NORRTÄLJE</t>
        </is>
      </c>
      <c r="F99" t="inlineStr">
        <is>
          <t>Holmen skog AB</t>
        </is>
      </c>
      <c r="G99" t="n">
        <v>5.2</v>
      </c>
      <c r="H99" t="n">
        <v>1</v>
      </c>
      <c r="I99" t="n">
        <v>0</v>
      </c>
      <c r="J99" t="n">
        <v>1</v>
      </c>
      <c r="K99" t="n">
        <v>0</v>
      </c>
      <c r="L99" t="n">
        <v>0</v>
      </c>
      <c r="M99" t="n">
        <v>0</v>
      </c>
      <c r="N99" t="n">
        <v>0</v>
      </c>
      <c r="O99" t="n">
        <v>1</v>
      </c>
      <c r="P99" t="n">
        <v>0</v>
      </c>
      <c r="Q99" t="n">
        <v>1</v>
      </c>
      <c r="R99" s="2" t="inlineStr">
        <is>
          <t>Kråka</t>
        </is>
      </c>
      <c r="S99">
        <f>HYPERLINK("https://klasma.github.io/Logging_0188/artfynd/A 31281-2022 artfynd.xlsx", "A 31281-2022")</f>
        <v/>
      </c>
      <c r="T99">
        <f>HYPERLINK("https://klasma.github.io/Logging_0188/kartor/A 31281-2022 karta.png", "A 31281-2022")</f>
        <v/>
      </c>
      <c r="V99">
        <f>HYPERLINK("https://klasma.github.io/Logging_0188/klagomål/A 31281-2022 FSC-klagomål.docx", "A 31281-2022")</f>
        <v/>
      </c>
      <c r="W99">
        <f>HYPERLINK("https://klasma.github.io/Logging_0188/klagomålsmail/A 31281-2022 FSC-klagomål mail.docx", "A 31281-2022")</f>
        <v/>
      </c>
      <c r="X99">
        <f>HYPERLINK("https://klasma.github.io/Logging_0188/tillsyn/A 31281-2022 tillsynsbegäran.docx", "A 31281-2022")</f>
        <v/>
      </c>
      <c r="Y99">
        <f>HYPERLINK("https://klasma.github.io/Logging_0188/tillsynsmail/A 31281-2022 tillsynsbegäran mail.docx", "A 31281-2022")</f>
        <v/>
      </c>
      <c r="Z99">
        <f>HYPERLINK("https://klasma.github.io/Logging_0188/fåglar/A 31281-2022 prioriterade fågelarter.docx", "A 31281-2022")</f>
        <v/>
      </c>
    </row>
    <row r="100" ht="15" customHeight="1">
      <c r="A100" t="inlineStr">
        <is>
          <t>A 4532-2025</t>
        </is>
      </c>
      <c r="B100" s="1" t="n">
        <v>45687.34177083334</v>
      </c>
      <c r="C100" s="1" t="n">
        <v>46108</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11429-2023</t>
        </is>
      </c>
      <c r="B101" s="1" t="n">
        <v>44993</v>
      </c>
      <c r="C101" s="1" t="n">
        <v>46108</v>
      </c>
      <c r="D101" t="inlineStr">
        <is>
          <t>STOCKHOLMS LÄN</t>
        </is>
      </c>
      <c r="E101" t="inlineStr">
        <is>
          <t>NORRTÄLJE</t>
        </is>
      </c>
      <c r="G101" t="n">
        <v>2</v>
      </c>
      <c r="H101" t="n">
        <v>0</v>
      </c>
      <c r="I101" t="n">
        <v>0</v>
      </c>
      <c r="J101" t="n">
        <v>1</v>
      </c>
      <c r="K101" t="n">
        <v>0</v>
      </c>
      <c r="L101" t="n">
        <v>0</v>
      </c>
      <c r="M101" t="n">
        <v>0</v>
      </c>
      <c r="N101" t="n">
        <v>0</v>
      </c>
      <c r="O101" t="n">
        <v>1</v>
      </c>
      <c r="P101" t="n">
        <v>0</v>
      </c>
      <c r="Q101" t="n">
        <v>1</v>
      </c>
      <c r="R101" s="2" t="inlineStr">
        <is>
          <t>Skogsklocka</t>
        </is>
      </c>
      <c r="S101">
        <f>HYPERLINK("https://klasma.github.io/Logging_0188/artfynd/A 11429-2023 artfynd.xlsx", "A 11429-2023")</f>
        <v/>
      </c>
      <c r="T101">
        <f>HYPERLINK("https://klasma.github.io/Logging_0188/kartor/A 11429-2023 karta.png", "A 11429-2023")</f>
        <v/>
      </c>
      <c r="V101">
        <f>HYPERLINK("https://klasma.github.io/Logging_0188/klagomål/A 11429-2023 FSC-klagomål.docx", "A 11429-2023")</f>
        <v/>
      </c>
      <c r="W101">
        <f>HYPERLINK("https://klasma.github.io/Logging_0188/klagomålsmail/A 11429-2023 FSC-klagomål mail.docx", "A 11429-2023")</f>
        <v/>
      </c>
      <c r="X101">
        <f>HYPERLINK("https://klasma.github.io/Logging_0188/tillsyn/A 11429-2023 tillsynsbegäran.docx", "A 11429-2023")</f>
        <v/>
      </c>
      <c r="Y101">
        <f>HYPERLINK("https://klasma.github.io/Logging_0188/tillsynsmail/A 11429-2023 tillsynsbegäran mail.docx", "A 11429-2023")</f>
        <v/>
      </c>
    </row>
    <row r="102" ht="15" customHeight="1">
      <c r="A102" t="inlineStr">
        <is>
          <t>A 42313-2025</t>
        </is>
      </c>
      <c r="B102" s="1" t="n">
        <v>45904.6575</v>
      </c>
      <c r="C102" s="1" t="n">
        <v>46108</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35691-2023</t>
        </is>
      </c>
      <c r="B103" s="1" t="n">
        <v>45147.65222222222</v>
      </c>
      <c r="C103" s="1" t="n">
        <v>46108</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46108</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50854-2022</t>
        </is>
      </c>
      <c r="B105" s="1" t="n">
        <v>44863</v>
      </c>
      <c r="C105" s="1" t="n">
        <v>46108</v>
      </c>
      <c r="D105" t="inlineStr">
        <is>
          <t>STOCKHOLMS LÄN</t>
        </is>
      </c>
      <c r="E105" t="inlineStr">
        <is>
          <t>NORRTÄLJE</t>
        </is>
      </c>
      <c r="G105" t="n">
        <v>2.9</v>
      </c>
      <c r="H105" t="n">
        <v>0</v>
      </c>
      <c r="I105" t="n">
        <v>1</v>
      </c>
      <c r="J105" t="n">
        <v>0</v>
      </c>
      <c r="K105" t="n">
        <v>0</v>
      </c>
      <c r="L105" t="n">
        <v>0</v>
      </c>
      <c r="M105" t="n">
        <v>0</v>
      </c>
      <c r="N105" t="n">
        <v>0</v>
      </c>
      <c r="O105" t="n">
        <v>0</v>
      </c>
      <c r="P105" t="n">
        <v>0</v>
      </c>
      <c r="Q105" t="n">
        <v>1</v>
      </c>
      <c r="R105" s="2" t="inlineStr">
        <is>
          <t>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row>
    <row r="106" ht="15" customHeight="1">
      <c r="A106" t="inlineStr">
        <is>
          <t>A 39158-2025</t>
        </is>
      </c>
      <c r="B106" s="1" t="n">
        <v>45888</v>
      </c>
      <c r="C106" s="1" t="n">
        <v>46108</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26120-2024</t>
        </is>
      </c>
      <c r="B107" s="1" t="n">
        <v>45468.45995370371</v>
      </c>
      <c r="C107" s="1" t="n">
        <v>46108</v>
      </c>
      <c r="D107" t="inlineStr">
        <is>
          <t>STOCKHOLMS LÄN</t>
        </is>
      </c>
      <c r="E107" t="inlineStr">
        <is>
          <t>NORRTÄLJE</t>
        </is>
      </c>
      <c r="G107" t="n">
        <v>1.8</v>
      </c>
      <c r="H107" t="n">
        <v>0</v>
      </c>
      <c r="I107" t="n">
        <v>0</v>
      </c>
      <c r="J107" t="n">
        <v>1</v>
      </c>
      <c r="K107" t="n">
        <v>0</v>
      </c>
      <c r="L107" t="n">
        <v>0</v>
      </c>
      <c r="M107" t="n">
        <v>0</v>
      </c>
      <c r="N107" t="n">
        <v>0</v>
      </c>
      <c r="O107" t="n">
        <v>1</v>
      </c>
      <c r="P107" t="n">
        <v>0</v>
      </c>
      <c r="Q107" t="n">
        <v>1</v>
      </c>
      <c r="R107" s="2" t="inlineStr">
        <is>
          <t>Majviva</t>
        </is>
      </c>
      <c r="S107">
        <f>HYPERLINK("https://klasma.github.io/Logging_0188/artfynd/A 26120-2024 artfynd.xlsx", "A 26120-2024")</f>
        <v/>
      </c>
      <c r="T107">
        <f>HYPERLINK("https://klasma.github.io/Logging_0188/kartor/A 26120-2024 karta.png", "A 26120-2024")</f>
        <v/>
      </c>
      <c r="V107">
        <f>HYPERLINK("https://klasma.github.io/Logging_0188/klagomål/A 26120-2024 FSC-klagomål.docx", "A 26120-2024")</f>
        <v/>
      </c>
      <c r="W107">
        <f>HYPERLINK("https://klasma.github.io/Logging_0188/klagomålsmail/A 26120-2024 FSC-klagomål mail.docx", "A 26120-2024")</f>
        <v/>
      </c>
      <c r="X107">
        <f>HYPERLINK("https://klasma.github.io/Logging_0188/tillsyn/A 26120-2024 tillsynsbegäran.docx", "A 26120-2024")</f>
        <v/>
      </c>
      <c r="Y107">
        <f>HYPERLINK("https://klasma.github.io/Logging_0188/tillsynsmail/A 26120-2024 tillsynsbegäran mail.docx", "A 26120-2024")</f>
        <v/>
      </c>
    </row>
    <row r="108" ht="15" customHeight="1">
      <c r="A108" t="inlineStr">
        <is>
          <t>A 13291-2025</t>
        </is>
      </c>
      <c r="B108" s="1" t="n">
        <v>45735</v>
      </c>
      <c r="C108" s="1" t="n">
        <v>46108</v>
      </c>
      <c r="D108" t="inlineStr">
        <is>
          <t>STOCKHOLMS LÄN</t>
        </is>
      </c>
      <c r="E108" t="inlineStr">
        <is>
          <t>NORRTÄLJE</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HYPERLINK("https://klasma.github.io/Logging_0188/artfynd/A 13291-2025 artfynd.xlsx", "A 13291-2025")</f>
        <v/>
      </c>
      <c r="T108">
        <f>HYPERLINK("https://klasma.github.io/Logging_0188/kartor/A 13291-2025 karta.png", "A 13291-2025")</f>
        <v/>
      </c>
      <c r="V108">
        <f>HYPERLINK("https://klasma.github.io/Logging_0188/klagomål/A 13291-2025 FSC-klagomål.docx", "A 13291-2025")</f>
        <v/>
      </c>
      <c r="W108">
        <f>HYPERLINK("https://klasma.github.io/Logging_0188/klagomålsmail/A 13291-2025 FSC-klagomål mail.docx", "A 13291-2025")</f>
        <v/>
      </c>
      <c r="X108">
        <f>HYPERLINK("https://klasma.github.io/Logging_0188/tillsyn/A 13291-2025 tillsynsbegäran.docx", "A 13291-2025")</f>
        <v/>
      </c>
      <c r="Y108">
        <f>HYPERLINK("https://klasma.github.io/Logging_0188/tillsynsmail/A 13291-2025 tillsynsbegäran mail.docx", "A 13291-2025")</f>
        <v/>
      </c>
    </row>
    <row r="109" ht="15" customHeight="1">
      <c r="A109" t="inlineStr">
        <is>
          <t>A 21150-2022</t>
        </is>
      </c>
      <c r="B109" s="1" t="n">
        <v>44704</v>
      </c>
      <c r="C109" s="1" t="n">
        <v>46108</v>
      </c>
      <c r="D109" t="inlineStr">
        <is>
          <t>STOCKHOLMS LÄN</t>
        </is>
      </c>
      <c r="E109" t="inlineStr">
        <is>
          <t>NORRTÄLJE</t>
        </is>
      </c>
      <c r="G109" t="n">
        <v>12.5</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21150-2022 artfynd.xlsx", "A 21150-2022")</f>
        <v/>
      </c>
      <c r="T109">
        <f>HYPERLINK("https://klasma.github.io/Logging_0188/kartor/A 21150-2022 karta.png", "A 21150-2022")</f>
        <v/>
      </c>
      <c r="V109">
        <f>HYPERLINK("https://klasma.github.io/Logging_0188/klagomål/A 21150-2022 FSC-klagomål.docx", "A 21150-2022")</f>
        <v/>
      </c>
      <c r="W109">
        <f>HYPERLINK("https://klasma.github.io/Logging_0188/klagomålsmail/A 21150-2022 FSC-klagomål mail.docx", "A 21150-2022")</f>
        <v/>
      </c>
      <c r="X109">
        <f>HYPERLINK("https://klasma.github.io/Logging_0188/tillsyn/A 21150-2022 tillsynsbegäran.docx", "A 21150-2022")</f>
        <v/>
      </c>
      <c r="Y109">
        <f>HYPERLINK("https://klasma.github.io/Logging_0188/tillsynsmail/A 21150-2022 tillsynsbegäran mail.docx", "A 21150-2022")</f>
        <v/>
      </c>
    </row>
    <row r="110" ht="15" customHeight="1">
      <c r="A110" t="inlineStr">
        <is>
          <t>A 64456-2023</t>
        </is>
      </c>
      <c r="B110" s="1" t="n">
        <v>45280</v>
      </c>
      <c r="C110" s="1" t="n">
        <v>46108</v>
      </c>
      <c r="D110" t="inlineStr">
        <is>
          <t>STOCKHOLMS LÄN</t>
        </is>
      </c>
      <c r="E110" t="inlineStr">
        <is>
          <t>NORRTÄLJE</t>
        </is>
      </c>
      <c r="G110" t="n">
        <v>2.5</v>
      </c>
      <c r="H110" t="n">
        <v>0</v>
      </c>
      <c r="I110" t="n">
        <v>1</v>
      </c>
      <c r="J110" t="n">
        <v>0</v>
      </c>
      <c r="K110" t="n">
        <v>0</v>
      </c>
      <c r="L110" t="n">
        <v>0</v>
      </c>
      <c r="M110" t="n">
        <v>0</v>
      </c>
      <c r="N110" t="n">
        <v>0</v>
      </c>
      <c r="O110" t="n">
        <v>0</v>
      </c>
      <c r="P110" t="n">
        <v>0</v>
      </c>
      <c r="Q110" t="n">
        <v>1</v>
      </c>
      <c r="R110" s="2" t="inlineStr">
        <is>
          <t>Rödgul trumpetsvamp</t>
        </is>
      </c>
      <c r="S110">
        <f>HYPERLINK("https://klasma.github.io/Logging_0188/artfynd/A 64456-2023 artfynd.xlsx", "A 64456-2023")</f>
        <v/>
      </c>
      <c r="T110">
        <f>HYPERLINK("https://klasma.github.io/Logging_0188/kartor/A 64456-2023 karta.png", "A 64456-2023")</f>
        <v/>
      </c>
      <c r="V110">
        <f>HYPERLINK("https://klasma.github.io/Logging_0188/klagomål/A 64456-2023 FSC-klagomål.docx", "A 64456-2023")</f>
        <v/>
      </c>
      <c r="W110">
        <f>HYPERLINK("https://klasma.github.io/Logging_0188/klagomålsmail/A 64456-2023 FSC-klagomål mail.docx", "A 64456-2023")</f>
        <v/>
      </c>
      <c r="X110">
        <f>HYPERLINK("https://klasma.github.io/Logging_0188/tillsyn/A 64456-2023 tillsynsbegäran.docx", "A 64456-2023")</f>
        <v/>
      </c>
      <c r="Y110">
        <f>HYPERLINK("https://klasma.github.io/Logging_0188/tillsynsmail/A 64456-2023 tillsynsbegäran mail.docx", "A 64456-2023")</f>
        <v/>
      </c>
    </row>
    <row r="111" ht="15" customHeight="1">
      <c r="A111" t="inlineStr">
        <is>
          <t>A 58888-2021</t>
        </is>
      </c>
      <c r="B111" s="1" t="n">
        <v>44489</v>
      </c>
      <c r="C111" s="1" t="n">
        <v>46108</v>
      </c>
      <c r="D111" t="inlineStr">
        <is>
          <t>STOCKHOLMS LÄN</t>
        </is>
      </c>
      <c r="E111" t="inlineStr">
        <is>
          <t>NORRTÄLJE</t>
        </is>
      </c>
      <c r="F111" t="inlineStr">
        <is>
          <t>Holmen skog AB</t>
        </is>
      </c>
      <c r="G111" t="n">
        <v>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58888-2021 artfynd.xlsx", "A 58888-2021")</f>
        <v/>
      </c>
      <c r="T111">
        <f>HYPERLINK("https://klasma.github.io/Logging_0188/kartor/A 58888-2021 karta.png", "A 58888-2021")</f>
        <v/>
      </c>
      <c r="V111">
        <f>HYPERLINK("https://klasma.github.io/Logging_0188/klagomål/A 58888-2021 FSC-klagomål.docx", "A 58888-2021")</f>
        <v/>
      </c>
      <c r="W111">
        <f>HYPERLINK("https://klasma.github.io/Logging_0188/klagomålsmail/A 58888-2021 FSC-klagomål mail.docx", "A 58888-2021")</f>
        <v/>
      </c>
      <c r="X111">
        <f>HYPERLINK("https://klasma.github.io/Logging_0188/tillsyn/A 58888-2021 tillsynsbegäran.docx", "A 58888-2021")</f>
        <v/>
      </c>
      <c r="Y111">
        <f>HYPERLINK("https://klasma.github.io/Logging_0188/tillsynsmail/A 58888-2021 tillsynsbegäran mail.docx", "A 58888-2021")</f>
        <v/>
      </c>
    </row>
    <row r="112" ht="15" customHeight="1">
      <c r="A112" t="inlineStr">
        <is>
          <t>A 52775-2025</t>
        </is>
      </c>
      <c r="B112" s="1" t="n">
        <v>45957.41608796296</v>
      </c>
      <c r="C112" s="1" t="n">
        <v>46108</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53716-2025</t>
        </is>
      </c>
      <c r="B113" s="1" t="n">
        <v>45960.61782407408</v>
      </c>
      <c r="C113" s="1" t="n">
        <v>46108</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16870-2025</t>
        </is>
      </c>
      <c r="B114" s="1" t="n">
        <v>45754</v>
      </c>
      <c r="C114" s="1" t="n">
        <v>46108</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24330-2023</t>
        </is>
      </c>
      <c r="B115" s="1" t="n">
        <v>45081</v>
      </c>
      <c r="C115" s="1" t="n">
        <v>46108</v>
      </c>
      <c r="D115" t="inlineStr">
        <is>
          <t>STOCKHOLMS LÄN</t>
        </is>
      </c>
      <c r="E115" t="inlineStr">
        <is>
          <t>NORRTÄLJE</t>
        </is>
      </c>
      <c r="G115" t="n">
        <v>5</v>
      </c>
      <c r="H115" t="n">
        <v>1</v>
      </c>
      <c r="I115" t="n">
        <v>0</v>
      </c>
      <c r="J115" t="n">
        <v>1</v>
      </c>
      <c r="K115" t="n">
        <v>0</v>
      </c>
      <c r="L115" t="n">
        <v>0</v>
      </c>
      <c r="M115" t="n">
        <v>0</v>
      </c>
      <c r="N115" t="n">
        <v>0</v>
      </c>
      <c r="O115" t="n">
        <v>1</v>
      </c>
      <c r="P115" t="n">
        <v>0</v>
      </c>
      <c r="Q115" t="n">
        <v>1</v>
      </c>
      <c r="R115" s="2" t="inlineStr">
        <is>
          <t>Mindre hackspett</t>
        </is>
      </c>
      <c r="S115">
        <f>HYPERLINK("https://klasma.github.io/Logging_0188/artfynd/A 24330-2023 artfynd.xlsx", "A 24330-2023")</f>
        <v/>
      </c>
      <c r="T115">
        <f>HYPERLINK("https://klasma.github.io/Logging_0188/kartor/A 24330-2023 karta.png", "A 24330-2023")</f>
        <v/>
      </c>
      <c r="V115">
        <f>HYPERLINK("https://klasma.github.io/Logging_0188/klagomål/A 24330-2023 FSC-klagomål.docx", "A 24330-2023")</f>
        <v/>
      </c>
      <c r="W115">
        <f>HYPERLINK("https://klasma.github.io/Logging_0188/klagomålsmail/A 24330-2023 FSC-klagomål mail.docx", "A 24330-2023")</f>
        <v/>
      </c>
      <c r="X115">
        <f>HYPERLINK("https://klasma.github.io/Logging_0188/tillsyn/A 24330-2023 tillsynsbegäran.docx", "A 24330-2023")</f>
        <v/>
      </c>
      <c r="Y115">
        <f>HYPERLINK("https://klasma.github.io/Logging_0188/tillsynsmail/A 24330-2023 tillsynsbegäran mail.docx", "A 24330-2023")</f>
        <v/>
      </c>
      <c r="Z115">
        <f>HYPERLINK("https://klasma.github.io/Logging_0188/fåglar/A 24330-2023 prioriterade fågelarter.docx", "A 24330-2023")</f>
        <v/>
      </c>
    </row>
    <row r="116" ht="15" customHeight="1">
      <c r="A116" t="inlineStr">
        <is>
          <t>A 21744-2023</t>
        </is>
      </c>
      <c r="B116" s="1" t="n">
        <v>45065</v>
      </c>
      <c r="C116" s="1" t="n">
        <v>46108</v>
      </c>
      <c r="D116" t="inlineStr">
        <is>
          <t>STOCKHOLMS LÄN</t>
        </is>
      </c>
      <c r="E116" t="inlineStr">
        <is>
          <t>NORRTÄLJE</t>
        </is>
      </c>
      <c r="F116" t="inlineStr">
        <is>
          <t>Holmen skog AB</t>
        </is>
      </c>
      <c r="G116" t="n">
        <v>4.2</v>
      </c>
      <c r="H116" t="n">
        <v>0</v>
      </c>
      <c r="I116" t="n">
        <v>1</v>
      </c>
      <c r="J116" t="n">
        <v>0</v>
      </c>
      <c r="K116" t="n">
        <v>0</v>
      </c>
      <c r="L116" t="n">
        <v>0</v>
      </c>
      <c r="M116" t="n">
        <v>0</v>
      </c>
      <c r="N116" t="n">
        <v>0</v>
      </c>
      <c r="O116" t="n">
        <v>0</v>
      </c>
      <c r="P116" t="n">
        <v>0</v>
      </c>
      <c r="Q116" t="n">
        <v>1</v>
      </c>
      <c r="R116" s="2" t="inlineStr">
        <is>
          <t>Korallblylav</t>
        </is>
      </c>
      <c r="S116">
        <f>HYPERLINK("https://klasma.github.io/Logging_0188/artfynd/A 21744-2023 artfynd.xlsx", "A 21744-2023")</f>
        <v/>
      </c>
      <c r="T116">
        <f>HYPERLINK("https://klasma.github.io/Logging_0188/kartor/A 21744-2023 karta.png", "A 21744-2023")</f>
        <v/>
      </c>
      <c r="V116">
        <f>HYPERLINK("https://klasma.github.io/Logging_0188/klagomål/A 21744-2023 FSC-klagomål.docx", "A 21744-2023")</f>
        <v/>
      </c>
      <c r="W116">
        <f>HYPERLINK("https://klasma.github.io/Logging_0188/klagomålsmail/A 21744-2023 FSC-klagomål mail.docx", "A 21744-2023")</f>
        <v/>
      </c>
      <c r="X116">
        <f>HYPERLINK("https://klasma.github.io/Logging_0188/tillsyn/A 21744-2023 tillsynsbegäran.docx", "A 21744-2023")</f>
        <v/>
      </c>
      <c r="Y116">
        <f>HYPERLINK("https://klasma.github.io/Logging_0188/tillsynsmail/A 21744-2023 tillsynsbegäran mail.docx", "A 21744-2023")</f>
        <v/>
      </c>
    </row>
    <row r="117" ht="15" customHeight="1">
      <c r="A117" t="inlineStr">
        <is>
          <t>A 9955-2022</t>
        </is>
      </c>
      <c r="B117" s="1" t="n">
        <v>44620</v>
      </c>
      <c r="C117" s="1" t="n">
        <v>46108</v>
      </c>
      <c r="D117" t="inlineStr">
        <is>
          <t>STOCKHOLMS LÄN</t>
        </is>
      </c>
      <c r="E117" t="inlineStr">
        <is>
          <t>NORRTÄLJE</t>
        </is>
      </c>
      <c r="G117" t="n">
        <v>7.8</v>
      </c>
      <c r="H117" t="n">
        <v>1</v>
      </c>
      <c r="I117" t="n">
        <v>0</v>
      </c>
      <c r="J117" t="n">
        <v>0</v>
      </c>
      <c r="K117" t="n">
        <v>0</v>
      </c>
      <c r="L117" t="n">
        <v>0</v>
      </c>
      <c r="M117" t="n">
        <v>0</v>
      </c>
      <c r="N117" t="n">
        <v>0</v>
      </c>
      <c r="O117" t="n">
        <v>0</v>
      </c>
      <c r="P117" t="n">
        <v>0</v>
      </c>
      <c r="Q117" t="n">
        <v>1</v>
      </c>
      <c r="R117" s="2" t="inlineStr">
        <is>
          <t>Åkergroda</t>
        </is>
      </c>
      <c r="S117">
        <f>HYPERLINK("https://klasma.github.io/Logging_0188/artfynd/A 9955-2022 artfynd.xlsx", "A 9955-2022")</f>
        <v/>
      </c>
      <c r="T117">
        <f>HYPERLINK("https://klasma.github.io/Logging_0188/kartor/A 9955-2022 karta.png", "A 9955-2022")</f>
        <v/>
      </c>
      <c r="V117">
        <f>HYPERLINK("https://klasma.github.io/Logging_0188/klagomål/A 9955-2022 FSC-klagomål.docx", "A 9955-2022")</f>
        <v/>
      </c>
      <c r="W117">
        <f>HYPERLINK("https://klasma.github.io/Logging_0188/klagomålsmail/A 9955-2022 FSC-klagomål mail.docx", "A 9955-2022")</f>
        <v/>
      </c>
      <c r="X117">
        <f>HYPERLINK("https://klasma.github.io/Logging_0188/tillsyn/A 9955-2022 tillsynsbegäran.docx", "A 9955-2022")</f>
        <v/>
      </c>
      <c r="Y117">
        <f>HYPERLINK("https://klasma.github.io/Logging_0188/tillsynsmail/A 9955-2022 tillsynsbegäran mail.docx", "A 9955-2022")</f>
        <v/>
      </c>
    </row>
    <row r="118" ht="15" customHeight="1">
      <c r="A118" t="inlineStr">
        <is>
          <t>A 52611-2024</t>
        </is>
      </c>
      <c r="B118" s="1" t="n">
        <v>45609.83747685186</v>
      </c>
      <c r="C118" s="1" t="n">
        <v>46108</v>
      </c>
      <c r="D118" t="inlineStr">
        <is>
          <t>STOCKHOLMS LÄN</t>
        </is>
      </c>
      <c r="E118" t="inlineStr">
        <is>
          <t>NORRTÄLJE</t>
        </is>
      </c>
      <c r="G118" t="n">
        <v>10.6</v>
      </c>
      <c r="H118" t="n">
        <v>1</v>
      </c>
      <c r="I118" t="n">
        <v>0</v>
      </c>
      <c r="J118" t="n">
        <v>0</v>
      </c>
      <c r="K118" t="n">
        <v>0</v>
      </c>
      <c r="L118" t="n">
        <v>0</v>
      </c>
      <c r="M118" t="n">
        <v>0</v>
      </c>
      <c r="N118" t="n">
        <v>0</v>
      </c>
      <c r="O118" t="n">
        <v>0</v>
      </c>
      <c r="P118" t="n">
        <v>0</v>
      </c>
      <c r="Q118" t="n">
        <v>1</v>
      </c>
      <c r="R118" s="2" t="inlineStr">
        <is>
          <t>Blåsippa</t>
        </is>
      </c>
      <c r="S118">
        <f>HYPERLINK("https://klasma.github.io/Logging_0188/artfynd/A 52611-2024 artfynd.xlsx", "A 52611-2024")</f>
        <v/>
      </c>
      <c r="T118">
        <f>HYPERLINK("https://klasma.github.io/Logging_0188/kartor/A 52611-2024 karta.png", "A 52611-2024")</f>
        <v/>
      </c>
      <c r="V118">
        <f>HYPERLINK("https://klasma.github.io/Logging_0188/klagomål/A 52611-2024 FSC-klagomål.docx", "A 52611-2024")</f>
        <v/>
      </c>
      <c r="W118">
        <f>HYPERLINK("https://klasma.github.io/Logging_0188/klagomålsmail/A 52611-2024 FSC-klagomål mail.docx", "A 52611-2024")</f>
        <v/>
      </c>
      <c r="X118">
        <f>HYPERLINK("https://klasma.github.io/Logging_0188/tillsyn/A 52611-2024 tillsynsbegäran.docx", "A 52611-2024")</f>
        <v/>
      </c>
      <c r="Y118">
        <f>HYPERLINK("https://klasma.github.io/Logging_0188/tillsynsmail/A 52611-2024 tillsynsbegäran mail.docx", "A 52611-2024")</f>
        <v/>
      </c>
    </row>
    <row r="119" ht="15" customHeight="1">
      <c r="A119" t="inlineStr">
        <is>
          <t>A 59682-2025</t>
        </is>
      </c>
      <c r="B119" s="1" t="n">
        <v>45992.47116898148</v>
      </c>
      <c r="C119" s="1" t="n">
        <v>46108</v>
      </c>
      <c r="D119" t="inlineStr">
        <is>
          <t>STOCKHOLMS LÄN</t>
        </is>
      </c>
      <c r="E119" t="inlineStr">
        <is>
          <t>NORRTÄLJE</t>
        </is>
      </c>
      <c r="G119" t="n">
        <v>1.6</v>
      </c>
      <c r="H119" t="n">
        <v>0</v>
      </c>
      <c r="I119" t="n">
        <v>1</v>
      </c>
      <c r="J119" t="n">
        <v>0</v>
      </c>
      <c r="K119" t="n">
        <v>0</v>
      </c>
      <c r="L119" t="n">
        <v>0</v>
      </c>
      <c r="M119" t="n">
        <v>0</v>
      </c>
      <c r="N119" t="n">
        <v>0</v>
      </c>
      <c r="O119" t="n">
        <v>0</v>
      </c>
      <c r="P119" t="n">
        <v>0</v>
      </c>
      <c r="Q119" t="n">
        <v>1</v>
      </c>
      <c r="R119" s="2" t="inlineStr">
        <is>
          <t>Grönpyrola</t>
        </is>
      </c>
      <c r="S119">
        <f>HYPERLINK("https://klasma.github.io/Logging_0188/artfynd/A 59682-2025 artfynd.xlsx", "A 59682-2025")</f>
        <v/>
      </c>
      <c r="T119">
        <f>HYPERLINK("https://klasma.github.io/Logging_0188/kartor/A 59682-2025 karta.png", "A 59682-2025")</f>
        <v/>
      </c>
      <c r="V119">
        <f>HYPERLINK("https://klasma.github.io/Logging_0188/klagomål/A 59682-2025 FSC-klagomål.docx", "A 59682-2025")</f>
        <v/>
      </c>
      <c r="W119">
        <f>HYPERLINK("https://klasma.github.io/Logging_0188/klagomålsmail/A 59682-2025 FSC-klagomål mail.docx", "A 59682-2025")</f>
        <v/>
      </c>
      <c r="X119">
        <f>HYPERLINK("https://klasma.github.io/Logging_0188/tillsyn/A 59682-2025 tillsynsbegäran.docx", "A 59682-2025")</f>
        <v/>
      </c>
      <c r="Y119">
        <f>HYPERLINK("https://klasma.github.io/Logging_0188/tillsynsmail/A 59682-2025 tillsynsbegäran mail.docx", "A 59682-2025")</f>
        <v/>
      </c>
    </row>
    <row r="120" ht="15" customHeight="1">
      <c r="A120" t="inlineStr">
        <is>
          <t>A 23905-2025</t>
        </is>
      </c>
      <c r="B120" s="1" t="n">
        <v>45794.63298611111</v>
      </c>
      <c r="C120" s="1" t="n">
        <v>46108</v>
      </c>
      <c r="D120" t="inlineStr">
        <is>
          <t>STOCKHOLMS LÄN</t>
        </is>
      </c>
      <c r="E120" t="inlineStr">
        <is>
          <t>NORRTÄLJE</t>
        </is>
      </c>
      <c r="G120" t="n">
        <v>8.4</v>
      </c>
      <c r="H120" t="n">
        <v>1</v>
      </c>
      <c r="I120" t="n">
        <v>0</v>
      </c>
      <c r="J120" t="n">
        <v>0</v>
      </c>
      <c r="K120" t="n">
        <v>0</v>
      </c>
      <c r="L120" t="n">
        <v>0</v>
      </c>
      <c r="M120" t="n">
        <v>0</v>
      </c>
      <c r="N120" t="n">
        <v>0</v>
      </c>
      <c r="O120" t="n">
        <v>0</v>
      </c>
      <c r="P120" t="n">
        <v>0</v>
      </c>
      <c r="Q120" t="n">
        <v>1</v>
      </c>
      <c r="R120" s="2" t="inlineStr">
        <is>
          <t>Blåsippa</t>
        </is>
      </c>
      <c r="S120">
        <f>HYPERLINK("https://klasma.github.io/Logging_0188/artfynd/A 23905-2025 artfynd.xlsx", "A 23905-2025")</f>
        <v/>
      </c>
      <c r="T120">
        <f>HYPERLINK("https://klasma.github.io/Logging_0188/kartor/A 23905-2025 karta.png", "A 23905-2025")</f>
        <v/>
      </c>
      <c r="V120">
        <f>HYPERLINK("https://klasma.github.io/Logging_0188/klagomål/A 23905-2025 FSC-klagomål.docx", "A 23905-2025")</f>
        <v/>
      </c>
      <c r="W120">
        <f>HYPERLINK("https://klasma.github.io/Logging_0188/klagomålsmail/A 23905-2025 FSC-klagomål mail.docx", "A 23905-2025")</f>
        <v/>
      </c>
      <c r="X120">
        <f>HYPERLINK("https://klasma.github.io/Logging_0188/tillsyn/A 23905-2025 tillsynsbegäran.docx", "A 23905-2025")</f>
        <v/>
      </c>
      <c r="Y120">
        <f>HYPERLINK("https://klasma.github.io/Logging_0188/tillsynsmail/A 23905-2025 tillsynsbegäran mail.docx", "A 23905-2025")</f>
        <v/>
      </c>
    </row>
    <row r="121" ht="15" customHeight="1">
      <c r="A121" t="inlineStr">
        <is>
          <t>A 62715-2025</t>
        </is>
      </c>
      <c r="B121" s="1" t="n">
        <v>46008.52034722222</v>
      </c>
      <c r="C121" s="1" t="n">
        <v>46108</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63292-2025</t>
        </is>
      </c>
      <c r="B122" s="1" t="n">
        <v>46010.59232638889</v>
      </c>
      <c r="C122" s="1" t="n">
        <v>46108</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25669-2025</t>
        </is>
      </c>
      <c r="B123" s="1" t="n">
        <v>45803.62766203703</v>
      </c>
      <c r="C123" s="1" t="n">
        <v>46108</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26635-2023</t>
        </is>
      </c>
      <c r="B124" s="1" t="n">
        <v>45092</v>
      </c>
      <c r="C124" s="1" t="n">
        <v>46108</v>
      </c>
      <c r="D124" t="inlineStr">
        <is>
          <t>STOCKHOLMS LÄN</t>
        </is>
      </c>
      <c r="E124" t="inlineStr">
        <is>
          <t>NORRTÄLJE</t>
        </is>
      </c>
      <c r="G124" t="n">
        <v>3.1</v>
      </c>
      <c r="H124" t="n">
        <v>1</v>
      </c>
      <c r="I124" t="n">
        <v>0</v>
      </c>
      <c r="J124" t="n">
        <v>0</v>
      </c>
      <c r="K124" t="n">
        <v>0</v>
      </c>
      <c r="L124" t="n">
        <v>0</v>
      </c>
      <c r="M124" t="n">
        <v>0</v>
      </c>
      <c r="N124" t="n">
        <v>0</v>
      </c>
      <c r="O124" t="n">
        <v>0</v>
      </c>
      <c r="P124" t="n">
        <v>0</v>
      </c>
      <c r="Q124" t="n">
        <v>1</v>
      </c>
      <c r="R124" s="2" t="inlineStr">
        <is>
          <t>Fläcknycklar</t>
        </is>
      </c>
      <c r="S124">
        <f>HYPERLINK("https://klasma.github.io/Logging_0188/artfynd/A 26635-2023 artfynd.xlsx", "A 26635-2023")</f>
        <v/>
      </c>
      <c r="T124">
        <f>HYPERLINK("https://klasma.github.io/Logging_0188/kartor/A 26635-2023 karta.png", "A 26635-2023")</f>
        <v/>
      </c>
      <c r="V124">
        <f>HYPERLINK("https://klasma.github.io/Logging_0188/klagomål/A 26635-2023 FSC-klagomål.docx", "A 26635-2023")</f>
        <v/>
      </c>
      <c r="W124">
        <f>HYPERLINK("https://klasma.github.io/Logging_0188/klagomålsmail/A 26635-2023 FSC-klagomål mail.docx", "A 26635-2023")</f>
        <v/>
      </c>
      <c r="X124">
        <f>HYPERLINK("https://klasma.github.io/Logging_0188/tillsyn/A 26635-2023 tillsynsbegäran.docx", "A 26635-2023")</f>
        <v/>
      </c>
      <c r="Y124">
        <f>HYPERLINK("https://klasma.github.io/Logging_0188/tillsynsmail/A 26635-2023 tillsynsbegäran mail.docx", "A 26635-2023")</f>
        <v/>
      </c>
    </row>
    <row r="125" ht="15" customHeight="1">
      <c r="A125" t="inlineStr">
        <is>
          <t>A 35764-2024</t>
        </is>
      </c>
      <c r="B125" s="1" t="n">
        <v>45532</v>
      </c>
      <c r="C125" s="1" t="n">
        <v>46108</v>
      </c>
      <c r="D125" t="inlineStr">
        <is>
          <t>STOCKHOLMS LÄN</t>
        </is>
      </c>
      <c r="E125" t="inlineStr">
        <is>
          <t>NORRTÄLJE</t>
        </is>
      </c>
      <c r="G125" t="n">
        <v>14.2</v>
      </c>
      <c r="H125" t="n">
        <v>1</v>
      </c>
      <c r="I125" t="n">
        <v>0</v>
      </c>
      <c r="J125" t="n">
        <v>0</v>
      </c>
      <c r="K125" t="n">
        <v>1</v>
      </c>
      <c r="L125" t="n">
        <v>0</v>
      </c>
      <c r="M125" t="n">
        <v>0</v>
      </c>
      <c r="N125" t="n">
        <v>0</v>
      </c>
      <c r="O125" t="n">
        <v>1</v>
      </c>
      <c r="P125" t="n">
        <v>1</v>
      </c>
      <c r="Q125" t="n">
        <v>1</v>
      </c>
      <c r="R125" s="2" t="inlineStr">
        <is>
          <t>Knärot</t>
        </is>
      </c>
      <c r="S125">
        <f>HYPERLINK("https://klasma.github.io/Logging_0188/artfynd/A 35764-2024 artfynd.xlsx", "A 35764-2024")</f>
        <v/>
      </c>
      <c r="T125">
        <f>HYPERLINK("https://klasma.github.io/Logging_0188/kartor/A 35764-2024 karta.png", "A 35764-2024")</f>
        <v/>
      </c>
      <c r="U125">
        <f>HYPERLINK("https://klasma.github.io/Logging_0188/knärot/A 35764-2024 karta knärot.png", "A 35764-2024")</f>
        <v/>
      </c>
      <c r="V125">
        <f>HYPERLINK("https://klasma.github.io/Logging_0188/klagomål/A 35764-2024 FSC-klagomål.docx", "A 35764-2024")</f>
        <v/>
      </c>
      <c r="W125">
        <f>HYPERLINK("https://klasma.github.io/Logging_0188/klagomålsmail/A 35764-2024 FSC-klagomål mail.docx", "A 35764-2024")</f>
        <v/>
      </c>
      <c r="X125">
        <f>HYPERLINK("https://klasma.github.io/Logging_0188/tillsyn/A 35764-2024 tillsynsbegäran.docx", "A 35764-2024")</f>
        <v/>
      </c>
      <c r="Y125">
        <f>HYPERLINK("https://klasma.github.io/Logging_0188/tillsynsmail/A 35764-2024 tillsynsbegäran mail.docx", "A 35764-2024")</f>
        <v/>
      </c>
    </row>
    <row r="126" ht="15" customHeight="1">
      <c r="A126" t="inlineStr">
        <is>
          <t>A 25725-2025</t>
        </is>
      </c>
      <c r="B126" s="1" t="n">
        <v>45800</v>
      </c>
      <c r="C126" s="1" t="n">
        <v>46108</v>
      </c>
      <c r="D126" t="inlineStr">
        <is>
          <t>STOCKHOLMS LÄN</t>
        </is>
      </c>
      <c r="E126" t="inlineStr">
        <is>
          <t>NORRTÄLJE</t>
        </is>
      </c>
      <c r="G126" t="n">
        <v>5.2</v>
      </c>
      <c r="H126" t="n">
        <v>0</v>
      </c>
      <c r="I126" t="n">
        <v>0</v>
      </c>
      <c r="J126" t="n">
        <v>1</v>
      </c>
      <c r="K126" t="n">
        <v>0</v>
      </c>
      <c r="L126" t="n">
        <v>0</v>
      </c>
      <c r="M126" t="n">
        <v>0</v>
      </c>
      <c r="N126" t="n">
        <v>0</v>
      </c>
      <c r="O126" t="n">
        <v>1</v>
      </c>
      <c r="P126" t="n">
        <v>0</v>
      </c>
      <c r="Q126" t="n">
        <v>1</v>
      </c>
      <c r="R126" s="2" t="inlineStr">
        <is>
          <t>Tallticka</t>
        </is>
      </c>
      <c r="S126">
        <f>HYPERLINK("https://klasma.github.io/Logging_0188/artfynd/A 25725-2025 artfynd.xlsx", "A 25725-2025")</f>
        <v/>
      </c>
      <c r="T126">
        <f>HYPERLINK("https://klasma.github.io/Logging_0188/kartor/A 25725-2025 karta.png", "A 25725-2025")</f>
        <v/>
      </c>
      <c r="V126">
        <f>HYPERLINK("https://klasma.github.io/Logging_0188/klagomål/A 25725-2025 FSC-klagomål.docx", "A 25725-2025")</f>
        <v/>
      </c>
      <c r="W126">
        <f>HYPERLINK("https://klasma.github.io/Logging_0188/klagomålsmail/A 25725-2025 FSC-klagomål mail.docx", "A 25725-2025")</f>
        <v/>
      </c>
      <c r="X126">
        <f>HYPERLINK("https://klasma.github.io/Logging_0188/tillsyn/A 25725-2025 tillsynsbegäran.docx", "A 25725-2025")</f>
        <v/>
      </c>
      <c r="Y126">
        <f>HYPERLINK("https://klasma.github.io/Logging_0188/tillsynsmail/A 25725-2025 tillsynsbegäran mail.docx", "A 25725-2025")</f>
        <v/>
      </c>
    </row>
    <row r="127" ht="15" customHeight="1">
      <c r="A127" t="inlineStr">
        <is>
          <t>A 364-2026</t>
        </is>
      </c>
      <c r="B127" s="1" t="n">
        <v>46027.67134259259</v>
      </c>
      <c r="C127" s="1" t="n">
        <v>46108</v>
      </c>
      <c r="D127" t="inlineStr">
        <is>
          <t>STOCKHOLMS LÄN</t>
        </is>
      </c>
      <c r="E127" t="inlineStr">
        <is>
          <t>NORRTÄLJE</t>
        </is>
      </c>
      <c r="F127" t="inlineStr">
        <is>
          <t>Holmen skog AB</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364-2026 artfynd.xlsx", "A 364-2026")</f>
        <v/>
      </c>
      <c r="T127">
        <f>HYPERLINK("https://klasma.github.io/Logging_0188/kartor/A 364-2026 karta.png", "A 364-2026")</f>
        <v/>
      </c>
      <c r="V127">
        <f>HYPERLINK("https://klasma.github.io/Logging_0188/klagomål/A 364-2026 FSC-klagomål.docx", "A 364-2026")</f>
        <v/>
      </c>
      <c r="W127">
        <f>HYPERLINK("https://klasma.github.io/Logging_0188/klagomålsmail/A 364-2026 FSC-klagomål mail.docx", "A 364-2026")</f>
        <v/>
      </c>
      <c r="X127">
        <f>HYPERLINK("https://klasma.github.io/Logging_0188/tillsyn/A 364-2026 tillsynsbegäran.docx", "A 364-2026")</f>
        <v/>
      </c>
      <c r="Y127">
        <f>HYPERLINK("https://klasma.github.io/Logging_0188/tillsynsmail/A 364-2026 tillsynsbegäran mail.docx", "A 364-2026")</f>
        <v/>
      </c>
    </row>
    <row r="128" ht="15" customHeight="1">
      <c r="A128" t="inlineStr">
        <is>
          <t>A 25709-2025</t>
        </is>
      </c>
      <c r="B128" s="1" t="n">
        <v>45800</v>
      </c>
      <c r="C128" s="1" t="n">
        <v>46108</v>
      </c>
      <c r="D128" t="inlineStr">
        <is>
          <t>STOCKHOLMS LÄN</t>
        </is>
      </c>
      <c r="E128" t="inlineStr">
        <is>
          <t>NORRTÄLJE</t>
        </is>
      </c>
      <c r="G128" t="n">
        <v>4.6</v>
      </c>
      <c r="H128" t="n">
        <v>0</v>
      </c>
      <c r="I128" t="n">
        <v>0</v>
      </c>
      <c r="J128" t="n">
        <v>1</v>
      </c>
      <c r="K128" t="n">
        <v>0</v>
      </c>
      <c r="L128" t="n">
        <v>0</v>
      </c>
      <c r="M128" t="n">
        <v>0</v>
      </c>
      <c r="N128" t="n">
        <v>0</v>
      </c>
      <c r="O128" t="n">
        <v>1</v>
      </c>
      <c r="P128" t="n">
        <v>0</v>
      </c>
      <c r="Q128" t="n">
        <v>1</v>
      </c>
      <c r="R128" s="2" t="inlineStr">
        <is>
          <t>Ullticka</t>
        </is>
      </c>
      <c r="S128">
        <f>HYPERLINK("https://klasma.github.io/Logging_0188/artfynd/A 25709-2025 artfynd.xlsx", "A 25709-2025")</f>
        <v/>
      </c>
      <c r="T128">
        <f>HYPERLINK("https://klasma.github.io/Logging_0188/kartor/A 25709-2025 karta.png", "A 25709-2025")</f>
        <v/>
      </c>
      <c r="V128">
        <f>HYPERLINK("https://klasma.github.io/Logging_0188/klagomål/A 25709-2025 FSC-klagomål.docx", "A 25709-2025")</f>
        <v/>
      </c>
      <c r="W128">
        <f>HYPERLINK("https://klasma.github.io/Logging_0188/klagomålsmail/A 25709-2025 FSC-klagomål mail.docx", "A 25709-2025")</f>
        <v/>
      </c>
      <c r="X128">
        <f>HYPERLINK("https://klasma.github.io/Logging_0188/tillsyn/A 25709-2025 tillsynsbegäran.docx", "A 25709-2025")</f>
        <v/>
      </c>
      <c r="Y128">
        <f>HYPERLINK("https://klasma.github.io/Logging_0188/tillsynsmail/A 25709-2025 tillsynsbegäran mail.docx", "A 25709-2025")</f>
        <v/>
      </c>
    </row>
    <row r="129" ht="15" customHeight="1">
      <c r="A129" t="inlineStr">
        <is>
          <t>A 35649-2023</t>
        </is>
      </c>
      <c r="B129" s="1" t="n">
        <v>45146</v>
      </c>
      <c r="C129" s="1" t="n">
        <v>46108</v>
      </c>
      <c r="D129" t="inlineStr">
        <is>
          <t>STOCKHOLMS LÄN</t>
        </is>
      </c>
      <c r="E129" t="inlineStr">
        <is>
          <t>NORRTÄLJE</t>
        </is>
      </c>
      <c r="G129" t="n">
        <v>25.1</v>
      </c>
      <c r="H129" t="n">
        <v>0</v>
      </c>
      <c r="I129" t="n">
        <v>0</v>
      </c>
      <c r="J129" t="n">
        <v>1</v>
      </c>
      <c r="K129" t="n">
        <v>0</v>
      </c>
      <c r="L129" t="n">
        <v>0</v>
      </c>
      <c r="M129" t="n">
        <v>0</v>
      </c>
      <c r="N129" t="n">
        <v>0</v>
      </c>
      <c r="O129" t="n">
        <v>1</v>
      </c>
      <c r="P129" t="n">
        <v>0</v>
      </c>
      <c r="Q129" t="n">
        <v>1</v>
      </c>
      <c r="R129" s="2" t="inlineStr">
        <is>
          <t>Månlåsbräken</t>
        </is>
      </c>
      <c r="S129">
        <f>HYPERLINK("https://klasma.github.io/Logging_0188/artfynd/A 35649-2023 artfynd.xlsx", "A 35649-2023")</f>
        <v/>
      </c>
      <c r="T129">
        <f>HYPERLINK("https://klasma.github.io/Logging_0188/kartor/A 35649-2023 karta.png", "A 35649-2023")</f>
        <v/>
      </c>
      <c r="V129">
        <f>HYPERLINK("https://klasma.github.io/Logging_0188/klagomål/A 35649-2023 FSC-klagomål.docx", "A 35649-2023")</f>
        <v/>
      </c>
      <c r="W129">
        <f>HYPERLINK("https://klasma.github.io/Logging_0188/klagomålsmail/A 35649-2023 FSC-klagomål mail.docx", "A 35649-2023")</f>
        <v/>
      </c>
      <c r="X129">
        <f>HYPERLINK("https://klasma.github.io/Logging_0188/tillsyn/A 35649-2023 tillsynsbegäran.docx", "A 35649-2023")</f>
        <v/>
      </c>
      <c r="Y129">
        <f>HYPERLINK("https://klasma.github.io/Logging_0188/tillsynsmail/A 35649-2023 tillsynsbegäran mail.docx", "A 35649-2023")</f>
        <v/>
      </c>
    </row>
    <row r="130" ht="15" customHeight="1">
      <c r="A130" t="inlineStr">
        <is>
          <t>A 47898-2022</t>
        </is>
      </c>
      <c r="B130" s="1" t="n">
        <v>44855</v>
      </c>
      <c r="C130" s="1" t="n">
        <v>46108</v>
      </c>
      <c r="D130" t="inlineStr">
        <is>
          <t>STOCKHOLMS LÄN</t>
        </is>
      </c>
      <c r="E130" t="inlineStr">
        <is>
          <t>NORRTÄLJE</t>
        </is>
      </c>
      <c r="G130" t="n">
        <v>6.7</v>
      </c>
      <c r="H130" t="n">
        <v>1</v>
      </c>
      <c r="I130" t="n">
        <v>1</v>
      </c>
      <c r="J130" t="n">
        <v>0</v>
      </c>
      <c r="K130" t="n">
        <v>0</v>
      </c>
      <c r="L130" t="n">
        <v>0</v>
      </c>
      <c r="M130" t="n">
        <v>0</v>
      </c>
      <c r="N130" t="n">
        <v>0</v>
      </c>
      <c r="O130" t="n">
        <v>0</v>
      </c>
      <c r="P130" t="n">
        <v>0</v>
      </c>
      <c r="Q130" t="n">
        <v>1</v>
      </c>
      <c r="R130" s="2" t="inlineStr">
        <is>
          <t>Guckusko</t>
        </is>
      </c>
      <c r="S130">
        <f>HYPERLINK("https://klasma.github.io/Logging_0188/artfynd/A 47898-2022 artfynd.xlsx", "A 47898-2022")</f>
        <v/>
      </c>
      <c r="T130">
        <f>HYPERLINK("https://klasma.github.io/Logging_0188/kartor/A 47898-2022 karta.png", "A 47898-2022")</f>
        <v/>
      </c>
      <c r="V130">
        <f>HYPERLINK("https://klasma.github.io/Logging_0188/klagomål/A 47898-2022 FSC-klagomål.docx", "A 47898-2022")</f>
        <v/>
      </c>
      <c r="W130">
        <f>HYPERLINK("https://klasma.github.io/Logging_0188/klagomålsmail/A 47898-2022 FSC-klagomål mail.docx", "A 47898-2022")</f>
        <v/>
      </c>
      <c r="X130">
        <f>HYPERLINK("https://klasma.github.io/Logging_0188/tillsyn/A 47898-2022 tillsynsbegäran.docx", "A 47898-2022")</f>
        <v/>
      </c>
      <c r="Y130">
        <f>HYPERLINK("https://klasma.github.io/Logging_0188/tillsynsmail/A 47898-2022 tillsynsbegäran mail.docx", "A 47898-2022")</f>
        <v/>
      </c>
    </row>
    <row r="131" ht="15" customHeight="1">
      <c r="A131" t="inlineStr">
        <is>
          <t>A 6381-2023</t>
        </is>
      </c>
      <c r="B131" s="1" t="n">
        <v>44965</v>
      </c>
      <c r="C131" s="1" t="n">
        <v>46108</v>
      </c>
      <c r="D131" t="inlineStr">
        <is>
          <t>STOCKHOLMS LÄN</t>
        </is>
      </c>
      <c r="E131" t="inlineStr">
        <is>
          <t>NORRTÄLJE</t>
        </is>
      </c>
      <c r="G131" t="n">
        <v>3.5</v>
      </c>
      <c r="H131" t="n">
        <v>1</v>
      </c>
      <c r="I131" t="n">
        <v>1</v>
      </c>
      <c r="J131" t="n">
        <v>0</v>
      </c>
      <c r="K131" t="n">
        <v>0</v>
      </c>
      <c r="L131" t="n">
        <v>0</v>
      </c>
      <c r="M131" t="n">
        <v>0</v>
      </c>
      <c r="N131" t="n">
        <v>0</v>
      </c>
      <c r="O131" t="n">
        <v>0</v>
      </c>
      <c r="P131" t="n">
        <v>0</v>
      </c>
      <c r="Q131" t="n">
        <v>1</v>
      </c>
      <c r="R131" s="2" t="inlineStr">
        <is>
          <t>Guckusko</t>
        </is>
      </c>
      <c r="S131">
        <f>HYPERLINK("https://klasma.github.io/Logging_0188/artfynd/A 6381-2023 artfynd.xlsx", "A 6381-2023")</f>
        <v/>
      </c>
      <c r="T131">
        <f>HYPERLINK("https://klasma.github.io/Logging_0188/kartor/A 6381-2023 karta.png", "A 6381-2023")</f>
        <v/>
      </c>
      <c r="V131">
        <f>HYPERLINK("https://klasma.github.io/Logging_0188/klagomål/A 6381-2023 FSC-klagomål.docx", "A 6381-2023")</f>
        <v/>
      </c>
      <c r="W131">
        <f>HYPERLINK("https://klasma.github.io/Logging_0188/klagomålsmail/A 6381-2023 FSC-klagomål mail.docx", "A 6381-2023")</f>
        <v/>
      </c>
      <c r="X131">
        <f>HYPERLINK("https://klasma.github.io/Logging_0188/tillsyn/A 6381-2023 tillsynsbegäran.docx", "A 6381-2023")</f>
        <v/>
      </c>
      <c r="Y131">
        <f>HYPERLINK("https://klasma.github.io/Logging_0188/tillsynsmail/A 6381-2023 tillsynsbegäran mail.docx", "A 6381-2023")</f>
        <v/>
      </c>
    </row>
    <row r="132" ht="15" customHeight="1">
      <c r="A132" t="inlineStr">
        <is>
          <t>A 29946-2025</t>
        </is>
      </c>
      <c r="B132" s="1" t="n">
        <v>45826.46392361111</v>
      </c>
      <c r="C132" s="1" t="n">
        <v>46108</v>
      </c>
      <c r="D132" t="inlineStr">
        <is>
          <t>STOCKHOLMS LÄN</t>
        </is>
      </c>
      <c r="E132" t="inlineStr">
        <is>
          <t>NORRTÄLJE</t>
        </is>
      </c>
      <c r="F132" t="inlineStr">
        <is>
          <t>Holmen skog AB</t>
        </is>
      </c>
      <c r="G132" t="n">
        <v>3.6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29946-2025 artfynd.xlsx", "A 29946-2025")</f>
        <v/>
      </c>
      <c r="T132">
        <f>HYPERLINK("https://klasma.github.io/Logging_0188/kartor/A 29946-2025 karta.png", "A 29946-2025")</f>
        <v/>
      </c>
      <c r="V132">
        <f>HYPERLINK("https://klasma.github.io/Logging_0188/klagomål/A 29946-2025 FSC-klagomål.docx", "A 29946-2025")</f>
        <v/>
      </c>
      <c r="W132">
        <f>HYPERLINK("https://klasma.github.io/Logging_0188/klagomålsmail/A 29946-2025 FSC-klagomål mail.docx", "A 29946-2025")</f>
        <v/>
      </c>
      <c r="X132">
        <f>HYPERLINK("https://klasma.github.io/Logging_0188/tillsyn/A 29946-2025 tillsynsbegäran.docx", "A 29946-2025")</f>
        <v/>
      </c>
      <c r="Y132">
        <f>HYPERLINK("https://klasma.github.io/Logging_0188/tillsynsmail/A 29946-2025 tillsynsbegäran mail.docx", "A 29946-2025")</f>
        <v/>
      </c>
    </row>
    <row r="133" ht="15" customHeight="1">
      <c r="A133" t="inlineStr">
        <is>
          <t>A 14365-2025</t>
        </is>
      </c>
      <c r="B133" s="1" t="n">
        <v>45741.38688657407</v>
      </c>
      <c r="C133" s="1" t="n">
        <v>46108</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32111-2022</t>
        </is>
      </c>
      <c r="B134" s="1" t="n">
        <v>44778.92797453704</v>
      </c>
      <c r="C134" s="1" t="n">
        <v>46108</v>
      </c>
      <c r="D134" t="inlineStr">
        <is>
          <t>STOCKHOLMS LÄN</t>
        </is>
      </c>
      <c r="E134" t="inlineStr">
        <is>
          <t>NORRTÄLJE</t>
        </is>
      </c>
      <c r="G134" t="n">
        <v>3.1</v>
      </c>
      <c r="H134" t="n">
        <v>0</v>
      </c>
      <c r="I134" t="n">
        <v>0</v>
      </c>
      <c r="J134" t="n">
        <v>1</v>
      </c>
      <c r="K134" t="n">
        <v>0</v>
      </c>
      <c r="L134" t="n">
        <v>0</v>
      </c>
      <c r="M134" t="n">
        <v>0</v>
      </c>
      <c r="N134" t="n">
        <v>0</v>
      </c>
      <c r="O134" t="n">
        <v>1</v>
      </c>
      <c r="P134" t="n">
        <v>0</v>
      </c>
      <c r="Q134" t="n">
        <v>1</v>
      </c>
      <c r="R134" s="2" t="inlineStr">
        <is>
          <t>Orange taggsvamp</t>
        </is>
      </c>
      <c r="S134">
        <f>HYPERLINK("https://klasma.github.io/Logging_0188/artfynd/A 32111-2022 artfynd.xlsx", "A 32111-2022")</f>
        <v/>
      </c>
      <c r="T134">
        <f>HYPERLINK("https://klasma.github.io/Logging_0188/kartor/A 32111-2022 karta.png", "A 32111-2022")</f>
        <v/>
      </c>
      <c r="V134">
        <f>HYPERLINK("https://klasma.github.io/Logging_0188/klagomål/A 32111-2022 FSC-klagomål.docx", "A 32111-2022")</f>
        <v/>
      </c>
      <c r="W134">
        <f>HYPERLINK("https://klasma.github.io/Logging_0188/klagomålsmail/A 32111-2022 FSC-klagomål mail.docx", "A 32111-2022")</f>
        <v/>
      </c>
      <c r="X134">
        <f>HYPERLINK("https://klasma.github.io/Logging_0188/tillsyn/A 32111-2022 tillsynsbegäran.docx", "A 32111-2022")</f>
        <v/>
      </c>
      <c r="Y134">
        <f>HYPERLINK("https://klasma.github.io/Logging_0188/tillsynsmail/A 32111-2022 tillsynsbegäran mail.docx", "A 32111-2022")</f>
        <v/>
      </c>
    </row>
    <row r="135" ht="15" customHeight="1">
      <c r="A135" t="inlineStr">
        <is>
          <t>A 4385-2023</t>
        </is>
      </c>
      <c r="B135" s="1" t="n">
        <v>44955.71322916666</v>
      </c>
      <c r="C135" s="1" t="n">
        <v>46108</v>
      </c>
      <c r="D135" t="inlineStr">
        <is>
          <t>STOCKHOLMS LÄN</t>
        </is>
      </c>
      <c r="E135" t="inlineStr">
        <is>
          <t>NORRTÄLJE</t>
        </is>
      </c>
      <c r="G135" t="n">
        <v>7.8</v>
      </c>
      <c r="H135" t="n">
        <v>1</v>
      </c>
      <c r="I135" t="n">
        <v>1</v>
      </c>
      <c r="J135" t="n">
        <v>0</v>
      </c>
      <c r="K135" t="n">
        <v>0</v>
      </c>
      <c r="L135" t="n">
        <v>0</v>
      </c>
      <c r="M135" t="n">
        <v>0</v>
      </c>
      <c r="N135" t="n">
        <v>0</v>
      </c>
      <c r="O135" t="n">
        <v>0</v>
      </c>
      <c r="P135" t="n">
        <v>0</v>
      </c>
      <c r="Q135" t="n">
        <v>1</v>
      </c>
      <c r="R135" s="2" t="inlineStr">
        <is>
          <t>Skogsknipprot</t>
        </is>
      </c>
      <c r="S135">
        <f>HYPERLINK("https://klasma.github.io/Logging_0188/artfynd/A 4385-2023 artfynd.xlsx", "A 4385-2023")</f>
        <v/>
      </c>
      <c r="T135">
        <f>HYPERLINK("https://klasma.github.io/Logging_0188/kartor/A 4385-2023 karta.png", "A 4385-2023")</f>
        <v/>
      </c>
      <c r="V135">
        <f>HYPERLINK("https://klasma.github.io/Logging_0188/klagomål/A 4385-2023 FSC-klagomål.docx", "A 4385-2023")</f>
        <v/>
      </c>
      <c r="W135">
        <f>HYPERLINK("https://klasma.github.io/Logging_0188/klagomålsmail/A 4385-2023 FSC-klagomål mail.docx", "A 4385-2023")</f>
        <v/>
      </c>
      <c r="X135">
        <f>HYPERLINK("https://klasma.github.io/Logging_0188/tillsyn/A 4385-2023 tillsynsbegäran.docx", "A 4385-2023")</f>
        <v/>
      </c>
      <c r="Y135">
        <f>HYPERLINK("https://klasma.github.io/Logging_0188/tillsynsmail/A 4385-2023 tillsynsbegäran mail.docx", "A 4385-2023")</f>
        <v/>
      </c>
    </row>
    <row r="136" ht="15" customHeight="1">
      <c r="A136" t="inlineStr">
        <is>
          <t>A 4860-2022</t>
        </is>
      </c>
      <c r="B136" s="1" t="n">
        <v>44592</v>
      </c>
      <c r="C136" s="1" t="n">
        <v>46108</v>
      </c>
      <c r="D136" t="inlineStr">
        <is>
          <t>STOCKHOLMS LÄN</t>
        </is>
      </c>
      <c r="E136" t="inlineStr">
        <is>
          <t>NORRTÄLJE</t>
        </is>
      </c>
      <c r="G136" t="n">
        <v>22.3</v>
      </c>
      <c r="H136" t="n">
        <v>0</v>
      </c>
      <c r="I136" t="n">
        <v>0</v>
      </c>
      <c r="J136" t="n">
        <v>1</v>
      </c>
      <c r="K136" t="n">
        <v>0</v>
      </c>
      <c r="L136" t="n">
        <v>0</v>
      </c>
      <c r="M136" t="n">
        <v>0</v>
      </c>
      <c r="N136" t="n">
        <v>0</v>
      </c>
      <c r="O136" t="n">
        <v>1</v>
      </c>
      <c r="P136" t="n">
        <v>0</v>
      </c>
      <c r="Q136" t="n">
        <v>1</v>
      </c>
      <c r="R136" s="2" t="inlineStr">
        <is>
          <t>Igelkott</t>
        </is>
      </c>
      <c r="S136">
        <f>HYPERLINK("https://klasma.github.io/Logging_0188/artfynd/A 4860-2022 artfynd.xlsx", "A 4860-2022")</f>
        <v/>
      </c>
      <c r="T136">
        <f>HYPERLINK("https://klasma.github.io/Logging_0188/kartor/A 4860-2022 karta.png", "A 4860-2022")</f>
        <v/>
      </c>
      <c r="V136">
        <f>HYPERLINK("https://klasma.github.io/Logging_0188/klagomål/A 4860-2022 FSC-klagomål.docx", "A 4860-2022")</f>
        <v/>
      </c>
      <c r="W136">
        <f>HYPERLINK("https://klasma.github.io/Logging_0188/klagomålsmail/A 4860-2022 FSC-klagomål mail.docx", "A 4860-2022")</f>
        <v/>
      </c>
      <c r="X136">
        <f>HYPERLINK("https://klasma.github.io/Logging_0188/tillsyn/A 4860-2022 tillsynsbegäran.docx", "A 4860-2022")</f>
        <v/>
      </c>
      <c r="Y136">
        <f>HYPERLINK("https://klasma.github.io/Logging_0188/tillsynsmail/A 4860-2022 tillsynsbegäran mail.docx", "A 4860-2022")</f>
        <v/>
      </c>
    </row>
    <row r="137" ht="15" customHeight="1">
      <c r="A137" t="inlineStr">
        <is>
          <t>A 19829-2022</t>
        </is>
      </c>
      <c r="B137" s="1" t="n">
        <v>44695.43527777777</v>
      </c>
      <c r="C137" s="1" t="n">
        <v>46108</v>
      </c>
      <c r="D137" t="inlineStr">
        <is>
          <t>STOCKHOLMS LÄN</t>
        </is>
      </c>
      <c r="E137" t="inlineStr">
        <is>
          <t>NORRTÄLJE</t>
        </is>
      </c>
      <c r="G137" t="n">
        <v>2</v>
      </c>
      <c r="H137" t="n">
        <v>1</v>
      </c>
      <c r="I137" t="n">
        <v>1</v>
      </c>
      <c r="J137" t="n">
        <v>0</v>
      </c>
      <c r="K137" t="n">
        <v>0</v>
      </c>
      <c r="L137" t="n">
        <v>0</v>
      </c>
      <c r="M137" t="n">
        <v>0</v>
      </c>
      <c r="N137" t="n">
        <v>0</v>
      </c>
      <c r="O137" t="n">
        <v>0</v>
      </c>
      <c r="P137" t="n">
        <v>0</v>
      </c>
      <c r="Q137" t="n">
        <v>1</v>
      </c>
      <c r="R137" s="2" t="inlineStr">
        <is>
          <t>Guckusko</t>
        </is>
      </c>
      <c r="S137">
        <f>HYPERLINK("https://klasma.github.io/Logging_0188/artfynd/A 19829-2022 artfynd.xlsx", "A 19829-2022")</f>
        <v/>
      </c>
      <c r="T137">
        <f>HYPERLINK("https://klasma.github.io/Logging_0188/kartor/A 19829-2022 karta.png", "A 19829-2022")</f>
        <v/>
      </c>
      <c r="V137">
        <f>HYPERLINK("https://klasma.github.io/Logging_0188/klagomål/A 19829-2022 FSC-klagomål.docx", "A 19829-2022")</f>
        <v/>
      </c>
      <c r="W137">
        <f>HYPERLINK("https://klasma.github.io/Logging_0188/klagomålsmail/A 19829-2022 FSC-klagomål mail.docx", "A 19829-2022")</f>
        <v/>
      </c>
      <c r="X137">
        <f>HYPERLINK("https://klasma.github.io/Logging_0188/tillsyn/A 19829-2022 tillsynsbegäran.docx", "A 19829-2022")</f>
        <v/>
      </c>
      <c r="Y137">
        <f>HYPERLINK("https://klasma.github.io/Logging_0188/tillsynsmail/A 19829-2022 tillsynsbegäran mail.docx", "A 19829-2022")</f>
        <v/>
      </c>
    </row>
    <row r="138" ht="15" customHeight="1">
      <c r="A138" t="inlineStr">
        <is>
          <t>A 33546-2025</t>
        </is>
      </c>
      <c r="B138" s="1" t="n">
        <v>45841.56996527778</v>
      </c>
      <c r="C138" s="1" t="n">
        <v>46108</v>
      </c>
      <c r="D138" t="inlineStr">
        <is>
          <t>STOCKHOLMS LÄN</t>
        </is>
      </c>
      <c r="E138" t="inlineStr">
        <is>
          <t>NORRTÄLJE</t>
        </is>
      </c>
      <c r="G138" t="n">
        <v>7.2</v>
      </c>
      <c r="H138" t="n">
        <v>1</v>
      </c>
      <c r="I138" t="n">
        <v>1</v>
      </c>
      <c r="J138" t="n">
        <v>0</v>
      </c>
      <c r="K138" t="n">
        <v>0</v>
      </c>
      <c r="L138" t="n">
        <v>0</v>
      </c>
      <c r="M138" t="n">
        <v>0</v>
      </c>
      <c r="N138" t="n">
        <v>0</v>
      </c>
      <c r="O138" t="n">
        <v>0</v>
      </c>
      <c r="P138" t="n">
        <v>0</v>
      </c>
      <c r="Q138" t="n">
        <v>1</v>
      </c>
      <c r="R138" s="2" t="inlineStr">
        <is>
          <t>Nästrot</t>
        </is>
      </c>
      <c r="S138">
        <f>HYPERLINK("https://klasma.github.io/Logging_0188/artfynd/A 33546-2025 artfynd.xlsx", "A 33546-2025")</f>
        <v/>
      </c>
      <c r="T138">
        <f>HYPERLINK("https://klasma.github.io/Logging_0188/kartor/A 33546-2025 karta.png", "A 33546-2025")</f>
        <v/>
      </c>
      <c r="V138">
        <f>HYPERLINK("https://klasma.github.io/Logging_0188/klagomål/A 33546-2025 FSC-klagomål.docx", "A 33546-2025")</f>
        <v/>
      </c>
      <c r="W138">
        <f>HYPERLINK("https://klasma.github.io/Logging_0188/klagomålsmail/A 33546-2025 FSC-klagomål mail.docx", "A 33546-2025")</f>
        <v/>
      </c>
      <c r="X138">
        <f>HYPERLINK("https://klasma.github.io/Logging_0188/tillsyn/A 33546-2025 tillsynsbegäran.docx", "A 33546-2025")</f>
        <v/>
      </c>
      <c r="Y138">
        <f>HYPERLINK("https://klasma.github.io/Logging_0188/tillsynsmail/A 33546-2025 tillsynsbegäran mail.docx", "A 33546-2025")</f>
        <v/>
      </c>
    </row>
    <row r="139" ht="15" customHeight="1">
      <c r="A139" t="inlineStr">
        <is>
          <t>A 7734-2026</t>
        </is>
      </c>
      <c r="B139" s="1" t="n">
        <v>46062.52902777777</v>
      </c>
      <c r="C139" s="1" t="n">
        <v>46108</v>
      </c>
      <c r="D139" t="inlineStr">
        <is>
          <t>STOCKHOLMS LÄN</t>
        </is>
      </c>
      <c r="E139" t="inlineStr">
        <is>
          <t>NORRTÄLJE</t>
        </is>
      </c>
      <c r="G139" t="n">
        <v>6.6</v>
      </c>
      <c r="H139" t="n">
        <v>0</v>
      </c>
      <c r="I139" t="n">
        <v>1</v>
      </c>
      <c r="J139" t="n">
        <v>0</v>
      </c>
      <c r="K139" t="n">
        <v>0</v>
      </c>
      <c r="L139" t="n">
        <v>0</v>
      </c>
      <c r="M139" t="n">
        <v>0</v>
      </c>
      <c r="N139" t="n">
        <v>0</v>
      </c>
      <c r="O139" t="n">
        <v>0</v>
      </c>
      <c r="P139" t="n">
        <v>0</v>
      </c>
      <c r="Q139" t="n">
        <v>1</v>
      </c>
      <c r="R139" s="2" t="inlineStr">
        <is>
          <t>Kastanjefjällskivling</t>
        </is>
      </c>
      <c r="S139">
        <f>HYPERLINK("https://klasma.github.io/Logging_0188/artfynd/A 7734-2026 artfynd.xlsx", "A 7734-2026")</f>
        <v/>
      </c>
      <c r="T139">
        <f>HYPERLINK("https://klasma.github.io/Logging_0188/kartor/A 7734-2026 karta.png", "A 7734-2026")</f>
        <v/>
      </c>
      <c r="V139">
        <f>HYPERLINK("https://klasma.github.io/Logging_0188/klagomål/A 7734-2026 FSC-klagomål.docx", "A 7734-2026")</f>
        <v/>
      </c>
      <c r="W139">
        <f>HYPERLINK("https://klasma.github.io/Logging_0188/klagomålsmail/A 7734-2026 FSC-klagomål mail.docx", "A 7734-2026")</f>
        <v/>
      </c>
      <c r="X139">
        <f>HYPERLINK("https://klasma.github.io/Logging_0188/tillsyn/A 7734-2026 tillsynsbegäran.docx", "A 7734-2026")</f>
        <v/>
      </c>
      <c r="Y139">
        <f>HYPERLINK("https://klasma.github.io/Logging_0188/tillsynsmail/A 7734-2026 tillsynsbegäran mail.docx", "A 7734-2026")</f>
        <v/>
      </c>
    </row>
    <row r="140" ht="15" customHeight="1">
      <c r="A140" t="inlineStr">
        <is>
          <t>A 28816-2023</t>
        </is>
      </c>
      <c r="B140" s="1" t="n">
        <v>45104</v>
      </c>
      <c r="C140" s="1" t="n">
        <v>46108</v>
      </c>
      <c r="D140" t="inlineStr">
        <is>
          <t>STOCKHOLMS LÄN</t>
        </is>
      </c>
      <c r="E140" t="inlineStr">
        <is>
          <t>NORRTÄLJE</t>
        </is>
      </c>
      <c r="F140" t="inlineStr">
        <is>
          <t>Kommuner</t>
        </is>
      </c>
      <c r="G140" t="n">
        <v>0.5</v>
      </c>
      <c r="H140" t="n">
        <v>1</v>
      </c>
      <c r="I140" t="n">
        <v>0</v>
      </c>
      <c r="J140" t="n">
        <v>0</v>
      </c>
      <c r="K140" t="n">
        <v>0</v>
      </c>
      <c r="L140" t="n">
        <v>0</v>
      </c>
      <c r="M140" t="n">
        <v>0</v>
      </c>
      <c r="N140" t="n">
        <v>0</v>
      </c>
      <c r="O140" t="n">
        <v>0</v>
      </c>
      <c r="P140" t="n">
        <v>0</v>
      </c>
      <c r="Q140" t="n">
        <v>1</v>
      </c>
      <c r="R140" s="2" t="inlineStr">
        <is>
          <t>Kungsfågel</t>
        </is>
      </c>
      <c r="S140">
        <f>HYPERLINK("https://klasma.github.io/Logging_0188/artfynd/A 28816-2023 artfynd.xlsx", "A 28816-2023")</f>
        <v/>
      </c>
      <c r="T140">
        <f>HYPERLINK("https://klasma.github.io/Logging_0188/kartor/A 28816-2023 karta.png", "A 28816-2023")</f>
        <v/>
      </c>
      <c r="V140">
        <f>HYPERLINK("https://klasma.github.io/Logging_0188/klagomål/A 28816-2023 FSC-klagomål.docx", "A 28816-2023")</f>
        <v/>
      </c>
      <c r="W140">
        <f>HYPERLINK("https://klasma.github.io/Logging_0188/klagomålsmail/A 28816-2023 FSC-klagomål mail.docx", "A 28816-2023")</f>
        <v/>
      </c>
      <c r="X140">
        <f>HYPERLINK("https://klasma.github.io/Logging_0188/tillsyn/A 28816-2023 tillsynsbegäran.docx", "A 28816-2023")</f>
        <v/>
      </c>
      <c r="Y140">
        <f>HYPERLINK("https://klasma.github.io/Logging_0188/tillsynsmail/A 28816-2023 tillsynsbegäran mail.docx", "A 28816-2023")</f>
        <v/>
      </c>
      <c r="Z140">
        <f>HYPERLINK("https://klasma.github.io/Logging_0188/fåglar/A 28816-2023 prioriterade fågelarter.docx", "A 28816-2023")</f>
        <v/>
      </c>
    </row>
    <row r="141" ht="15" customHeight="1">
      <c r="A141" t="inlineStr">
        <is>
          <t>A 52508-2023</t>
        </is>
      </c>
      <c r="B141" s="1" t="n">
        <v>45225</v>
      </c>
      <c r="C141" s="1" t="n">
        <v>46108</v>
      </c>
      <c r="D141" t="inlineStr">
        <is>
          <t>STOCKHOLMS LÄN</t>
        </is>
      </c>
      <c r="E141" t="inlineStr">
        <is>
          <t>NORRTÄLJE</t>
        </is>
      </c>
      <c r="G141" t="n">
        <v>19.7</v>
      </c>
      <c r="H141" t="n">
        <v>1</v>
      </c>
      <c r="I141" t="n">
        <v>0</v>
      </c>
      <c r="J141" t="n">
        <v>0</v>
      </c>
      <c r="K141" t="n">
        <v>1</v>
      </c>
      <c r="L141" t="n">
        <v>0</v>
      </c>
      <c r="M141" t="n">
        <v>0</v>
      </c>
      <c r="N141" t="n">
        <v>0</v>
      </c>
      <c r="O141" t="n">
        <v>1</v>
      </c>
      <c r="P141" t="n">
        <v>1</v>
      </c>
      <c r="Q141" t="n">
        <v>1</v>
      </c>
      <c r="R141" s="2" t="inlineStr">
        <is>
          <t>Svärta</t>
        </is>
      </c>
      <c r="S141">
        <f>HYPERLINK("https://klasma.github.io/Logging_0188/artfynd/A 52508-2023 artfynd.xlsx", "A 52508-2023")</f>
        <v/>
      </c>
      <c r="T141">
        <f>HYPERLINK("https://klasma.github.io/Logging_0188/kartor/A 52508-2023 karta.png", "A 52508-2023")</f>
        <v/>
      </c>
      <c r="V141">
        <f>HYPERLINK("https://klasma.github.io/Logging_0188/klagomål/A 52508-2023 FSC-klagomål.docx", "A 52508-2023")</f>
        <v/>
      </c>
      <c r="W141">
        <f>HYPERLINK("https://klasma.github.io/Logging_0188/klagomålsmail/A 52508-2023 FSC-klagomål mail.docx", "A 52508-2023")</f>
        <v/>
      </c>
      <c r="X141">
        <f>HYPERLINK("https://klasma.github.io/Logging_0188/tillsyn/A 52508-2023 tillsynsbegäran.docx", "A 52508-2023")</f>
        <v/>
      </c>
      <c r="Y141">
        <f>HYPERLINK("https://klasma.github.io/Logging_0188/tillsynsmail/A 52508-2023 tillsynsbegäran mail.docx", "A 52508-2023")</f>
        <v/>
      </c>
    </row>
    <row r="142" ht="15" customHeight="1">
      <c r="A142" t="inlineStr">
        <is>
          <t>A 8371-2025</t>
        </is>
      </c>
      <c r="B142" s="1" t="n">
        <v>45708</v>
      </c>
      <c r="C142" s="1" t="n">
        <v>46108</v>
      </c>
      <c r="D142" t="inlineStr">
        <is>
          <t>STOCKHOLMS LÄN</t>
        </is>
      </c>
      <c r="E142" t="inlineStr">
        <is>
          <t>NORRTÄLJE</t>
        </is>
      </c>
      <c r="F142" t="inlineStr">
        <is>
          <t>Övriga Aktiebolag</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HYPERLINK("https://klasma.github.io/Logging_0188/artfynd/A 8371-2025 artfynd.xlsx", "A 8371-2025")</f>
        <v/>
      </c>
      <c r="T142">
        <f>HYPERLINK("https://klasma.github.io/Logging_0188/kartor/A 8371-2025 karta.png", "A 8371-2025")</f>
        <v/>
      </c>
      <c r="V142">
        <f>HYPERLINK("https://klasma.github.io/Logging_0188/klagomål/A 8371-2025 FSC-klagomål.docx", "A 8371-2025")</f>
        <v/>
      </c>
      <c r="W142">
        <f>HYPERLINK("https://klasma.github.io/Logging_0188/klagomålsmail/A 8371-2025 FSC-klagomål mail.docx", "A 8371-2025")</f>
        <v/>
      </c>
      <c r="X142">
        <f>HYPERLINK("https://klasma.github.io/Logging_0188/tillsyn/A 8371-2025 tillsynsbegäran.docx", "A 8371-2025")</f>
        <v/>
      </c>
      <c r="Y142">
        <f>HYPERLINK("https://klasma.github.io/Logging_0188/tillsynsmail/A 8371-2025 tillsynsbegäran mail.docx", "A 8371-2025")</f>
        <v/>
      </c>
      <c r="Z142">
        <f>HYPERLINK("https://klasma.github.io/Logging_0188/fåglar/A 8371-2025 prioriterade fågelarter.docx", "A 8371-2025")</f>
        <v/>
      </c>
    </row>
    <row r="143" ht="15" customHeight="1">
      <c r="A143" t="inlineStr">
        <is>
          <t>A 27827-2022</t>
        </is>
      </c>
      <c r="B143" s="1" t="n">
        <v>44743.59504629629</v>
      </c>
      <c r="C143" s="1" t="n">
        <v>46108</v>
      </c>
      <c r="D143" t="inlineStr">
        <is>
          <t>STOCKHOLMS LÄN</t>
        </is>
      </c>
      <c r="E143" t="inlineStr">
        <is>
          <t>NORRTÄLJE</t>
        </is>
      </c>
      <c r="F143" t="inlineStr">
        <is>
          <t>Holmen skog AB</t>
        </is>
      </c>
      <c r="G143" t="n">
        <v>4.7</v>
      </c>
      <c r="H143" t="n">
        <v>1</v>
      </c>
      <c r="I143" t="n">
        <v>0</v>
      </c>
      <c r="J143" t="n">
        <v>1</v>
      </c>
      <c r="K143" t="n">
        <v>0</v>
      </c>
      <c r="L143" t="n">
        <v>0</v>
      </c>
      <c r="M143" t="n">
        <v>0</v>
      </c>
      <c r="N143" t="n">
        <v>0</v>
      </c>
      <c r="O143" t="n">
        <v>1</v>
      </c>
      <c r="P143" t="n">
        <v>0</v>
      </c>
      <c r="Q143" t="n">
        <v>1</v>
      </c>
      <c r="R143" s="2" t="inlineStr">
        <is>
          <t>Nordfladdermus</t>
        </is>
      </c>
      <c r="S143">
        <f>HYPERLINK("https://klasma.github.io/Logging_0188/artfynd/A 27827-2022 artfynd.xlsx", "A 27827-2022")</f>
        <v/>
      </c>
      <c r="T143">
        <f>HYPERLINK("https://klasma.github.io/Logging_0188/kartor/A 27827-2022 karta.png", "A 27827-2022")</f>
        <v/>
      </c>
      <c r="V143">
        <f>HYPERLINK("https://klasma.github.io/Logging_0188/klagomål/A 27827-2022 FSC-klagomål.docx", "A 27827-2022")</f>
        <v/>
      </c>
      <c r="W143">
        <f>HYPERLINK("https://klasma.github.io/Logging_0188/klagomålsmail/A 27827-2022 FSC-klagomål mail.docx", "A 27827-2022")</f>
        <v/>
      </c>
      <c r="X143">
        <f>HYPERLINK("https://klasma.github.io/Logging_0188/tillsyn/A 27827-2022 tillsynsbegäran.docx", "A 27827-2022")</f>
        <v/>
      </c>
      <c r="Y143">
        <f>HYPERLINK("https://klasma.github.io/Logging_0188/tillsynsmail/A 27827-2022 tillsynsbegäran mail.docx", "A 27827-2022")</f>
        <v/>
      </c>
    </row>
    <row r="144" ht="15" customHeight="1">
      <c r="A144" t="inlineStr">
        <is>
          <t>A 18580-2021</t>
        </is>
      </c>
      <c r="B144" s="1" t="n">
        <v>44306</v>
      </c>
      <c r="C144" s="1" t="n">
        <v>46108</v>
      </c>
      <c r="D144" t="inlineStr">
        <is>
          <t>STOCKHOLMS LÄN</t>
        </is>
      </c>
      <c r="E144" t="inlineStr">
        <is>
          <t>NORRTÄLJE</t>
        </is>
      </c>
      <c r="F144" t="inlineStr">
        <is>
          <t>Holmen skog AB</t>
        </is>
      </c>
      <c r="G144" t="n">
        <v>1.2</v>
      </c>
      <c r="H144" t="n">
        <v>0</v>
      </c>
      <c r="I144" t="n">
        <v>0</v>
      </c>
      <c r="J144" t="n">
        <v>0</v>
      </c>
      <c r="K144" t="n">
        <v>0</v>
      </c>
      <c r="L144" t="n">
        <v>0</v>
      </c>
      <c r="M144" t="n">
        <v>0</v>
      </c>
      <c r="N144" t="n">
        <v>0</v>
      </c>
      <c r="O144" t="n">
        <v>0</v>
      </c>
      <c r="P144" t="n">
        <v>0</v>
      </c>
      <c r="Q144" t="n">
        <v>0</v>
      </c>
      <c r="R144" s="2" t="inlineStr"/>
    </row>
    <row r="145" ht="15" customHeight="1">
      <c r="A145" t="inlineStr">
        <is>
          <t>A 12877-2022</t>
        </is>
      </c>
      <c r="B145" s="1" t="n">
        <v>44642</v>
      </c>
      <c r="C145" s="1" t="n">
        <v>46108</v>
      </c>
      <c r="D145" t="inlineStr">
        <is>
          <t>STOCKHOLMS LÄN</t>
        </is>
      </c>
      <c r="E145" t="inlineStr">
        <is>
          <t>NORRTÄLJE</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71543-2021</t>
        </is>
      </c>
      <c r="B146" s="1" t="n">
        <v>44540</v>
      </c>
      <c r="C146" s="1" t="n">
        <v>46108</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46108</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46108</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43036-2022</t>
        </is>
      </c>
      <c r="B149" s="1" t="n">
        <v>44833</v>
      </c>
      <c r="C149" s="1" t="n">
        <v>46108</v>
      </c>
      <c r="D149" t="inlineStr">
        <is>
          <t>STOCKHOLMS LÄN</t>
        </is>
      </c>
      <c r="E149" t="inlineStr">
        <is>
          <t>NORRTÄLJE</t>
        </is>
      </c>
      <c r="F149" t="inlineStr">
        <is>
          <t>Kyrkan</t>
        </is>
      </c>
      <c r="G149" t="n">
        <v>1.7</v>
      </c>
      <c r="H149" t="n">
        <v>0</v>
      </c>
      <c r="I149" t="n">
        <v>0</v>
      </c>
      <c r="J149" t="n">
        <v>0</v>
      </c>
      <c r="K149" t="n">
        <v>0</v>
      </c>
      <c r="L149" t="n">
        <v>0</v>
      </c>
      <c r="M149" t="n">
        <v>0</v>
      </c>
      <c r="N149" t="n">
        <v>0</v>
      </c>
      <c r="O149" t="n">
        <v>0</v>
      </c>
      <c r="P149" t="n">
        <v>0</v>
      </c>
      <c r="Q149" t="n">
        <v>0</v>
      </c>
      <c r="R149" s="2" t="inlineStr"/>
    </row>
    <row r="150" ht="15" customHeight="1">
      <c r="A150" t="inlineStr">
        <is>
          <t>A 15289-2021</t>
        </is>
      </c>
      <c r="B150" s="1" t="n">
        <v>44284.59546296296</v>
      </c>
      <c r="C150" s="1" t="n">
        <v>46108</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46108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46108</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46108</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46108</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46108</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46108</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46108</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46108</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46108</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46108</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46108</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46108</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46108</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46108</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46108</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46108</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46108</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46108</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46108</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46108</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46108</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46108</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46108</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46108</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46108</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46108</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46108</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46108</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46108</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46108</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46108</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46108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46108</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46108</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46108</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46108</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46108</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46108</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46108</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46108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46108</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46108</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46108</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46108</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46108</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46108</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46108</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46108</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46108</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46108</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46108</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46108</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46108</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46108</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46108</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46108</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46108</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46108</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46108</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46108</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46108</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46108</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46108</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46108</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46108</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46108</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46108</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46108</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46108</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46108</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46108</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46108</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46108</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46108</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46108</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46108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46108</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46108</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46108</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46108</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46108</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46108</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46108</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46108</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46108</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46108</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46108</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46108</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46108</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46108</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46108</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46108</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46108</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46108</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46108</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46108</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46108</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46108</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46108</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46108</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46108</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46108</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46108</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52139-2022</t>
        </is>
      </c>
      <c r="B254" s="1" t="n">
        <v>44868</v>
      </c>
      <c r="C254" s="1" t="n">
        <v>46108</v>
      </c>
      <c r="D254" t="inlineStr">
        <is>
          <t>STOCKHOLMS LÄN</t>
        </is>
      </c>
      <c r="E254" t="inlineStr">
        <is>
          <t>NORRTÄLJE</t>
        </is>
      </c>
      <c r="G254" t="n">
        <v>3.2</v>
      </c>
      <c r="H254" t="n">
        <v>0</v>
      </c>
      <c r="I254" t="n">
        <v>0</v>
      </c>
      <c r="J254" t="n">
        <v>0</v>
      </c>
      <c r="K254" t="n">
        <v>0</v>
      </c>
      <c r="L254" t="n">
        <v>0</v>
      </c>
      <c r="M254" t="n">
        <v>0</v>
      </c>
      <c r="N254" t="n">
        <v>0</v>
      </c>
      <c r="O254" t="n">
        <v>0</v>
      </c>
      <c r="P254" t="n">
        <v>0</v>
      </c>
      <c r="Q254" t="n">
        <v>0</v>
      </c>
      <c r="R254" s="2" t="inlineStr"/>
      <c r="U254">
        <f>HYPERLINK("https://klasma.github.io/Logging_0188/knärot/A 52139-2022 karta knärot.png", "A 52139-2022")</f>
        <v/>
      </c>
      <c r="V254">
        <f>HYPERLINK("https://klasma.github.io/Logging_0188/klagomål/A 52139-2022 FSC-klagomål.docx", "A 52139-2022")</f>
        <v/>
      </c>
      <c r="W254">
        <f>HYPERLINK("https://klasma.github.io/Logging_0188/klagomålsmail/A 52139-2022 FSC-klagomål mail.docx", "A 52139-2022")</f>
        <v/>
      </c>
      <c r="X254">
        <f>HYPERLINK("https://klasma.github.io/Logging_0188/tillsyn/A 52139-2022 tillsynsbegäran.docx", "A 52139-2022")</f>
        <v/>
      </c>
      <c r="Y254">
        <f>HYPERLINK("https://klasma.github.io/Logging_0188/tillsynsmail/A 52139-2022 tillsynsbegäran mail.docx", "A 52139-2022")</f>
        <v/>
      </c>
    </row>
    <row r="255" ht="15" customHeight="1">
      <c r="A255" t="inlineStr">
        <is>
          <t>A 17673-2021</t>
        </is>
      </c>
      <c r="B255" s="1" t="n">
        <v>44300</v>
      </c>
      <c r="C255" s="1" t="n">
        <v>46108</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44917-2022</t>
        </is>
      </c>
      <c r="B256" s="1" t="n">
        <v>44841.52804398148</v>
      </c>
      <c r="C256" s="1" t="n">
        <v>46108</v>
      </c>
      <c r="D256" t="inlineStr">
        <is>
          <t>STOCKHOLMS LÄN</t>
        </is>
      </c>
      <c r="E256" t="inlineStr">
        <is>
          <t>NORRTÄLJE</t>
        </is>
      </c>
      <c r="F256" t="inlineStr">
        <is>
          <t>Holmen skog AB</t>
        </is>
      </c>
      <c r="G256" t="n">
        <v>3.3</v>
      </c>
      <c r="H256" t="n">
        <v>0</v>
      </c>
      <c r="I256" t="n">
        <v>0</v>
      </c>
      <c r="J256" t="n">
        <v>0</v>
      </c>
      <c r="K256" t="n">
        <v>0</v>
      </c>
      <c r="L256" t="n">
        <v>0</v>
      </c>
      <c r="M256" t="n">
        <v>0</v>
      </c>
      <c r="N256" t="n">
        <v>0</v>
      </c>
      <c r="O256" t="n">
        <v>0</v>
      </c>
      <c r="P256" t="n">
        <v>0</v>
      </c>
      <c r="Q256" t="n">
        <v>0</v>
      </c>
      <c r="R256" s="2" t="inlineStr"/>
    </row>
    <row r="257" ht="15" customHeight="1">
      <c r="A257" t="inlineStr">
        <is>
          <t>A 27217-2021</t>
        </is>
      </c>
      <c r="B257" s="1" t="n">
        <v>44350</v>
      </c>
      <c r="C257" s="1" t="n">
        <v>46108</v>
      </c>
      <c r="D257" t="inlineStr">
        <is>
          <t>STOCKHOLMS LÄN</t>
        </is>
      </c>
      <c r="E257" t="inlineStr">
        <is>
          <t>NORRTÄLJE</t>
        </is>
      </c>
      <c r="G257" t="n">
        <v>5.5</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46108</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58530-2024</t>
        </is>
      </c>
      <c r="B259" s="1" t="n">
        <v>45635.44788194444</v>
      </c>
      <c r="C259" s="1" t="n">
        <v>46108</v>
      </c>
      <c r="D259" t="inlineStr">
        <is>
          <t>STOCKHOLMS LÄN</t>
        </is>
      </c>
      <c r="E259" t="inlineStr">
        <is>
          <t>NORRTÄLJE</t>
        </is>
      </c>
      <c r="G259" t="n">
        <v>4.5</v>
      </c>
      <c r="H259" t="n">
        <v>0</v>
      </c>
      <c r="I259" t="n">
        <v>0</v>
      </c>
      <c r="J259" t="n">
        <v>0</v>
      </c>
      <c r="K259" t="n">
        <v>0</v>
      </c>
      <c r="L259" t="n">
        <v>0</v>
      </c>
      <c r="M259" t="n">
        <v>0</v>
      </c>
      <c r="N259" t="n">
        <v>0</v>
      </c>
      <c r="O259" t="n">
        <v>0</v>
      </c>
      <c r="P259" t="n">
        <v>0</v>
      </c>
      <c r="Q259" t="n">
        <v>0</v>
      </c>
      <c r="R259" s="2" t="inlineStr"/>
    </row>
    <row r="260" ht="15" customHeight="1">
      <c r="A260" t="inlineStr">
        <is>
          <t>A 22421-2021</t>
        </is>
      </c>
      <c r="B260" s="1" t="n">
        <v>44326</v>
      </c>
      <c r="C260" s="1" t="n">
        <v>46108</v>
      </c>
      <c r="D260" t="inlineStr">
        <is>
          <t>STOCKHOLMS LÄN</t>
        </is>
      </c>
      <c r="E260" t="inlineStr">
        <is>
          <t>NORRTÄLJE</t>
        </is>
      </c>
      <c r="G260" t="n">
        <v>2.1</v>
      </c>
      <c r="H260" t="n">
        <v>0</v>
      </c>
      <c r="I260" t="n">
        <v>0</v>
      </c>
      <c r="J260" t="n">
        <v>0</v>
      </c>
      <c r="K260" t="n">
        <v>0</v>
      </c>
      <c r="L260" t="n">
        <v>0</v>
      </c>
      <c r="M260" t="n">
        <v>0</v>
      </c>
      <c r="N260" t="n">
        <v>0</v>
      </c>
      <c r="O260" t="n">
        <v>0</v>
      </c>
      <c r="P260" t="n">
        <v>0</v>
      </c>
      <c r="Q260" t="n">
        <v>0</v>
      </c>
      <c r="R260" s="2" t="inlineStr"/>
    </row>
    <row r="261" ht="15" customHeight="1">
      <c r="A261" t="inlineStr">
        <is>
          <t>A 12875-2022</t>
        </is>
      </c>
      <c r="B261" s="1" t="n">
        <v>44642.55565972222</v>
      </c>
      <c r="C261" s="1" t="n">
        <v>46108</v>
      </c>
      <c r="D261" t="inlineStr">
        <is>
          <t>STOCKHOLMS LÄN</t>
        </is>
      </c>
      <c r="E261" t="inlineStr">
        <is>
          <t>NORRTÄLJE</t>
        </is>
      </c>
      <c r="G261" t="n">
        <v>1.6</v>
      </c>
      <c r="H261" t="n">
        <v>0</v>
      </c>
      <c r="I261" t="n">
        <v>0</v>
      </c>
      <c r="J261" t="n">
        <v>0</v>
      </c>
      <c r="K261" t="n">
        <v>0</v>
      </c>
      <c r="L261" t="n">
        <v>0</v>
      </c>
      <c r="M261" t="n">
        <v>0</v>
      </c>
      <c r="N261" t="n">
        <v>0</v>
      </c>
      <c r="O261" t="n">
        <v>0</v>
      </c>
      <c r="P261" t="n">
        <v>0</v>
      </c>
      <c r="Q261" t="n">
        <v>0</v>
      </c>
      <c r="R261" s="2" t="inlineStr"/>
    </row>
    <row r="262" ht="15" customHeight="1">
      <c r="A262" t="inlineStr">
        <is>
          <t>A 55058-2021</t>
        </is>
      </c>
      <c r="B262" s="1" t="n">
        <v>44474.62141203704</v>
      </c>
      <c r="C262" s="1" t="n">
        <v>46108</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67921-2021</t>
        </is>
      </c>
      <c r="B263" s="1" t="n">
        <v>44525</v>
      </c>
      <c r="C263" s="1" t="n">
        <v>46108</v>
      </c>
      <c r="D263" t="inlineStr">
        <is>
          <t>STOCKHOLMS LÄN</t>
        </is>
      </c>
      <c r="E263" t="inlineStr">
        <is>
          <t>NORRTÄLJE</t>
        </is>
      </c>
      <c r="G263" t="n">
        <v>6.3</v>
      </c>
      <c r="H263" t="n">
        <v>0</v>
      </c>
      <c r="I263" t="n">
        <v>0</v>
      </c>
      <c r="J263" t="n">
        <v>0</v>
      </c>
      <c r="K263" t="n">
        <v>0</v>
      </c>
      <c r="L263" t="n">
        <v>0</v>
      </c>
      <c r="M263" t="n">
        <v>0</v>
      </c>
      <c r="N263" t="n">
        <v>0</v>
      </c>
      <c r="O263" t="n">
        <v>0</v>
      </c>
      <c r="P263" t="n">
        <v>0</v>
      </c>
      <c r="Q263" t="n">
        <v>0</v>
      </c>
      <c r="R263" s="2" t="inlineStr"/>
    </row>
    <row r="264" ht="15" customHeight="1">
      <c r="A264" t="inlineStr">
        <is>
          <t>A 40761-2024</t>
        </is>
      </c>
      <c r="B264" s="1" t="n">
        <v>45558.46283564815</v>
      </c>
      <c r="C264" s="1" t="n">
        <v>46108</v>
      </c>
      <c r="D264" t="inlineStr">
        <is>
          <t>STOCKHOLMS LÄN</t>
        </is>
      </c>
      <c r="E264" t="inlineStr">
        <is>
          <t>NORRTÄLJE</t>
        </is>
      </c>
      <c r="G264" t="n">
        <v>1.2</v>
      </c>
      <c r="H264" t="n">
        <v>0</v>
      </c>
      <c r="I264" t="n">
        <v>0</v>
      </c>
      <c r="J264" t="n">
        <v>0</v>
      </c>
      <c r="K264" t="n">
        <v>0</v>
      </c>
      <c r="L264" t="n">
        <v>0</v>
      </c>
      <c r="M264" t="n">
        <v>0</v>
      </c>
      <c r="N264" t="n">
        <v>0</v>
      </c>
      <c r="O264" t="n">
        <v>0</v>
      </c>
      <c r="P264" t="n">
        <v>0</v>
      </c>
      <c r="Q264" t="n">
        <v>0</v>
      </c>
      <c r="R264" s="2" t="inlineStr"/>
    </row>
    <row r="265" ht="15" customHeight="1">
      <c r="A265" t="inlineStr">
        <is>
          <t>A 23453-2021</t>
        </is>
      </c>
      <c r="B265" s="1" t="n">
        <v>44333</v>
      </c>
      <c r="C265" s="1" t="n">
        <v>46108</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55012-2024</t>
        </is>
      </c>
      <c r="B266" s="1" t="n">
        <v>45621.34813657407</v>
      </c>
      <c r="C266" s="1" t="n">
        <v>46108</v>
      </c>
      <c r="D266" t="inlineStr">
        <is>
          <t>STOCKHOLMS LÄN</t>
        </is>
      </c>
      <c r="E266" t="inlineStr">
        <is>
          <t>NORRTÄLJE</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27214-2021</t>
        </is>
      </c>
      <c r="B267" s="1" t="n">
        <v>44350</v>
      </c>
      <c r="C267" s="1" t="n">
        <v>46108</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12355-2022</t>
        </is>
      </c>
      <c r="B268" s="1" t="n">
        <v>44637</v>
      </c>
      <c r="C268" s="1" t="n">
        <v>46108</v>
      </c>
      <c r="D268" t="inlineStr">
        <is>
          <t>STOCKHOLMS LÄN</t>
        </is>
      </c>
      <c r="E268" t="inlineStr">
        <is>
          <t>NORRTÄLJE</t>
        </is>
      </c>
      <c r="G268" t="n">
        <v>10.4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46108</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4553-2023</t>
        </is>
      </c>
      <c r="B270" s="1" t="n">
        <v>44956.65920138889</v>
      </c>
      <c r="C270" s="1" t="n">
        <v>46108</v>
      </c>
      <c r="D270" t="inlineStr">
        <is>
          <t>STOCKHOLMS LÄN</t>
        </is>
      </c>
      <c r="E270" t="inlineStr">
        <is>
          <t>NORRTÄLJE</t>
        </is>
      </c>
      <c r="G270" t="n">
        <v>7.5</v>
      </c>
      <c r="H270" t="n">
        <v>0</v>
      </c>
      <c r="I270" t="n">
        <v>0</v>
      </c>
      <c r="J270" t="n">
        <v>0</v>
      </c>
      <c r="K270" t="n">
        <v>0</v>
      </c>
      <c r="L270" t="n">
        <v>0</v>
      </c>
      <c r="M270" t="n">
        <v>0</v>
      </c>
      <c r="N270" t="n">
        <v>0</v>
      </c>
      <c r="O270" t="n">
        <v>0</v>
      </c>
      <c r="P270" t="n">
        <v>0</v>
      </c>
      <c r="Q270" t="n">
        <v>0</v>
      </c>
      <c r="R270" s="2" t="inlineStr"/>
    </row>
    <row r="271" ht="15" customHeight="1">
      <c r="A271" t="inlineStr">
        <is>
          <t>A 4593-2023</t>
        </is>
      </c>
      <c r="B271" s="1" t="n">
        <v>44956</v>
      </c>
      <c r="C271" s="1" t="n">
        <v>46108</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41822-2021</t>
        </is>
      </c>
      <c r="B272" s="1" t="n">
        <v>44425</v>
      </c>
      <c r="C272" s="1" t="n">
        <v>46108</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41823-2021</t>
        </is>
      </c>
      <c r="B273" s="1" t="n">
        <v>44425</v>
      </c>
      <c r="C273" s="1" t="n">
        <v>46108</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65499-2021</t>
        </is>
      </c>
      <c r="B274" s="1" t="n">
        <v>44516</v>
      </c>
      <c r="C274" s="1" t="n">
        <v>46108</v>
      </c>
      <c r="D274" t="inlineStr">
        <is>
          <t>STOCKHOLMS LÄN</t>
        </is>
      </c>
      <c r="E274" t="inlineStr">
        <is>
          <t>NORRTÄLJE</t>
        </is>
      </c>
      <c r="F274" t="inlineStr">
        <is>
          <t>Kommuner</t>
        </is>
      </c>
      <c r="G274" t="n">
        <v>5.2</v>
      </c>
      <c r="H274" t="n">
        <v>0</v>
      </c>
      <c r="I274" t="n">
        <v>0</v>
      </c>
      <c r="J274" t="n">
        <v>0</v>
      </c>
      <c r="K274" t="n">
        <v>0</v>
      </c>
      <c r="L274" t="n">
        <v>0</v>
      </c>
      <c r="M274" t="n">
        <v>0</v>
      </c>
      <c r="N274" t="n">
        <v>0</v>
      </c>
      <c r="O274" t="n">
        <v>0</v>
      </c>
      <c r="P274" t="n">
        <v>0</v>
      </c>
      <c r="Q274" t="n">
        <v>0</v>
      </c>
      <c r="R274" s="2" t="inlineStr"/>
    </row>
    <row r="275" ht="15" customHeight="1">
      <c r="A275" t="inlineStr">
        <is>
          <t>A 7413-2024</t>
        </is>
      </c>
      <c r="B275" s="1" t="n">
        <v>45345.6059837963</v>
      </c>
      <c r="C275" s="1" t="n">
        <v>46108</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12251-2025</t>
        </is>
      </c>
      <c r="B276" s="1" t="n">
        <v>45729.60859953704</v>
      </c>
      <c r="C276" s="1" t="n">
        <v>46108</v>
      </c>
      <c r="D276" t="inlineStr">
        <is>
          <t>STOCKHOLMS LÄN</t>
        </is>
      </c>
      <c r="E276" t="inlineStr">
        <is>
          <t>NORRTÄLJE</t>
        </is>
      </c>
      <c r="F276" t="inlineStr">
        <is>
          <t>Holmen skog AB</t>
        </is>
      </c>
      <c r="G276" t="n">
        <v>5.9</v>
      </c>
      <c r="H276" t="n">
        <v>0</v>
      </c>
      <c r="I276" t="n">
        <v>0</v>
      </c>
      <c r="J276" t="n">
        <v>0</v>
      </c>
      <c r="K276" t="n">
        <v>0</v>
      </c>
      <c r="L276" t="n">
        <v>0</v>
      </c>
      <c r="M276" t="n">
        <v>0</v>
      </c>
      <c r="N276" t="n">
        <v>0</v>
      </c>
      <c r="O276" t="n">
        <v>0</v>
      </c>
      <c r="P276" t="n">
        <v>0</v>
      </c>
      <c r="Q276" t="n">
        <v>0</v>
      </c>
      <c r="R276" s="2" t="inlineStr"/>
    </row>
    <row r="277" ht="15" customHeight="1">
      <c r="A277" t="inlineStr">
        <is>
          <t>A 13171-2025</t>
        </is>
      </c>
      <c r="B277" s="1" t="n">
        <v>45735.36594907408</v>
      </c>
      <c r="C277" s="1" t="n">
        <v>46108</v>
      </c>
      <c r="D277" t="inlineStr">
        <is>
          <t>STOCKHOLMS LÄN</t>
        </is>
      </c>
      <c r="E277" t="inlineStr">
        <is>
          <t>NORRTÄLJE</t>
        </is>
      </c>
      <c r="G277" t="n">
        <v>5.1</v>
      </c>
      <c r="H277" t="n">
        <v>0</v>
      </c>
      <c r="I277" t="n">
        <v>0</v>
      </c>
      <c r="J277" t="n">
        <v>0</v>
      </c>
      <c r="K277" t="n">
        <v>0</v>
      </c>
      <c r="L277" t="n">
        <v>0</v>
      </c>
      <c r="M277" t="n">
        <v>0</v>
      </c>
      <c r="N277" t="n">
        <v>0</v>
      </c>
      <c r="O277" t="n">
        <v>0</v>
      </c>
      <c r="P277" t="n">
        <v>0</v>
      </c>
      <c r="Q277" t="n">
        <v>0</v>
      </c>
      <c r="R277" s="2" t="inlineStr"/>
    </row>
    <row r="278" ht="15" customHeight="1">
      <c r="A278" t="inlineStr">
        <is>
          <t>A 58863-2024</t>
        </is>
      </c>
      <c r="B278" s="1" t="n">
        <v>45636.41572916666</v>
      </c>
      <c r="C278" s="1" t="n">
        <v>46108</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50154-2024</t>
        </is>
      </c>
      <c r="B279" s="1" t="n">
        <v>45600.4558912037</v>
      </c>
      <c r="C279" s="1" t="n">
        <v>46108</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51978-2023</t>
        </is>
      </c>
      <c r="B280" s="1" t="n">
        <v>45223</v>
      </c>
      <c r="C280" s="1" t="n">
        <v>46108</v>
      </c>
      <c r="D280" t="inlineStr">
        <is>
          <t>STOCKHOLMS LÄN</t>
        </is>
      </c>
      <c r="E280" t="inlineStr">
        <is>
          <t>NORRTÄLJE</t>
        </is>
      </c>
      <c r="G280" t="n">
        <v>1.9</v>
      </c>
      <c r="H280" t="n">
        <v>0</v>
      </c>
      <c r="I280" t="n">
        <v>0</v>
      </c>
      <c r="J280" t="n">
        <v>0</v>
      </c>
      <c r="K280" t="n">
        <v>0</v>
      </c>
      <c r="L280" t="n">
        <v>0</v>
      </c>
      <c r="M280" t="n">
        <v>0</v>
      </c>
      <c r="N280" t="n">
        <v>0</v>
      </c>
      <c r="O280" t="n">
        <v>0</v>
      </c>
      <c r="P280" t="n">
        <v>0</v>
      </c>
      <c r="Q280" t="n">
        <v>0</v>
      </c>
      <c r="R280" s="2" t="inlineStr"/>
    </row>
    <row r="281" ht="15" customHeight="1">
      <c r="A281" t="inlineStr">
        <is>
          <t>A 18092-2022</t>
        </is>
      </c>
      <c r="B281" s="1" t="n">
        <v>44684</v>
      </c>
      <c r="C281" s="1" t="n">
        <v>46108</v>
      </c>
      <c r="D281" t="inlineStr">
        <is>
          <t>STOCKHOLMS LÄN</t>
        </is>
      </c>
      <c r="E281" t="inlineStr">
        <is>
          <t>NORRTÄLJE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20295-2022</t>
        </is>
      </c>
      <c r="B282" s="1" t="n">
        <v>44698</v>
      </c>
      <c r="C282" s="1" t="n">
        <v>46108</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11900-2024</t>
        </is>
      </c>
      <c r="B283" s="1" t="n">
        <v>45376.55484953704</v>
      </c>
      <c r="C283" s="1" t="n">
        <v>46108</v>
      </c>
      <c r="D283" t="inlineStr">
        <is>
          <t>STOCKHOLMS LÄN</t>
        </is>
      </c>
      <c r="E283" t="inlineStr">
        <is>
          <t>NORRTÄLJE</t>
        </is>
      </c>
      <c r="G283" t="n">
        <v>4.2</v>
      </c>
      <c r="H283" t="n">
        <v>0</v>
      </c>
      <c r="I283" t="n">
        <v>0</v>
      </c>
      <c r="J283" t="n">
        <v>0</v>
      </c>
      <c r="K283" t="n">
        <v>0</v>
      </c>
      <c r="L283" t="n">
        <v>0</v>
      </c>
      <c r="M283" t="n">
        <v>0</v>
      </c>
      <c r="N283" t="n">
        <v>0</v>
      </c>
      <c r="O283" t="n">
        <v>0</v>
      </c>
      <c r="P283" t="n">
        <v>0</v>
      </c>
      <c r="Q283" t="n">
        <v>0</v>
      </c>
      <c r="R283" s="2" t="inlineStr"/>
    </row>
    <row r="284" ht="15" customHeight="1">
      <c r="A284" t="inlineStr">
        <is>
          <t>A 37415-2021</t>
        </is>
      </c>
      <c r="B284" s="1" t="n">
        <v>44397</v>
      </c>
      <c r="C284" s="1" t="n">
        <v>46108</v>
      </c>
      <c r="D284" t="inlineStr">
        <is>
          <t>STOCKHOLMS LÄN</t>
        </is>
      </c>
      <c r="E284" t="inlineStr">
        <is>
          <t>NORRTÄLJE</t>
        </is>
      </c>
      <c r="F284" t="inlineStr">
        <is>
          <t>Övriga Aktiebolag</t>
        </is>
      </c>
      <c r="G284" t="n">
        <v>3</v>
      </c>
      <c r="H284" t="n">
        <v>0</v>
      </c>
      <c r="I284" t="n">
        <v>0</v>
      </c>
      <c r="J284" t="n">
        <v>0</v>
      </c>
      <c r="K284" t="n">
        <v>0</v>
      </c>
      <c r="L284" t="n">
        <v>0</v>
      </c>
      <c r="M284" t="n">
        <v>0</v>
      </c>
      <c r="N284" t="n">
        <v>0</v>
      </c>
      <c r="O284" t="n">
        <v>0</v>
      </c>
      <c r="P284" t="n">
        <v>0</v>
      </c>
      <c r="Q284" t="n">
        <v>0</v>
      </c>
      <c r="R284" s="2" t="inlineStr"/>
    </row>
    <row r="285" ht="15" customHeight="1">
      <c r="A285" t="inlineStr">
        <is>
          <t>A 59310-2023</t>
        </is>
      </c>
      <c r="B285" s="1" t="n">
        <v>45253.61146990741</v>
      </c>
      <c r="C285" s="1" t="n">
        <v>46108</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9329-2023</t>
        </is>
      </c>
      <c r="B286" s="1" t="n">
        <v>44980</v>
      </c>
      <c r="C286" s="1" t="n">
        <v>46108</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30286-2022</t>
        </is>
      </c>
      <c r="B287" s="1" t="n">
        <v>44760</v>
      </c>
      <c r="C287" s="1" t="n">
        <v>46108</v>
      </c>
      <c r="D287" t="inlineStr">
        <is>
          <t>STOCKHOLMS LÄN</t>
        </is>
      </c>
      <c r="E287" t="inlineStr">
        <is>
          <t>NORRTÄLJE</t>
        </is>
      </c>
      <c r="G287" t="n">
        <v>0.3</v>
      </c>
      <c r="H287" t="n">
        <v>0</v>
      </c>
      <c r="I287" t="n">
        <v>0</v>
      </c>
      <c r="J287" t="n">
        <v>0</v>
      </c>
      <c r="K287" t="n">
        <v>0</v>
      </c>
      <c r="L287" t="n">
        <v>0</v>
      </c>
      <c r="M287" t="n">
        <v>0</v>
      </c>
      <c r="N287" t="n">
        <v>0</v>
      </c>
      <c r="O287" t="n">
        <v>0</v>
      </c>
      <c r="P287" t="n">
        <v>0</v>
      </c>
      <c r="Q287" t="n">
        <v>0</v>
      </c>
      <c r="R287" s="2" t="inlineStr"/>
    </row>
    <row r="288" ht="15" customHeight="1">
      <c r="A288" t="inlineStr">
        <is>
          <t>A 8160-2022</t>
        </is>
      </c>
      <c r="B288" s="1" t="n">
        <v>44609</v>
      </c>
      <c r="C288" s="1" t="n">
        <v>46108</v>
      </c>
      <c r="D288" t="inlineStr">
        <is>
          <t>STOCKHOLMS LÄN</t>
        </is>
      </c>
      <c r="E288" t="inlineStr">
        <is>
          <t>NORRTÄLJE</t>
        </is>
      </c>
      <c r="G288" t="n">
        <v>3.9</v>
      </c>
      <c r="H288" t="n">
        <v>0</v>
      </c>
      <c r="I288" t="n">
        <v>0</v>
      </c>
      <c r="J288" t="n">
        <v>0</v>
      </c>
      <c r="K288" t="n">
        <v>0</v>
      </c>
      <c r="L288" t="n">
        <v>0</v>
      </c>
      <c r="M288" t="n">
        <v>0</v>
      </c>
      <c r="N288" t="n">
        <v>0</v>
      </c>
      <c r="O288" t="n">
        <v>0</v>
      </c>
      <c r="P288" t="n">
        <v>0</v>
      </c>
      <c r="Q288" t="n">
        <v>0</v>
      </c>
      <c r="R288" s="2" t="inlineStr"/>
    </row>
    <row r="289" ht="15" customHeight="1">
      <c r="A289" t="inlineStr">
        <is>
          <t>A 59878-2024</t>
        </is>
      </c>
      <c r="B289" s="1" t="n">
        <v>45640.60240740741</v>
      </c>
      <c r="C289" s="1" t="n">
        <v>46108</v>
      </c>
      <c r="D289" t="inlineStr">
        <is>
          <t>STOCKHOLMS LÄN</t>
        </is>
      </c>
      <c r="E289" t="inlineStr">
        <is>
          <t>NORRTÄLJE</t>
        </is>
      </c>
      <c r="G289" t="n">
        <v>0.7</v>
      </c>
      <c r="H289" t="n">
        <v>0</v>
      </c>
      <c r="I289" t="n">
        <v>0</v>
      </c>
      <c r="J289" t="n">
        <v>0</v>
      </c>
      <c r="K289" t="n">
        <v>0</v>
      </c>
      <c r="L289" t="n">
        <v>0</v>
      </c>
      <c r="M289" t="n">
        <v>0</v>
      </c>
      <c r="N289" t="n">
        <v>0</v>
      </c>
      <c r="O289" t="n">
        <v>0</v>
      </c>
      <c r="P289" t="n">
        <v>0</v>
      </c>
      <c r="Q289" t="n">
        <v>0</v>
      </c>
      <c r="R289" s="2" t="inlineStr"/>
    </row>
    <row r="290" ht="15" customHeight="1">
      <c r="A290" t="inlineStr">
        <is>
          <t>A 42867-2022</t>
        </is>
      </c>
      <c r="B290" s="1" t="n">
        <v>44832</v>
      </c>
      <c r="C290" s="1" t="n">
        <v>46108</v>
      </c>
      <c r="D290" t="inlineStr">
        <is>
          <t>STOCKHOLMS LÄN</t>
        </is>
      </c>
      <c r="E290" t="inlineStr">
        <is>
          <t>NORRTÄLJE</t>
        </is>
      </c>
      <c r="G290" t="n">
        <v>6.4</v>
      </c>
      <c r="H290" t="n">
        <v>0</v>
      </c>
      <c r="I290" t="n">
        <v>0</v>
      </c>
      <c r="J290" t="n">
        <v>0</v>
      </c>
      <c r="K290" t="n">
        <v>0</v>
      </c>
      <c r="L290" t="n">
        <v>0</v>
      </c>
      <c r="M290" t="n">
        <v>0</v>
      </c>
      <c r="N290" t="n">
        <v>0</v>
      </c>
      <c r="O290" t="n">
        <v>0</v>
      </c>
      <c r="P290" t="n">
        <v>0</v>
      </c>
      <c r="Q290" t="n">
        <v>0</v>
      </c>
      <c r="R290" s="2" t="inlineStr"/>
    </row>
    <row r="291" ht="15" customHeight="1">
      <c r="A291" t="inlineStr">
        <is>
          <t>A 39319-2022</t>
        </is>
      </c>
      <c r="B291" s="1" t="n">
        <v>44817.70516203704</v>
      </c>
      <c r="C291" s="1" t="n">
        <v>46108</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38720-2025</t>
        </is>
      </c>
      <c r="B292" s="1" t="n">
        <v>45886</v>
      </c>
      <c r="C292" s="1" t="n">
        <v>46108</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41335-2023</t>
        </is>
      </c>
      <c r="B293" s="1" t="n">
        <v>45174.68702546296</v>
      </c>
      <c r="C293" s="1" t="n">
        <v>46108</v>
      </c>
      <c r="D293" t="inlineStr">
        <is>
          <t>STOCKHOLMS LÄN</t>
        </is>
      </c>
      <c r="E293" t="inlineStr">
        <is>
          <t>NORRTÄLJE</t>
        </is>
      </c>
      <c r="F293" t="inlineStr">
        <is>
          <t>Holmen skog AB</t>
        </is>
      </c>
      <c r="G293" t="n">
        <v>4.4</v>
      </c>
      <c r="H293" t="n">
        <v>0</v>
      </c>
      <c r="I293" t="n">
        <v>0</v>
      </c>
      <c r="J293" t="n">
        <v>0</v>
      </c>
      <c r="K293" t="n">
        <v>0</v>
      </c>
      <c r="L293" t="n">
        <v>0</v>
      </c>
      <c r="M293" t="n">
        <v>0</v>
      </c>
      <c r="N293" t="n">
        <v>0</v>
      </c>
      <c r="O293" t="n">
        <v>0</v>
      </c>
      <c r="P293" t="n">
        <v>0</v>
      </c>
      <c r="Q293" t="n">
        <v>0</v>
      </c>
      <c r="R293" s="2" t="inlineStr"/>
    </row>
    <row r="294" ht="15" customHeight="1">
      <c r="A294" t="inlineStr">
        <is>
          <t>A 56219-2021</t>
        </is>
      </c>
      <c r="B294" s="1" t="n">
        <v>44477</v>
      </c>
      <c r="C294" s="1" t="n">
        <v>46108</v>
      </c>
      <c r="D294" t="inlineStr">
        <is>
          <t>STOCKHOLMS LÄN</t>
        </is>
      </c>
      <c r="E294" t="inlineStr">
        <is>
          <t>NORRTÄLJE</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33040-2021</t>
        </is>
      </c>
      <c r="B295" s="1" t="n">
        <v>44376.50728009259</v>
      </c>
      <c r="C295" s="1" t="n">
        <v>46108</v>
      </c>
      <c r="D295" t="inlineStr">
        <is>
          <t>STOCKHOLMS LÄN</t>
        </is>
      </c>
      <c r="E295" t="inlineStr">
        <is>
          <t>NORRTÄLJE</t>
        </is>
      </c>
      <c r="G295" t="n">
        <v>2.7</v>
      </c>
      <c r="H295" t="n">
        <v>0</v>
      </c>
      <c r="I295" t="n">
        <v>0</v>
      </c>
      <c r="J295" t="n">
        <v>0</v>
      </c>
      <c r="K295" t="n">
        <v>0</v>
      </c>
      <c r="L295" t="n">
        <v>0</v>
      </c>
      <c r="M295" t="n">
        <v>0</v>
      </c>
      <c r="N295" t="n">
        <v>0</v>
      </c>
      <c r="O295" t="n">
        <v>0</v>
      </c>
      <c r="P295" t="n">
        <v>0</v>
      </c>
      <c r="Q295" t="n">
        <v>0</v>
      </c>
      <c r="R295" s="2" t="inlineStr"/>
    </row>
    <row r="296" ht="15" customHeight="1">
      <c r="A296" t="inlineStr">
        <is>
          <t>A 33053-2021</t>
        </is>
      </c>
      <c r="B296" s="1" t="n">
        <v>44376</v>
      </c>
      <c r="C296" s="1" t="n">
        <v>46108</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23749-2024</t>
        </is>
      </c>
      <c r="B297" s="1" t="n">
        <v>45455.33037037037</v>
      </c>
      <c r="C297" s="1" t="n">
        <v>46108</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43150-2023</t>
        </is>
      </c>
      <c r="B298" s="1" t="n">
        <v>45183</v>
      </c>
      <c r="C298" s="1" t="n">
        <v>46108</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58277-2023</t>
        </is>
      </c>
      <c r="B299" s="1" t="n">
        <v>45245</v>
      </c>
      <c r="C299" s="1" t="n">
        <v>46108</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54259-2023</t>
        </is>
      </c>
      <c r="B300" s="1" t="n">
        <v>45232</v>
      </c>
      <c r="C300" s="1" t="n">
        <v>46108</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32705-2022</t>
        </is>
      </c>
      <c r="B301" s="1" t="n">
        <v>44783</v>
      </c>
      <c r="C301" s="1" t="n">
        <v>46108</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47481-2024</t>
        </is>
      </c>
      <c r="B302" s="1" t="n">
        <v>45587</v>
      </c>
      <c r="C302" s="1" t="n">
        <v>46108</v>
      </c>
      <c r="D302" t="inlineStr">
        <is>
          <t>STOCKHOLMS LÄN</t>
        </is>
      </c>
      <c r="E302" t="inlineStr">
        <is>
          <t>NORRTÄLJE</t>
        </is>
      </c>
      <c r="G302" t="n">
        <v>0.5</v>
      </c>
      <c r="H302" t="n">
        <v>0</v>
      </c>
      <c r="I302" t="n">
        <v>0</v>
      </c>
      <c r="J302" t="n">
        <v>0</v>
      </c>
      <c r="K302" t="n">
        <v>0</v>
      </c>
      <c r="L302" t="n">
        <v>0</v>
      </c>
      <c r="M302" t="n">
        <v>0</v>
      </c>
      <c r="N302" t="n">
        <v>0</v>
      </c>
      <c r="O302" t="n">
        <v>0</v>
      </c>
      <c r="P302" t="n">
        <v>0</v>
      </c>
      <c r="Q302" t="n">
        <v>0</v>
      </c>
      <c r="R302" s="2" t="inlineStr"/>
    </row>
    <row r="303" ht="15" customHeight="1">
      <c r="A303" t="inlineStr">
        <is>
          <t>A 15226-2022</t>
        </is>
      </c>
      <c r="B303" s="1" t="n">
        <v>44658</v>
      </c>
      <c r="C303" s="1" t="n">
        <v>46108</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57037-2022</t>
        </is>
      </c>
      <c r="B304" s="1" t="n">
        <v>44895</v>
      </c>
      <c r="C304" s="1" t="n">
        <v>46108</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3300-2022</t>
        </is>
      </c>
      <c r="B305" s="1" t="n">
        <v>44584.91538194445</v>
      </c>
      <c r="C305" s="1" t="n">
        <v>46108</v>
      </c>
      <c r="D305" t="inlineStr">
        <is>
          <t>STOCKHOLMS LÄN</t>
        </is>
      </c>
      <c r="E305" t="inlineStr">
        <is>
          <t>NORRTÄLJE</t>
        </is>
      </c>
      <c r="G305" t="n">
        <v>0.4</v>
      </c>
      <c r="H305" t="n">
        <v>0</v>
      </c>
      <c r="I305" t="n">
        <v>0</v>
      </c>
      <c r="J305" t="n">
        <v>0</v>
      </c>
      <c r="K305" t="n">
        <v>0</v>
      </c>
      <c r="L305" t="n">
        <v>0</v>
      </c>
      <c r="M305" t="n">
        <v>0</v>
      </c>
      <c r="N305" t="n">
        <v>0</v>
      </c>
      <c r="O305" t="n">
        <v>0</v>
      </c>
      <c r="P305" t="n">
        <v>0</v>
      </c>
      <c r="Q305" t="n">
        <v>0</v>
      </c>
      <c r="R305" s="2" t="inlineStr"/>
    </row>
    <row r="306" ht="15" customHeight="1">
      <c r="A306" t="inlineStr">
        <is>
          <t>A 17388-2022</t>
        </is>
      </c>
      <c r="B306" s="1" t="n">
        <v>44678</v>
      </c>
      <c r="C306" s="1" t="n">
        <v>46108</v>
      </c>
      <c r="D306" t="inlineStr">
        <is>
          <t>STOCKHOLMS LÄN</t>
        </is>
      </c>
      <c r="E306" t="inlineStr">
        <is>
          <t>NORRTÄLJE</t>
        </is>
      </c>
      <c r="G306" t="n">
        <v>2.4</v>
      </c>
      <c r="H306" t="n">
        <v>0</v>
      </c>
      <c r="I306" t="n">
        <v>0</v>
      </c>
      <c r="J306" t="n">
        <v>0</v>
      </c>
      <c r="K306" t="n">
        <v>0</v>
      </c>
      <c r="L306" t="n">
        <v>0</v>
      </c>
      <c r="M306" t="n">
        <v>0</v>
      </c>
      <c r="N306" t="n">
        <v>0</v>
      </c>
      <c r="O306" t="n">
        <v>0</v>
      </c>
      <c r="P306" t="n">
        <v>0</v>
      </c>
      <c r="Q306" t="n">
        <v>0</v>
      </c>
      <c r="R306" s="2" t="inlineStr"/>
    </row>
    <row r="307" ht="15" customHeight="1">
      <c r="A307" t="inlineStr">
        <is>
          <t>A 11940-2023</t>
        </is>
      </c>
      <c r="B307" s="1" t="n">
        <v>44995</v>
      </c>
      <c r="C307" s="1" t="n">
        <v>46108</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17771-2022</t>
        </is>
      </c>
      <c r="B308" s="1" t="n">
        <v>44682.75924768519</v>
      </c>
      <c r="C308" s="1" t="n">
        <v>46108</v>
      </c>
      <c r="D308" t="inlineStr">
        <is>
          <t>STOCKHOLMS LÄN</t>
        </is>
      </c>
      <c r="E308" t="inlineStr">
        <is>
          <t>NORRTÄLJE</t>
        </is>
      </c>
      <c r="G308" t="n">
        <v>13.3</v>
      </c>
      <c r="H308" t="n">
        <v>0</v>
      </c>
      <c r="I308" t="n">
        <v>0</v>
      </c>
      <c r="J308" t="n">
        <v>0</v>
      </c>
      <c r="K308" t="n">
        <v>0</v>
      </c>
      <c r="L308" t="n">
        <v>0</v>
      </c>
      <c r="M308" t="n">
        <v>0</v>
      </c>
      <c r="N308" t="n">
        <v>0</v>
      </c>
      <c r="O308" t="n">
        <v>0</v>
      </c>
      <c r="P308" t="n">
        <v>0</v>
      </c>
      <c r="Q308" t="n">
        <v>0</v>
      </c>
      <c r="R308" s="2" t="inlineStr"/>
    </row>
    <row r="309" ht="15" customHeight="1">
      <c r="A309" t="inlineStr">
        <is>
          <t>A 17773-2022</t>
        </is>
      </c>
      <c r="B309" s="1" t="n">
        <v>44682.77616898148</v>
      </c>
      <c r="C309" s="1" t="n">
        <v>46108</v>
      </c>
      <c r="D309" t="inlineStr">
        <is>
          <t>STOCKHOLMS LÄN</t>
        </is>
      </c>
      <c r="E309" t="inlineStr">
        <is>
          <t>NORRTÄLJE</t>
        </is>
      </c>
      <c r="G309" t="n">
        <v>10.8</v>
      </c>
      <c r="H309" t="n">
        <v>0</v>
      </c>
      <c r="I309" t="n">
        <v>0</v>
      </c>
      <c r="J309" t="n">
        <v>0</v>
      </c>
      <c r="K309" t="n">
        <v>0</v>
      </c>
      <c r="L309" t="n">
        <v>0</v>
      </c>
      <c r="M309" t="n">
        <v>0</v>
      </c>
      <c r="N309" t="n">
        <v>0</v>
      </c>
      <c r="O309" t="n">
        <v>0</v>
      </c>
      <c r="P309" t="n">
        <v>0</v>
      </c>
      <c r="Q309" t="n">
        <v>0</v>
      </c>
      <c r="R309" s="2" t="inlineStr"/>
    </row>
    <row r="310" ht="15" customHeight="1">
      <c r="A310" t="inlineStr">
        <is>
          <t>A 10521-2022</t>
        </is>
      </c>
      <c r="B310" s="1" t="n">
        <v>44623</v>
      </c>
      <c r="C310" s="1" t="n">
        <v>46108</v>
      </c>
      <c r="D310" t="inlineStr">
        <is>
          <t>STOCKHOLMS LÄN</t>
        </is>
      </c>
      <c r="E310" t="inlineStr">
        <is>
          <t>NORRTÄLJE</t>
        </is>
      </c>
      <c r="G310" t="n">
        <v>2.9</v>
      </c>
      <c r="H310" t="n">
        <v>0</v>
      </c>
      <c r="I310" t="n">
        <v>0</v>
      </c>
      <c r="J310" t="n">
        <v>0</v>
      </c>
      <c r="K310" t="n">
        <v>0</v>
      </c>
      <c r="L310" t="n">
        <v>0</v>
      </c>
      <c r="M310" t="n">
        <v>0</v>
      </c>
      <c r="N310" t="n">
        <v>0</v>
      </c>
      <c r="O310" t="n">
        <v>0</v>
      </c>
      <c r="P310" t="n">
        <v>0</v>
      </c>
      <c r="Q310" t="n">
        <v>0</v>
      </c>
      <c r="R310" s="2" t="inlineStr"/>
    </row>
    <row r="311" ht="15" customHeight="1">
      <c r="A311" t="inlineStr">
        <is>
          <t>A 2281-2024</t>
        </is>
      </c>
      <c r="B311" s="1" t="n">
        <v>45310.40628472222</v>
      </c>
      <c r="C311" s="1" t="n">
        <v>46108</v>
      </c>
      <c r="D311" t="inlineStr">
        <is>
          <t>STOCKHOLMS LÄN</t>
        </is>
      </c>
      <c r="E311" t="inlineStr">
        <is>
          <t>NORRTÄLJE</t>
        </is>
      </c>
      <c r="G311" t="n">
        <v>2.7</v>
      </c>
      <c r="H311" t="n">
        <v>0</v>
      </c>
      <c r="I311" t="n">
        <v>0</v>
      </c>
      <c r="J311" t="n">
        <v>0</v>
      </c>
      <c r="K311" t="n">
        <v>0</v>
      </c>
      <c r="L311" t="n">
        <v>0</v>
      </c>
      <c r="M311" t="n">
        <v>0</v>
      </c>
      <c r="N311" t="n">
        <v>0</v>
      </c>
      <c r="O311" t="n">
        <v>0</v>
      </c>
      <c r="P311" t="n">
        <v>0</v>
      </c>
      <c r="Q311" t="n">
        <v>0</v>
      </c>
      <c r="R311" s="2" t="inlineStr"/>
    </row>
    <row r="312" ht="15" customHeight="1">
      <c r="A312" t="inlineStr">
        <is>
          <t>A 60822-2023</t>
        </is>
      </c>
      <c r="B312" s="1" t="n">
        <v>45259</v>
      </c>
      <c r="C312" s="1" t="n">
        <v>46108</v>
      </c>
      <c r="D312" t="inlineStr">
        <is>
          <t>STOCKHOLMS LÄN</t>
        </is>
      </c>
      <c r="E312" t="inlineStr">
        <is>
          <t>NORRTÄLJE</t>
        </is>
      </c>
      <c r="G312" t="n">
        <v>5.2</v>
      </c>
      <c r="H312" t="n">
        <v>0</v>
      </c>
      <c r="I312" t="n">
        <v>0</v>
      </c>
      <c r="J312" t="n">
        <v>0</v>
      </c>
      <c r="K312" t="n">
        <v>0</v>
      </c>
      <c r="L312" t="n">
        <v>0</v>
      </c>
      <c r="M312" t="n">
        <v>0</v>
      </c>
      <c r="N312" t="n">
        <v>0</v>
      </c>
      <c r="O312" t="n">
        <v>0</v>
      </c>
      <c r="P312" t="n">
        <v>0</v>
      </c>
      <c r="Q312" t="n">
        <v>0</v>
      </c>
      <c r="R312" s="2" t="inlineStr"/>
    </row>
    <row r="313" ht="15" customHeight="1">
      <c r="A313" t="inlineStr">
        <is>
          <t>A 60525-2022</t>
        </is>
      </c>
      <c r="B313" s="1" t="n">
        <v>44904</v>
      </c>
      <c r="C313" s="1" t="n">
        <v>46108</v>
      </c>
      <c r="D313" t="inlineStr">
        <is>
          <t>STOCKHOLMS LÄN</t>
        </is>
      </c>
      <c r="E313" t="inlineStr">
        <is>
          <t>NORRTÄLJE</t>
        </is>
      </c>
      <c r="G313" t="n">
        <v>13.4</v>
      </c>
      <c r="H313" t="n">
        <v>0</v>
      </c>
      <c r="I313" t="n">
        <v>0</v>
      </c>
      <c r="J313" t="n">
        <v>0</v>
      </c>
      <c r="K313" t="n">
        <v>0</v>
      </c>
      <c r="L313" t="n">
        <v>0</v>
      </c>
      <c r="M313" t="n">
        <v>0</v>
      </c>
      <c r="N313" t="n">
        <v>0</v>
      </c>
      <c r="O313" t="n">
        <v>0</v>
      </c>
      <c r="P313" t="n">
        <v>0</v>
      </c>
      <c r="Q313" t="n">
        <v>0</v>
      </c>
      <c r="R313" s="2" t="inlineStr"/>
    </row>
    <row r="314" ht="15" customHeight="1">
      <c r="A314" t="inlineStr">
        <is>
          <t>A 16117-2022</t>
        </is>
      </c>
      <c r="B314" s="1" t="n">
        <v>44665.65474537037</v>
      </c>
      <c r="C314" s="1" t="n">
        <v>46108</v>
      </c>
      <c r="D314" t="inlineStr">
        <is>
          <t>STOCKHOLMS LÄN</t>
        </is>
      </c>
      <c r="E314" t="inlineStr">
        <is>
          <t>NORRTÄLJE</t>
        </is>
      </c>
      <c r="G314" t="n">
        <v>8.1</v>
      </c>
      <c r="H314" t="n">
        <v>0</v>
      </c>
      <c r="I314" t="n">
        <v>0</v>
      </c>
      <c r="J314" t="n">
        <v>0</v>
      </c>
      <c r="K314" t="n">
        <v>0</v>
      </c>
      <c r="L314" t="n">
        <v>0</v>
      </c>
      <c r="M314" t="n">
        <v>0</v>
      </c>
      <c r="N314" t="n">
        <v>0</v>
      </c>
      <c r="O314" t="n">
        <v>0</v>
      </c>
      <c r="P314" t="n">
        <v>0</v>
      </c>
      <c r="Q314" t="n">
        <v>0</v>
      </c>
      <c r="R314" s="2" t="inlineStr"/>
    </row>
    <row r="315" ht="15" customHeight="1">
      <c r="A315" t="inlineStr">
        <is>
          <t>A 16132-2022</t>
        </is>
      </c>
      <c r="B315" s="1" t="n">
        <v>44665.78351851852</v>
      </c>
      <c r="C315" s="1" t="n">
        <v>46108</v>
      </c>
      <c r="D315" t="inlineStr">
        <is>
          <t>STOCKHOLMS LÄN</t>
        </is>
      </c>
      <c r="E315" t="inlineStr">
        <is>
          <t>NORRTÄLJE</t>
        </is>
      </c>
      <c r="G315" t="n">
        <v>4.4</v>
      </c>
      <c r="H315" t="n">
        <v>0</v>
      </c>
      <c r="I315" t="n">
        <v>0</v>
      </c>
      <c r="J315" t="n">
        <v>0</v>
      </c>
      <c r="K315" t="n">
        <v>0</v>
      </c>
      <c r="L315" t="n">
        <v>0</v>
      </c>
      <c r="M315" t="n">
        <v>0</v>
      </c>
      <c r="N315" t="n">
        <v>0</v>
      </c>
      <c r="O315" t="n">
        <v>0</v>
      </c>
      <c r="P315" t="n">
        <v>0</v>
      </c>
      <c r="Q315" t="n">
        <v>0</v>
      </c>
      <c r="R315" s="2" t="inlineStr"/>
    </row>
    <row r="316" ht="15" customHeight="1">
      <c r="A316" t="inlineStr">
        <is>
          <t>A 70170-2021</t>
        </is>
      </c>
      <c r="B316" s="1" t="n">
        <v>44533</v>
      </c>
      <c r="C316" s="1" t="n">
        <v>46108</v>
      </c>
      <c r="D316" t="inlineStr">
        <is>
          <t>STOCKHOLMS LÄN</t>
        </is>
      </c>
      <c r="E316" t="inlineStr">
        <is>
          <t>NORRTÄLJE</t>
        </is>
      </c>
      <c r="G316" t="n">
        <v>2.7</v>
      </c>
      <c r="H316" t="n">
        <v>0</v>
      </c>
      <c r="I316" t="n">
        <v>0</v>
      </c>
      <c r="J316" t="n">
        <v>0</v>
      </c>
      <c r="K316" t="n">
        <v>0</v>
      </c>
      <c r="L316" t="n">
        <v>0</v>
      </c>
      <c r="M316" t="n">
        <v>0</v>
      </c>
      <c r="N316" t="n">
        <v>0</v>
      </c>
      <c r="O316" t="n">
        <v>0</v>
      </c>
      <c r="P316" t="n">
        <v>0</v>
      </c>
      <c r="Q316" t="n">
        <v>0</v>
      </c>
      <c r="R316" s="2" t="inlineStr"/>
    </row>
    <row r="317" ht="15" customHeight="1">
      <c r="A317" t="inlineStr">
        <is>
          <t>A 25463-2021</t>
        </is>
      </c>
      <c r="B317" s="1" t="n">
        <v>44342</v>
      </c>
      <c r="C317" s="1" t="n">
        <v>46108</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39213-2022</t>
        </is>
      </c>
      <c r="B318" s="1" t="n">
        <v>44817.56120370371</v>
      </c>
      <c r="C318" s="1" t="n">
        <v>46108</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38593-2025</t>
        </is>
      </c>
      <c r="B319" s="1" t="n">
        <v>45884.48696759259</v>
      </c>
      <c r="C319" s="1" t="n">
        <v>46108</v>
      </c>
      <c r="D319" t="inlineStr">
        <is>
          <t>STOCKHOLMS LÄN</t>
        </is>
      </c>
      <c r="E319" t="inlineStr">
        <is>
          <t>NORRTÄLJE</t>
        </is>
      </c>
      <c r="G319" t="n">
        <v>3</v>
      </c>
      <c r="H319" t="n">
        <v>0</v>
      </c>
      <c r="I319" t="n">
        <v>0</v>
      </c>
      <c r="J319" t="n">
        <v>0</v>
      </c>
      <c r="K319" t="n">
        <v>0</v>
      </c>
      <c r="L319" t="n">
        <v>0</v>
      </c>
      <c r="M319" t="n">
        <v>0</v>
      </c>
      <c r="N319" t="n">
        <v>0</v>
      </c>
      <c r="O319" t="n">
        <v>0</v>
      </c>
      <c r="P319" t="n">
        <v>0</v>
      </c>
      <c r="Q319" t="n">
        <v>0</v>
      </c>
      <c r="R319" s="2" t="inlineStr"/>
    </row>
    <row r="320" ht="15" customHeight="1">
      <c r="A320" t="inlineStr">
        <is>
          <t>A 21102-2022</t>
        </is>
      </c>
      <c r="B320" s="1" t="n">
        <v>44704</v>
      </c>
      <c r="C320" s="1" t="n">
        <v>46108</v>
      </c>
      <c r="D320" t="inlineStr">
        <is>
          <t>STOCKHOLMS LÄN</t>
        </is>
      </c>
      <c r="E320" t="inlineStr">
        <is>
          <t>NORRTÄLJE</t>
        </is>
      </c>
      <c r="G320" t="n">
        <v>0.2</v>
      </c>
      <c r="H320" t="n">
        <v>0</v>
      </c>
      <c r="I320" t="n">
        <v>0</v>
      </c>
      <c r="J320" t="n">
        <v>0</v>
      </c>
      <c r="K320" t="n">
        <v>0</v>
      </c>
      <c r="L320" t="n">
        <v>0</v>
      </c>
      <c r="M320" t="n">
        <v>0</v>
      </c>
      <c r="N320" t="n">
        <v>0</v>
      </c>
      <c r="O320" t="n">
        <v>0</v>
      </c>
      <c r="P320" t="n">
        <v>0</v>
      </c>
      <c r="Q320" t="n">
        <v>0</v>
      </c>
      <c r="R320" s="2" t="inlineStr"/>
    </row>
    <row r="321" ht="15" customHeight="1">
      <c r="A321" t="inlineStr">
        <is>
          <t>A 71880-2021</t>
        </is>
      </c>
      <c r="B321" s="1" t="n">
        <v>44543</v>
      </c>
      <c r="C321" s="1" t="n">
        <v>46108</v>
      </c>
      <c r="D321" t="inlineStr">
        <is>
          <t>STOCKHOLMS LÄN</t>
        </is>
      </c>
      <c r="E321" t="inlineStr">
        <is>
          <t>NORRTÄLJE</t>
        </is>
      </c>
      <c r="G321" t="n">
        <v>2</v>
      </c>
      <c r="H321" t="n">
        <v>0</v>
      </c>
      <c r="I321" t="n">
        <v>0</v>
      </c>
      <c r="J321" t="n">
        <v>0</v>
      </c>
      <c r="K321" t="n">
        <v>0</v>
      </c>
      <c r="L321" t="n">
        <v>0</v>
      </c>
      <c r="M321" t="n">
        <v>0</v>
      </c>
      <c r="N321" t="n">
        <v>0</v>
      </c>
      <c r="O321" t="n">
        <v>0</v>
      </c>
      <c r="P321" t="n">
        <v>0</v>
      </c>
      <c r="Q321" t="n">
        <v>0</v>
      </c>
      <c r="R321" s="2" t="inlineStr"/>
    </row>
    <row r="322" ht="15" customHeight="1">
      <c r="A322" t="inlineStr">
        <is>
          <t>A 41976-2024</t>
        </is>
      </c>
      <c r="B322" s="1" t="n">
        <v>45561.62141203704</v>
      </c>
      <c r="C322" s="1" t="n">
        <v>46108</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27381-2024</t>
        </is>
      </c>
      <c r="B323" s="1" t="n">
        <v>45473.94501157408</v>
      </c>
      <c r="C323" s="1" t="n">
        <v>46108</v>
      </c>
      <c r="D323" t="inlineStr">
        <is>
          <t>STOCKHOLMS LÄN</t>
        </is>
      </c>
      <c r="E323" t="inlineStr">
        <is>
          <t>NORRTÄLJE</t>
        </is>
      </c>
      <c r="G323" t="n">
        <v>4.5</v>
      </c>
      <c r="H323" t="n">
        <v>0</v>
      </c>
      <c r="I323" t="n">
        <v>0</v>
      </c>
      <c r="J323" t="n">
        <v>0</v>
      </c>
      <c r="K323" t="n">
        <v>0</v>
      </c>
      <c r="L323" t="n">
        <v>0</v>
      </c>
      <c r="M323" t="n">
        <v>0</v>
      </c>
      <c r="N323" t="n">
        <v>0</v>
      </c>
      <c r="O323" t="n">
        <v>0</v>
      </c>
      <c r="P323" t="n">
        <v>0</v>
      </c>
      <c r="Q323" t="n">
        <v>0</v>
      </c>
      <c r="R323" s="2" t="inlineStr"/>
    </row>
    <row r="324" ht="15" customHeight="1">
      <c r="A324" t="inlineStr">
        <is>
          <t>A 51325-2023</t>
        </is>
      </c>
      <c r="B324" s="1" t="n">
        <v>45219</v>
      </c>
      <c r="C324" s="1" t="n">
        <v>46108</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17772-2022</t>
        </is>
      </c>
      <c r="B325" s="1" t="n">
        <v>44682.76528935185</v>
      </c>
      <c r="C325" s="1" t="n">
        <v>46108</v>
      </c>
      <c r="D325" t="inlineStr">
        <is>
          <t>STOCKHOLMS LÄN</t>
        </is>
      </c>
      <c r="E325" t="inlineStr">
        <is>
          <t>NORRTÄLJE</t>
        </is>
      </c>
      <c r="G325" t="n">
        <v>4</v>
      </c>
      <c r="H325" t="n">
        <v>0</v>
      </c>
      <c r="I325" t="n">
        <v>0</v>
      </c>
      <c r="J325" t="n">
        <v>0</v>
      </c>
      <c r="K325" t="n">
        <v>0</v>
      </c>
      <c r="L325" t="n">
        <v>0</v>
      </c>
      <c r="M325" t="n">
        <v>0</v>
      </c>
      <c r="N325" t="n">
        <v>0</v>
      </c>
      <c r="O325" t="n">
        <v>0</v>
      </c>
      <c r="P325" t="n">
        <v>0</v>
      </c>
      <c r="Q325" t="n">
        <v>0</v>
      </c>
      <c r="R325" s="2" t="inlineStr"/>
    </row>
    <row r="326" ht="15" customHeight="1">
      <c r="A326" t="inlineStr">
        <is>
          <t>A 23265-2023</t>
        </is>
      </c>
      <c r="B326" s="1" t="n">
        <v>45075.90703703704</v>
      </c>
      <c r="C326" s="1" t="n">
        <v>46108</v>
      </c>
      <c r="D326" t="inlineStr">
        <is>
          <t>STOCKHOLMS LÄN</t>
        </is>
      </c>
      <c r="E326" t="inlineStr">
        <is>
          <t>NORRTÄLJE</t>
        </is>
      </c>
      <c r="G326" t="n">
        <v>2.6</v>
      </c>
      <c r="H326" t="n">
        <v>0</v>
      </c>
      <c r="I326" t="n">
        <v>0</v>
      </c>
      <c r="J326" t="n">
        <v>0</v>
      </c>
      <c r="K326" t="n">
        <v>0</v>
      </c>
      <c r="L326" t="n">
        <v>0</v>
      </c>
      <c r="M326" t="n">
        <v>0</v>
      </c>
      <c r="N326" t="n">
        <v>0</v>
      </c>
      <c r="O326" t="n">
        <v>0</v>
      </c>
      <c r="P326" t="n">
        <v>0</v>
      </c>
      <c r="Q326" t="n">
        <v>0</v>
      </c>
      <c r="R326" s="2" t="inlineStr"/>
    </row>
    <row r="327" ht="15" customHeight="1">
      <c r="A327" t="inlineStr">
        <is>
          <t>A 26117-2024</t>
        </is>
      </c>
      <c r="B327" s="1" t="n">
        <v>45468.45877314815</v>
      </c>
      <c r="C327" s="1" t="n">
        <v>46108</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59534-2024</t>
        </is>
      </c>
      <c r="B328" s="1" t="n">
        <v>45638.5987037037</v>
      </c>
      <c r="C328" s="1" t="n">
        <v>46108</v>
      </c>
      <c r="D328" t="inlineStr">
        <is>
          <t>STOCKHOLMS LÄN</t>
        </is>
      </c>
      <c r="E328" t="inlineStr">
        <is>
          <t>NORRTÄLJE</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31107-2022</t>
        </is>
      </c>
      <c r="B329" s="1" t="n">
        <v>44769.66864583334</v>
      </c>
      <c r="C329" s="1" t="n">
        <v>46108</v>
      </c>
      <c r="D329" t="inlineStr">
        <is>
          <t>STOCKHOLMS LÄN</t>
        </is>
      </c>
      <c r="E329" t="inlineStr">
        <is>
          <t>NORRTÄLJE</t>
        </is>
      </c>
      <c r="G329" t="n">
        <v>3.8</v>
      </c>
      <c r="H329" t="n">
        <v>0</v>
      </c>
      <c r="I329" t="n">
        <v>0</v>
      </c>
      <c r="J329" t="n">
        <v>0</v>
      </c>
      <c r="K329" t="n">
        <v>0</v>
      </c>
      <c r="L329" t="n">
        <v>0</v>
      </c>
      <c r="M329" t="n">
        <v>0</v>
      </c>
      <c r="N329" t="n">
        <v>0</v>
      </c>
      <c r="O329" t="n">
        <v>0</v>
      </c>
      <c r="P329" t="n">
        <v>0</v>
      </c>
      <c r="Q329" t="n">
        <v>0</v>
      </c>
      <c r="R329" s="2" t="inlineStr"/>
    </row>
    <row r="330" ht="15" customHeight="1">
      <c r="A330" t="inlineStr">
        <is>
          <t>A 13860-2023</t>
        </is>
      </c>
      <c r="B330" s="1" t="n">
        <v>45007</v>
      </c>
      <c r="C330" s="1" t="n">
        <v>46108</v>
      </c>
      <c r="D330" t="inlineStr">
        <is>
          <t>STOCKHOLMS LÄN</t>
        </is>
      </c>
      <c r="E330" t="inlineStr">
        <is>
          <t>NORRTÄLJE</t>
        </is>
      </c>
      <c r="G330" t="n">
        <v>1.6</v>
      </c>
      <c r="H330" t="n">
        <v>0</v>
      </c>
      <c r="I330" t="n">
        <v>0</v>
      </c>
      <c r="J330" t="n">
        <v>0</v>
      </c>
      <c r="K330" t="n">
        <v>0</v>
      </c>
      <c r="L330" t="n">
        <v>0</v>
      </c>
      <c r="M330" t="n">
        <v>0</v>
      </c>
      <c r="N330" t="n">
        <v>0</v>
      </c>
      <c r="O330" t="n">
        <v>0</v>
      </c>
      <c r="P330" t="n">
        <v>0</v>
      </c>
      <c r="Q330" t="n">
        <v>0</v>
      </c>
      <c r="R330" s="2" t="inlineStr"/>
    </row>
    <row r="331" ht="15" customHeight="1">
      <c r="A331" t="inlineStr">
        <is>
          <t>A 67285-2021</t>
        </is>
      </c>
      <c r="B331" s="1" t="n">
        <v>44523.61635416667</v>
      </c>
      <c r="C331" s="1" t="n">
        <v>46108</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6855-2025</t>
        </is>
      </c>
      <c r="B332" s="1" t="n">
        <v>45700</v>
      </c>
      <c r="C332" s="1" t="n">
        <v>46108</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5611-2022</t>
        </is>
      </c>
      <c r="B333" s="1" t="n">
        <v>44595</v>
      </c>
      <c r="C333" s="1" t="n">
        <v>46108</v>
      </c>
      <c r="D333" t="inlineStr">
        <is>
          <t>STOCKHOLMS LÄN</t>
        </is>
      </c>
      <c r="E333" t="inlineStr">
        <is>
          <t>NORRTÄLJE</t>
        </is>
      </c>
      <c r="G333" t="n">
        <v>0.5</v>
      </c>
      <c r="H333" t="n">
        <v>0</v>
      </c>
      <c r="I333" t="n">
        <v>0</v>
      </c>
      <c r="J333" t="n">
        <v>0</v>
      </c>
      <c r="K333" t="n">
        <v>0</v>
      </c>
      <c r="L333" t="n">
        <v>0</v>
      </c>
      <c r="M333" t="n">
        <v>0</v>
      </c>
      <c r="N333" t="n">
        <v>0</v>
      </c>
      <c r="O333" t="n">
        <v>0</v>
      </c>
      <c r="P333" t="n">
        <v>0</v>
      </c>
      <c r="Q333" t="n">
        <v>0</v>
      </c>
      <c r="R333" s="2" t="inlineStr"/>
    </row>
    <row r="334" ht="15" customHeight="1">
      <c r="A334" t="inlineStr">
        <is>
          <t>A 32055-2021</t>
        </is>
      </c>
      <c r="B334" s="1" t="n">
        <v>44370.72197916666</v>
      </c>
      <c r="C334" s="1" t="n">
        <v>46108</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24101-2022</t>
        </is>
      </c>
      <c r="B335" s="1" t="n">
        <v>44725</v>
      </c>
      <c r="C335" s="1" t="n">
        <v>46108</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13314-2025</t>
        </is>
      </c>
      <c r="B336" s="1" t="n">
        <v>45735.59287037037</v>
      </c>
      <c r="C336" s="1" t="n">
        <v>46108</v>
      </c>
      <c r="D336" t="inlineStr">
        <is>
          <t>STOCKHOLMS LÄN</t>
        </is>
      </c>
      <c r="E336" t="inlineStr">
        <is>
          <t>NORRTÄLJE</t>
        </is>
      </c>
      <c r="G336" t="n">
        <v>2.4</v>
      </c>
      <c r="H336" t="n">
        <v>0</v>
      </c>
      <c r="I336" t="n">
        <v>0</v>
      </c>
      <c r="J336" t="n">
        <v>0</v>
      </c>
      <c r="K336" t="n">
        <v>0</v>
      </c>
      <c r="L336" t="n">
        <v>0</v>
      </c>
      <c r="M336" t="n">
        <v>0</v>
      </c>
      <c r="N336" t="n">
        <v>0</v>
      </c>
      <c r="O336" t="n">
        <v>0</v>
      </c>
      <c r="P336" t="n">
        <v>0</v>
      </c>
      <c r="Q336" t="n">
        <v>0</v>
      </c>
      <c r="R336" s="2" t="inlineStr"/>
    </row>
    <row r="337" ht="15" customHeight="1">
      <c r="A337" t="inlineStr">
        <is>
          <t>A 20336-2024</t>
        </is>
      </c>
      <c r="B337" s="1" t="n">
        <v>45435.43123842592</v>
      </c>
      <c r="C337" s="1" t="n">
        <v>46108</v>
      </c>
      <c r="D337" t="inlineStr">
        <is>
          <t>STOCKHOLMS LÄN</t>
        </is>
      </c>
      <c r="E337" t="inlineStr">
        <is>
          <t>NORRTÄLJE</t>
        </is>
      </c>
      <c r="G337" t="n">
        <v>1.9</v>
      </c>
      <c r="H337" t="n">
        <v>0</v>
      </c>
      <c r="I337" t="n">
        <v>0</v>
      </c>
      <c r="J337" t="n">
        <v>0</v>
      </c>
      <c r="K337" t="n">
        <v>0</v>
      </c>
      <c r="L337" t="n">
        <v>0</v>
      </c>
      <c r="M337" t="n">
        <v>0</v>
      </c>
      <c r="N337" t="n">
        <v>0</v>
      </c>
      <c r="O337" t="n">
        <v>0</v>
      </c>
      <c r="P337" t="n">
        <v>0</v>
      </c>
      <c r="Q337" t="n">
        <v>0</v>
      </c>
      <c r="R337" s="2" t="inlineStr"/>
    </row>
    <row r="338" ht="15" customHeight="1">
      <c r="A338" t="inlineStr">
        <is>
          <t>A 34432-2021</t>
        </is>
      </c>
      <c r="B338" s="1" t="n">
        <v>44380.77346064815</v>
      </c>
      <c r="C338" s="1" t="n">
        <v>46108</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38721-2022</t>
        </is>
      </c>
      <c r="B339" s="1" t="n">
        <v>44815</v>
      </c>
      <c r="C339" s="1" t="n">
        <v>46108</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60184-2021</t>
        </is>
      </c>
      <c r="B340" s="1" t="n">
        <v>44495</v>
      </c>
      <c r="C340" s="1" t="n">
        <v>46108</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27677-2025</t>
        </is>
      </c>
      <c r="B341" s="1" t="n">
        <v>45813.63650462963</v>
      </c>
      <c r="C341" s="1" t="n">
        <v>46108</v>
      </c>
      <c r="D341" t="inlineStr">
        <is>
          <t>STOCKHOLMS LÄN</t>
        </is>
      </c>
      <c r="E341" t="inlineStr">
        <is>
          <t>NORRTÄLJE</t>
        </is>
      </c>
      <c r="G341" t="n">
        <v>2</v>
      </c>
      <c r="H341" t="n">
        <v>0</v>
      </c>
      <c r="I341" t="n">
        <v>0</v>
      </c>
      <c r="J341" t="n">
        <v>0</v>
      </c>
      <c r="K341" t="n">
        <v>0</v>
      </c>
      <c r="L341" t="n">
        <v>0</v>
      </c>
      <c r="M341" t="n">
        <v>0</v>
      </c>
      <c r="N341" t="n">
        <v>0</v>
      </c>
      <c r="O341" t="n">
        <v>0</v>
      </c>
      <c r="P341" t="n">
        <v>0</v>
      </c>
      <c r="Q341" t="n">
        <v>0</v>
      </c>
      <c r="R341" s="2" t="inlineStr"/>
    </row>
    <row r="342" ht="15" customHeight="1">
      <c r="A342" t="inlineStr">
        <is>
          <t>A 39152-2025</t>
        </is>
      </c>
      <c r="B342" s="1" t="n">
        <v>45888</v>
      </c>
      <c r="C342" s="1" t="n">
        <v>46108</v>
      </c>
      <c r="D342" t="inlineStr">
        <is>
          <t>STOCKHOLMS LÄN</t>
        </is>
      </c>
      <c r="E342" t="inlineStr">
        <is>
          <t>NORRTÄLJE</t>
        </is>
      </c>
      <c r="G342" t="n">
        <v>4.6</v>
      </c>
      <c r="H342" t="n">
        <v>0</v>
      </c>
      <c r="I342" t="n">
        <v>0</v>
      </c>
      <c r="J342" t="n">
        <v>0</v>
      </c>
      <c r="K342" t="n">
        <v>0</v>
      </c>
      <c r="L342" t="n">
        <v>0</v>
      </c>
      <c r="M342" t="n">
        <v>0</v>
      </c>
      <c r="N342" t="n">
        <v>0</v>
      </c>
      <c r="O342" t="n">
        <v>0</v>
      </c>
      <c r="P342" t="n">
        <v>0</v>
      </c>
      <c r="Q342" t="n">
        <v>0</v>
      </c>
      <c r="R342" s="2" t="inlineStr"/>
    </row>
    <row r="343" ht="15" customHeight="1">
      <c r="A343" t="inlineStr">
        <is>
          <t>A 1847-2023</t>
        </is>
      </c>
      <c r="B343" s="1" t="n">
        <v>44938</v>
      </c>
      <c r="C343" s="1" t="n">
        <v>46108</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27828-2022</t>
        </is>
      </c>
      <c r="B344" s="1" t="n">
        <v>44743.59765046297</v>
      </c>
      <c r="C344" s="1" t="n">
        <v>46108</v>
      </c>
      <c r="D344" t="inlineStr">
        <is>
          <t>STOCKHOLMS LÄN</t>
        </is>
      </c>
      <c r="E344" t="inlineStr">
        <is>
          <t>NORRTÄLJE</t>
        </is>
      </c>
      <c r="F344" t="inlineStr">
        <is>
          <t>Kommuner</t>
        </is>
      </c>
      <c r="G344" t="n">
        <v>1.6</v>
      </c>
      <c r="H344" t="n">
        <v>0</v>
      </c>
      <c r="I344" t="n">
        <v>0</v>
      </c>
      <c r="J344" t="n">
        <v>0</v>
      </c>
      <c r="K344" t="n">
        <v>0</v>
      </c>
      <c r="L344" t="n">
        <v>0</v>
      </c>
      <c r="M344" t="n">
        <v>0</v>
      </c>
      <c r="N344" t="n">
        <v>0</v>
      </c>
      <c r="O344" t="n">
        <v>0</v>
      </c>
      <c r="P344" t="n">
        <v>0</v>
      </c>
      <c r="Q344" t="n">
        <v>0</v>
      </c>
      <c r="R344" s="2" t="inlineStr"/>
    </row>
    <row r="345" ht="15" customHeight="1">
      <c r="A345" t="inlineStr">
        <is>
          <t>A 16229-2022</t>
        </is>
      </c>
      <c r="B345" s="1" t="n">
        <v>44670.4190162037</v>
      </c>
      <c r="C345" s="1" t="n">
        <v>46108</v>
      </c>
      <c r="D345" t="inlineStr">
        <is>
          <t>STOCKHOLMS LÄN</t>
        </is>
      </c>
      <c r="E345" t="inlineStr">
        <is>
          <t>NORRTÄLJE</t>
        </is>
      </c>
      <c r="G345" t="n">
        <v>7.4</v>
      </c>
      <c r="H345" t="n">
        <v>0</v>
      </c>
      <c r="I345" t="n">
        <v>0</v>
      </c>
      <c r="J345" t="n">
        <v>0</v>
      </c>
      <c r="K345" t="n">
        <v>0</v>
      </c>
      <c r="L345" t="n">
        <v>0</v>
      </c>
      <c r="M345" t="n">
        <v>0</v>
      </c>
      <c r="N345" t="n">
        <v>0</v>
      </c>
      <c r="O345" t="n">
        <v>0</v>
      </c>
      <c r="P345" t="n">
        <v>0</v>
      </c>
      <c r="Q345" t="n">
        <v>0</v>
      </c>
      <c r="R345" s="2" t="inlineStr"/>
    </row>
    <row r="346" ht="15" customHeight="1">
      <c r="A346" t="inlineStr">
        <is>
          <t>A 39149-2025</t>
        </is>
      </c>
      <c r="B346" s="1" t="n">
        <v>45888.60714120371</v>
      </c>
      <c r="C346" s="1" t="n">
        <v>46108</v>
      </c>
      <c r="D346" t="inlineStr">
        <is>
          <t>STOCKHOLMS LÄN</t>
        </is>
      </c>
      <c r="E346" t="inlineStr">
        <is>
          <t>NORRTÄLJE</t>
        </is>
      </c>
      <c r="G346" t="n">
        <v>3.5</v>
      </c>
      <c r="H346" t="n">
        <v>0</v>
      </c>
      <c r="I346" t="n">
        <v>0</v>
      </c>
      <c r="J346" t="n">
        <v>0</v>
      </c>
      <c r="K346" t="n">
        <v>0</v>
      </c>
      <c r="L346" t="n">
        <v>0</v>
      </c>
      <c r="M346" t="n">
        <v>0</v>
      </c>
      <c r="N346" t="n">
        <v>0</v>
      </c>
      <c r="O346" t="n">
        <v>0</v>
      </c>
      <c r="P346" t="n">
        <v>0</v>
      </c>
      <c r="Q346" t="n">
        <v>0</v>
      </c>
      <c r="R346" s="2" t="inlineStr"/>
    </row>
    <row r="347" ht="15" customHeight="1">
      <c r="A347" t="inlineStr">
        <is>
          <t>A 33226-2024</t>
        </is>
      </c>
      <c r="B347" s="1" t="n">
        <v>45518</v>
      </c>
      <c r="C347" s="1" t="n">
        <v>46108</v>
      </c>
      <c r="D347" t="inlineStr">
        <is>
          <t>STOCKHOLMS LÄN</t>
        </is>
      </c>
      <c r="E347" t="inlineStr">
        <is>
          <t>NORRTÄLJE</t>
        </is>
      </c>
      <c r="G347" t="n">
        <v>13.8</v>
      </c>
      <c r="H347" t="n">
        <v>0</v>
      </c>
      <c r="I347" t="n">
        <v>0</v>
      </c>
      <c r="J347" t="n">
        <v>0</v>
      </c>
      <c r="K347" t="n">
        <v>0</v>
      </c>
      <c r="L347" t="n">
        <v>0</v>
      </c>
      <c r="M347" t="n">
        <v>0</v>
      </c>
      <c r="N347" t="n">
        <v>0</v>
      </c>
      <c r="O347" t="n">
        <v>0</v>
      </c>
      <c r="P347" t="n">
        <v>0</v>
      </c>
      <c r="Q347" t="n">
        <v>0</v>
      </c>
      <c r="R347" s="2" t="inlineStr"/>
    </row>
    <row r="348" ht="15" customHeight="1">
      <c r="A348" t="inlineStr">
        <is>
          <t>A 22008-2024</t>
        </is>
      </c>
      <c r="B348" s="1" t="n">
        <v>45443</v>
      </c>
      <c r="C348" s="1" t="n">
        <v>46108</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23149-2024</t>
        </is>
      </c>
      <c r="B349" s="1" t="n">
        <v>45450.64208333333</v>
      </c>
      <c r="C349" s="1" t="n">
        <v>46108</v>
      </c>
      <c r="D349" t="inlineStr">
        <is>
          <t>STOCKHOLMS LÄN</t>
        </is>
      </c>
      <c r="E349" t="inlineStr">
        <is>
          <t>NORRTÄLJE</t>
        </is>
      </c>
      <c r="F349" t="inlineStr">
        <is>
          <t>Kommuner</t>
        </is>
      </c>
      <c r="G349" t="n">
        <v>1.3</v>
      </c>
      <c r="H349" t="n">
        <v>0</v>
      </c>
      <c r="I349" t="n">
        <v>0</v>
      </c>
      <c r="J349" t="n">
        <v>0</v>
      </c>
      <c r="K349" t="n">
        <v>0</v>
      </c>
      <c r="L349" t="n">
        <v>0</v>
      </c>
      <c r="M349" t="n">
        <v>0</v>
      </c>
      <c r="N349" t="n">
        <v>0</v>
      </c>
      <c r="O349" t="n">
        <v>0</v>
      </c>
      <c r="P349" t="n">
        <v>0</v>
      </c>
      <c r="Q349" t="n">
        <v>0</v>
      </c>
      <c r="R349" s="2" t="inlineStr"/>
    </row>
    <row r="350" ht="15" customHeight="1">
      <c r="A350" t="inlineStr">
        <is>
          <t>A 23151-2024</t>
        </is>
      </c>
      <c r="B350" s="1" t="n">
        <v>45450</v>
      </c>
      <c r="C350" s="1" t="n">
        <v>46108</v>
      </c>
      <c r="D350" t="inlineStr">
        <is>
          <t>STOCKHOLMS LÄN</t>
        </is>
      </c>
      <c r="E350" t="inlineStr">
        <is>
          <t>NORRTÄLJE</t>
        </is>
      </c>
      <c r="F350" t="inlineStr">
        <is>
          <t>Kommuner</t>
        </is>
      </c>
      <c r="G350" t="n">
        <v>1.2</v>
      </c>
      <c r="H350" t="n">
        <v>0</v>
      </c>
      <c r="I350" t="n">
        <v>0</v>
      </c>
      <c r="J350" t="n">
        <v>0</v>
      </c>
      <c r="K350" t="n">
        <v>0</v>
      </c>
      <c r="L350" t="n">
        <v>0</v>
      </c>
      <c r="M350" t="n">
        <v>0</v>
      </c>
      <c r="N350" t="n">
        <v>0</v>
      </c>
      <c r="O350" t="n">
        <v>0</v>
      </c>
      <c r="P350" t="n">
        <v>0</v>
      </c>
      <c r="Q350" t="n">
        <v>0</v>
      </c>
      <c r="R350" s="2" t="inlineStr"/>
    </row>
    <row r="351" ht="15" customHeight="1">
      <c r="A351" t="inlineStr">
        <is>
          <t>A 59721-2024</t>
        </is>
      </c>
      <c r="B351" s="1" t="n">
        <v>45639.47385416667</v>
      </c>
      <c r="C351" s="1" t="n">
        <v>46108</v>
      </c>
      <c r="D351" t="inlineStr">
        <is>
          <t>STOCKHOLMS LÄN</t>
        </is>
      </c>
      <c r="E351" t="inlineStr">
        <is>
          <t>NORRTÄLJE</t>
        </is>
      </c>
      <c r="G351" t="n">
        <v>4.6</v>
      </c>
      <c r="H351" t="n">
        <v>0</v>
      </c>
      <c r="I351" t="n">
        <v>0</v>
      </c>
      <c r="J351" t="n">
        <v>0</v>
      </c>
      <c r="K351" t="n">
        <v>0</v>
      </c>
      <c r="L351" t="n">
        <v>0</v>
      </c>
      <c r="M351" t="n">
        <v>0</v>
      </c>
      <c r="N351" t="n">
        <v>0</v>
      </c>
      <c r="O351" t="n">
        <v>0</v>
      </c>
      <c r="P351" t="n">
        <v>0</v>
      </c>
      <c r="Q351" t="n">
        <v>0</v>
      </c>
      <c r="R351" s="2" t="inlineStr"/>
    </row>
    <row r="352" ht="15" customHeight="1">
      <c r="A352" t="inlineStr">
        <is>
          <t>A 39692-2025</t>
        </is>
      </c>
      <c r="B352" s="1" t="n">
        <v>45890.68083333333</v>
      </c>
      <c r="C352" s="1" t="n">
        <v>46108</v>
      </c>
      <c r="D352" t="inlineStr">
        <is>
          <t>STOCKHOLMS LÄN</t>
        </is>
      </c>
      <c r="E352" t="inlineStr">
        <is>
          <t>NORRTÄLJE</t>
        </is>
      </c>
      <c r="G352" t="n">
        <v>10.5</v>
      </c>
      <c r="H352" t="n">
        <v>0</v>
      </c>
      <c r="I352" t="n">
        <v>0</v>
      </c>
      <c r="J352" t="n">
        <v>0</v>
      </c>
      <c r="K352" t="n">
        <v>0</v>
      </c>
      <c r="L352" t="n">
        <v>0</v>
      </c>
      <c r="M352" t="n">
        <v>0</v>
      </c>
      <c r="N352" t="n">
        <v>0</v>
      </c>
      <c r="O352" t="n">
        <v>0</v>
      </c>
      <c r="P352" t="n">
        <v>0</v>
      </c>
      <c r="Q352" t="n">
        <v>0</v>
      </c>
      <c r="R352" s="2" t="inlineStr"/>
    </row>
    <row r="353" ht="15" customHeight="1">
      <c r="A353" t="inlineStr">
        <is>
          <t>A 55243-2023</t>
        </is>
      </c>
      <c r="B353" s="1" t="n">
        <v>45237</v>
      </c>
      <c r="C353" s="1" t="n">
        <v>46108</v>
      </c>
      <c r="D353" t="inlineStr">
        <is>
          <t>STOCKHOLMS LÄN</t>
        </is>
      </c>
      <c r="E353" t="inlineStr">
        <is>
          <t>NORRTÄLJE</t>
        </is>
      </c>
      <c r="G353" t="n">
        <v>6.5</v>
      </c>
      <c r="H353" t="n">
        <v>0</v>
      </c>
      <c r="I353" t="n">
        <v>0</v>
      </c>
      <c r="J353" t="n">
        <v>0</v>
      </c>
      <c r="K353" t="n">
        <v>0</v>
      </c>
      <c r="L353" t="n">
        <v>0</v>
      </c>
      <c r="M353" t="n">
        <v>0</v>
      </c>
      <c r="N353" t="n">
        <v>0</v>
      </c>
      <c r="O353" t="n">
        <v>0</v>
      </c>
      <c r="P353" t="n">
        <v>0</v>
      </c>
      <c r="Q353" t="n">
        <v>0</v>
      </c>
      <c r="R353" s="2" t="inlineStr"/>
    </row>
    <row r="354" ht="15" customHeight="1">
      <c r="A354" t="inlineStr">
        <is>
          <t>A 52260-2022</t>
        </is>
      </c>
      <c r="B354" s="1" t="n">
        <v>44869</v>
      </c>
      <c r="C354" s="1" t="n">
        <v>46108</v>
      </c>
      <c r="D354" t="inlineStr">
        <is>
          <t>STOCKHOLMS LÄN</t>
        </is>
      </c>
      <c r="E354" t="inlineStr">
        <is>
          <t>NORRTÄLJE</t>
        </is>
      </c>
      <c r="G354" t="n">
        <v>3.1</v>
      </c>
      <c r="H354" t="n">
        <v>0</v>
      </c>
      <c r="I354" t="n">
        <v>0</v>
      </c>
      <c r="J354" t="n">
        <v>0</v>
      </c>
      <c r="K354" t="n">
        <v>0</v>
      </c>
      <c r="L354" t="n">
        <v>0</v>
      </c>
      <c r="M354" t="n">
        <v>0</v>
      </c>
      <c r="N354" t="n">
        <v>0</v>
      </c>
      <c r="O354" t="n">
        <v>0</v>
      </c>
      <c r="P354" t="n">
        <v>0</v>
      </c>
      <c r="Q354" t="n">
        <v>0</v>
      </c>
      <c r="R354" s="2" t="inlineStr"/>
    </row>
    <row r="355" ht="15" customHeight="1">
      <c r="A355" t="inlineStr">
        <is>
          <t>A 52001-2023</t>
        </is>
      </c>
      <c r="B355" s="1" t="n">
        <v>45223</v>
      </c>
      <c r="C355" s="1" t="n">
        <v>46108</v>
      </c>
      <c r="D355" t="inlineStr">
        <is>
          <t>STOCKHOLMS LÄN</t>
        </is>
      </c>
      <c r="E355" t="inlineStr">
        <is>
          <t>NORRTÄLJE</t>
        </is>
      </c>
      <c r="G355" t="n">
        <v>0.7</v>
      </c>
      <c r="H355" t="n">
        <v>0</v>
      </c>
      <c r="I355" t="n">
        <v>0</v>
      </c>
      <c r="J355" t="n">
        <v>0</v>
      </c>
      <c r="K355" t="n">
        <v>0</v>
      </c>
      <c r="L355" t="n">
        <v>0</v>
      </c>
      <c r="M355" t="n">
        <v>0</v>
      </c>
      <c r="N355" t="n">
        <v>0</v>
      </c>
      <c r="O355" t="n">
        <v>0</v>
      </c>
      <c r="P355" t="n">
        <v>0</v>
      </c>
      <c r="Q355" t="n">
        <v>0</v>
      </c>
      <c r="R355" s="2" t="inlineStr"/>
    </row>
    <row r="356" ht="15" customHeight="1">
      <c r="A356" t="inlineStr">
        <is>
          <t>A 35639-2025</t>
        </is>
      </c>
      <c r="B356" s="1" t="n">
        <v>45859</v>
      </c>
      <c r="C356" s="1" t="n">
        <v>46108</v>
      </c>
      <c r="D356" t="inlineStr">
        <is>
          <t>STOCKHOLMS LÄN</t>
        </is>
      </c>
      <c r="E356" t="inlineStr">
        <is>
          <t>NORRTÄLJE</t>
        </is>
      </c>
      <c r="G356" t="n">
        <v>0.7</v>
      </c>
      <c r="H356" t="n">
        <v>0</v>
      </c>
      <c r="I356" t="n">
        <v>0</v>
      </c>
      <c r="J356" t="n">
        <v>0</v>
      </c>
      <c r="K356" t="n">
        <v>0</v>
      </c>
      <c r="L356" t="n">
        <v>0</v>
      </c>
      <c r="M356" t="n">
        <v>0</v>
      </c>
      <c r="N356" t="n">
        <v>0</v>
      </c>
      <c r="O356" t="n">
        <v>0</v>
      </c>
      <c r="P356" t="n">
        <v>0</v>
      </c>
      <c r="Q356" t="n">
        <v>0</v>
      </c>
      <c r="R356" s="2" t="inlineStr"/>
    </row>
    <row r="357" ht="15" customHeight="1">
      <c r="A357" t="inlineStr">
        <is>
          <t>A 25557-2023</t>
        </is>
      </c>
      <c r="B357" s="1" t="n">
        <v>45089</v>
      </c>
      <c r="C357" s="1" t="n">
        <v>46108</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60185-2024</t>
        </is>
      </c>
      <c r="B358" s="1" t="n">
        <v>45642.64634259259</v>
      </c>
      <c r="C358" s="1" t="n">
        <v>46108</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27715-2022</t>
        </is>
      </c>
      <c r="B359" s="1" t="n">
        <v>44743.47407407407</v>
      </c>
      <c r="C359" s="1" t="n">
        <v>46108</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37010-2022</t>
        </is>
      </c>
      <c r="B360" s="1" t="n">
        <v>44806.41576388889</v>
      </c>
      <c r="C360" s="1" t="n">
        <v>46108</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48686-2023</t>
        </is>
      </c>
      <c r="B361" s="1" t="n">
        <v>45208</v>
      </c>
      <c r="C361" s="1" t="n">
        <v>46108</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48691-2023</t>
        </is>
      </c>
      <c r="B362" s="1" t="n">
        <v>45208</v>
      </c>
      <c r="C362" s="1" t="n">
        <v>46108</v>
      </c>
      <c r="D362" t="inlineStr">
        <is>
          <t>STOCKHOLMS LÄN</t>
        </is>
      </c>
      <c r="E362" t="inlineStr">
        <is>
          <t>NORRTÄLJE</t>
        </is>
      </c>
      <c r="G362" t="n">
        <v>5.8</v>
      </c>
      <c r="H362" t="n">
        <v>0</v>
      </c>
      <c r="I362" t="n">
        <v>0</v>
      </c>
      <c r="J362" t="n">
        <v>0</v>
      </c>
      <c r="K362" t="n">
        <v>0</v>
      </c>
      <c r="L362" t="n">
        <v>0</v>
      </c>
      <c r="M362" t="n">
        <v>0</v>
      </c>
      <c r="N362" t="n">
        <v>0</v>
      </c>
      <c r="O362" t="n">
        <v>0</v>
      </c>
      <c r="P362" t="n">
        <v>0</v>
      </c>
      <c r="Q362" t="n">
        <v>0</v>
      </c>
      <c r="R362" s="2" t="inlineStr"/>
    </row>
    <row r="363" ht="15" customHeight="1">
      <c r="A363" t="inlineStr">
        <is>
          <t>A 35636-2025</t>
        </is>
      </c>
      <c r="B363" s="1" t="n">
        <v>45859</v>
      </c>
      <c r="C363" s="1" t="n">
        <v>46108</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55696-2022</t>
        </is>
      </c>
      <c r="B364" s="1" t="n">
        <v>44888</v>
      </c>
      <c r="C364" s="1" t="n">
        <v>46108</v>
      </c>
      <c r="D364" t="inlineStr">
        <is>
          <t>STOCKHOLMS LÄN</t>
        </is>
      </c>
      <c r="E364" t="inlineStr">
        <is>
          <t>NORRTÄLJE</t>
        </is>
      </c>
      <c r="G364" t="n">
        <v>2.2</v>
      </c>
      <c r="H364" t="n">
        <v>0</v>
      </c>
      <c r="I364" t="n">
        <v>0</v>
      </c>
      <c r="J364" t="n">
        <v>0</v>
      </c>
      <c r="K364" t="n">
        <v>0</v>
      </c>
      <c r="L364" t="n">
        <v>0</v>
      </c>
      <c r="M364" t="n">
        <v>0</v>
      </c>
      <c r="N364" t="n">
        <v>0</v>
      </c>
      <c r="O364" t="n">
        <v>0</v>
      </c>
      <c r="P364" t="n">
        <v>0</v>
      </c>
      <c r="Q364" t="n">
        <v>0</v>
      </c>
      <c r="R364" s="2" t="inlineStr"/>
    </row>
    <row r="365" ht="15" customHeight="1">
      <c r="A365" t="inlineStr">
        <is>
          <t>A 22412-2021</t>
        </is>
      </c>
      <c r="B365" s="1" t="n">
        <v>44326.61967592593</v>
      </c>
      <c r="C365" s="1" t="n">
        <v>46108</v>
      </c>
      <c r="D365" t="inlineStr">
        <is>
          <t>STOCKHOLMS LÄN</t>
        </is>
      </c>
      <c r="E365" t="inlineStr">
        <is>
          <t>NORRTÄLJE</t>
        </is>
      </c>
      <c r="G365" t="n">
        <v>1.7</v>
      </c>
      <c r="H365" t="n">
        <v>0</v>
      </c>
      <c r="I365" t="n">
        <v>0</v>
      </c>
      <c r="J365" t="n">
        <v>0</v>
      </c>
      <c r="K365" t="n">
        <v>0</v>
      </c>
      <c r="L365" t="n">
        <v>0</v>
      </c>
      <c r="M365" t="n">
        <v>0</v>
      </c>
      <c r="N365" t="n">
        <v>0</v>
      </c>
      <c r="O365" t="n">
        <v>0</v>
      </c>
      <c r="P365" t="n">
        <v>0</v>
      </c>
      <c r="Q365" t="n">
        <v>0</v>
      </c>
      <c r="R365" s="2" t="inlineStr"/>
    </row>
    <row r="366" ht="15" customHeight="1">
      <c r="A366" t="inlineStr">
        <is>
          <t>A 13053-2022</t>
        </is>
      </c>
      <c r="B366" s="1" t="n">
        <v>44643</v>
      </c>
      <c r="C366" s="1" t="n">
        <v>46108</v>
      </c>
      <c r="D366" t="inlineStr">
        <is>
          <t>STOCKHOLMS LÄN</t>
        </is>
      </c>
      <c r="E366" t="inlineStr">
        <is>
          <t>NORRTÄLJE</t>
        </is>
      </c>
      <c r="G366" t="n">
        <v>2.8</v>
      </c>
      <c r="H366" t="n">
        <v>0</v>
      </c>
      <c r="I366" t="n">
        <v>0</v>
      </c>
      <c r="J366" t="n">
        <v>0</v>
      </c>
      <c r="K366" t="n">
        <v>0</v>
      </c>
      <c r="L366" t="n">
        <v>0</v>
      </c>
      <c r="M366" t="n">
        <v>0</v>
      </c>
      <c r="N366" t="n">
        <v>0</v>
      </c>
      <c r="O366" t="n">
        <v>0</v>
      </c>
      <c r="P366" t="n">
        <v>0</v>
      </c>
      <c r="Q366" t="n">
        <v>0</v>
      </c>
      <c r="R366" s="2" t="inlineStr"/>
    </row>
    <row r="367" ht="15" customHeight="1">
      <c r="A367" t="inlineStr">
        <is>
          <t>A 40172-2025</t>
        </is>
      </c>
      <c r="B367" s="1" t="n">
        <v>45894.6353125</v>
      </c>
      <c r="C367" s="1" t="n">
        <v>46108</v>
      </c>
      <c r="D367" t="inlineStr">
        <is>
          <t>STOCKHOLMS LÄN</t>
        </is>
      </c>
      <c r="E367" t="inlineStr">
        <is>
          <t>NORRTÄLJE</t>
        </is>
      </c>
      <c r="G367" t="n">
        <v>6</v>
      </c>
      <c r="H367" t="n">
        <v>0</v>
      </c>
      <c r="I367" t="n">
        <v>0</v>
      </c>
      <c r="J367" t="n">
        <v>0</v>
      </c>
      <c r="K367" t="n">
        <v>0</v>
      </c>
      <c r="L367" t="n">
        <v>0</v>
      </c>
      <c r="M367" t="n">
        <v>0</v>
      </c>
      <c r="N367" t="n">
        <v>0</v>
      </c>
      <c r="O367" t="n">
        <v>0</v>
      </c>
      <c r="P367" t="n">
        <v>0</v>
      </c>
      <c r="Q367" t="n">
        <v>0</v>
      </c>
      <c r="R367" s="2" t="inlineStr"/>
    </row>
    <row r="368" ht="15" customHeight="1">
      <c r="A368" t="inlineStr">
        <is>
          <t>A 40033-2025</t>
        </is>
      </c>
      <c r="B368" s="1" t="n">
        <v>45893</v>
      </c>
      <c r="C368" s="1" t="n">
        <v>46108</v>
      </c>
      <c r="D368" t="inlineStr">
        <is>
          <t>STOCKHOLMS LÄN</t>
        </is>
      </c>
      <c r="E368" t="inlineStr">
        <is>
          <t>NORRTÄLJE</t>
        </is>
      </c>
      <c r="G368" t="n">
        <v>1.7</v>
      </c>
      <c r="H368" t="n">
        <v>0</v>
      </c>
      <c r="I368" t="n">
        <v>0</v>
      </c>
      <c r="J368" t="n">
        <v>0</v>
      </c>
      <c r="K368" t="n">
        <v>0</v>
      </c>
      <c r="L368" t="n">
        <v>0</v>
      </c>
      <c r="M368" t="n">
        <v>0</v>
      </c>
      <c r="N368" t="n">
        <v>0</v>
      </c>
      <c r="O368" t="n">
        <v>0</v>
      </c>
      <c r="P368" t="n">
        <v>0</v>
      </c>
      <c r="Q368" t="n">
        <v>0</v>
      </c>
      <c r="R368" s="2" t="inlineStr"/>
    </row>
    <row r="369" ht="15" customHeight="1">
      <c r="A369" t="inlineStr">
        <is>
          <t>A 40032-2025</t>
        </is>
      </c>
      <c r="B369" s="1" t="n">
        <v>45893</v>
      </c>
      <c r="C369" s="1" t="n">
        <v>46108</v>
      </c>
      <c r="D369" t="inlineStr">
        <is>
          <t>STOCKHOLMS LÄN</t>
        </is>
      </c>
      <c r="E369" t="inlineStr">
        <is>
          <t>NORRTÄLJE</t>
        </is>
      </c>
      <c r="G369" t="n">
        <v>2.6</v>
      </c>
      <c r="H369" t="n">
        <v>0</v>
      </c>
      <c r="I369" t="n">
        <v>0</v>
      </c>
      <c r="J369" t="n">
        <v>0</v>
      </c>
      <c r="K369" t="n">
        <v>0</v>
      </c>
      <c r="L369" t="n">
        <v>0</v>
      </c>
      <c r="M369" t="n">
        <v>0</v>
      </c>
      <c r="N369" t="n">
        <v>0</v>
      </c>
      <c r="O369" t="n">
        <v>0</v>
      </c>
      <c r="P369" t="n">
        <v>0</v>
      </c>
      <c r="Q369" t="n">
        <v>0</v>
      </c>
      <c r="R369" s="2" t="inlineStr"/>
    </row>
    <row r="370" ht="15" customHeight="1">
      <c r="A370" t="inlineStr">
        <is>
          <t>A 15915-2023</t>
        </is>
      </c>
      <c r="B370" s="1" t="n">
        <v>45022</v>
      </c>
      <c r="C370" s="1" t="n">
        <v>46108</v>
      </c>
      <c r="D370" t="inlineStr">
        <is>
          <t>STOCKHOLMS LÄN</t>
        </is>
      </c>
      <c r="E370" t="inlineStr">
        <is>
          <t>NORRTÄLJE</t>
        </is>
      </c>
      <c r="G370" t="n">
        <v>2.9</v>
      </c>
      <c r="H370" t="n">
        <v>0</v>
      </c>
      <c r="I370" t="n">
        <v>0</v>
      </c>
      <c r="J370" t="n">
        <v>0</v>
      </c>
      <c r="K370" t="n">
        <v>0</v>
      </c>
      <c r="L370" t="n">
        <v>0</v>
      </c>
      <c r="M370" t="n">
        <v>0</v>
      </c>
      <c r="N370" t="n">
        <v>0</v>
      </c>
      <c r="O370" t="n">
        <v>0</v>
      </c>
      <c r="P370" t="n">
        <v>0</v>
      </c>
      <c r="Q370" t="n">
        <v>0</v>
      </c>
      <c r="R370" s="2" t="inlineStr"/>
    </row>
    <row r="371" ht="15" customHeight="1">
      <c r="A371" t="inlineStr">
        <is>
          <t>A 40292-2025</t>
        </is>
      </c>
      <c r="B371" s="1" t="n">
        <v>45895.3867824074</v>
      </c>
      <c r="C371" s="1" t="n">
        <v>46108</v>
      </c>
      <c r="D371" t="inlineStr">
        <is>
          <t>STOCKHOLMS LÄN</t>
        </is>
      </c>
      <c r="E371" t="inlineStr">
        <is>
          <t>NORRTÄLJE</t>
        </is>
      </c>
      <c r="G371" t="n">
        <v>3.5</v>
      </c>
      <c r="H371" t="n">
        <v>0</v>
      </c>
      <c r="I371" t="n">
        <v>0</v>
      </c>
      <c r="J371" t="n">
        <v>0</v>
      </c>
      <c r="K371" t="n">
        <v>0</v>
      </c>
      <c r="L371" t="n">
        <v>0</v>
      </c>
      <c r="M371" t="n">
        <v>0</v>
      </c>
      <c r="N371" t="n">
        <v>0</v>
      </c>
      <c r="O371" t="n">
        <v>0</v>
      </c>
      <c r="P371" t="n">
        <v>0</v>
      </c>
      <c r="Q371" t="n">
        <v>0</v>
      </c>
      <c r="R371" s="2" t="inlineStr"/>
    </row>
    <row r="372" ht="15" customHeight="1">
      <c r="A372" t="inlineStr">
        <is>
          <t>A 40294-2025</t>
        </is>
      </c>
      <c r="B372" s="1" t="n">
        <v>45895.38778935185</v>
      </c>
      <c r="C372" s="1" t="n">
        <v>46108</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21726-2022</t>
        </is>
      </c>
      <c r="B373" s="1" t="n">
        <v>44708</v>
      </c>
      <c r="C373" s="1" t="n">
        <v>46108</v>
      </c>
      <c r="D373" t="inlineStr">
        <is>
          <t>STOCKHOLMS LÄN</t>
        </is>
      </c>
      <c r="E373" t="inlineStr">
        <is>
          <t>NORRTÄLJE</t>
        </is>
      </c>
      <c r="G373" t="n">
        <v>0.2</v>
      </c>
      <c r="H373" t="n">
        <v>0</v>
      </c>
      <c r="I373" t="n">
        <v>0</v>
      </c>
      <c r="J373" t="n">
        <v>0</v>
      </c>
      <c r="K373" t="n">
        <v>0</v>
      </c>
      <c r="L373" t="n">
        <v>0</v>
      </c>
      <c r="M373" t="n">
        <v>0</v>
      </c>
      <c r="N373" t="n">
        <v>0</v>
      </c>
      <c r="O373" t="n">
        <v>0</v>
      </c>
      <c r="P373" t="n">
        <v>0</v>
      </c>
      <c r="Q373" t="n">
        <v>0</v>
      </c>
      <c r="R373" s="2" t="inlineStr"/>
    </row>
    <row r="374" ht="15" customHeight="1">
      <c r="A374" t="inlineStr">
        <is>
          <t>A 21739-2022</t>
        </is>
      </c>
      <c r="B374" s="1" t="n">
        <v>44708.36708333333</v>
      </c>
      <c r="C374" s="1" t="n">
        <v>46108</v>
      </c>
      <c r="D374" t="inlineStr">
        <is>
          <t>STOCKHOLMS LÄN</t>
        </is>
      </c>
      <c r="E374" t="inlineStr">
        <is>
          <t>NORRTÄLJE</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40228-2025</t>
        </is>
      </c>
      <c r="B375" s="1" t="n">
        <v>45894.70854166667</v>
      </c>
      <c r="C375" s="1" t="n">
        <v>46108</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35210-2023</t>
        </is>
      </c>
      <c r="B376" s="1" t="n">
        <v>45145.63584490741</v>
      </c>
      <c r="C376" s="1" t="n">
        <v>46108</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951-2023</t>
        </is>
      </c>
      <c r="B377" s="1" t="n">
        <v>44934</v>
      </c>
      <c r="C377" s="1" t="n">
        <v>46108</v>
      </c>
      <c r="D377" t="inlineStr">
        <is>
          <t>STOCKHOLMS LÄN</t>
        </is>
      </c>
      <c r="E377" t="inlineStr">
        <is>
          <t>NORRTÄLJE</t>
        </is>
      </c>
      <c r="G377" t="n">
        <v>3.7</v>
      </c>
      <c r="H377" t="n">
        <v>0</v>
      </c>
      <c r="I377" t="n">
        <v>0</v>
      </c>
      <c r="J377" t="n">
        <v>0</v>
      </c>
      <c r="K377" t="n">
        <v>0</v>
      </c>
      <c r="L377" t="n">
        <v>0</v>
      </c>
      <c r="M377" t="n">
        <v>0</v>
      </c>
      <c r="N377" t="n">
        <v>0</v>
      </c>
      <c r="O377" t="n">
        <v>0</v>
      </c>
      <c r="P377" t="n">
        <v>0</v>
      </c>
      <c r="Q377" t="n">
        <v>0</v>
      </c>
      <c r="R377" s="2" t="inlineStr"/>
    </row>
    <row r="378" ht="15" customHeight="1">
      <c r="A378" t="inlineStr">
        <is>
          <t>A 59767-2022</t>
        </is>
      </c>
      <c r="B378" s="1" t="n">
        <v>44900</v>
      </c>
      <c r="C378" s="1" t="n">
        <v>46108</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40230-2025</t>
        </is>
      </c>
      <c r="B379" s="1" t="n">
        <v>45894.71101851852</v>
      </c>
      <c r="C379" s="1" t="n">
        <v>46108</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5823-2023</t>
        </is>
      </c>
      <c r="B380" s="1" t="n">
        <v>44963</v>
      </c>
      <c r="C380" s="1" t="n">
        <v>46108</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19915-2024</t>
        </is>
      </c>
      <c r="B381" s="1" t="n">
        <v>45433.58431712963</v>
      </c>
      <c r="C381" s="1" t="n">
        <v>46108</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15217-2023</t>
        </is>
      </c>
      <c r="B382" s="1" t="n">
        <v>45019.28847222222</v>
      </c>
      <c r="C382" s="1" t="n">
        <v>46108</v>
      </c>
      <c r="D382" t="inlineStr">
        <is>
          <t>STOCKHOLMS LÄN</t>
        </is>
      </c>
      <c r="E382" t="inlineStr">
        <is>
          <t>NORRTÄLJE</t>
        </is>
      </c>
      <c r="G382" t="n">
        <v>3.6</v>
      </c>
      <c r="H382" t="n">
        <v>0</v>
      </c>
      <c r="I382" t="n">
        <v>0</v>
      </c>
      <c r="J382" t="n">
        <v>0</v>
      </c>
      <c r="K382" t="n">
        <v>0</v>
      </c>
      <c r="L382" t="n">
        <v>0</v>
      </c>
      <c r="M382" t="n">
        <v>0</v>
      </c>
      <c r="N382" t="n">
        <v>0</v>
      </c>
      <c r="O382" t="n">
        <v>0</v>
      </c>
      <c r="P382" t="n">
        <v>0</v>
      </c>
      <c r="Q382" t="n">
        <v>0</v>
      </c>
      <c r="R382" s="2" t="inlineStr"/>
    </row>
    <row r="383" ht="15" customHeight="1">
      <c r="A383" t="inlineStr">
        <is>
          <t>A 40217-2025</t>
        </is>
      </c>
      <c r="B383" s="1" t="n">
        <v>45894.68864583333</v>
      </c>
      <c r="C383" s="1" t="n">
        <v>46108</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40097-2025</t>
        </is>
      </c>
      <c r="B384" s="1" t="n">
        <v>45894.48322916667</v>
      </c>
      <c r="C384" s="1" t="n">
        <v>46108</v>
      </c>
      <c r="D384" t="inlineStr">
        <is>
          <t>STOCKHOLMS LÄN</t>
        </is>
      </c>
      <c r="E384" t="inlineStr">
        <is>
          <t>NORRTÄLJE</t>
        </is>
      </c>
      <c r="G384" t="n">
        <v>3</v>
      </c>
      <c r="H384" t="n">
        <v>0</v>
      </c>
      <c r="I384" t="n">
        <v>0</v>
      </c>
      <c r="J384" t="n">
        <v>0</v>
      </c>
      <c r="K384" t="n">
        <v>0</v>
      </c>
      <c r="L384" t="n">
        <v>0</v>
      </c>
      <c r="M384" t="n">
        <v>0</v>
      </c>
      <c r="N384" t="n">
        <v>0</v>
      </c>
      <c r="O384" t="n">
        <v>0</v>
      </c>
      <c r="P384" t="n">
        <v>0</v>
      </c>
      <c r="Q384" t="n">
        <v>0</v>
      </c>
      <c r="R384" s="2" t="inlineStr"/>
    </row>
    <row r="385" ht="15" customHeight="1">
      <c r="A385" t="inlineStr">
        <is>
          <t>A 50143-2023</t>
        </is>
      </c>
      <c r="B385" s="1" t="n">
        <v>45215</v>
      </c>
      <c r="C385" s="1" t="n">
        <v>46108</v>
      </c>
      <c r="D385" t="inlineStr">
        <is>
          <t>STOCKHOLMS LÄN</t>
        </is>
      </c>
      <c r="E385" t="inlineStr">
        <is>
          <t>NORRTÄLJE</t>
        </is>
      </c>
      <c r="G385" t="n">
        <v>10.3</v>
      </c>
      <c r="H385" t="n">
        <v>0</v>
      </c>
      <c r="I385" t="n">
        <v>0</v>
      </c>
      <c r="J385" t="n">
        <v>0</v>
      </c>
      <c r="K385" t="n">
        <v>0</v>
      </c>
      <c r="L385" t="n">
        <v>0</v>
      </c>
      <c r="M385" t="n">
        <v>0</v>
      </c>
      <c r="N385" t="n">
        <v>0</v>
      </c>
      <c r="O385" t="n">
        <v>0</v>
      </c>
      <c r="P385" t="n">
        <v>0</v>
      </c>
      <c r="Q385" t="n">
        <v>0</v>
      </c>
      <c r="R385" s="2" t="inlineStr"/>
    </row>
    <row r="386" ht="15" customHeight="1">
      <c r="A386" t="inlineStr">
        <is>
          <t>A 40829-2025</t>
        </is>
      </c>
      <c r="B386" s="1" t="n">
        <v>45897.50802083333</v>
      </c>
      <c r="C386" s="1" t="n">
        <v>46108</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29972-2024</t>
        </is>
      </c>
      <c r="B387" s="1" t="n">
        <v>45485</v>
      </c>
      <c r="C387" s="1" t="n">
        <v>46108</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40837-2025</t>
        </is>
      </c>
      <c r="B388" s="1" t="n">
        <v>45897.51328703704</v>
      </c>
      <c r="C388" s="1" t="n">
        <v>46108</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29176-2024</t>
        </is>
      </c>
      <c r="B389" s="1" t="n">
        <v>45482.53388888889</v>
      </c>
      <c r="C389" s="1" t="n">
        <v>46108</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48716-2023</t>
        </is>
      </c>
      <c r="B390" s="1" t="n">
        <v>45208.69671296296</v>
      </c>
      <c r="C390" s="1" t="n">
        <v>46108</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40529-2025</t>
        </is>
      </c>
      <c r="B391" s="1" t="n">
        <v>45896.38466435186</v>
      </c>
      <c r="C391" s="1" t="n">
        <v>46108</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40831-2025</t>
        </is>
      </c>
      <c r="B392" s="1" t="n">
        <v>45897.51077546296</v>
      </c>
      <c r="C392" s="1" t="n">
        <v>46108</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36430-2024</t>
        </is>
      </c>
      <c r="B393" s="1" t="n">
        <v>45536</v>
      </c>
      <c r="C393" s="1" t="n">
        <v>46108</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5027-2025</t>
        </is>
      </c>
      <c r="B394" s="1" t="n">
        <v>45691.41101851852</v>
      </c>
      <c r="C394" s="1" t="n">
        <v>46108</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51312-2023</t>
        </is>
      </c>
      <c r="B395" s="1" t="n">
        <v>45219.56697916667</v>
      </c>
      <c r="C395" s="1" t="n">
        <v>46108</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35640-2024</t>
        </is>
      </c>
      <c r="B396" s="1" t="n">
        <v>45531</v>
      </c>
      <c r="C396" s="1" t="n">
        <v>46108</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64137-2021</t>
        </is>
      </c>
      <c r="B397" s="1" t="n">
        <v>44510.51422453704</v>
      </c>
      <c r="C397" s="1" t="n">
        <v>46108</v>
      </c>
      <c r="D397" t="inlineStr">
        <is>
          <t>STOCKHOLMS LÄN</t>
        </is>
      </c>
      <c r="E397" t="inlineStr">
        <is>
          <t>NORRTÄLJE</t>
        </is>
      </c>
      <c r="F397" t="inlineStr">
        <is>
          <t>Holmen skog AB</t>
        </is>
      </c>
      <c r="G397" t="n">
        <v>1.5</v>
      </c>
      <c r="H397" t="n">
        <v>0</v>
      </c>
      <c r="I397" t="n">
        <v>0</v>
      </c>
      <c r="J397" t="n">
        <v>0</v>
      </c>
      <c r="K397" t="n">
        <v>0</v>
      </c>
      <c r="L397" t="n">
        <v>0</v>
      </c>
      <c r="M397" t="n">
        <v>0</v>
      </c>
      <c r="N397" t="n">
        <v>0</v>
      </c>
      <c r="O397" t="n">
        <v>0</v>
      </c>
      <c r="P397" t="n">
        <v>0</v>
      </c>
      <c r="Q397" t="n">
        <v>0</v>
      </c>
      <c r="R397" s="2" t="inlineStr"/>
    </row>
    <row r="398" ht="15" customHeight="1">
      <c r="A398" t="inlineStr">
        <is>
          <t>A 43212-2022</t>
        </is>
      </c>
      <c r="B398" s="1" t="n">
        <v>44834.38636574074</v>
      </c>
      <c r="C398" s="1" t="n">
        <v>46108</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51653-2022</t>
        </is>
      </c>
      <c r="B399" s="1" t="n">
        <v>44867</v>
      </c>
      <c r="C399" s="1" t="n">
        <v>46108</v>
      </c>
      <c r="D399" t="inlineStr">
        <is>
          <t>STOCKHOLMS LÄN</t>
        </is>
      </c>
      <c r="E399" t="inlineStr">
        <is>
          <t>NORRTÄLJE</t>
        </is>
      </c>
      <c r="G399" t="n">
        <v>6.6</v>
      </c>
      <c r="H399" t="n">
        <v>0</v>
      </c>
      <c r="I399" t="n">
        <v>0</v>
      </c>
      <c r="J399" t="n">
        <v>0</v>
      </c>
      <c r="K399" t="n">
        <v>0</v>
      </c>
      <c r="L399" t="n">
        <v>0</v>
      </c>
      <c r="M399" t="n">
        <v>0</v>
      </c>
      <c r="N399" t="n">
        <v>0</v>
      </c>
      <c r="O399" t="n">
        <v>0</v>
      </c>
      <c r="P399" t="n">
        <v>0</v>
      </c>
      <c r="Q399" t="n">
        <v>0</v>
      </c>
      <c r="R399" s="2" t="inlineStr"/>
    </row>
    <row r="400" ht="15" customHeight="1">
      <c r="A400" t="inlineStr">
        <is>
          <t>A 41158-2025</t>
        </is>
      </c>
      <c r="B400" s="1" t="n">
        <v>45898.5315625</v>
      </c>
      <c r="C400" s="1" t="n">
        <v>46108</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15733-2025</t>
        </is>
      </c>
      <c r="B401" s="1" t="n">
        <v>45748</v>
      </c>
      <c r="C401" s="1" t="n">
        <v>46108</v>
      </c>
      <c r="D401" t="inlineStr">
        <is>
          <t>STOCKHOLMS LÄN</t>
        </is>
      </c>
      <c r="E401" t="inlineStr">
        <is>
          <t>NORRTÄLJE</t>
        </is>
      </c>
      <c r="G401" t="n">
        <v>13.3</v>
      </c>
      <c r="H401" t="n">
        <v>0</v>
      </c>
      <c r="I401" t="n">
        <v>0</v>
      </c>
      <c r="J401" t="n">
        <v>0</v>
      </c>
      <c r="K401" t="n">
        <v>0</v>
      </c>
      <c r="L401" t="n">
        <v>0</v>
      </c>
      <c r="M401" t="n">
        <v>0</v>
      </c>
      <c r="N401" t="n">
        <v>0</v>
      </c>
      <c r="O401" t="n">
        <v>0</v>
      </c>
      <c r="P401" t="n">
        <v>0</v>
      </c>
      <c r="Q401" t="n">
        <v>0</v>
      </c>
      <c r="R401" s="2" t="inlineStr"/>
    </row>
    <row r="402" ht="15" customHeight="1">
      <c r="A402" t="inlineStr">
        <is>
          <t>A 4322-2023</t>
        </is>
      </c>
      <c r="B402" s="1" t="n">
        <v>44953.69298611111</v>
      </c>
      <c r="C402" s="1" t="n">
        <v>46108</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19058-2024</t>
        </is>
      </c>
      <c r="B403" s="1" t="n">
        <v>45427.89121527778</v>
      </c>
      <c r="C403" s="1" t="n">
        <v>46108</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41053-2025</t>
        </is>
      </c>
      <c r="B404" s="1" t="n">
        <v>45898.40480324074</v>
      </c>
      <c r="C404" s="1" t="n">
        <v>46108</v>
      </c>
      <c r="D404" t="inlineStr">
        <is>
          <t>STOCKHOLMS LÄN</t>
        </is>
      </c>
      <c r="E404" t="inlineStr">
        <is>
          <t>NORRTÄLJE</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41275-2025</t>
        </is>
      </c>
      <c r="B405" s="1" t="n">
        <v>45898.62625</v>
      </c>
      <c r="C405" s="1" t="n">
        <v>46108</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41272-2025</t>
        </is>
      </c>
      <c r="B406" s="1" t="n">
        <v>45898.62373842593</v>
      </c>
      <c r="C406" s="1" t="n">
        <v>46108</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41301-2025</t>
        </is>
      </c>
      <c r="B407" s="1" t="n">
        <v>45898.68826388889</v>
      </c>
      <c r="C407" s="1" t="n">
        <v>46108</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38990-2022</t>
        </is>
      </c>
      <c r="B408" s="1" t="n">
        <v>44816</v>
      </c>
      <c r="C408" s="1" t="n">
        <v>46108</v>
      </c>
      <c r="D408" t="inlineStr">
        <is>
          <t>STOCKHOLMS LÄN</t>
        </is>
      </c>
      <c r="E408" t="inlineStr">
        <is>
          <t>NORRTÄLJE</t>
        </is>
      </c>
      <c r="G408" t="n">
        <v>5.7</v>
      </c>
      <c r="H408" t="n">
        <v>0</v>
      </c>
      <c r="I408" t="n">
        <v>0</v>
      </c>
      <c r="J408" t="n">
        <v>0</v>
      </c>
      <c r="K408" t="n">
        <v>0</v>
      </c>
      <c r="L408" t="n">
        <v>0</v>
      </c>
      <c r="M408" t="n">
        <v>0</v>
      </c>
      <c r="N408" t="n">
        <v>0</v>
      </c>
      <c r="O408" t="n">
        <v>0</v>
      </c>
      <c r="P408" t="n">
        <v>0</v>
      </c>
      <c r="Q408" t="n">
        <v>0</v>
      </c>
      <c r="R408" s="2" t="inlineStr"/>
    </row>
    <row r="409" ht="15" customHeight="1">
      <c r="A409" t="inlineStr">
        <is>
          <t>A 41174-2025</t>
        </is>
      </c>
      <c r="B409" s="1" t="n">
        <v>45898.54921296296</v>
      </c>
      <c r="C409" s="1" t="n">
        <v>46108</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41030-2025</t>
        </is>
      </c>
      <c r="B410" s="1" t="n">
        <v>45898.37636574074</v>
      </c>
      <c r="C410" s="1" t="n">
        <v>46108</v>
      </c>
      <c r="D410" t="inlineStr">
        <is>
          <t>STOCKHOLMS LÄN</t>
        </is>
      </c>
      <c r="E410" t="inlineStr">
        <is>
          <t>NORRTÄLJE</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17956-2025</t>
        </is>
      </c>
      <c r="B411" s="1" t="n">
        <v>45760.91174768518</v>
      </c>
      <c r="C411" s="1" t="n">
        <v>46108</v>
      </c>
      <c r="D411" t="inlineStr">
        <is>
          <t>STOCKHOLMS LÄN</t>
        </is>
      </c>
      <c r="E411" t="inlineStr">
        <is>
          <t>NORRTÄLJE</t>
        </is>
      </c>
      <c r="G411" t="n">
        <v>4.3</v>
      </c>
      <c r="H411" t="n">
        <v>0</v>
      </c>
      <c r="I411" t="n">
        <v>0</v>
      </c>
      <c r="J411" t="n">
        <v>0</v>
      </c>
      <c r="K411" t="n">
        <v>0</v>
      </c>
      <c r="L411" t="n">
        <v>0</v>
      </c>
      <c r="M411" t="n">
        <v>0</v>
      </c>
      <c r="N411" t="n">
        <v>0</v>
      </c>
      <c r="O411" t="n">
        <v>0</v>
      </c>
      <c r="P411" t="n">
        <v>0</v>
      </c>
      <c r="Q411" t="n">
        <v>0</v>
      </c>
      <c r="R411" s="2" t="inlineStr"/>
    </row>
    <row r="412" ht="15" customHeight="1">
      <c r="A412" t="inlineStr">
        <is>
          <t>A 875-2023</t>
        </is>
      </c>
      <c r="B412" s="1" t="n">
        <v>44931.65626157408</v>
      </c>
      <c r="C412" s="1" t="n">
        <v>46108</v>
      </c>
      <c r="D412" t="inlineStr">
        <is>
          <t>STOCKHOLMS LÄN</t>
        </is>
      </c>
      <c r="E412" t="inlineStr">
        <is>
          <t>NORRTÄLJE</t>
        </is>
      </c>
      <c r="G412" t="n">
        <v>2.2</v>
      </c>
      <c r="H412" t="n">
        <v>0</v>
      </c>
      <c r="I412" t="n">
        <v>0</v>
      </c>
      <c r="J412" t="n">
        <v>0</v>
      </c>
      <c r="K412" t="n">
        <v>0</v>
      </c>
      <c r="L412" t="n">
        <v>0</v>
      </c>
      <c r="M412" t="n">
        <v>0</v>
      </c>
      <c r="N412" t="n">
        <v>0</v>
      </c>
      <c r="O412" t="n">
        <v>0</v>
      </c>
      <c r="P412" t="n">
        <v>0</v>
      </c>
      <c r="Q412" t="n">
        <v>0</v>
      </c>
      <c r="R412" s="2" t="inlineStr"/>
    </row>
    <row r="413" ht="15" customHeight="1">
      <c r="A413" t="inlineStr">
        <is>
          <t>A 5423-2023</t>
        </is>
      </c>
      <c r="B413" s="1" t="n">
        <v>44959.74533564815</v>
      </c>
      <c r="C413" s="1" t="n">
        <v>46108</v>
      </c>
      <c r="D413" t="inlineStr">
        <is>
          <t>STOCKHOLMS LÄN</t>
        </is>
      </c>
      <c r="E413" t="inlineStr">
        <is>
          <t>NORRTÄLJE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31236-2022</t>
        </is>
      </c>
      <c r="B414" s="1" t="n">
        <v>44771</v>
      </c>
      <c r="C414" s="1" t="n">
        <v>46108</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8315-2025</t>
        </is>
      </c>
      <c r="B415" s="1" t="n">
        <v>45708.61761574074</v>
      </c>
      <c r="C415" s="1" t="n">
        <v>46108</v>
      </c>
      <c r="D415" t="inlineStr">
        <is>
          <t>STOCKHOLMS LÄN</t>
        </is>
      </c>
      <c r="E415" t="inlineStr">
        <is>
          <t>NORRTÄLJE</t>
        </is>
      </c>
      <c r="G415" t="n">
        <v>3.9</v>
      </c>
      <c r="H415" t="n">
        <v>0</v>
      </c>
      <c r="I415" t="n">
        <v>0</v>
      </c>
      <c r="J415" t="n">
        <v>0</v>
      </c>
      <c r="K415" t="n">
        <v>0</v>
      </c>
      <c r="L415" t="n">
        <v>0</v>
      </c>
      <c r="M415" t="n">
        <v>0</v>
      </c>
      <c r="N415" t="n">
        <v>0</v>
      </c>
      <c r="O415" t="n">
        <v>0</v>
      </c>
      <c r="P415" t="n">
        <v>0</v>
      </c>
      <c r="Q415" t="n">
        <v>0</v>
      </c>
      <c r="R415" s="2" t="inlineStr"/>
    </row>
    <row r="416" ht="15" customHeight="1">
      <c r="A416" t="inlineStr">
        <is>
          <t>A 50182-2024</t>
        </is>
      </c>
      <c r="B416" s="1" t="n">
        <v>45600.47275462963</v>
      </c>
      <c r="C416" s="1" t="n">
        <v>46108</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41036-2025</t>
        </is>
      </c>
      <c r="B417" s="1" t="n">
        <v>45898.38552083333</v>
      </c>
      <c r="C417" s="1" t="n">
        <v>46108</v>
      </c>
      <c r="D417" t="inlineStr">
        <is>
          <t>STOCKHOLMS LÄN</t>
        </is>
      </c>
      <c r="E417" t="inlineStr">
        <is>
          <t>NORRTÄLJE</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41106-2025</t>
        </is>
      </c>
      <c r="B418" s="1" t="n">
        <v>45898.45636574074</v>
      </c>
      <c r="C418" s="1" t="n">
        <v>46108</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41110-2025</t>
        </is>
      </c>
      <c r="B419" s="1" t="n">
        <v>45898.45976851852</v>
      </c>
      <c r="C419" s="1" t="n">
        <v>46108</v>
      </c>
      <c r="D419" t="inlineStr">
        <is>
          <t>STOCKHOLMS LÄN</t>
        </is>
      </c>
      <c r="E419" t="inlineStr">
        <is>
          <t>NORRTÄLJE</t>
        </is>
      </c>
      <c r="F419" t="inlineStr">
        <is>
          <t>Holmen skog AB</t>
        </is>
      </c>
      <c r="G419" t="n">
        <v>6.7</v>
      </c>
      <c r="H419" t="n">
        <v>0</v>
      </c>
      <c r="I419" t="n">
        <v>0</v>
      </c>
      <c r="J419" t="n">
        <v>0</v>
      </c>
      <c r="K419" t="n">
        <v>0</v>
      </c>
      <c r="L419" t="n">
        <v>0</v>
      </c>
      <c r="M419" t="n">
        <v>0</v>
      </c>
      <c r="N419" t="n">
        <v>0</v>
      </c>
      <c r="O419" t="n">
        <v>0</v>
      </c>
      <c r="P419" t="n">
        <v>0</v>
      </c>
      <c r="Q419" t="n">
        <v>0</v>
      </c>
      <c r="R419" s="2" t="inlineStr"/>
    </row>
    <row r="420" ht="15" customHeight="1">
      <c r="A420" t="inlineStr">
        <is>
          <t>A 41259-2025</t>
        </is>
      </c>
      <c r="B420" s="1" t="n">
        <v>45898.61054398148</v>
      </c>
      <c r="C420" s="1" t="n">
        <v>46108</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10511-2025</t>
        </is>
      </c>
      <c r="B421" s="1" t="n">
        <v>45721.40780092592</v>
      </c>
      <c r="C421" s="1" t="n">
        <v>46108</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19057-2024</t>
        </is>
      </c>
      <c r="B422" s="1" t="n">
        <v>45427.88731481481</v>
      </c>
      <c r="C422" s="1" t="n">
        <v>46108</v>
      </c>
      <c r="D422" t="inlineStr">
        <is>
          <t>STOCKHOLMS LÄN</t>
        </is>
      </c>
      <c r="E422" t="inlineStr">
        <is>
          <t>NORRTÄLJE</t>
        </is>
      </c>
      <c r="G422" t="n">
        <v>3</v>
      </c>
      <c r="H422" t="n">
        <v>0</v>
      </c>
      <c r="I422" t="n">
        <v>0</v>
      </c>
      <c r="J422" t="n">
        <v>0</v>
      </c>
      <c r="K422" t="n">
        <v>0</v>
      </c>
      <c r="L422" t="n">
        <v>0</v>
      </c>
      <c r="M422" t="n">
        <v>0</v>
      </c>
      <c r="N422" t="n">
        <v>0</v>
      </c>
      <c r="O422" t="n">
        <v>0</v>
      </c>
      <c r="P422" t="n">
        <v>0</v>
      </c>
      <c r="Q422" t="n">
        <v>0</v>
      </c>
      <c r="R422" s="2" t="inlineStr"/>
    </row>
    <row r="423" ht="15" customHeight="1">
      <c r="A423" t="inlineStr">
        <is>
          <t>A 12268-2022</t>
        </is>
      </c>
      <c r="B423" s="1" t="n">
        <v>44637</v>
      </c>
      <c r="C423" s="1" t="n">
        <v>46108</v>
      </c>
      <c r="D423" t="inlineStr">
        <is>
          <t>STOCKHOLMS LÄN</t>
        </is>
      </c>
      <c r="E423" t="inlineStr">
        <is>
          <t>NORRTÄLJE</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12629-2024</t>
        </is>
      </c>
      <c r="B424" s="1" t="n">
        <v>45383</v>
      </c>
      <c r="C424" s="1" t="n">
        <v>46108</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18665-2022</t>
        </is>
      </c>
      <c r="B425" s="1" t="n">
        <v>44687</v>
      </c>
      <c r="C425" s="1" t="n">
        <v>46108</v>
      </c>
      <c r="D425" t="inlineStr">
        <is>
          <t>STOCKHOLMS LÄN</t>
        </is>
      </c>
      <c r="E425" t="inlineStr">
        <is>
          <t>NORRTÄLJE</t>
        </is>
      </c>
      <c r="F425" t="inlineStr">
        <is>
          <t>Kyrkan</t>
        </is>
      </c>
      <c r="G425" t="n">
        <v>1.1</v>
      </c>
      <c r="H425" t="n">
        <v>0</v>
      </c>
      <c r="I425" t="n">
        <v>0</v>
      </c>
      <c r="J425" t="n">
        <v>0</v>
      </c>
      <c r="K425" t="n">
        <v>0</v>
      </c>
      <c r="L425" t="n">
        <v>0</v>
      </c>
      <c r="M425" t="n">
        <v>0</v>
      </c>
      <c r="N425" t="n">
        <v>0</v>
      </c>
      <c r="O425" t="n">
        <v>0</v>
      </c>
      <c r="P425" t="n">
        <v>0</v>
      </c>
      <c r="Q425" t="n">
        <v>0</v>
      </c>
      <c r="R425" s="2" t="inlineStr"/>
    </row>
    <row r="426" ht="15" customHeight="1">
      <c r="A426" t="inlineStr">
        <is>
          <t>A 20015-2023</t>
        </is>
      </c>
      <c r="B426" s="1" t="n">
        <v>45054</v>
      </c>
      <c r="C426" s="1" t="n">
        <v>46108</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3273-2025</t>
        </is>
      </c>
      <c r="B427" s="1" t="n">
        <v>45679</v>
      </c>
      <c r="C427" s="1" t="n">
        <v>46108</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41966-2025</t>
        </is>
      </c>
      <c r="B428" s="1" t="n">
        <v>45903.47456018518</v>
      </c>
      <c r="C428" s="1" t="n">
        <v>46108</v>
      </c>
      <c r="D428" t="inlineStr">
        <is>
          <t>STOCKHOLMS LÄN</t>
        </is>
      </c>
      <c r="E428" t="inlineStr">
        <is>
          <t>NORRTÄLJE</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42038-2025</t>
        </is>
      </c>
      <c r="B429" s="1" t="n">
        <v>45903.61431712963</v>
      </c>
      <c r="C429" s="1" t="n">
        <v>46108</v>
      </c>
      <c r="D429" t="inlineStr">
        <is>
          <t>STOCKHOLMS LÄN</t>
        </is>
      </c>
      <c r="E429" t="inlineStr">
        <is>
          <t>NORRTÄLJE</t>
        </is>
      </c>
      <c r="F429" t="inlineStr">
        <is>
          <t>Sveaskog</t>
        </is>
      </c>
      <c r="G429" t="n">
        <v>6.4</v>
      </c>
      <c r="H429" t="n">
        <v>0</v>
      </c>
      <c r="I429" t="n">
        <v>0</v>
      </c>
      <c r="J429" t="n">
        <v>0</v>
      </c>
      <c r="K429" t="n">
        <v>0</v>
      </c>
      <c r="L429" t="n">
        <v>0</v>
      </c>
      <c r="M429" t="n">
        <v>0</v>
      </c>
      <c r="N429" t="n">
        <v>0</v>
      </c>
      <c r="O429" t="n">
        <v>0</v>
      </c>
      <c r="P429" t="n">
        <v>0</v>
      </c>
      <c r="Q429" t="n">
        <v>0</v>
      </c>
      <c r="R429" s="2" t="inlineStr"/>
    </row>
    <row r="430" ht="15" customHeight="1">
      <c r="A430" t="inlineStr">
        <is>
          <t>A 24245-2024</t>
        </is>
      </c>
      <c r="B430" s="1" t="n">
        <v>45457</v>
      </c>
      <c r="C430" s="1" t="n">
        <v>46108</v>
      </c>
      <c r="D430" t="inlineStr">
        <is>
          <t>STOCKHOLMS LÄN</t>
        </is>
      </c>
      <c r="E430" t="inlineStr">
        <is>
          <t>NORRTÄLJE</t>
        </is>
      </c>
      <c r="F430" t="inlineStr">
        <is>
          <t>Holmen skog AB</t>
        </is>
      </c>
      <c r="G430" t="n">
        <v>3.4</v>
      </c>
      <c r="H430" t="n">
        <v>0</v>
      </c>
      <c r="I430" t="n">
        <v>0</v>
      </c>
      <c r="J430" t="n">
        <v>0</v>
      </c>
      <c r="K430" t="n">
        <v>0</v>
      </c>
      <c r="L430" t="n">
        <v>0</v>
      </c>
      <c r="M430" t="n">
        <v>0</v>
      </c>
      <c r="N430" t="n">
        <v>0</v>
      </c>
      <c r="O430" t="n">
        <v>0</v>
      </c>
      <c r="P430" t="n">
        <v>0</v>
      </c>
      <c r="Q430" t="n">
        <v>0</v>
      </c>
      <c r="R430" s="2" t="inlineStr"/>
    </row>
    <row r="431" ht="15" customHeight="1">
      <c r="A431" t="inlineStr">
        <is>
          <t>A 21291-2021</t>
        </is>
      </c>
      <c r="B431" s="1" t="n">
        <v>44319</v>
      </c>
      <c r="C431" s="1" t="n">
        <v>46108</v>
      </c>
      <c r="D431" t="inlineStr">
        <is>
          <t>STOCKHOLMS LÄN</t>
        </is>
      </c>
      <c r="E431" t="inlineStr">
        <is>
          <t>NORRTÄLJE</t>
        </is>
      </c>
      <c r="G431" t="n">
        <v>12.7</v>
      </c>
      <c r="H431" t="n">
        <v>0</v>
      </c>
      <c r="I431" t="n">
        <v>0</v>
      </c>
      <c r="J431" t="n">
        <v>0</v>
      </c>
      <c r="K431" t="n">
        <v>0</v>
      </c>
      <c r="L431" t="n">
        <v>0</v>
      </c>
      <c r="M431" t="n">
        <v>0</v>
      </c>
      <c r="N431" t="n">
        <v>0</v>
      </c>
      <c r="O431" t="n">
        <v>0</v>
      </c>
      <c r="P431" t="n">
        <v>0</v>
      </c>
      <c r="Q431" t="n">
        <v>0</v>
      </c>
      <c r="R431" s="2" t="inlineStr"/>
    </row>
    <row r="432" ht="15" customHeight="1">
      <c r="A432" t="inlineStr">
        <is>
          <t>A 15256-2023</t>
        </is>
      </c>
      <c r="B432" s="1" t="n">
        <v>45019.3959837963</v>
      </c>
      <c r="C432" s="1" t="n">
        <v>46108</v>
      </c>
      <c r="D432" t="inlineStr">
        <is>
          <t>STOCKHOLMS LÄN</t>
        </is>
      </c>
      <c r="E432" t="inlineStr">
        <is>
          <t>NORRTÄLJE</t>
        </is>
      </c>
      <c r="G432" t="n">
        <v>2.4</v>
      </c>
      <c r="H432" t="n">
        <v>0</v>
      </c>
      <c r="I432" t="n">
        <v>0</v>
      </c>
      <c r="J432" t="n">
        <v>0</v>
      </c>
      <c r="K432" t="n">
        <v>0</v>
      </c>
      <c r="L432" t="n">
        <v>0</v>
      </c>
      <c r="M432" t="n">
        <v>0</v>
      </c>
      <c r="N432" t="n">
        <v>0</v>
      </c>
      <c r="O432" t="n">
        <v>0</v>
      </c>
      <c r="P432" t="n">
        <v>0</v>
      </c>
      <c r="Q432" t="n">
        <v>0</v>
      </c>
      <c r="R432" s="2" t="inlineStr"/>
    </row>
    <row r="433" ht="15" customHeight="1">
      <c r="A433" t="inlineStr">
        <is>
          <t>A 20428-2024</t>
        </is>
      </c>
      <c r="B433" s="1" t="n">
        <v>45435</v>
      </c>
      <c r="C433" s="1" t="n">
        <v>46108</v>
      </c>
      <c r="D433" t="inlineStr">
        <is>
          <t>STOCKHOLMS LÄN</t>
        </is>
      </c>
      <c r="E433" t="inlineStr">
        <is>
          <t>NORRTÄLJE</t>
        </is>
      </c>
      <c r="G433" t="n">
        <v>3.7</v>
      </c>
      <c r="H433" t="n">
        <v>0</v>
      </c>
      <c r="I433" t="n">
        <v>0</v>
      </c>
      <c r="J433" t="n">
        <v>0</v>
      </c>
      <c r="K433" t="n">
        <v>0</v>
      </c>
      <c r="L433" t="n">
        <v>0</v>
      </c>
      <c r="M433" t="n">
        <v>0</v>
      </c>
      <c r="N433" t="n">
        <v>0</v>
      </c>
      <c r="O433" t="n">
        <v>0</v>
      </c>
      <c r="P433" t="n">
        <v>0</v>
      </c>
      <c r="Q433" t="n">
        <v>0</v>
      </c>
      <c r="R433" s="2" t="inlineStr"/>
    </row>
    <row r="434" ht="15" customHeight="1">
      <c r="A434" t="inlineStr">
        <is>
          <t>A 58302-2022</t>
        </is>
      </c>
      <c r="B434" s="1" t="n">
        <v>44901</v>
      </c>
      <c r="C434" s="1" t="n">
        <v>46108</v>
      </c>
      <c r="D434" t="inlineStr">
        <is>
          <t>STOCKHOLMS LÄN</t>
        </is>
      </c>
      <c r="E434" t="inlineStr">
        <is>
          <t>NORRTÄLJE</t>
        </is>
      </c>
      <c r="G434" t="n">
        <v>3.9</v>
      </c>
      <c r="H434" t="n">
        <v>0</v>
      </c>
      <c r="I434" t="n">
        <v>0</v>
      </c>
      <c r="J434" t="n">
        <v>0</v>
      </c>
      <c r="K434" t="n">
        <v>0</v>
      </c>
      <c r="L434" t="n">
        <v>0</v>
      </c>
      <c r="M434" t="n">
        <v>0</v>
      </c>
      <c r="N434" t="n">
        <v>0</v>
      </c>
      <c r="O434" t="n">
        <v>0</v>
      </c>
      <c r="P434" t="n">
        <v>0</v>
      </c>
      <c r="Q434" t="n">
        <v>0</v>
      </c>
      <c r="R434" s="2" t="inlineStr"/>
    </row>
    <row r="435" ht="15" customHeight="1">
      <c r="A435" t="inlineStr">
        <is>
          <t>A 41964-2025</t>
        </is>
      </c>
      <c r="B435" s="1" t="n">
        <v>45903.47270833333</v>
      </c>
      <c r="C435" s="1" t="n">
        <v>46108</v>
      </c>
      <c r="D435" t="inlineStr">
        <is>
          <t>STOCKHOLMS LÄN</t>
        </is>
      </c>
      <c r="E435" t="inlineStr">
        <is>
          <t>NORRTÄLJE</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13172-2025</t>
        </is>
      </c>
      <c r="B436" s="1" t="n">
        <v>45735.36873842592</v>
      </c>
      <c r="C436" s="1" t="n">
        <v>46108</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38591-2023</t>
        </is>
      </c>
      <c r="B437" s="1" t="n">
        <v>45162</v>
      </c>
      <c r="C437" s="1" t="n">
        <v>46108</v>
      </c>
      <c r="D437" t="inlineStr">
        <is>
          <t>STOCKHOLMS LÄN</t>
        </is>
      </c>
      <c r="E437" t="inlineStr">
        <is>
          <t>NORRTÄLJE</t>
        </is>
      </c>
      <c r="F437" t="inlineStr">
        <is>
          <t>Övriga Aktiebolag</t>
        </is>
      </c>
      <c r="G437" t="n">
        <v>3.1</v>
      </c>
      <c r="H437" t="n">
        <v>0</v>
      </c>
      <c r="I437" t="n">
        <v>0</v>
      </c>
      <c r="J437" t="n">
        <v>0</v>
      </c>
      <c r="K437" t="n">
        <v>0</v>
      </c>
      <c r="L437" t="n">
        <v>0</v>
      </c>
      <c r="M437" t="n">
        <v>0</v>
      </c>
      <c r="N437" t="n">
        <v>0</v>
      </c>
      <c r="O437" t="n">
        <v>0</v>
      </c>
      <c r="P437" t="n">
        <v>0</v>
      </c>
      <c r="Q437" t="n">
        <v>0</v>
      </c>
      <c r="R437" s="2" t="inlineStr"/>
    </row>
    <row r="438" ht="15" customHeight="1">
      <c r="A438" t="inlineStr">
        <is>
          <t>A 30338-2022</t>
        </is>
      </c>
      <c r="B438" s="1" t="n">
        <v>44760</v>
      </c>
      <c r="C438" s="1" t="n">
        <v>46108</v>
      </c>
      <c r="D438" t="inlineStr">
        <is>
          <t>STOCKHOLMS LÄN</t>
        </is>
      </c>
      <c r="E438" t="inlineStr">
        <is>
          <t>NORRTÄLJE</t>
        </is>
      </c>
      <c r="G438" t="n">
        <v>0.3</v>
      </c>
      <c r="H438" t="n">
        <v>0</v>
      </c>
      <c r="I438" t="n">
        <v>0</v>
      </c>
      <c r="J438" t="n">
        <v>0</v>
      </c>
      <c r="K438" t="n">
        <v>0</v>
      </c>
      <c r="L438" t="n">
        <v>0</v>
      </c>
      <c r="M438" t="n">
        <v>0</v>
      </c>
      <c r="N438" t="n">
        <v>0</v>
      </c>
      <c r="O438" t="n">
        <v>0</v>
      </c>
      <c r="P438" t="n">
        <v>0</v>
      </c>
      <c r="Q438" t="n">
        <v>0</v>
      </c>
      <c r="R438" s="2" t="inlineStr"/>
    </row>
    <row r="439" ht="15" customHeight="1">
      <c r="A439" t="inlineStr">
        <is>
          <t>A 2888-2022</t>
        </is>
      </c>
      <c r="B439" s="1" t="n">
        <v>44581</v>
      </c>
      <c r="C439" s="1" t="n">
        <v>46108</v>
      </c>
      <c r="D439" t="inlineStr">
        <is>
          <t>STOCKHOLMS LÄN</t>
        </is>
      </c>
      <c r="E439" t="inlineStr">
        <is>
          <t>NORRTÄLJE</t>
        </is>
      </c>
      <c r="G439" t="n">
        <v>2.4</v>
      </c>
      <c r="H439" t="n">
        <v>0</v>
      </c>
      <c r="I439" t="n">
        <v>0</v>
      </c>
      <c r="J439" t="n">
        <v>0</v>
      </c>
      <c r="K439" t="n">
        <v>0</v>
      </c>
      <c r="L439" t="n">
        <v>0</v>
      </c>
      <c r="M439" t="n">
        <v>0</v>
      </c>
      <c r="N439" t="n">
        <v>0</v>
      </c>
      <c r="O439" t="n">
        <v>0</v>
      </c>
      <c r="P439" t="n">
        <v>0</v>
      </c>
      <c r="Q439" t="n">
        <v>0</v>
      </c>
      <c r="R439" s="2" t="inlineStr"/>
    </row>
    <row r="440" ht="15" customHeight="1">
      <c r="A440" t="inlineStr">
        <is>
          <t>A 52686-2024</t>
        </is>
      </c>
      <c r="B440" s="1" t="n">
        <v>45610.39271990741</v>
      </c>
      <c r="C440" s="1" t="n">
        <v>46108</v>
      </c>
      <c r="D440" t="inlineStr">
        <is>
          <t>STOCKHOLMS LÄN</t>
        </is>
      </c>
      <c r="E440" t="inlineStr">
        <is>
          <t>NORRTÄLJE</t>
        </is>
      </c>
      <c r="G440" t="n">
        <v>5.7</v>
      </c>
      <c r="H440" t="n">
        <v>0</v>
      </c>
      <c r="I440" t="n">
        <v>0</v>
      </c>
      <c r="J440" t="n">
        <v>0</v>
      </c>
      <c r="K440" t="n">
        <v>0</v>
      </c>
      <c r="L440" t="n">
        <v>0</v>
      </c>
      <c r="M440" t="n">
        <v>0</v>
      </c>
      <c r="N440" t="n">
        <v>0</v>
      </c>
      <c r="O440" t="n">
        <v>0</v>
      </c>
      <c r="P440" t="n">
        <v>0</v>
      </c>
      <c r="Q440" t="n">
        <v>0</v>
      </c>
      <c r="R440" s="2" t="inlineStr"/>
    </row>
    <row r="441" ht="15" customHeight="1">
      <c r="A441" t="inlineStr">
        <is>
          <t>A 20343-2024</t>
        </is>
      </c>
      <c r="B441" s="1" t="n">
        <v>45435.43466435185</v>
      </c>
      <c r="C441" s="1" t="n">
        <v>46108</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20345-2024</t>
        </is>
      </c>
      <c r="B442" s="1" t="n">
        <v>45435.43820601852</v>
      </c>
      <c r="C442" s="1" t="n">
        <v>46108</v>
      </c>
      <c r="D442" t="inlineStr">
        <is>
          <t>STOCKHOLMS LÄN</t>
        </is>
      </c>
      <c r="E442" t="inlineStr">
        <is>
          <t>NORRTÄLJE</t>
        </is>
      </c>
      <c r="G442" t="n">
        <v>3.8</v>
      </c>
      <c r="H442" t="n">
        <v>0</v>
      </c>
      <c r="I442" t="n">
        <v>0</v>
      </c>
      <c r="J442" t="n">
        <v>0</v>
      </c>
      <c r="K442" t="n">
        <v>0</v>
      </c>
      <c r="L442" t="n">
        <v>0</v>
      </c>
      <c r="M442" t="n">
        <v>0</v>
      </c>
      <c r="N442" t="n">
        <v>0</v>
      </c>
      <c r="O442" t="n">
        <v>0</v>
      </c>
      <c r="P442" t="n">
        <v>0</v>
      </c>
      <c r="Q442" t="n">
        <v>0</v>
      </c>
      <c r="R442" s="2" t="inlineStr"/>
    </row>
    <row r="443" ht="15" customHeight="1">
      <c r="A443" t="inlineStr">
        <is>
          <t>A 9765-2024</t>
        </is>
      </c>
      <c r="B443" s="1" t="n">
        <v>45362.62811342593</v>
      </c>
      <c r="C443" s="1" t="n">
        <v>46108</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30699-2025</t>
        </is>
      </c>
      <c r="B444" s="1" t="n">
        <v>45831.54618055555</v>
      </c>
      <c r="C444" s="1" t="n">
        <v>46108</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35708-2022</t>
        </is>
      </c>
      <c r="B445" s="1" t="n">
        <v>44799.65013888889</v>
      </c>
      <c r="C445" s="1" t="n">
        <v>46108</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59875-2024</t>
        </is>
      </c>
      <c r="B446" s="1" t="n">
        <v>45640.58716435185</v>
      </c>
      <c r="C446" s="1" t="n">
        <v>46108</v>
      </c>
      <c r="D446" t="inlineStr">
        <is>
          <t>STOCKHOLMS LÄN</t>
        </is>
      </c>
      <c r="E446" t="inlineStr">
        <is>
          <t>NORRTÄLJE</t>
        </is>
      </c>
      <c r="G446" t="n">
        <v>0.3</v>
      </c>
      <c r="H446" t="n">
        <v>0</v>
      </c>
      <c r="I446" t="n">
        <v>0</v>
      </c>
      <c r="J446" t="n">
        <v>0</v>
      </c>
      <c r="K446" t="n">
        <v>0</v>
      </c>
      <c r="L446" t="n">
        <v>0</v>
      </c>
      <c r="M446" t="n">
        <v>0</v>
      </c>
      <c r="N446" t="n">
        <v>0</v>
      </c>
      <c r="O446" t="n">
        <v>0</v>
      </c>
      <c r="P446" t="n">
        <v>0</v>
      </c>
      <c r="Q446" t="n">
        <v>0</v>
      </c>
      <c r="R446" s="2" t="inlineStr"/>
    </row>
    <row r="447" ht="15" customHeight="1">
      <c r="A447" t="inlineStr">
        <is>
          <t>A 64145-2021</t>
        </is>
      </c>
      <c r="B447" s="1" t="n">
        <v>44510</v>
      </c>
      <c r="C447" s="1" t="n">
        <v>46108</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1740-2023</t>
        </is>
      </c>
      <c r="B448" s="1" t="n">
        <v>44938</v>
      </c>
      <c r="C448" s="1" t="n">
        <v>46108</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4596-2023</t>
        </is>
      </c>
      <c r="B449" s="1" t="n">
        <v>44956</v>
      </c>
      <c r="C449" s="1" t="n">
        <v>46108</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11-2024</t>
        </is>
      </c>
      <c r="B450" s="1" t="n">
        <v>45293</v>
      </c>
      <c r="C450" s="1" t="n">
        <v>46108</v>
      </c>
      <c r="D450" t="inlineStr">
        <is>
          <t>STOCKHOLMS LÄN</t>
        </is>
      </c>
      <c r="E450" t="inlineStr">
        <is>
          <t>NORRTÄLJE</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14559-2024</t>
        </is>
      </c>
      <c r="B451" s="1" t="n">
        <v>45394.72869212963</v>
      </c>
      <c r="C451" s="1" t="n">
        <v>46108</v>
      </c>
      <c r="D451" t="inlineStr">
        <is>
          <t>STOCKHOLMS LÄN</t>
        </is>
      </c>
      <c r="E451" t="inlineStr">
        <is>
          <t>NORRTÄLJE</t>
        </is>
      </c>
      <c r="G451" t="n">
        <v>4.2</v>
      </c>
      <c r="H451" t="n">
        <v>0</v>
      </c>
      <c r="I451" t="n">
        <v>0</v>
      </c>
      <c r="J451" t="n">
        <v>0</v>
      </c>
      <c r="K451" t="n">
        <v>0</v>
      </c>
      <c r="L451" t="n">
        <v>0</v>
      </c>
      <c r="M451" t="n">
        <v>0</v>
      </c>
      <c r="N451" t="n">
        <v>0</v>
      </c>
      <c r="O451" t="n">
        <v>0</v>
      </c>
      <c r="P451" t="n">
        <v>0</v>
      </c>
      <c r="Q451" t="n">
        <v>0</v>
      </c>
      <c r="R451" s="2" t="inlineStr"/>
    </row>
    <row r="452" ht="15" customHeight="1">
      <c r="A452" t="inlineStr">
        <is>
          <t>A 8433-2022</t>
        </is>
      </c>
      <c r="B452" s="1" t="n">
        <v>44611</v>
      </c>
      <c r="C452" s="1" t="n">
        <v>46108</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20011-2025</t>
        </is>
      </c>
      <c r="B453" s="1" t="n">
        <v>45772.29622685185</v>
      </c>
      <c r="C453" s="1" t="n">
        <v>46108</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10676-2025</t>
        </is>
      </c>
      <c r="B454" s="1" t="n">
        <v>45721.88684027778</v>
      </c>
      <c r="C454" s="1" t="n">
        <v>46108</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25525-2022</t>
        </is>
      </c>
      <c r="B455" s="1" t="n">
        <v>44732</v>
      </c>
      <c r="C455" s="1" t="n">
        <v>46108</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12302-2025</t>
        </is>
      </c>
      <c r="B456" s="1" t="n">
        <v>45729.72851851852</v>
      </c>
      <c r="C456" s="1" t="n">
        <v>46108</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20852-2023</t>
        </is>
      </c>
      <c r="B457" s="1" t="n">
        <v>45058.78607638889</v>
      </c>
      <c r="C457" s="1" t="n">
        <v>46108</v>
      </c>
      <c r="D457" t="inlineStr">
        <is>
          <t>STOCKHOLMS LÄN</t>
        </is>
      </c>
      <c r="E457" t="inlineStr">
        <is>
          <t>NORRTÄLJE</t>
        </is>
      </c>
      <c r="G457" t="n">
        <v>3.5</v>
      </c>
      <c r="H457" t="n">
        <v>0</v>
      </c>
      <c r="I457" t="n">
        <v>0</v>
      </c>
      <c r="J457" t="n">
        <v>0</v>
      </c>
      <c r="K457" t="n">
        <v>0</v>
      </c>
      <c r="L457" t="n">
        <v>0</v>
      </c>
      <c r="M457" t="n">
        <v>0</v>
      </c>
      <c r="N457" t="n">
        <v>0</v>
      </c>
      <c r="O457" t="n">
        <v>0</v>
      </c>
      <c r="P457" t="n">
        <v>0</v>
      </c>
      <c r="Q457" t="n">
        <v>0</v>
      </c>
      <c r="R457" s="2" t="inlineStr"/>
    </row>
    <row r="458" ht="15" customHeight="1">
      <c r="A458" t="inlineStr">
        <is>
          <t>A 42856-2025</t>
        </is>
      </c>
      <c r="B458" s="1" t="n">
        <v>45908</v>
      </c>
      <c r="C458" s="1" t="n">
        <v>46108</v>
      </c>
      <c r="D458" t="inlineStr">
        <is>
          <t>STOCKHOLMS LÄN</t>
        </is>
      </c>
      <c r="E458" t="inlineStr">
        <is>
          <t>NORRTÄLJE</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38889-2024</t>
        </is>
      </c>
      <c r="B459" s="1" t="n">
        <v>45547</v>
      </c>
      <c r="C459" s="1" t="n">
        <v>46108</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45451-2024</t>
        </is>
      </c>
      <c r="B460" s="1" t="n">
        <v>45576</v>
      </c>
      <c r="C460" s="1" t="n">
        <v>46108</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22456-2023</t>
        </is>
      </c>
      <c r="B461" s="1" t="n">
        <v>45070</v>
      </c>
      <c r="C461" s="1" t="n">
        <v>46108</v>
      </c>
      <c r="D461" t="inlineStr">
        <is>
          <t>STOCKHOLMS LÄN</t>
        </is>
      </c>
      <c r="E461" t="inlineStr">
        <is>
          <t>NORRTÄLJE</t>
        </is>
      </c>
      <c r="G461" t="n">
        <v>3.1</v>
      </c>
      <c r="H461" t="n">
        <v>0</v>
      </c>
      <c r="I461" t="n">
        <v>0</v>
      </c>
      <c r="J461" t="n">
        <v>0</v>
      </c>
      <c r="K461" t="n">
        <v>0</v>
      </c>
      <c r="L461" t="n">
        <v>0</v>
      </c>
      <c r="M461" t="n">
        <v>0</v>
      </c>
      <c r="N461" t="n">
        <v>0</v>
      </c>
      <c r="O461" t="n">
        <v>0</v>
      </c>
      <c r="P461" t="n">
        <v>0</v>
      </c>
      <c r="Q461" t="n">
        <v>0</v>
      </c>
      <c r="R461" s="2" t="inlineStr"/>
    </row>
    <row r="462" ht="15" customHeight="1">
      <c r="A462" t="inlineStr">
        <is>
          <t>A 17785-2024</t>
        </is>
      </c>
      <c r="B462" s="1" t="n">
        <v>45418.6968287037</v>
      </c>
      <c r="C462" s="1" t="n">
        <v>46108</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6678-2025</t>
        </is>
      </c>
      <c r="B463" s="1" t="n">
        <v>45700</v>
      </c>
      <c r="C463" s="1" t="n">
        <v>46108</v>
      </c>
      <c r="D463" t="inlineStr">
        <is>
          <t>STOCKHOLMS LÄN</t>
        </is>
      </c>
      <c r="E463" t="inlineStr">
        <is>
          <t>NORRTÄLJE</t>
        </is>
      </c>
      <c r="F463" t="inlineStr">
        <is>
          <t>Övriga Aktiebolag</t>
        </is>
      </c>
      <c r="G463" t="n">
        <v>6.6</v>
      </c>
      <c r="H463" t="n">
        <v>0</v>
      </c>
      <c r="I463" t="n">
        <v>0</v>
      </c>
      <c r="J463" t="n">
        <v>0</v>
      </c>
      <c r="K463" t="n">
        <v>0</v>
      </c>
      <c r="L463" t="n">
        <v>0</v>
      </c>
      <c r="M463" t="n">
        <v>0</v>
      </c>
      <c r="N463" t="n">
        <v>0</v>
      </c>
      <c r="O463" t="n">
        <v>0</v>
      </c>
      <c r="P463" t="n">
        <v>0</v>
      </c>
      <c r="Q463" t="n">
        <v>0</v>
      </c>
      <c r="R463" s="2" t="inlineStr"/>
    </row>
    <row r="464" ht="15" customHeight="1">
      <c r="A464" t="inlineStr">
        <is>
          <t>A 24835-2025</t>
        </is>
      </c>
      <c r="B464" s="1" t="n">
        <v>45799</v>
      </c>
      <c r="C464" s="1" t="n">
        <v>46108</v>
      </c>
      <c r="D464" t="inlineStr">
        <is>
          <t>STOCKHOLMS LÄN</t>
        </is>
      </c>
      <c r="E464" t="inlineStr">
        <is>
          <t>NORRTÄLJE</t>
        </is>
      </c>
      <c r="G464" t="n">
        <v>2.5</v>
      </c>
      <c r="H464" t="n">
        <v>0</v>
      </c>
      <c r="I464" t="n">
        <v>0</v>
      </c>
      <c r="J464" t="n">
        <v>0</v>
      </c>
      <c r="K464" t="n">
        <v>0</v>
      </c>
      <c r="L464" t="n">
        <v>0</v>
      </c>
      <c r="M464" t="n">
        <v>0</v>
      </c>
      <c r="N464" t="n">
        <v>0</v>
      </c>
      <c r="O464" t="n">
        <v>0</v>
      </c>
      <c r="P464" t="n">
        <v>0</v>
      </c>
      <c r="Q464" t="n">
        <v>0</v>
      </c>
      <c r="R464" s="2" t="inlineStr"/>
    </row>
    <row r="465" ht="15" customHeight="1">
      <c r="A465" t="inlineStr">
        <is>
          <t>A 43169-2025</t>
        </is>
      </c>
      <c r="B465" s="1" t="n">
        <v>45910</v>
      </c>
      <c r="C465" s="1" t="n">
        <v>46108</v>
      </c>
      <c r="D465" t="inlineStr">
        <is>
          <t>STOCKHOLMS LÄN</t>
        </is>
      </c>
      <c r="E465" t="inlineStr">
        <is>
          <t>NORRTÄLJE</t>
        </is>
      </c>
      <c r="G465" t="n">
        <v>6.9</v>
      </c>
      <c r="H465" t="n">
        <v>0</v>
      </c>
      <c r="I465" t="n">
        <v>0</v>
      </c>
      <c r="J465" t="n">
        <v>0</v>
      </c>
      <c r="K465" t="n">
        <v>0</v>
      </c>
      <c r="L465" t="n">
        <v>0</v>
      </c>
      <c r="M465" t="n">
        <v>0</v>
      </c>
      <c r="N465" t="n">
        <v>0</v>
      </c>
      <c r="O465" t="n">
        <v>0</v>
      </c>
      <c r="P465" t="n">
        <v>0</v>
      </c>
      <c r="Q465" t="n">
        <v>0</v>
      </c>
      <c r="R465" s="2" t="inlineStr"/>
    </row>
    <row r="466" ht="15" customHeight="1">
      <c r="A466" t="inlineStr">
        <is>
          <t>A 26644-2024</t>
        </is>
      </c>
      <c r="B466" s="1" t="n">
        <v>45469</v>
      </c>
      <c r="C466" s="1" t="n">
        <v>46108</v>
      </c>
      <c r="D466" t="inlineStr">
        <is>
          <t>STOCKHOLMS LÄN</t>
        </is>
      </c>
      <c r="E466" t="inlineStr">
        <is>
          <t>NORRTÄLJE</t>
        </is>
      </c>
      <c r="G466" t="n">
        <v>4.3</v>
      </c>
      <c r="H466" t="n">
        <v>0</v>
      </c>
      <c r="I466" t="n">
        <v>0</v>
      </c>
      <c r="J466" t="n">
        <v>0</v>
      </c>
      <c r="K466" t="n">
        <v>0</v>
      </c>
      <c r="L466" t="n">
        <v>0</v>
      </c>
      <c r="M466" t="n">
        <v>0</v>
      </c>
      <c r="N466" t="n">
        <v>0</v>
      </c>
      <c r="O466" t="n">
        <v>0</v>
      </c>
      <c r="P466" t="n">
        <v>0</v>
      </c>
      <c r="Q466" t="n">
        <v>0</v>
      </c>
      <c r="R466" s="2" t="inlineStr"/>
    </row>
    <row r="467" ht="15" customHeight="1">
      <c r="A467" t="inlineStr">
        <is>
          <t>A 45220-2024</t>
        </is>
      </c>
      <c r="B467" s="1" t="n">
        <v>45575</v>
      </c>
      <c r="C467" s="1" t="n">
        <v>46108</v>
      </c>
      <c r="D467" t="inlineStr">
        <is>
          <t>STOCKHOLMS LÄN</t>
        </is>
      </c>
      <c r="E467" t="inlineStr">
        <is>
          <t>NORRTÄLJE</t>
        </is>
      </c>
      <c r="G467" t="n">
        <v>4.3</v>
      </c>
      <c r="H467" t="n">
        <v>0</v>
      </c>
      <c r="I467" t="n">
        <v>0</v>
      </c>
      <c r="J467" t="n">
        <v>0</v>
      </c>
      <c r="K467" t="n">
        <v>0</v>
      </c>
      <c r="L467" t="n">
        <v>0</v>
      </c>
      <c r="M467" t="n">
        <v>0</v>
      </c>
      <c r="N467" t="n">
        <v>0</v>
      </c>
      <c r="O467" t="n">
        <v>0</v>
      </c>
      <c r="P467" t="n">
        <v>0</v>
      </c>
      <c r="Q467" t="n">
        <v>0</v>
      </c>
      <c r="R467" s="2" t="inlineStr"/>
    </row>
    <row r="468" ht="15" customHeight="1">
      <c r="A468" t="inlineStr">
        <is>
          <t>A 19982-2022</t>
        </is>
      </c>
      <c r="B468" s="1" t="n">
        <v>44697</v>
      </c>
      <c r="C468" s="1" t="n">
        <v>46108</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21731-2023</t>
        </is>
      </c>
      <c r="B469" s="1" t="n">
        <v>45063</v>
      </c>
      <c r="C469" s="1" t="n">
        <v>46108</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23266-2023</t>
        </is>
      </c>
      <c r="B470" s="1" t="n">
        <v>45075.90817129629</v>
      </c>
      <c r="C470" s="1" t="n">
        <v>46108</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42075-2023</t>
        </is>
      </c>
      <c r="B471" s="1" t="n">
        <v>45177</v>
      </c>
      <c r="C471" s="1" t="n">
        <v>46108</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30719-2025</t>
        </is>
      </c>
      <c r="B472" s="1" t="n">
        <v>45831</v>
      </c>
      <c r="C472" s="1" t="n">
        <v>46108</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2982-2023</t>
        </is>
      </c>
      <c r="B473" s="1" t="n">
        <v>44945.67409722223</v>
      </c>
      <c r="C473" s="1" t="n">
        <v>46108</v>
      </c>
      <c r="D473" t="inlineStr">
        <is>
          <t>STOCKHOLMS LÄN</t>
        </is>
      </c>
      <c r="E473" t="inlineStr">
        <is>
          <t>NORRTÄLJE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43269-2025</t>
        </is>
      </c>
      <c r="B474" s="1" t="n">
        <v>45910.5819212963</v>
      </c>
      <c r="C474" s="1" t="n">
        <v>46108</v>
      </c>
      <c r="D474" t="inlineStr">
        <is>
          <t>STOCKHOLMS LÄN</t>
        </is>
      </c>
      <c r="E474" t="inlineStr">
        <is>
          <t>NORRTÄLJE</t>
        </is>
      </c>
      <c r="G474" t="n">
        <v>3.7</v>
      </c>
      <c r="H474" t="n">
        <v>0</v>
      </c>
      <c r="I474" t="n">
        <v>0</v>
      </c>
      <c r="J474" t="n">
        <v>0</v>
      </c>
      <c r="K474" t="n">
        <v>0</v>
      </c>
      <c r="L474" t="n">
        <v>0</v>
      </c>
      <c r="M474" t="n">
        <v>0</v>
      </c>
      <c r="N474" t="n">
        <v>0</v>
      </c>
      <c r="O474" t="n">
        <v>0</v>
      </c>
      <c r="P474" t="n">
        <v>0</v>
      </c>
      <c r="Q474" t="n">
        <v>0</v>
      </c>
      <c r="R474" s="2" t="inlineStr"/>
    </row>
    <row r="475" ht="15" customHeight="1">
      <c r="A475" t="inlineStr">
        <is>
          <t>A 50108-2021</t>
        </is>
      </c>
      <c r="B475" s="1" t="n">
        <v>44456</v>
      </c>
      <c r="C475" s="1" t="n">
        <v>46108</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12535-2025</t>
        </is>
      </c>
      <c r="B476" s="1" t="n">
        <v>45730.69502314815</v>
      </c>
      <c r="C476" s="1" t="n">
        <v>46108</v>
      </c>
      <c r="D476" t="inlineStr">
        <is>
          <t>STOCKHOLMS LÄN</t>
        </is>
      </c>
      <c r="E476" t="inlineStr">
        <is>
          <t>NORRTÄLJE</t>
        </is>
      </c>
      <c r="G476" t="n">
        <v>7.1</v>
      </c>
      <c r="H476" t="n">
        <v>0</v>
      </c>
      <c r="I476" t="n">
        <v>0</v>
      </c>
      <c r="J476" t="n">
        <v>0</v>
      </c>
      <c r="K476" t="n">
        <v>0</v>
      </c>
      <c r="L476" t="n">
        <v>0</v>
      </c>
      <c r="M476" t="n">
        <v>0</v>
      </c>
      <c r="N476" t="n">
        <v>0</v>
      </c>
      <c r="O476" t="n">
        <v>0</v>
      </c>
      <c r="P476" t="n">
        <v>0</v>
      </c>
      <c r="Q476" t="n">
        <v>0</v>
      </c>
      <c r="R476" s="2" t="inlineStr"/>
    </row>
    <row r="477" ht="15" customHeight="1">
      <c r="A477" t="inlineStr">
        <is>
          <t>A 37136-2023</t>
        </is>
      </c>
      <c r="B477" s="1" t="n">
        <v>45155</v>
      </c>
      <c r="C477" s="1" t="n">
        <v>46108</v>
      </c>
      <c r="D477" t="inlineStr">
        <is>
          <t>STOCKHOLMS LÄN</t>
        </is>
      </c>
      <c r="E477" t="inlineStr">
        <is>
          <t>NORRTÄLJE</t>
        </is>
      </c>
      <c r="G477" t="n">
        <v>2.5</v>
      </c>
      <c r="H477" t="n">
        <v>0</v>
      </c>
      <c r="I477" t="n">
        <v>0</v>
      </c>
      <c r="J477" t="n">
        <v>0</v>
      </c>
      <c r="K477" t="n">
        <v>0</v>
      </c>
      <c r="L477" t="n">
        <v>0</v>
      </c>
      <c r="M477" t="n">
        <v>0</v>
      </c>
      <c r="N477" t="n">
        <v>0</v>
      </c>
      <c r="O477" t="n">
        <v>0</v>
      </c>
      <c r="P477" t="n">
        <v>0</v>
      </c>
      <c r="Q477" t="n">
        <v>0</v>
      </c>
      <c r="R477" s="2" t="inlineStr"/>
    </row>
    <row r="478" ht="15" customHeight="1">
      <c r="A478" t="inlineStr">
        <is>
          <t>A 18787-2022</t>
        </is>
      </c>
      <c r="B478" s="1" t="n">
        <v>44687</v>
      </c>
      <c r="C478" s="1" t="n">
        <v>46108</v>
      </c>
      <c r="D478" t="inlineStr">
        <is>
          <t>STOCKHOLMS LÄN</t>
        </is>
      </c>
      <c r="E478" t="inlineStr">
        <is>
          <t>NORRTÄLJE</t>
        </is>
      </c>
      <c r="G478" t="n">
        <v>2</v>
      </c>
      <c r="H478" t="n">
        <v>0</v>
      </c>
      <c r="I478" t="n">
        <v>0</v>
      </c>
      <c r="J478" t="n">
        <v>0</v>
      </c>
      <c r="K478" t="n">
        <v>0</v>
      </c>
      <c r="L478" t="n">
        <v>0</v>
      </c>
      <c r="M478" t="n">
        <v>0</v>
      </c>
      <c r="N478" t="n">
        <v>0</v>
      </c>
      <c r="O478" t="n">
        <v>0</v>
      </c>
      <c r="P478" t="n">
        <v>0</v>
      </c>
      <c r="Q478" t="n">
        <v>0</v>
      </c>
      <c r="R478" s="2" t="inlineStr"/>
    </row>
    <row r="479" ht="15" customHeight="1">
      <c r="A479" t="inlineStr">
        <is>
          <t>A 13718-2022</t>
        </is>
      </c>
      <c r="B479" s="1" t="n">
        <v>44649</v>
      </c>
      <c r="C479" s="1" t="n">
        <v>46108</v>
      </c>
      <c r="D479" t="inlineStr">
        <is>
          <t>STOCKHOLMS LÄN</t>
        </is>
      </c>
      <c r="E479" t="inlineStr">
        <is>
          <t>NORRTÄLJE</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25621-2022</t>
        </is>
      </c>
      <c r="B480" s="1" t="n">
        <v>44732</v>
      </c>
      <c r="C480" s="1" t="n">
        <v>46108</v>
      </c>
      <c r="D480" t="inlineStr">
        <is>
          <t>STOCKHOLMS LÄN</t>
        </is>
      </c>
      <c r="E480" t="inlineStr">
        <is>
          <t>NORRTÄLJE</t>
        </is>
      </c>
      <c r="G480" t="n">
        <v>3.1</v>
      </c>
      <c r="H480" t="n">
        <v>0</v>
      </c>
      <c r="I480" t="n">
        <v>0</v>
      </c>
      <c r="J480" t="n">
        <v>0</v>
      </c>
      <c r="K480" t="n">
        <v>0</v>
      </c>
      <c r="L480" t="n">
        <v>0</v>
      </c>
      <c r="M480" t="n">
        <v>0</v>
      </c>
      <c r="N480" t="n">
        <v>0</v>
      </c>
      <c r="O480" t="n">
        <v>0</v>
      </c>
      <c r="P480" t="n">
        <v>0</v>
      </c>
      <c r="Q480" t="n">
        <v>0</v>
      </c>
      <c r="R480" s="2" t="inlineStr"/>
    </row>
    <row r="481" ht="15" customHeight="1">
      <c r="A481" t="inlineStr">
        <is>
          <t>A 43916-2025</t>
        </is>
      </c>
      <c r="B481" s="1" t="n">
        <v>45914.78884259259</v>
      </c>
      <c r="C481" s="1" t="n">
        <v>46108</v>
      </c>
      <c r="D481" t="inlineStr">
        <is>
          <t>STOCKHOLMS LÄN</t>
        </is>
      </c>
      <c r="E481" t="inlineStr">
        <is>
          <t>NORRTÄLJE</t>
        </is>
      </c>
      <c r="G481" t="n">
        <v>1.5</v>
      </c>
      <c r="H481" t="n">
        <v>0</v>
      </c>
      <c r="I481" t="n">
        <v>0</v>
      </c>
      <c r="J481" t="n">
        <v>0</v>
      </c>
      <c r="K481" t="n">
        <v>0</v>
      </c>
      <c r="L481" t="n">
        <v>0</v>
      </c>
      <c r="M481" t="n">
        <v>0</v>
      </c>
      <c r="N481" t="n">
        <v>0</v>
      </c>
      <c r="O481" t="n">
        <v>0</v>
      </c>
      <c r="P481" t="n">
        <v>0</v>
      </c>
      <c r="Q481" t="n">
        <v>0</v>
      </c>
      <c r="R481" s="2" t="inlineStr"/>
    </row>
    <row r="482" ht="15" customHeight="1">
      <c r="A482" t="inlineStr">
        <is>
          <t>A 36269-2022</t>
        </is>
      </c>
      <c r="B482" s="1" t="n">
        <v>44803</v>
      </c>
      <c r="C482" s="1" t="n">
        <v>46108</v>
      </c>
      <c r="D482" t="inlineStr">
        <is>
          <t>STOCKHOLMS LÄN</t>
        </is>
      </c>
      <c r="E482" t="inlineStr">
        <is>
          <t>NORRTÄLJE</t>
        </is>
      </c>
      <c r="G482" t="n">
        <v>2.3</v>
      </c>
      <c r="H482" t="n">
        <v>0</v>
      </c>
      <c r="I482" t="n">
        <v>0</v>
      </c>
      <c r="J482" t="n">
        <v>0</v>
      </c>
      <c r="K482" t="n">
        <v>0</v>
      </c>
      <c r="L482" t="n">
        <v>0</v>
      </c>
      <c r="M482" t="n">
        <v>0</v>
      </c>
      <c r="N482" t="n">
        <v>0</v>
      </c>
      <c r="O482" t="n">
        <v>0</v>
      </c>
      <c r="P482" t="n">
        <v>0</v>
      </c>
      <c r="Q482" t="n">
        <v>0</v>
      </c>
      <c r="R482" s="2" t="inlineStr"/>
    </row>
    <row r="483" ht="15" customHeight="1">
      <c r="A483" t="inlineStr">
        <is>
          <t>A 36308-2022</t>
        </is>
      </c>
      <c r="B483" s="1" t="n">
        <v>44803</v>
      </c>
      <c r="C483" s="1" t="n">
        <v>46108</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50355-2024</t>
        </is>
      </c>
      <c r="B484" s="1" t="n">
        <v>45600.86128472222</v>
      </c>
      <c r="C484" s="1" t="n">
        <v>46108</v>
      </c>
      <c r="D484" t="inlineStr">
        <is>
          <t>STOCKHOLMS LÄN</t>
        </is>
      </c>
      <c r="E484" t="inlineStr">
        <is>
          <t>NORRTÄLJE</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6919-2025</t>
        </is>
      </c>
      <c r="B485" s="1" t="n">
        <v>45701.44372685185</v>
      </c>
      <c r="C485" s="1" t="n">
        <v>46108</v>
      </c>
      <c r="D485" t="inlineStr">
        <is>
          <t>STOCKHOLMS LÄN</t>
        </is>
      </c>
      <c r="E485" t="inlineStr">
        <is>
          <t>NORRTÄLJE</t>
        </is>
      </c>
      <c r="G485" t="n">
        <v>3.5</v>
      </c>
      <c r="H485" t="n">
        <v>0</v>
      </c>
      <c r="I485" t="n">
        <v>0</v>
      </c>
      <c r="J485" t="n">
        <v>0</v>
      </c>
      <c r="K485" t="n">
        <v>0</v>
      </c>
      <c r="L485" t="n">
        <v>0</v>
      </c>
      <c r="M485" t="n">
        <v>0</v>
      </c>
      <c r="N485" t="n">
        <v>0</v>
      </c>
      <c r="O485" t="n">
        <v>0</v>
      </c>
      <c r="P485" t="n">
        <v>0</v>
      </c>
      <c r="Q485" t="n">
        <v>0</v>
      </c>
      <c r="R485" s="2" t="inlineStr"/>
    </row>
    <row r="486" ht="15" customHeight="1">
      <c r="A486" t="inlineStr">
        <is>
          <t>A 32100-2022</t>
        </is>
      </c>
      <c r="B486" s="1" t="n">
        <v>44778</v>
      </c>
      <c r="C486" s="1" t="n">
        <v>46108</v>
      </c>
      <c r="D486" t="inlineStr">
        <is>
          <t>STOCKHOLMS LÄN</t>
        </is>
      </c>
      <c r="E486" t="inlineStr">
        <is>
          <t>NORRTÄLJE</t>
        </is>
      </c>
      <c r="G486" t="n">
        <v>3.3</v>
      </c>
      <c r="H486" t="n">
        <v>0</v>
      </c>
      <c r="I486" t="n">
        <v>0</v>
      </c>
      <c r="J486" t="n">
        <v>0</v>
      </c>
      <c r="K486" t="n">
        <v>0</v>
      </c>
      <c r="L486" t="n">
        <v>0</v>
      </c>
      <c r="M486" t="n">
        <v>0</v>
      </c>
      <c r="N486" t="n">
        <v>0</v>
      </c>
      <c r="O486" t="n">
        <v>0</v>
      </c>
      <c r="P486" t="n">
        <v>0</v>
      </c>
      <c r="Q486" t="n">
        <v>0</v>
      </c>
      <c r="R486" s="2" t="inlineStr"/>
    </row>
    <row r="487" ht="15" customHeight="1">
      <c r="A487" t="inlineStr">
        <is>
          <t>A 47521-2024</t>
        </is>
      </c>
      <c r="B487" s="1" t="n">
        <v>45587.62565972222</v>
      </c>
      <c r="C487" s="1" t="n">
        <v>46108</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11332-2025</t>
        </is>
      </c>
      <c r="B488" s="1" t="n">
        <v>45726.48152777777</v>
      </c>
      <c r="C488" s="1" t="n">
        <v>46108</v>
      </c>
      <c r="D488" t="inlineStr">
        <is>
          <t>STOCKHOLMS LÄN</t>
        </is>
      </c>
      <c r="E488" t="inlineStr">
        <is>
          <t>NORRTÄLJE</t>
        </is>
      </c>
      <c r="G488" t="n">
        <v>4.6</v>
      </c>
      <c r="H488" t="n">
        <v>0</v>
      </c>
      <c r="I488" t="n">
        <v>0</v>
      </c>
      <c r="J488" t="n">
        <v>0</v>
      </c>
      <c r="K488" t="n">
        <v>0</v>
      </c>
      <c r="L488" t="n">
        <v>0</v>
      </c>
      <c r="M488" t="n">
        <v>0</v>
      </c>
      <c r="N488" t="n">
        <v>0</v>
      </c>
      <c r="O488" t="n">
        <v>0</v>
      </c>
      <c r="P488" t="n">
        <v>0</v>
      </c>
      <c r="Q488" t="n">
        <v>0</v>
      </c>
      <c r="R488" s="2" t="inlineStr"/>
    </row>
    <row r="489" ht="15" customHeight="1">
      <c r="A489" t="inlineStr">
        <is>
          <t>A 37444-2021</t>
        </is>
      </c>
      <c r="B489" s="1" t="n">
        <v>44398</v>
      </c>
      <c r="C489" s="1" t="n">
        <v>46108</v>
      </c>
      <c r="D489" t="inlineStr">
        <is>
          <t>STOCKHOLMS LÄN</t>
        </is>
      </c>
      <c r="E489" t="inlineStr">
        <is>
          <t>NORRTÄLJE</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30886-2022</t>
        </is>
      </c>
      <c r="B490" s="1" t="n">
        <v>44767.60601851852</v>
      </c>
      <c r="C490" s="1" t="n">
        <v>46108</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44354-2025</t>
        </is>
      </c>
      <c r="B491" s="1" t="n">
        <v>45916.44655092592</v>
      </c>
      <c r="C491" s="1" t="n">
        <v>46108</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58260-2023</t>
        </is>
      </c>
      <c r="B492" s="1" t="n">
        <v>45245</v>
      </c>
      <c r="C492" s="1" t="n">
        <v>46108</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58261-2023</t>
        </is>
      </c>
      <c r="B493" s="1" t="n">
        <v>45245</v>
      </c>
      <c r="C493" s="1" t="n">
        <v>46108</v>
      </c>
      <c r="D493" t="inlineStr">
        <is>
          <t>STOCKHOLMS LÄN</t>
        </is>
      </c>
      <c r="E493" t="inlineStr">
        <is>
          <t>NORRTÄLJE</t>
        </is>
      </c>
      <c r="G493" t="n">
        <v>53.5</v>
      </c>
      <c r="H493" t="n">
        <v>0</v>
      </c>
      <c r="I493" t="n">
        <v>0</v>
      </c>
      <c r="J493" t="n">
        <v>0</v>
      </c>
      <c r="K493" t="n">
        <v>0</v>
      </c>
      <c r="L493" t="n">
        <v>0</v>
      </c>
      <c r="M493" t="n">
        <v>0</v>
      </c>
      <c r="N493" t="n">
        <v>0</v>
      </c>
      <c r="O493" t="n">
        <v>0</v>
      </c>
      <c r="P493" t="n">
        <v>0</v>
      </c>
      <c r="Q493" t="n">
        <v>0</v>
      </c>
      <c r="R493" s="2" t="inlineStr"/>
    </row>
    <row r="494" ht="15" customHeight="1">
      <c r="A494" t="inlineStr">
        <is>
          <t>A 9654-2022</t>
        </is>
      </c>
      <c r="B494" s="1" t="n">
        <v>44617</v>
      </c>
      <c r="C494" s="1" t="n">
        <v>46108</v>
      </c>
      <c r="D494" t="inlineStr">
        <is>
          <t>STOCKHOLMS LÄN</t>
        </is>
      </c>
      <c r="E494" t="inlineStr">
        <is>
          <t>NORRTÄLJE</t>
        </is>
      </c>
      <c r="G494" t="n">
        <v>6.4</v>
      </c>
      <c r="H494" t="n">
        <v>0</v>
      </c>
      <c r="I494" t="n">
        <v>0</v>
      </c>
      <c r="J494" t="n">
        <v>0</v>
      </c>
      <c r="K494" t="n">
        <v>0</v>
      </c>
      <c r="L494" t="n">
        <v>0</v>
      </c>
      <c r="M494" t="n">
        <v>0</v>
      </c>
      <c r="N494" t="n">
        <v>0</v>
      </c>
      <c r="O494" t="n">
        <v>0</v>
      </c>
      <c r="P494" t="n">
        <v>0</v>
      </c>
      <c r="Q494" t="n">
        <v>0</v>
      </c>
      <c r="R494" s="2" t="inlineStr"/>
    </row>
    <row r="495" ht="15" customHeight="1">
      <c r="A495" t="inlineStr">
        <is>
          <t>A 1453-2025</t>
        </is>
      </c>
      <c r="B495" s="1" t="n">
        <v>45670.3079050926</v>
      </c>
      <c r="C495" s="1" t="n">
        <v>46108</v>
      </c>
      <c r="D495" t="inlineStr">
        <is>
          <t>STOCKHOLMS LÄN</t>
        </is>
      </c>
      <c r="E495" t="inlineStr">
        <is>
          <t>NORRTÄLJE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5804-2025</t>
        </is>
      </c>
      <c r="B496" s="1" t="n">
        <v>45694.68207175926</v>
      </c>
      <c r="C496" s="1" t="n">
        <v>46108</v>
      </c>
      <c r="D496" t="inlineStr">
        <is>
          <t>STOCKHOLMS LÄN</t>
        </is>
      </c>
      <c r="E496" t="inlineStr">
        <is>
          <t>NORRTÄLJE</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44306-2025</t>
        </is>
      </c>
      <c r="B497" s="1" t="n">
        <v>45916.37736111111</v>
      </c>
      <c r="C497" s="1" t="n">
        <v>46108</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44343-2025</t>
        </is>
      </c>
      <c r="B498" s="1" t="n">
        <v>45916.43378472222</v>
      </c>
      <c r="C498" s="1" t="n">
        <v>46108</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44349-2025</t>
        </is>
      </c>
      <c r="B499" s="1" t="n">
        <v>45916.43929398148</v>
      </c>
      <c r="C499" s="1" t="n">
        <v>46108</v>
      </c>
      <c r="D499" t="inlineStr">
        <is>
          <t>STOCKHOLMS LÄN</t>
        </is>
      </c>
      <c r="E499" t="inlineStr">
        <is>
          <t>NORRTÄLJE</t>
        </is>
      </c>
      <c r="G499" t="n">
        <v>3.5</v>
      </c>
      <c r="H499" t="n">
        <v>0</v>
      </c>
      <c r="I499" t="n">
        <v>0</v>
      </c>
      <c r="J499" t="n">
        <v>0</v>
      </c>
      <c r="K499" t="n">
        <v>0</v>
      </c>
      <c r="L499" t="n">
        <v>0</v>
      </c>
      <c r="M499" t="n">
        <v>0</v>
      </c>
      <c r="N499" t="n">
        <v>0</v>
      </c>
      <c r="O499" t="n">
        <v>0</v>
      </c>
      <c r="P499" t="n">
        <v>0</v>
      </c>
      <c r="Q499" t="n">
        <v>0</v>
      </c>
      <c r="R499" s="2" t="inlineStr"/>
    </row>
    <row r="500" ht="15" customHeight="1">
      <c r="A500" t="inlineStr">
        <is>
          <t>A 50907-2022</t>
        </is>
      </c>
      <c r="B500" s="1" t="n">
        <v>44867.62090277778</v>
      </c>
      <c r="C500" s="1" t="n">
        <v>46108</v>
      </c>
      <c r="D500" t="inlineStr">
        <is>
          <t>STOCKHOLMS LÄN</t>
        </is>
      </c>
      <c r="E500" t="inlineStr">
        <is>
          <t>NORRTÄLJE</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44311-2025</t>
        </is>
      </c>
      <c r="B501" s="1" t="n">
        <v>45916.38394675926</v>
      </c>
      <c r="C501" s="1" t="n">
        <v>46108</v>
      </c>
      <c r="D501" t="inlineStr">
        <is>
          <t>STOCKHOLMS LÄN</t>
        </is>
      </c>
      <c r="E501" t="inlineStr">
        <is>
          <t>NORRTÄLJE</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29003-2023</t>
        </is>
      </c>
      <c r="B502" s="1" t="n">
        <v>45104</v>
      </c>
      <c r="C502" s="1" t="n">
        <v>46108</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44333-2025</t>
        </is>
      </c>
      <c r="B503" s="1" t="n">
        <v>45916.42293981482</v>
      </c>
      <c r="C503" s="1" t="n">
        <v>46108</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33295-2023</t>
        </is>
      </c>
      <c r="B504" s="1" t="n">
        <v>45127.69371527778</v>
      </c>
      <c r="C504" s="1" t="n">
        <v>46108</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14127-2025</t>
        </is>
      </c>
      <c r="B505" s="1" t="n">
        <v>45740.47055555556</v>
      </c>
      <c r="C505" s="1" t="n">
        <v>46108</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16980-2023</t>
        </is>
      </c>
      <c r="B506" s="1" t="n">
        <v>45033</v>
      </c>
      <c r="C506" s="1" t="n">
        <v>46108</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32595-2023</t>
        </is>
      </c>
      <c r="B507" s="1" t="n">
        <v>45121</v>
      </c>
      <c r="C507" s="1" t="n">
        <v>46108</v>
      </c>
      <c r="D507" t="inlineStr">
        <is>
          <t>STOCKHOLMS LÄN</t>
        </is>
      </c>
      <c r="E507" t="inlineStr">
        <is>
          <t>NORRTÄLJE</t>
        </is>
      </c>
      <c r="G507" t="n">
        <v>2.4</v>
      </c>
      <c r="H507" t="n">
        <v>0</v>
      </c>
      <c r="I507" t="n">
        <v>0</v>
      </c>
      <c r="J507" t="n">
        <v>0</v>
      </c>
      <c r="K507" t="n">
        <v>0</v>
      </c>
      <c r="L507" t="n">
        <v>0</v>
      </c>
      <c r="M507" t="n">
        <v>0</v>
      </c>
      <c r="N507" t="n">
        <v>0</v>
      </c>
      <c r="O507" t="n">
        <v>0</v>
      </c>
      <c r="P507" t="n">
        <v>0</v>
      </c>
      <c r="Q507" t="n">
        <v>0</v>
      </c>
      <c r="R507" s="2" t="inlineStr"/>
    </row>
    <row r="508" ht="15" customHeight="1">
      <c r="A508" t="inlineStr">
        <is>
          <t>A 44937-2025</t>
        </is>
      </c>
      <c r="B508" s="1" t="n">
        <v>45918</v>
      </c>
      <c r="C508" s="1" t="n">
        <v>46108</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29266-2022</t>
        </is>
      </c>
      <c r="B509" s="1" t="n">
        <v>44750.66068287037</v>
      </c>
      <c r="C509" s="1" t="n">
        <v>46108</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29278-2022</t>
        </is>
      </c>
      <c r="B510" s="1" t="n">
        <v>44750</v>
      </c>
      <c r="C510" s="1" t="n">
        <v>46108</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37273-2024</t>
        </is>
      </c>
      <c r="B511" s="1" t="n">
        <v>45540</v>
      </c>
      <c r="C511" s="1" t="n">
        <v>46108</v>
      </c>
      <c r="D511" t="inlineStr">
        <is>
          <t>STOCKHOLMS LÄN</t>
        </is>
      </c>
      <c r="E511" t="inlineStr">
        <is>
          <t>NORRTÄLJE</t>
        </is>
      </c>
      <c r="F511" t="inlineStr">
        <is>
          <t>Sveaskog</t>
        </is>
      </c>
      <c r="G511" t="n">
        <v>12.5</v>
      </c>
      <c r="H511" t="n">
        <v>0</v>
      </c>
      <c r="I511" t="n">
        <v>0</v>
      </c>
      <c r="J511" t="n">
        <v>0</v>
      </c>
      <c r="K511" t="n">
        <v>0</v>
      </c>
      <c r="L511" t="n">
        <v>0</v>
      </c>
      <c r="M511" t="n">
        <v>0</v>
      </c>
      <c r="N511" t="n">
        <v>0</v>
      </c>
      <c r="O511" t="n">
        <v>0</v>
      </c>
      <c r="P511" t="n">
        <v>0</v>
      </c>
      <c r="Q511" t="n">
        <v>0</v>
      </c>
      <c r="R511" s="2" t="inlineStr"/>
    </row>
    <row r="512" ht="15" customHeight="1">
      <c r="A512" t="inlineStr">
        <is>
          <t>A 37550-2022</t>
        </is>
      </c>
      <c r="B512" s="1" t="n">
        <v>44809</v>
      </c>
      <c r="C512" s="1" t="n">
        <v>46108</v>
      </c>
      <c r="D512" t="inlineStr">
        <is>
          <t>STOCKHOLMS LÄN</t>
        </is>
      </c>
      <c r="E512" t="inlineStr">
        <is>
          <t>NORRTÄLJE</t>
        </is>
      </c>
      <c r="G512" t="n">
        <v>1</v>
      </c>
      <c r="H512" t="n">
        <v>0</v>
      </c>
      <c r="I512" t="n">
        <v>0</v>
      </c>
      <c r="J512" t="n">
        <v>0</v>
      </c>
      <c r="K512" t="n">
        <v>0</v>
      </c>
      <c r="L512" t="n">
        <v>0</v>
      </c>
      <c r="M512" t="n">
        <v>0</v>
      </c>
      <c r="N512" t="n">
        <v>0</v>
      </c>
      <c r="O512" t="n">
        <v>0</v>
      </c>
      <c r="P512" t="n">
        <v>0</v>
      </c>
      <c r="Q512" t="n">
        <v>0</v>
      </c>
      <c r="R512" s="2" t="inlineStr"/>
    </row>
    <row r="513" ht="15" customHeight="1">
      <c r="A513" t="inlineStr">
        <is>
          <t>A 12908-2025</t>
        </is>
      </c>
      <c r="B513" s="1" t="n">
        <v>45733.82105324074</v>
      </c>
      <c r="C513" s="1" t="n">
        <v>46108</v>
      </c>
      <c r="D513" t="inlineStr">
        <is>
          <t>STOCKHOLMS LÄN</t>
        </is>
      </c>
      <c r="E513" t="inlineStr">
        <is>
          <t>NORRTÄLJE</t>
        </is>
      </c>
      <c r="G513" t="n">
        <v>1</v>
      </c>
      <c r="H513" t="n">
        <v>0</v>
      </c>
      <c r="I513" t="n">
        <v>0</v>
      </c>
      <c r="J513" t="n">
        <v>0</v>
      </c>
      <c r="K513" t="n">
        <v>0</v>
      </c>
      <c r="L513" t="n">
        <v>0</v>
      </c>
      <c r="M513" t="n">
        <v>0</v>
      </c>
      <c r="N513" t="n">
        <v>0</v>
      </c>
      <c r="O513" t="n">
        <v>0</v>
      </c>
      <c r="P513" t="n">
        <v>0</v>
      </c>
      <c r="Q513" t="n">
        <v>0</v>
      </c>
      <c r="R513" s="2" t="inlineStr"/>
    </row>
    <row r="514" ht="15" customHeight="1">
      <c r="A514" t="inlineStr">
        <is>
          <t>A 23060-2023</t>
        </is>
      </c>
      <c r="B514" s="1" t="n">
        <v>45075</v>
      </c>
      <c r="C514" s="1" t="n">
        <v>46108</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48161-2022</t>
        </is>
      </c>
      <c r="B515" s="1" t="n">
        <v>44858</v>
      </c>
      <c r="C515" s="1" t="n">
        <v>46108</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22359-2025</t>
        </is>
      </c>
      <c r="B516" s="1" t="n">
        <v>45786</v>
      </c>
      <c r="C516" s="1" t="n">
        <v>46108</v>
      </c>
      <c r="D516" t="inlineStr">
        <is>
          <t>STOCKHOLMS LÄN</t>
        </is>
      </c>
      <c r="E516" t="inlineStr">
        <is>
          <t>NORRTÄLJE</t>
        </is>
      </c>
      <c r="G516" t="n">
        <v>5</v>
      </c>
      <c r="H516" t="n">
        <v>0</v>
      </c>
      <c r="I516" t="n">
        <v>0</v>
      </c>
      <c r="J516" t="n">
        <v>0</v>
      </c>
      <c r="K516" t="n">
        <v>0</v>
      </c>
      <c r="L516" t="n">
        <v>0</v>
      </c>
      <c r="M516" t="n">
        <v>0</v>
      </c>
      <c r="N516" t="n">
        <v>0</v>
      </c>
      <c r="O516" t="n">
        <v>0</v>
      </c>
      <c r="P516" t="n">
        <v>0</v>
      </c>
      <c r="Q516" t="n">
        <v>0</v>
      </c>
      <c r="R516" s="2" t="inlineStr"/>
    </row>
    <row r="517" ht="15" customHeight="1">
      <c r="A517" t="inlineStr">
        <is>
          <t>A 48798-2021</t>
        </is>
      </c>
      <c r="B517" s="1" t="n">
        <v>44452</v>
      </c>
      <c r="C517" s="1" t="n">
        <v>46108</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54776-2023</t>
        </is>
      </c>
      <c r="B518" s="1" t="n">
        <v>45236.46369212963</v>
      </c>
      <c r="C518" s="1" t="n">
        <v>46108</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45697-2025</t>
        </is>
      </c>
      <c r="B519" s="1" t="n">
        <v>45923.39877314815</v>
      </c>
      <c r="C519" s="1" t="n">
        <v>46108</v>
      </c>
      <c r="D519" t="inlineStr">
        <is>
          <t>STOCKHOLMS LÄN</t>
        </is>
      </c>
      <c r="E519" t="inlineStr">
        <is>
          <t>NORRTÄLJE</t>
        </is>
      </c>
      <c r="G519" t="n">
        <v>1.8</v>
      </c>
      <c r="H519" t="n">
        <v>0</v>
      </c>
      <c r="I519" t="n">
        <v>0</v>
      </c>
      <c r="J519" t="n">
        <v>0</v>
      </c>
      <c r="K519" t="n">
        <v>0</v>
      </c>
      <c r="L519" t="n">
        <v>0</v>
      </c>
      <c r="M519" t="n">
        <v>0</v>
      </c>
      <c r="N519" t="n">
        <v>0</v>
      </c>
      <c r="O519" t="n">
        <v>0</v>
      </c>
      <c r="P519" t="n">
        <v>0</v>
      </c>
      <c r="Q519" t="n">
        <v>0</v>
      </c>
      <c r="R519" s="2" t="inlineStr"/>
    </row>
    <row r="520" ht="15" customHeight="1">
      <c r="A520" t="inlineStr">
        <is>
          <t>A 57442-2021</t>
        </is>
      </c>
      <c r="B520" s="1" t="n">
        <v>44483</v>
      </c>
      <c r="C520" s="1" t="n">
        <v>46108</v>
      </c>
      <c r="D520" t="inlineStr">
        <is>
          <t>STOCKHOLMS LÄN</t>
        </is>
      </c>
      <c r="E520" t="inlineStr">
        <is>
          <t>NORRTÄLJE</t>
        </is>
      </c>
      <c r="G520" t="n">
        <v>3.3</v>
      </c>
      <c r="H520" t="n">
        <v>0</v>
      </c>
      <c r="I520" t="n">
        <v>0</v>
      </c>
      <c r="J520" t="n">
        <v>0</v>
      </c>
      <c r="K520" t="n">
        <v>0</v>
      </c>
      <c r="L520" t="n">
        <v>0</v>
      </c>
      <c r="M520" t="n">
        <v>0</v>
      </c>
      <c r="N520" t="n">
        <v>0</v>
      </c>
      <c r="O520" t="n">
        <v>0</v>
      </c>
      <c r="P520" t="n">
        <v>0</v>
      </c>
      <c r="Q520" t="n">
        <v>0</v>
      </c>
      <c r="R520" s="2" t="inlineStr"/>
    </row>
    <row r="521" ht="15" customHeight="1">
      <c r="A521" t="inlineStr">
        <is>
          <t>A 46415-2025</t>
        </is>
      </c>
      <c r="B521" s="1" t="n">
        <v>45925.58636574074</v>
      </c>
      <c r="C521" s="1" t="n">
        <v>46108</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55952-2024</t>
        </is>
      </c>
      <c r="B522" s="1" t="n">
        <v>45623.62563657408</v>
      </c>
      <c r="C522" s="1" t="n">
        <v>46108</v>
      </c>
      <c r="D522" t="inlineStr">
        <is>
          <t>STOCKHOLMS LÄN</t>
        </is>
      </c>
      <c r="E522" t="inlineStr">
        <is>
          <t>NORRTÄLJE</t>
        </is>
      </c>
      <c r="F522" t="inlineStr">
        <is>
          <t>Holmen skog AB</t>
        </is>
      </c>
      <c r="G522" t="n">
        <v>2.8</v>
      </c>
      <c r="H522" t="n">
        <v>0</v>
      </c>
      <c r="I522" t="n">
        <v>0</v>
      </c>
      <c r="J522" t="n">
        <v>0</v>
      </c>
      <c r="K522" t="n">
        <v>0</v>
      </c>
      <c r="L522" t="n">
        <v>0</v>
      </c>
      <c r="M522" t="n">
        <v>0</v>
      </c>
      <c r="N522" t="n">
        <v>0</v>
      </c>
      <c r="O522" t="n">
        <v>0</v>
      </c>
      <c r="P522" t="n">
        <v>0</v>
      </c>
      <c r="Q522" t="n">
        <v>0</v>
      </c>
      <c r="R522" s="2" t="inlineStr"/>
    </row>
    <row r="523" ht="15" customHeight="1">
      <c r="A523" t="inlineStr">
        <is>
          <t>A 8135-2025</t>
        </is>
      </c>
      <c r="B523" s="1" t="n">
        <v>45707.84997685185</v>
      </c>
      <c r="C523" s="1" t="n">
        <v>46108</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3383-2023</t>
        </is>
      </c>
      <c r="B524" s="1" t="n">
        <v>44949</v>
      </c>
      <c r="C524" s="1" t="n">
        <v>46108</v>
      </c>
      <c r="D524" t="inlineStr">
        <is>
          <t>STOCKHOLMS LÄN</t>
        </is>
      </c>
      <c r="E524" t="inlineStr">
        <is>
          <t>NORRTÄLJE</t>
        </is>
      </c>
      <c r="G524" t="n">
        <v>14.6</v>
      </c>
      <c r="H524" t="n">
        <v>0</v>
      </c>
      <c r="I524" t="n">
        <v>0</v>
      </c>
      <c r="J524" t="n">
        <v>0</v>
      </c>
      <c r="K524" t="n">
        <v>0</v>
      </c>
      <c r="L524" t="n">
        <v>0</v>
      </c>
      <c r="M524" t="n">
        <v>0</v>
      </c>
      <c r="N524" t="n">
        <v>0</v>
      </c>
      <c r="O524" t="n">
        <v>0</v>
      </c>
      <c r="P524" t="n">
        <v>0</v>
      </c>
      <c r="Q524" t="n">
        <v>0</v>
      </c>
      <c r="R524" s="2" t="inlineStr"/>
    </row>
    <row r="525" ht="15" customHeight="1">
      <c r="A525" t="inlineStr">
        <is>
          <t>A 32103-2022</t>
        </is>
      </c>
      <c r="B525" s="1" t="n">
        <v>44778</v>
      </c>
      <c r="C525" s="1" t="n">
        <v>46108</v>
      </c>
      <c r="D525" t="inlineStr">
        <is>
          <t>STOCKHOLMS LÄN</t>
        </is>
      </c>
      <c r="E525" t="inlineStr">
        <is>
          <t>NORRTÄLJE</t>
        </is>
      </c>
      <c r="G525" t="n">
        <v>3.4</v>
      </c>
      <c r="H525" t="n">
        <v>0</v>
      </c>
      <c r="I525" t="n">
        <v>0</v>
      </c>
      <c r="J525" t="n">
        <v>0</v>
      </c>
      <c r="K525" t="n">
        <v>0</v>
      </c>
      <c r="L525" t="n">
        <v>0</v>
      </c>
      <c r="M525" t="n">
        <v>0</v>
      </c>
      <c r="N525" t="n">
        <v>0</v>
      </c>
      <c r="O525" t="n">
        <v>0</v>
      </c>
      <c r="P525" t="n">
        <v>0</v>
      </c>
      <c r="Q525" t="n">
        <v>0</v>
      </c>
      <c r="R525" s="2" t="inlineStr"/>
    </row>
    <row r="526" ht="15" customHeight="1">
      <c r="A526" t="inlineStr">
        <is>
          <t>A 6401-2024</t>
        </is>
      </c>
      <c r="B526" s="1" t="n">
        <v>45338</v>
      </c>
      <c r="C526" s="1" t="n">
        <v>46108</v>
      </c>
      <c r="D526" t="inlineStr">
        <is>
          <t>STOCKHOLMS LÄN</t>
        </is>
      </c>
      <c r="E526" t="inlineStr">
        <is>
          <t>NORRTÄLJE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21732-2023</t>
        </is>
      </c>
      <c r="B527" s="1" t="n">
        <v>45063</v>
      </c>
      <c r="C527" s="1" t="n">
        <v>46108</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23307-2024</t>
        </is>
      </c>
      <c r="B528" s="1" t="n">
        <v>45453</v>
      </c>
      <c r="C528" s="1" t="n">
        <v>46108</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46900-2025</t>
        </is>
      </c>
      <c r="B529" s="1" t="n">
        <v>45929.38712962963</v>
      </c>
      <c r="C529" s="1" t="n">
        <v>46108</v>
      </c>
      <c r="D529" t="inlineStr">
        <is>
          <t>STOCKHOLMS LÄN</t>
        </is>
      </c>
      <c r="E529" t="inlineStr">
        <is>
          <t>NORRTÄLJE</t>
        </is>
      </c>
      <c r="F529" t="inlineStr">
        <is>
          <t>Holmen skog AB</t>
        </is>
      </c>
      <c r="G529" t="n">
        <v>6.2</v>
      </c>
      <c r="H529" t="n">
        <v>0</v>
      </c>
      <c r="I529" t="n">
        <v>0</v>
      </c>
      <c r="J529" t="n">
        <v>0</v>
      </c>
      <c r="K529" t="n">
        <v>0</v>
      </c>
      <c r="L529" t="n">
        <v>0</v>
      </c>
      <c r="M529" t="n">
        <v>0</v>
      </c>
      <c r="N529" t="n">
        <v>0</v>
      </c>
      <c r="O529" t="n">
        <v>0</v>
      </c>
      <c r="P529" t="n">
        <v>0</v>
      </c>
      <c r="Q529" t="n">
        <v>0</v>
      </c>
      <c r="R529" s="2" t="inlineStr"/>
    </row>
    <row r="530" ht="15" customHeight="1">
      <c r="A530" t="inlineStr">
        <is>
          <t>A 59504-2023</t>
        </is>
      </c>
      <c r="B530" s="1" t="n">
        <v>45254</v>
      </c>
      <c r="C530" s="1" t="n">
        <v>46108</v>
      </c>
      <c r="D530" t="inlineStr">
        <is>
          <t>STOCKHOLMS LÄN</t>
        </is>
      </c>
      <c r="E530" t="inlineStr">
        <is>
          <t>NORRTÄLJE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35256-2025</t>
        </is>
      </c>
      <c r="B531" s="1" t="n">
        <v>45853</v>
      </c>
      <c r="C531" s="1" t="n">
        <v>46108</v>
      </c>
      <c r="D531" t="inlineStr">
        <is>
          <t>STOCKHOLMS LÄN</t>
        </is>
      </c>
      <c r="E531" t="inlineStr">
        <is>
          <t>NORRTÄLJE</t>
        </is>
      </c>
      <c r="G531" t="n">
        <v>6.4</v>
      </c>
      <c r="H531" t="n">
        <v>0</v>
      </c>
      <c r="I531" t="n">
        <v>0</v>
      </c>
      <c r="J531" t="n">
        <v>0</v>
      </c>
      <c r="K531" t="n">
        <v>0</v>
      </c>
      <c r="L531" t="n">
        <v>0</v>
      </c>
      <c r="M531" t="n">
        <v>0</v>
      </c>
      <c r="N531" t="n">
        <v>0</v>
      </c>
      <c r="O531" t="n">
        <v>0</v>
      </c>
      <c r="P531" t="n">
        <v>0</v>
      </c>
      <c r="Q531" t="n">
        <v>0</v>
      </c>
      <c r="R531" s="2" t="inlineStr"/>
    </row>
    <row r="532" ht="15" customHeight="1">
      <c r="A532" t="inlineStr">
        <is>
          <t>A 37085-2021</t>
        </is>
      </c>
      <c r="B532" s="1" t="n">
        <v>44395</v>
      </c>
      <c r="C532" s="1" t="n">
        <v>46108</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56428-2023</t>
        </is>
      </c>
      <c r="B533" s="1" t="n">
        <v>45243.45289351852</v>
      </c>
      <c r="C533" s="1" t="n">
        <v>46108</v>
      </c>
      <c r="D533" t="inlineStr">
        <is>
          <t>STOCKHOLMS LÄN</t>
        </is>
      </c>
      <c r="E533" t="inlineStr">
        <is>
          <t>NORRTÄLJE</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52321-2024</t>
        </is>
      </c>
      <c r="B534" s="1" t="n">
        <v>45608</v>
      </c>
      <c r="C534" s="1" t="n">
        <v>46108</v>
      </c>
      <c r="D534" t="inlineStr">
        <is>
          <t>STOCKHOLMS LÄN</t>
        </is>
      </c>
      <c r="E534" t="inlineStr">
        <is>
          <t>NORRTÄLJE</t>
        </is>
      </c>
      <c r="G534" t="n">
        <v>18.1</v>
      </c>
      <c r="H534" t="n">
        <v>0</v>
      </c>
      <c r="I534" t="n">
        <v>0</v>
      </c>
      <c r="J534" t="n">
        <v>0</v>
      </c>
      <c r="K534" t="n">
        <v>0</v>
      </c>
      <c r="L534" t="n">
        <v>0</v>
      </c>
      <c r="M534" t="n">
        <v>0</v>
      </c>
      <c r="N534" t="n">
        <v>0</v>
      </c>
      <c r="O534" t="n">
        <v>0</v>
      </c>
      <c r="P534" t="n">
        <v>0</v>
      </c>
      <c r="Q534" t="n">
        <v>0</v>
      </c>
      <c r="R534" s="2" t="inlineStr"/>
    </row>
    <row r="535" ht="15" customHeight="1">
      <c r="A535" t="inlineStr">
        <is>
          <t>A 17556-2025</t>
        </is>
      </c>
      <c r="B535" s="1" t="n">
        <v>45757.62482638889</v>
      </c>
      <c r="C535" s="1" t="n">
        <v>46108</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48151-2024</t>
        </is>
      </c>
      <c r="B536" s="1" t="n">
        <v>45589.68289351852</v>
      </c>
      <c r="C536" s="1" t="n">
        <v>46108</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42094-2023</t>
        </is>
      </c>
      <c r="B537" s="1" t="n">
        <v>45177.61498842593</v>
      </c>
      <c r="C537" s="1" t="n">
        <v>46108</v>
      </c>
      <c r="D537" t="inlineStr">
        <is>
          <t>STOCKHOLMS LÄN</t>
        </is>
      </c>
      <c r="E537" t="inlineStr">
        <is>
          <t>NORRTÄLJE</t>
        </is>
      </c>
      <c r="G537" t="n">
        <v>0.3</v>
      </c>
      <c r="H537" t="n">
        <v>0</v>
      </c>
      <c r="I537" t="n">
        <v>0</v>
      </c>
      <c r="J537" t="n">
        <v>0</v>
      </c>
      <c r="K537" t="n">
        <v>0</v>
      </c>
      <c r="L537" t="n">
        <v>0</v>
      </c>
      <c r="M537" t="n">
        <v>0</v>
      </c>
      <c r="N537" t="n">
        <v>0</v>
      </c>
      <c r="O537" t="n">
        <v>0</v>
      </c>
      <c r="P537" t="n">
        <v>0</v>
      </c>
      <c r="Q537" t="n">
        <v>0</v>
      </c>
      <c r="R537" s="2" t="inlineStr"/>
    </row>
    <row r="538" ht="15" customHeight="1">
      <c r="A538" t="inlineStr">
        <is>
          <t>A 47498-2025</t>
        </is>
      </c>
      <c r="B538" s="1" t="n">
        <v>45930.8134375</v>
      </c>
      <c r="C538" s="1" t="n">
        <v>46108</v>
      </c>
      <c r="D538" t="inlineStr">
        <is>
          <t>STOCKHOLMS LÄN</t>
        </is>
      </c>
      <c r="E538" t="inlineStr">
        <is>
          <t>NORRTÄLJE</t>
        </is>
      </c>
      <c r="F538" t="inlineStr">
        <is>
          <t>Holmen skog AB</t>
        </is>
      </c>
      <c r="G538" t="n">
        <v>1.7</v>
      </c>
      <c r="H538" t="n">
        <v>0</v>
      </c>
      <c r="I538" t="n">
        <v>0</v>
      </c>
      <c r="J538" t="n">
        <v>0</v>
      </c>
      <c r="K538" t="n">
        <v>0</v>
      </c>
      <c r="L538" t="n">
        <v>0</v>
      </c>
      <c r="M538" t="n">
        <v>0</v>
      </c>
      <c r="N538" t="n">
        <v>0</v>
      </c>
      <c r="O538" t="n">
        <v>0</v>
      </c>
      <c r="P538" t="n">
        <v>0</v>
      </c>
      <c r="Q538" t="n">
        <v>0</v>
      </c>
      <c r="R538" s="2" t="inlineStr"/>
    </row>
    <row r="539" ht="15" customHeight="1">
      <c r="A539" t="inlineStr">
        <is>
          <t>A 47460-2025</t>
        </is>
      </c>
      <c r="B539" s="1" t="n">
        <v>45930.66012731481</v>
      </c>
      <c r="C539" s="1" t="n">
        <v>46108</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47496-2025</t>
        </is>
      </c>
      <c r="B540" s="1" t="n">
        <v>45930.79252314815</v>
      </c>
      <c r="C540" s="1" t="n">
        <v>46108</v>
      </c>
      <c r="D540" t="inlineStr">
        <is>
          <t>STOCKHOLMS LÄN</t>
        </is>
      </c>
      <c r="E540" t="inlineStr">
        <is>
          <t>NORRTÄLJE</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47497-2025</t>
        </is>
      </c>
      <c r="B541" s="1" t="n">
        <v>45930.80217592593</v>
      </c>
      <c r="C541" s="1" t="n">
        <v>46108</v>
      </c>
      <c r="D541" t="inlineStr">
        <is>
          <t>STOCKHOLMS LÄN</t>
        </is>
      </c>
      <c r="E541" t="inlineStr">
        <is>
          <t>NORRTÄLJE</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8370-2025</t>
        </is>
      </c>
      <c r="B542" s="1" t="n">
        <v>45708</v>
      </c>
      <c r="C542" s="1" t="n">
        <v>46108</v>
      </c>
      <c r="D542" t="inlineStr">
        <is>
          <t>STOCKHOLMS LÄN</t>
        </is>
      </c>
      <c r="E542" t="inlineStr">
        <is>
          <t>NORRTÄLJE</t>
        </is>
      </c>
      <c r="F542" t="inlineStr">
        <is>
          <t>Övriga Aktiebolag</t>
        </is>
      </c>
      <c r="G542" t="n">
        <v>5.6</v>
      </c>
      <c r="H542" t="n">
        <v>0</v>
      </c>
      <c r="I542" t="n">
        <v>0</v>
      </c>
      <c r="J542" t="n">
        <v>0</v>
      </c>
      <c r="K542" t="n">
        <v>0</v>
      </c>
      <c r="L542" t="n">
        <v>0</v>
      </c>
      <c r="M542" t="n">
        <v>0</v>
      </c>
      <c r="N542" t="n">
        <v>0</v>
      </c>
      <c r="O542" t="n">
        <v>0</v>
      </c>
      <c r="P542" t="n">
        <v>0</v>
      </c>
      <c r="Q542" t="n">
        <v>0</v>
      </c>
      <c r="R542" s="2" t="inlineStr"/>
    </row>
    <row r="543" ht="15" customHeight="1">
      <c r="A543" t="inlineStr">
        <is>
          <t>A 48360-2025</t>
        </is>
      </c>
      <c r="B543" s="1" t="n">
        <v>45933.66253472222</v>
      </c>
      <c r="C543" s="1" t="n">
        <v>46108</v>
      </c>
      <c r="D543" t="inlineStr">
        <is>
          <t>STOCKHOLMS LÄN</t>
        </is>
      </c>
      <c r="E543" t="inlineStr">
        <is>
          <t>NORRTÄLJE</t>
        </is>
      </c>
      <c r="G543" t="n">
        <v>4.1</v>
      </c>
      <c r="H543" t="n">
        <v>0</v>
      </c>
      <c r="I543" t="n">
        <v>0</v>
      </c>
      <c r="J543" t="n">
        <v>0</v>
      </c>
      <c r="K543" t="n">
        <v>0</v>
      </c>
      <c r="L543" t="n">
        <v>0</v>
      </c>
      <c r="M543" t="n">
        <v>0</v>
      </c>
      <c r="N543" t="n">
        <v>0</v>
      </c>
      <c r="O543" t="n">
        <v>0</v>
      </c>
      <c r="P543" t="n">
        <v>0</v>
      </c>
      <c r="Q543" t="n">
        <v>0</v>
      </c>
      <c r="R543" s="2" t="inlineStr"/>
    </row>
    <row r="544" ht="15" customHeight="1">
      <c r="A544" t="inlineStr">
        <is>
          <t>A 3299-2022</t>
        </is>
      </c>
      <c r="B544" s="1" t="n">
        <v>44584.91001157407</v>
      </c>
      <c r="C544" s="1" t="n">
        <v>46108</v>
      </c>
      <c r="D544" t="inlineStr">
        <is>
          <t>STOCKHOLMS LÄN</t>
        </is>
      </c>
      <c r="E544" t="inlineStr">
        <is>
          <t>NORRTÄLJE</t>
        </is>
      </c>
      <c r="G544" t="n">
        <v>2.7</v>
      </c>
      <c r="H544" t="n">
        <v>0</v>
      </c>
      <c r="I544" t="n">
        <v>0</v>
      </c>
      <c r="J544" t="n">
        <v>0</v>
      </c>
      <c r="K544" t="n">
        <v>0</v>
      </c>
      <c r="L544" t="n">
        <v>0</v>
      </c>
      <c r="M544" t="n">
        <v>0</v>
      </c>
      <c r="N544" t="n">
        <v>0</v>
      </c>
      <c r="O544" t="n">
        <v>0</v>
      </c>
      <c r="P544" t="n">
        <v>0</v>
      </c>
      <c r="Q544" t="n">
        <v>0</v>
      </c>
      <c r="R544" s="2" t="inlineStr"/>
    </row>
    <row r="545" ht="15" customHeight="1">
      <c r="A545" t="inlineStr">
        <is>
          <t>A 48370-2025</t>
        </is>
      </c>
      <c r="B545" s="1" t="n">
        <v>45933.67854166667</v>
      </c>
      <c r="C545" s="1" t="n">
        <v>46108</v>
      </c>
      <c r="D545" t="inlineStr">
        <is>
          <t>STOCKHOLMS LÄN</t>
        </is>
      </c>
      <c r="E545" t="inlineStr">
        <is>
          <t>NORRTÄLJE</t>
        </is>
      </c>
      <c r="G545" t="n">
        <v>4.5</v>
      </c>
      <c r="H545" t="n">
        <v>0</v>
      </c>
      <c r="I545" t="n">
        <v>0</v>
      </c>
      <c r="J545" t="n">
        <v>0</v>
      </c>
      <c r="K545" t="n">
        <v>0</v>
      </c>
      <c r="L545" t="n">
        <v>0</v>
      </c>
      <c r="M545" t="n">
        <v>0</v>
      </c>
      <c r="N545" t="n">
        <v>0</v>
      </c>
      <c r="O545" t="n">
        <v>0</v>
      </c>
      <c r="P545" t="n">
        <v>0</v>
      </c>
      <c r="Q545" t="n">
        <v>0</v>
      </c>
      <c r="R545" s="2" t="inlineStr"/>
    </row>
    <row r="546" ht="15" customHeight="1">
      <c r="A546" t="inlineStr">
        <is>
          <t>A 48364-2025</t>
        </is>
      </c>
      <c r="B546" s="1" t="n">
        <v>45933.66796296297</v>
      </c>
      <c r="C546" s="1" t="n">
        <v>46108</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20370-2025</t>
        </is>
      </c>
      <c r="B547" s="1" t="n">
        <v>45775.41451388889</v>
      </c>
      <c r="C547" s="1" t="n">
        <v>46108</v>
      </c>
      <c r="D547" t="inlineStr">
        <is>
          <t>STOCKHOLMS LÄN</t>
        </is>
      </c>
      <c r="E547" t="inlineStr">
        <is>
          <t>NORRTÄLJE</t>
        </is>
      </c>
      <c r="G547" t="n">
        <v>2.9</v>
      </c>
      <c r="H547" t="n">
        <v>0</v>
      </c>
      <c r="I547" t="n">
        <v>0</v>
      </c>
      <c r="J547" t="n">
        <v>0</v>
      </c>
      <c r="K547" t="n">
        <v>0</v>
      </c>
      <c r="L547" t="n">
        <v>0</v>
      </c>
      <c r="M547" t="n">
        <v>0</v>
      </c>
      <c r="N547" t="n">
        <v>0</v>
      </c>
      <c r="O547" t="n">
        <v>0</v>
      </c>
      <c r="P547" t="n">
        <v>0</v>
      </c>
      <c r="Q547" t="n">
        <v>0</v>
      </c>
      <c r="R547" s="2" t="inlineStr"/>
    </row>
    <row r="548" ht="15" customHeight="1">
      <c r="A548" t="inlineStr">
        <is>
          <t>A 19580-2022</t>
        </is>
      </c>
      <c r="B548" s="1" t="n">
        <v>44693</v>
      </c>
      <c r="C548" s="1" t="n">
        <v>46108</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12348-2025</t>
        </is>
      </c>
      <c r="B549" s="1" t="n">
        <v>45730.35026620371</v>
      </c>
      <c r="C549" s="1" t="n">
        <v>46108</v>
      </c>
      <c r="D549" t="inlineStr">
        <is>
          <t>STOCKHOLMS LÄN</t>
        </is>
      </c>
      <c r="E549" t="inlineStr">
        <is>
          <t>NORRTÄLJE</t>
        </is>
      </c>
      <c r="G549" t="n">
        <v>1.5</v>
      </c>
      <c r="H549" t="n">
        <v>0</v>
      </c>
      <c r="I549" t="n">
        <v>0</v>
      </c>
      <c r="J549" t="n">
        <v>0</v>
      </c>
      <c r="K549" t="n">
        <v>0</v>
      </c>
      <c r="L549" t="n">
        <v>0</v>
      </c>
      <c r="M549" t="n">
        <v>0</v>
      </c>
      <c r="N549" t="n">
        <v>0</v>
      </c>
      <c r="O549" t="n">
        <v>0</v>
      </c>
      <c r="P549" t="n">
        <v>0</v>
      </c>
      <c r="Q549" t="n">
        <v>0</v>
      </c>
      <c r="R549" s="2" t="inlineStr"/>
    </row>
    <row r="550" ht="15" customHeight="1">
      <c r="A550" t="inlineStr">
        <is>
          <t>A 17545-2025</t>
        </is>
      </c>
      <c r="B550" s="1" t="n">
        <v>45757.60658564815</v>
      </c>
      <c r="C550" s="1" t="n">
        <v>46108</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25094-2023</t>
        </is>
      </c>
      <c r="B551" s="1" t="n">
        <v>45086.3629050926</v>
      </c>
      <c r="C551" s="1" t="n">
        <v>46108</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48174-2025</t>
        </is>
      </c>
      <c r="B552" s="1" t="n">
        <v>45933.44230324074</v>
      </c>
      <c r="C552" s="1" t="n">
        <v>46108</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36157-2024</t>
        </is>
      </c>
      <c r="B553" s="1" t="n">
        <v>45534.38240740741</v>
      </c>
      <c r="C553" s="1" t="n">
        <v>46108</v>
      </c>
      <c r="D553" t="inlineStr">
        <is>
          <t>STOCKHOLMS LÄN</t>
        </is>
      </c>
      <c r="E553" t="inlineStr">
        <is>
          <t>NORRTÄLJE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48127-2025</t>
        </is>
      </c>
      <c r="B554" s="1" t="n">
        <v>45933.36621527778</v>
      </c>
      <c r="C554" s="1" t="n">
        <v>46108</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48179-2025</t>
        </is>
      </c>
      <c r="B555" s="1" t="n">
        <v>45933.44907407407</v>
      </c>
      <c r="C555" s="1" t="n">
        <v>46108</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47694-2023</t>
        </is>
      </c>
      <c r="B556" s="1" t="n">
        <v>45203.63303240741</v>
      </c>
      <c r="C556" s="1" t="n">
        <v>46108</v>
      </c>
      <c r="D556" t="inlineStr">
        <is>
          <t>STOCKHOLMS LÄN</t>
        </is>
      </c>
      <c r="E556" t="inlineStr">
        <is>
          <t>NORRTÄLJE</t>
        </is>
      </c>
      <c r="G556" t="n">
        <v>5.2</v>
      </c>
      <c r="H556" t="n">
        <v>0</v>
      </c>
      <c r="I556" t="n">
        <v>0</v>
      </c>
      <c r="J556" t="n">
        <v>0</v>
      </c>
      <c r="K556" t="n">
        <v>0</v>
      </c>
      <c r="L556" t="n">
        <v>0</v>
      </c>
      <c r="M556" t="n">
        <v>0</v>
      </c>
      <c r="N556" t="n">
        <v>0</v>
      </c>
      <c r="O556" t="n">
        <v>0</v>
      </c>
      <c r="P556" t="n">
        <v>0</v>
      </c>
      <c r="Q556" t="n">
        <v>0</v>
      </c>
      <c r="R556" s="2" t="inlineStr"/>
    </row>
    <row r="557" ht="15" customHeight="1">
      <c r="A557" t="inlineStr">
        <is>
          <t>A 35532-2024</t>
        </is>
      </c>
      <c r="B557" s="1" t="n">
        <v>45531</v>
      </c>
      <c r="C557" s="1" t="n">
        <v>46108</v>
      </c>
      <c r="D557" t="inlineStr">
        <is>
          <t>STOCKHOLMS LÄN</t>
        </is>
      </c>
      <c r="E557" t="inlineStr">
        <is>
          <t>NORRTÄLJE</t>
        </is>
      </c>
      <c r="G557" t="n">
        <v>2.3</v>
      </c>
      <c r="H557" t="n">
        <v>0</v>
      </c>
      <c r="I557" t="n">
        <v>0</v>
      </c>
      <c r="J557" t="n">
        <v>0</v>
      </c>
      <c r="K557" t="n">
        <v>0</v>
      </c>
      <c r="L557" t="n">
        <v>0</v>
      </c>
      <c r="M557" t="n">
        <v>0</v>
      </c>
      <c r="N557" t="n">
        <v>0</v>
      </c>
      <c r="O557" t="n">
        <v>0</v>
      </c>
      <c r="P557" t="n">
        <v>0</v>
      </c>
      <c r="Q557" t="n">
        <v>0</v>
      </c>
      <c r="R557" s="2" t="inlineStr"/>
    </row>
    <row r="558" ht="15" customHeight="1">
      <c r="A558" t="inlineStr">
        <is>
          <t>A 48718-2025</t>
        </is>
      </c>
      <c r="B558" s="1" t="n">
        <v>45936</v>
      </c>
      <c r="C558" s="1" t="n">
        <v>46108</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1654-2025</t>
        </is>
      </c>
      <c r="B559" s="1" t="n">
        <v>45670.65921296296</v>
      </c>
      <c r="C559" s="1" t="n">
        <v>46108</v>
      </c>
      <c r="D559" t="inlineStr">
        <is>
          <t>STOCKHOLMS LÄN</t>
        </is>
      </c>
      <c r="E559" t="inlineStr">
        <is>
          <t>NORRTÄLJE</t>
        </is>
      </c>
      <c r="G559" t="n">
        <v>2.5</v>
      </c>
      <c r="H559" t="n">
        <v>0</v>
      </c>
      <c r="I559" t="n">
        <v>0</v>
      </c>
      <c r="J559" t="n">
        <v>0</v>
      </c>
      <c r="K559" t="n">
        <v>0</v>
      </c>
      <c r="L559" t="n">
        <v>0</v>
      </c>
      <c r="M559" t="n">
        <v>0</v>
      </c>
      <c r="N559" t="n">
        <v>0</v>
      </c>
      <c r="O559" t="n">
        <v>0</v>
      </c>
      <c r="P559" t="n">
        <v>0</v>
      </c>
      <c r="Q559" t="n">
        <v>0</v>
      </c>
      <c r="R559" s="2" t="inlineStr"/>
    </row>
    <row r="560" ht="15" customHeight="1">
      <c r="A560" t="inlineStr">
        <is>
          <t>A 62644-2023</t>
        </is>
      </c>
      <c r="B560" s="1" t="n">
        <v>45271</v>
      </c>
      <c r="C560" s="1" t="n">
        <v>46108</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48593-2025</t>
        </is>
      </c>
      <c r="B561" s="1" t="n">
        <v>45936.4627662037</v>
      </c>
      <c r="C561" s="1" t="n">
        <v>46108</v>
      </c>
      <c r="D561" t="inlineStr">
        <is>
          <t>STOCKHOLMS LÄN</t>
        </is>
      </c>
      <c r="E561" t="inlineStr">
        <is>
          <t>NORRTÄLJE</t>
        </is>
      </c>
      <c r="G561" t="n">
        <v>4.2</v>
      </c>
      <c r="H561" t="n">
        <v>0</v>
      </c>
      <c r="I561" t="n">
        <v>0</v>
      </c>
      <c r="J561" t="n">
        <v>0</v>
      </c>
      <c r="K561" t="n">
        <v>0</v>
      </c>
      <c r="L561" t="n">
        <v>0</v>
      </c>
      <c r="M561" t="n">
        <v>0</v>
      </c>
      <c r="N561" t="n">
        <v>0</v>
      </c>
      <c r="O561" t="n">
        <v>0</v>
      </c>
      <c r="P561" t="n">
        <v>0</v>
      </c>
      <c r="Q561" t="n">
        <v>0</v>
      </c>
      <c r="R561" s="2" t="inlineStr"/>
    </row>
    <row r="562" ht="15" customHeight="1">
      <c r="A562" t="inlineStr">
        <is>
          <t>A 30731-2023</t>
        </is>
      </c>
      <c r="B562" s="1" t="n">
        <v>45112</v>
      </c>
      <c r="C562" s="1" t="n">
        <v>46108</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11229-2022</t>
        </is>
      </c>
      <c r="B563" s="1" t="n">
        <v>44629</v>
      </c>
      <c r="C563" s="1" t="n">
        <v>46108</v>
      </c>
      <c r="D563" t="inlineStr">
        <is>
          <t>STOCKHOLMS LÄN</t>
        </is>
      </c>
      <c r="E563" t="inlineStr">
        <is>
          <t>NORRTÄLJE</t>
        </is>
      </c>
      <c r="F563" t="inlineStr">
        <is>
          <t>Övriga Aktiebolag</t>
        </is>
      </c>
      <c r="G563" t="n">
        <v>4.1</v>
      </c>
      <c r="H563" t="n">
        <v>0</v>
      </c>
      <c r="I563" t="n">
        <v>0</v>
      </c>
      <c r="J563" t="n">
        <v>0</v>
      </c>
      <c r="K563" t="n">
        <v>0</v>
      </c>
      <c r="L563" t="n">
        <v>0</v>
      </c>
      <c r="M563" t="n">
        <v>0</v>
      </c>
      <c r="N563" t="n">
        <v>0</v>
      </c>
      <c r="O563" t="n">
        <v>0</v>
      </c>
      <c r="P563" t="n">
        <v>0</v>
      </c>
      <c r="Q563" t="n">
        <v>0</v>
      </c>
      <c r="R563" s="2" t="inlineStr"/>
    </row>
    <row r="564" ht="15" customHeight="1">
      <c r="A564" t="inlineStr">
        <is>
          <t>A 48443-2025</t>
        </is>
      </c>
      <c r="B564" s="1" t="n">
        <v>45935.55326388889</v>
      </c>
      <c r="C564" s="1" t="n">
        <v>46108</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4580-2025</t>
        </is>
      </c>
      <c r="B565" s="1" t="n">
        <v>45687.5038425926</v>
      </c>
      <c r="C565" s="1" t="n">
        <v>46108</v>
      </c>
      <c r="D565" t="inlineStr">
        <is>
          <t>STOCKHOLMS LÄN</t>
        </is>
      </c>
      <c r="E565" t="inlineStr">
        <is>
          <t>NORRTÄLJE</t>
        </is>
      </c>
      <c r="F565" t="inlineStr">
        <is>
          <t>Holmen skog AB</t>
        </is>
      </c>
      <c r="G565" t="n">
        <v>4.8</v>
      </c>
      <c r="H565" t="n">
        <v>0</v>
      </c>
      <c r="I565" t="n">
        <v>0</v>
      </c>
      <c r="J565" t="n">
        <v>0</v>
      </c>
      <c r="K565" t="n">
        <v>0</v>
      </c>
      <c r="L565" t="n">
        <v>0</v>
      </c>
      <c r="M565" t="n">
        <v>0</v>
      </c>
      <c r="N565" t="n">
        <v>0</v>
      </c>
      <c r="O565" t="n">
        <v>0</v>
      </c>
      <c r="P565" t="n">
        <v>0</v>
      </c>
      <c r="Q565" t="n">
        <v>0</v>
      </c>
      <c r="R565" s="2" t="inlineStr"/>
    </row>
    <row r="566" ht="15" customHeight="1">
      <c r="A566" t="inlineStr">
        <is>
          <t>A 31057-2022</t>
        </is>
      </c>
      <c r="B566" s="1" t="n">
        <v>44769</v>
      </c>
      <c r="C566" s="1" t="n">
        <v>46108</v>
      </c>
      <c r="D566" t="inlineStr">
        <is>
          <t>STOCKHOLMS LÄN</t>
        </is>
      </c>
      <c r="E566" t="inlineStr">
        <is>
          <t>NORRTÄLJE</t>
        </is>
      </c>
      <c r="G566" t="n">
        <v>6.5</v>
      </c>
      <c r="H566" t="n">
        <v>0</v>
      </c>
      <c r="I566" t="n">
        <v>0</v>
      </c>
      <c r="J566" t="n">
        <v>0</v>
      </c>
      <c r="K566" t="n">
        <v>0</v>
      </c>
      <c r="L566" t="n">
        <v>0</v>
      </c>
      <c r="M566" t="n">
        <v>0</v>
      </c>
      <c r="N566" t="n">
        <v>0</v>
      </c>
      <c r="O566" t="n">
        <v>0</v>
      </c>
      <c r="P566" t="n">
        <v>0</v>
      </c>
      <c r="Q566" t="n">
        <v>0</v>
      </c>
      <c r="R566" s="2" t="inlineStr"/>
    </row>
    <row r="567" ht="15" customHeight="1">
      <c r="A567" t="inlineStr">
        <is>
          <t>A 57353-2024</t>
        </is>
      </c>
      <c r="B567" s="1" t="n">
        <v>45629.65143518519</v>
      </c>
      <c r="C567" s="1" t="n">
        <v>46108</v>
      </c>
      <c r="D567" t="inlineStr">
        <is>
          <t>STOCKHOLMS LÄN</t>
        </is>
      </c>
      <c r="E567" t="inlineStr">
        <is>
          <t>NORRTÄLJE</t>
        </is>
      </c>
      <c r="F567" t="inlineStr">
        <is>
          <t>Holmen skog AB</t>
        </is>
      </c>
      <c r="G567" t="n">
        <v>0.9</v>
      </c>
      <c r="H567" t="n">
        <v>0</v>
      </c>
      <c r="I567" t="n">
        <v>0</v>
      </c>
      <c r="J567" t="n">
        <v>0</v>
      </c>
      <c r="K567" t="n">
        <v>0</v>
      </c>
      <c r="L567" t="n">
        <v>0</v>
      </c>
      <c r="M567" t="n">
        <v>0</v>
      </c>
      <c r="N567" t="n">
        <v>0</v>
      </c>
      <c r="O567" t="n">
        <v>0</v>
      </c>
      <c r="P567" t="n">
        <v>0</v>
      </c>
      <c r="Q567" t="n">
        <v>0</v>
      </c>
      <c r="R567" s="2" t="inlineStr"/>
    </row>
    <row r="568" ht="15" customHeight="1">
      <c r="A568" t="inlineStr">
        <is>
          <t>A 48587-2023</t>
        </is>
      </c>
      <c r="B568" s="1" t="n">
        <v>45208</v>
      </c>
      <c r="C568" s="1" t="n">
        <v>46108</v>
      </c>
      <c r="D568" t="inlineStr">
        <is>
          <t>STOCKHOLMS LÄN</t>
        </is>
      </c>
      <c r="E568" t="inlineStr">
        <is>
          <t>NORRTÄLJE</t>
        </is>
      </c>
      <c r="G568" t="n">
        <v>7</v>
      </c>
      <c r="H568" t="n">
        <v>0</v>
      </c>
      <c r="I568" t="n">
        <v>0</v>
      </c>
      <c r="J568" t="n">
        <v>0</v>
      </c>
      <c r="K568" t="n">
        <v>0</v>
      </c>
      <c r="L568" t="n">
        <v>0</v>
      </c>
      <c r="M568" t="n">
        <v>0</v>
      </c>
      <c r="N568" t="n">
        <v>0</v>
      </c>
      <c r="O568" t="n">
        <v>0</v>
      </c>
      <c r="P568" t="n">
        <v>0</v>
      </c>
      <c r="Q568" t="n">
        <v>0</v>
      </c>
      <c r="R568" s="2" t="inlineStr"/>
    </row>
    <row r="569" ht="15" customHeight="1">
      <c r="A569" t="inlineStr">
        <is>
          <t>A 48780-2025</t>
        </is>
      </c>
      <c r="B569" s="1" t="n">
        <v>45937.30377314815</v>
      </c>
      <c r="C569" s="1" t="n">
        <v>46108</v>
      </c>
      <c r="D569" t="inlineStr">
        <is>
          <t>STOCKHOLMS LÄN</t>
        </is>
      </c>
      <c r="E569" t="inlineStr">
        <is>
          <t>NORRTÄLJE</t>
        </is>
      </c>
      <c r="G569" t="n">
        <v>7.7</v>
      </c>
      <c r="H569" t="n">
        <v>0</v>
      </c>
      <c r="I569" t="n">
        <v>0</v>
      </c>
      <c r="J569" t="n">
        <v>0</v>
      </c>
      <c r="K569" t="n">
        <v>0</v>
      </c>
      <c r="L569" t="n">
        <v>0</v>
      </c>
      <c r="M569" t="n">
        <v>0</v>
      </c>
      <c r="N569" t="n">
        <v>0</v>
      </c>
      <c r="O569" t="n">
        <v>0</v>
      </c>
      <c r="P569" t="n">
        <v>0</v>
      </c>
      <c r="Q569" t="n">
        <v>0</v>
      </c>
      <c r="R569" s="2" t="inlineStr"/>
    </row>
    <row r="570" ht="15" customHeight="1">
      <c r="A570" t="inlineStr">
        <is>
          <t>A 2549-2022</t>
        </is>
      </c>
      <c r="B570" s="1" t="n">
        <v>44580</v>
      </c>
      <c r="C570" s="1" t="n">
        <v>46108</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4438-2023</t>
        </is>
      </c>
      <c r="B571" s="1" t="n">
        <v>44956</v>
      </c>
      <c r="C571" s="1" t="n">
        <v>46108</v>
      </c>
      <c r="D571" t="inlineStr">
        <is>
          <t>STOCKHOLMS LÄN</t>
        </is>
      </c>
      <c r="E571" t="inlineStr">
        <is>
          <t>NORRTÄLJE</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47758-2023</t>
        </is>
      </c>
      <c r="B572" s="1" t="n">
        <v>45203.83891203703</v>
      </c>
      <c r="C572" s="1" t="n">
        <v>46108</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31140-2023</t>
        </is>
      </c>
      <c r="B573" s="1" t="n">
        <v>45113</v>
      </c>
      <c r="C573" s="1" t="n">
        <v>46108</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31149-2023</t>
        </is>
      </c>
      <c r="B574" s="1" t="n">
        <v>45113</v>
      </c>
      <c r="C574" s="1" t="n">
        <v>46108</v>
      </c>
      <c r="D574" t="inlineStr">
        <is>
          <t>STOCKHOLMS LÄN</t>
        </is>
      </c>
      <c r="E574" t="inlineStr">
        <is>
          <t>NORRTÄLJE</t>
        </is>
      </c>
      <c r="G574" t="n">
        <v>7.1</v>
      </c>
      <c r="H574" t="n">
        <v>0</v>
      </c>
      <c r="I574" t="n">
        <v>0</v>
      </c>
      <c r="J574" t="n">
        <v>0</v>
      </c>
      <c r="K574" t="n">
        <v>0</v>
      </c>
      <c r="L574" t="n">
        <v>0</v>
      </c>
      <c r="M574" t="n">
        <v>0</v>
      </c>
      <c r="N574" t="n">
        <v>0</v>
      </c>
      <c r="O574" t="n">
        <v>0</v>
      </c>
      <c r="P574" t="n">
        <v>0</v>
      </c>
      <c r="Q574" t="n">
        <v>0</v>
      </c>
      <c r="R574" s="2" t="inlineStr"/>
    </row>
    <row r="575" ht="15" customHeight="1">
      <c r="A575" t="inlineStr">
        <is>
          <t>A 4658-2024</t>
        </is>
      </c>
      <c r="B575" s="1" t="n">
        <v>45328.46336805556</v>
      </c>
      <c r="C575" s="1" t="n">
        <v>46108</v>
      </c>
      <c r="D575" t="inlineStr">
        <is>
          <t>STOCKHOLMS LÄN</t>
        </is>
      </c>
      <c r="E575" t="inlineStr">
        <is>
          <t>NORRTÄLJE</t>
        </is>
      </c>
      <c r="G575" t="n">
        <v>2.8</v>
      </c>
      <c r="H575" t="n">
        <v>0</v>
      </c>
      <c r="I575" t="n">
        <v>0</v>
      </c>
      <c r="J575" t="n">
        <v>0</v>
      </c>
      <c r="K575" t="n">
        <v>0</v>
      </c>
      <c r="L575" t="n">
        <v>0</v>
      </c>
      <c r="M575" t="n">
        <v>0</v>
      </c>
      <c r="N575" t="n">
        <v>0</v>
      </c>
      <c r="O575" t="n">
        <v>0</v>
      </c>
      <c r="P575" t="n">
        <v>0</v>
      </c>
      <c r="Q575" t="n">
        <v>0</v>
      </c>
      <c r="R575" s="2" t="inlineStr"/>
    </row>
    <row r="576" ht="15" customHeight="1">
      <c r="A576" t="inlineStr">
        <is>
          <t>A 19131-2025</t>
        </is>
      </c>
      <c r="B576" s="1" t="n">
        <v>45769</v>
      </c>
      <c r="C576" s="1" t="n">
        <v>46108</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51061-2023</t>
        </is>
      </c>
      <c r="B577" s="1" t="n">
        <v>45218.65849537037</v>
      </c>
      <c r="C577" s="1" t="n">
        <v>46108</v>
      </c>
      <c r="D577" t="inlineStr">
        <is>
          <t>STOCKHOLMS LÄN</t>
        </is>
      </c>
      <c r="E577" t="inlineStr">
        <is>
          <t>NORRTÄLJE</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22697-2022</t>
        </is>
      </c>
      <c r="B578" s="1" t="n">
        <v>44714.56040509259</v>
      </c>
      <c r="C578" s="1" t="n">
        <v>46108</v>
      </c>
      <c r="D578" t="inlineStr">
        <is>
          <t>STOCKHOLMS LÄN</t>
        </is>
      </c>
      <c r="E578" t="inlineStr">
        <is>
          <t>NORRTÄLJE</t>
        </is>
      </c>
      <c r="G578" t="n">
        <v>5.6</v>
      </c>
      <c r="H578" t="n">
        <v>0</v>
      </c>
      <c r="I578" t="n">
        <v>0</v>
      </c>
      <c r="J578" t="n">
        <v>0</v>
      </c>
      <c r="K578" t="n">
        <v>0</v>
      </c>
      <c r="L578" t="n">
        <v>0</v>
      </c>
      <c r="M578" t="n">
        <v>0</v>
      </c>
      <c r="N578" t="n">
        <v>0</v>
      </c>
      <c r="O578" t="n">
        <v>0</v>
      </c>
      <c r="P578" t="n">
        <v>0</v>
      </c>
      <c r="Q578" t="n">
        <v>0</v>
      </c>
      <c r="R578" s="2" t="inlineStr"/>
    </row>
    <row r="579" ht="15" customHeight="1">
      <c r="A579" t="inlineStr">
        <is>
          <t>A 49129-2025</t>
        </is>
      </c>
      <c r="B579" s="1" t="n">
        <v>45937.89517361111</v>
      </c>
      <c r="C579" s="1" t="n">
        <v>46108</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45549-2022</t>
        </is>
      </c>
      <c r="B580" s="1" t="n">
        <v>44845.48064814815</v>
      </c>
      <c r="C580" s="1" t="n">
        <v>46108</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54396-2021</t>
        </is>
      </c>
      <c r="B581" s="1" t="n">
        <v>44472</v>
      </c>
      <c r="C581" s="1" t="n">
        <v>46108</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24727-2023</t>
        </is>
      </c>
      <c r="B582" s="1" t="n">
        <v>45084.57695601852</v>
      </c>
      <c r="C582" s="1" t="n">
        <v>46108</v>
      </c>
      <c r="D582" t="inlineStr">
        <is>
          <t>STOCKHOLMS LÄN</t>
        </is>
      </c>
      <c r="E582" t="inlineStr">
        <is>
          <t>NORRTÄLJE</t>
        </is>
      </c>
      <c r="F582" t="inlineStr">
        <is>
          <t>Holmen skog AB</t>
        </is>
      </c>
      <c r="G582" t="n">
        <v>2.2</v>
      </c>
      <c r="H582" t="n">
        <v>0</v>
      </c>
      <c r="I582" t="n">
        <v>0</v>
      </c>
      <c r="J582" t="n">
        <v>0</v>
      </c>
      <c r="K582" t="n">
        <v>0</v>
      </c>
      <c r="L582" t="n">
        <v>0</v>
      </c>
      <c r="M582" t="n">
        <v>0</v>
      </c>
      <c r="N582" t="n">
        <v>0</v>
      </c>
      <c r="O582" t="n">
        <v>0</v>
      </c>
      <c r="P582" t="n">
        <v>0</v>
      </c>
      <c r="Q582" t="n">
        <v>0</v>
      </c>
      <c r="R582" s="2" t="inlineStr"/>
    </row>
    <row r="583" ht="15" customHeight="1">
      <c r="A583" t="inlineStr">
        <is>
          <t>A 48722-2023</t>
        </is>
      </c>
      <c r="B583" s="1" t="n">
        <v>45208.70996527778</v>
      </c>
      <c r="C583" s="1" t="n">
        <v>46108</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35235-2024</t>
        </is>
      </c>
      <c r="B584" s="1" t="n">
        <v>45530</v>
      </c>
      <c r="C584" s="1" t="n">
        <v>46108</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1448-2023</t>
        </is>
      </c>
      <c r="B585" s="1" t="n">
        <v>44937</v>
      </c>
      <c r="C585" s="1" t="n">
        <v>46108</v>
      </c>
      <c r="D585" t="inlineStr">
        <is>
          <t>STOCKHOLMS LÄN</t>
        </is>
      </c>
      <c r="E585" t="inlineStr">
        <is>
          <t>NORRTÄLJE</t>
        </is>
      </c>
      <c r="G585" t="n">
        <v>1.9</v>
      </c>
      <c r="H585" t="n">
        <v>0</v>
      </c>
      <c r="I585" t="n">
        <v>0</v>
      </c>
      <c r="J585" t="n">
        <v>0</v>
      </c>
      <c r="K585" t="n">
        <v>0</v>
      </c>
      <c r="L585" t="n">
        <v>0</v>
      </c>
      <c r="M585" t="n">
        <v>0</v>
      </c>
      <c r="N585" t="n">
        <v>0</v>
      </c>
      <c r="O585" t="n">
        <v>0</v>
      </c>
      <c r="P585" t="n">
        <v>0</v>
      </c>
      <c r="Q585" t="n">
        <v>0</v>
      </c>
      <c r="R585" s="2" t="inlineStr"/>
    </row>
    <row r="586" ht="15" customHeight="1">
      <c r="A586" t="inlineStr">
        <is>
          <t>A 50097-2025</t>
        </is>
      </c>
      <c r="B586" s="1" t="n">
        <v>45943.50207175926</v>
      </c>
      <c r="C586" s="1" t="n">
        <v>46108</v>
      </c>
      <c r="D586" t="inlineStr">
        <is>
          <t>STOCKHOLMS LÄN</t>
        </is>
      </c>
      <c r="E586" t="inlineStr">
        <is>
          <t>NORRTÄLJE</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8736-2024</t>
        </is>
      </c>
      <c r="B587" s="1" t="n">
        <v>45356.4722800926</v>
      </c>
      <c r="C587" s="1" t="n">
        <v>46108</v>
      </c>
      <c r="D587" t="inlineStr">
        <is>
          <t>STOCKHOLMS LÄN</t>
        </is>
      </c>
      <c r="E587" t="inlineStr">
        <is>
          <t>NORRTÄLJE</t>
        </is>
      </c>
      <c r="G587" t="n">
        <v>8.9</v>
      </c>
      <c r="H587" t="n">
        <v>0</v>
      </c>
      <c r="I587" t="n">
        <v>0</v>
      </c>
      <c r="J587" t="n">
        <v>0</v>
      </c>
      <c r="K587" t="n">
        <v>0</v>
      </c>
      <c r="L587" t="n">
        <v>0</v>
      </c>
      <c r="M587" t="n">
        <v>0</v>
      </c>
      <c r="N587" t="n">
        <v>0</v>
      </c>
      <c r="O587" t="n">
        <v>0</v>
      </c>
      <c r="P587" t="n">
        <v>0</v>
      </c>
      <c r="Q587" t="n">
        <v>0</v>
      </c>
      <c r="R587" s="2" t="inlineStr"/>
    </row>
    <row r="588" ht="15" customHeight="1">
      <c r="A588" t="inlineStr">
        <is>
          <t>A 49836-2025</t>
        </is>
      </c>
      <c r="B588" s="1" t="n">
        <v>45940.46862268518</v>
      </c>
      <c r="C588" s="1" t="n">
        <v>46108</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33149-2022</t>
        </is>
      </c>
      <c r="B589" s="1" t="n">
        <v>44785</v>
      </c>
      <c r="C589" s="1" t="n">
        <v>46108</v>
      </c>
      <c r="D589" t="inlineStr">
        <is>
          <t>STOCKHOLMS LÄN</t>
        </is>
      </c>
      <c r="E589" t="inlineStr">
        <is>
          <t>NORRTÄLJE</t>
        </is>
      </c>
      <c r="F589" t="inlineStr">
        <is>
          <t>Holmen skog AB</t>
        </is>
      </c>
      <c r="G589" t="n">
        <v>4.4</v>
      </c>
      <c r="H589" t="n">
        <v>0</v>
      </c>
      <c r="I589" t="n">
        <v>0</v>
      </c>
      <c r="J589" t="n">
        <v>0</v>
      </c>
      <c r="K589" t="n">
        <v>0</v>
      </c>
      <c r="L589" t="n">
        <v>0</v>
      </c>
      <c r="M589" t="n">
        <v>0</v>
      </c>
      <c r="N589" t="n">
        <v>0</v>
      </c>
      <c r="O589" t="n">
        <v>0</v>
      </c>
      <c r="P589" t="n">
        <v>0</v>
      </c>
      <c r="Q589" t="n">
        <v>0</v>
      </c>
      <c r="R589" s="2" t="inlineStr"/>
    </row>
    <row r="590" ht="15" customHeight="1">
      <c r="A590" t="inlineStr">
        <is>
          <t>A 7571-2024</t>
        </is>
      </c>
      <c r="B590" s="1" t="n">
        <v>45348.46300925926</v>
      </c>
      <c r="C590" s="1" t="n">
        <v>46108</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50327-2025</t>
        </is>
      </c>
      <c r="B591" s="1" t="n">
        <v>45944.46387731482</v>
      </c>
      <c r="C591" s="1" t="n">
        <v>46108</v>
      </c>
      <c r="D591" t="inlineStr">
        <is>
          <t>STOCKHOLMS LÄN</t>
        </is>
      </c>
      <c r="E591" t="inlineStr">
        <is>
          <t>NORRTÄLJE</t>
        </is>
      </c>
      <c r="G591" t="n">
        <v>0.3</v>
      </c>
      <c r="H591" t="n">
        <v>0</v>
      </c>
      <c r="I591" t="n">
        <v>0</v>
      </c>
      <c r="J591" t="n">
        <v>0</v>
      </c>
      <c r="K591" t="n">
        <v>0</v>
      </c>
      <c r="L591" t="n">
        <v>0</v>
      </c>
      <c r="M591" t="n">
        <v>0</v>
      </c>
      <c r="N591" t="n">
        <v>0</v>
      </c>
      <c r="O591" t="n">
        <v>0</v>
      </c>
      <c r="P591" t="n">
        <v>0</v>
      </c>
      <c r="Q591" t="n">
        <v>0</v>
      </c>
      <c r="R591" s="2" t="inlineStr"/>
    </row>
    <row r="592" ht="15" customHeight="1">
      <c r="A592" t="inlineStr">
        <is>
          <t>A 50563-2025</t>
        </is>
      </c>
      <c r="B592" s="1" t="n">
        <v>45944</v>
      </c>
      <c r="C592" s="1" t="n">
        <v>46108</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50333-2025</t>
        </is>
      </c>
      <c r="B593" s="1" t="n">
        <v>45944.47178240741</v>
      </c>
      <c r="C593" s="1" t="n">
        <v>46108</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11849-2025</t>
        </is>
      </c>
      <c r="B594" s="1" t="n">
        <v>45728.38409722222</v>
      </c>
      <c r="C594" s="1" t="n">
        <v>46108</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51122-2025</t>
        </is>
      </c>
      <c r="B595" s="1" t="n">
        <v>45947.53693287037</v>
      </c>
      <c r="C595" s="1" t="n">
        <v>46108</v>
      </c>
      <c r="D595" t="inlineStr">
        <is>
          <t>STOCKHOLMS LÄN</t>
        </is>
      </c>
      <c r="E595" t="inlineStr">
        <is>
          <t>NORRTÄLJE</t>
        </is>
      </c>
      <c r="G595" t="n">
        <v>3.8</v>
      </c>
      <c r="H595" t="n">
        <v>0</v>
      </c>
      <c r="I595" t="n">
        <v>0</v>
      </c>
      <c r="J595" t="n">
        <v>0</v>
      </c>
      <c r="K595" t="n">
        <v>0</v>
      </c>
      <c r="L595" t="n">
        <v>0</v>
      </c>
      <c r="M595" t="n">
        <v>0</v>
      </c>
      <c r="N595" t="n">
        <v>0</v>
      </c>
      <c r="O595" t="n">
        <v>0</v>
      </c>
      <c r="P595" t="n">
        <v>0</v>
      </c>
      <c r="Q595" t="n">
        <v>0</v>
      </c>
      <c r="R595" s="2" t="inlineStr"/>
    </row>
    <row r="596" ht="15" customHeight="1">
      <c r="A596" t="inlineStr">
        <is>
          <t>A 51233-2025</t>
        </is>
      </c>
      <c r="B596" s="1" t="n">
        <v>45947.68232638889</v>
      </c>
      <c r="C596" s="1" t="n">
        <v>46108</v>
      </c>
      <c r="D596" t="inlineStr">
        <is>
          <t>STOCKHOLMS LÄN</t>
        </is>
      </c>
      <c r="E596" t="inlineStr">
        <is>
          <t>NORRTÄLJE</t>
        </is>
      </c>
      <c r="F596" t="inlineStr">
        <is>
          <t>Naturvårdsverket</t>
        </is>
      </c>
      <c r="G596" t="n">
        <v>8.1</v>
      </c>
      <c r="H596" t="n">
        <v>0</v>
      </c>
      <c r="I596" t="n">
        <v>0</v>
      </c>
      <c r="J596" t="n">
        <v>0</v>
      </c>
      <c r="K596" t="n">
        <v>0</v>
      </c>
      <c r="L596" t="n">
        <v>0</v>
      </c>
      <c r="M596" t="n">
        <v>0</v>
      </c>
      <c r="N596" t="n">
        <v>0</v>
      </c>
      <c r="O596" t="n">
        <v>0</v>
      </c>
      <c r="P596" t="n">
        <v>0</v>
      </c>
      <c r="Q596" t="n">
        <v>0</v>
      </c>
      <c r="R596" s="2" t="inlineStr"/>
    </row>
    <row r="597" ht="15" customHeight="1">
      <c r="A597" t="inlineStr">
        <is>
          <t>A 51236-2025</t>
        </is>
      </c>
      <c r="B597" s="1" t="n">
        <v>45947.69078703703</v>
      </c>
      <c r="C597" s="1" t="n">
        <v>46108</v>
      </c>
      <c r="D597" t="inlineStr">
        <is>
          <t>STOCKHOLMS LÄN</t>
        </is>
      </c>
      <c r="E597" t="inlineStr">
        <is>
          <t>NORRTÄLJE</t>
        </is>
      </c>
      <c r="F597" t="inlineStr">
        <is>
          <t>Naturvårdsverket</t>
        </is>
      </c>
      <c r="G597" t="n">
        <v>6.3</v>
      </c>
      <c r="H597" t="n">
        <v>0</v>
      </c>
      <c r="I597" t="n">
        <v>0</v>
      </c>
      <c r="J597" t="n">
        <v>0</v>
      </c>
      <c r="K597" t="n">
        <v>0</v>
      </c>
      <c r="L597" t="n">
        <v>0</v>
      </c>
      <c r="M597" t="n">
        <v>0</v>
      </c>
      <c r="N597" t="n">
        <v>0</v>
      </c>
      <c r="O597" t="n">
        <v>0</v>
      </c>
      <c r="P597" t="n">
        <v>0</v>
      </c>
      <c r="Q597" t="n">
        <v>0</v>
      </c>
      <c r="R597" s="2" t="inlineStr"/>
    </row>
    <row r="598" ht="15" customHeight="1">
      <c r="A598" t="inlineStr">
        <is>
          <t>A 51241-2025</t>
        </is>
      </c>
      <c r="B598" s="1" t="n">
        <v>45947.71726851852</v>
      </c>
      <c r="C598" s="1" t="n">
        <v>46108</v>
      </c>
      <c r="D598" t="inlineStr">
        <is>
          <t>STOCKHOLMS LÄN</t>
        </is>
      </c>
      <c r="E598" t="inlineStr">
        <is>
          <t>NORRTÄLJE</t>
        </is>
      </c>
      <c r="F598" t="inlineStr">
        <is>
          <t>Naturvårdsverket</t>
        </is>
      </c>
      <c r="G598" t="n">
        <v>6.4</v>
      </c>
      <c r="H598" t="n">
        <v>0</v>
      </c>
      <c r="I598" t="n">
        <v>0</v>
      </c>
      <c r="J598" t="n">
        <v>0</v>
      </c>
      <c r="K598" t="n">
        <v>0</v>
      </c>
      <c r="L598" t="n">
        <v>0</v>
      </c>
      <c r="M598" t="n">
        <v>0</v>
      </c>
      <c r="N598" t="n">
        <v>0</v>
      </c>
      <c r="O598" t="n">
        <v>0</v>
      </c>
      <c r="P598" t="n">
        <v>0</v>
      </c>
      <c r="Q598" t="n">
        <v>0</v>
      </c>
      <c r="R598" s="2" t="inlineStr"/>
    </row>
    <row r="599" ht="15" customHeight="1">
      <c r="A599" t="inlineStr">
        <is>
          <t>A 51240-2025</t>
        </is>
      </c>
      <c r="B599" s="1" t="n">
        <v>45947.70420138889</v>
      </c>
      <c r="C599" s="1" t="n">
        <v>46108</v>
      </c>
      <c r="D599" t="inlineStr">
        <is>
          <t>STOCKHOLMS LÄN</t>
        </is>
      </c>
      <c r="E599" t="inlineStr">
        <is>
          <t>NORRTÄLJE</t>
        </is>
      </c>
      <c r="F599" t="inlineStr">
        <is>
          <t>Naturvårdsverket</t>
        </is>
      </c>
      <c r="G599" t="n">
        <v>3</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46108</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51121-2025</t>
        </is>
      </c>
      <c r="B601" s="1" t="n">
        <v>45947.53293981482</v>
      </c>
      <c r="C601" s="1" t="n">
        <v>46108</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6537-2024</t>
        </is>
      </c>
      <c r="B602" s="1" t="n">
        <v>45341.39853009259</v>
      </c>
      <c r="C602" s="1" t="n">
        <v>46108</v>
      </c>
      <c r="D602" t="inlineStr">
        <is>
          <t>STOCKHOLMS LÄN</t>
        </is>
      </c>
      <c r="E602" t="inlineStr">
        <is>
          <t>NORRTÄLJE</t>
        </is>
      </c>
      <c r="G602" t="n">
        <v>1.2</v>
      </c>
      <c r="H602" t="n">
        <v>0</v>
      </c>
      <c r="I602" t="n">
        <v>0</v>
      </c>
      <c r="J602" t="n">
        <v>0</v>
      </c>
      <c r="K602" t="n">
        <v>0</v>
      </c>
      <c r="L602" t="n">
        <v>0</v>
      </c>
      <c r="M602" t="n">
        <v>0</v>
      </c>
      <c r="N602" t="n">
        <v>0</v>
      </c>
      <c r="O602" t="n">
        <v>0</v>
      </c>
      <c r="P602" t="n">
        <v>0</v>
      </c>
      <c r="Q602" t="n">
        <v>0</v>
      </c>
      <c r="R602" s="2" t="inlineStr"/>
    </row>
    <row r="603" ht="15" customHeight="1">
      <c r="A603" t="inlineStr">
        <is>
          <t>A 40175-2024</t>
        </is>
      </c>
      <c r="B603" s="1" t="n">
        <v>45554.55707175926</v>
      </c>
      <c r="C603" s="1" t="n">
        <v>46108</v>
      </c>
      <c r="D603" t="inlineStr">
        <is>
          <t>STOCKHOLMS LÄN</t>
        </is>
      </c>
      <c r="E603" t="inlineStr">
        <is>
          <t>NORRTÄLJE</t>
        </is>
      </c>
      <c r="G603" t="n">
        <v>7.7</v>
      </c>
      <c r="H603" t="n">
        <v>0</v>
      </c>
      <c r="I603" t="n">
        <v>0</v>
      </c>
      <c r="J603" t="n">
        <v>0</v>
      </c>
      <c r="K603" t="n">
        <v>0</v>
      </c>
      <c r="L603" t="n">
        <v>0</v>
      </c>
      <c r="M603" t="n">
        <v>0</v>
      </c>
      <c r="N603" t="n">
        <v>0</v>
      </c>
      <c r="O603" t="n">
        <v>0</v>
      </c>
      <c r="P603" t="n">
        <v>0</v>
      </c>
      <c r="Q603" t="n">
        <v>0</v>
      </c>
      <c r="R603" s="2" t="inlineStr"/>
    </row>
    <row r="604" ht="15" customHeight="1">
      <c r="A604" t="inlineStr">
        <is>
          <t>A 59477-2025</t>
        </is>
      </c>
      <c r="B604" s="1" t="n">
        <v>45989.58679398148</v>
      </c>
      <c r="C604" s="1" t="n">
        <v>46108</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54558-2024</t>
        </is>
      </c>
      <c r="B605" s="1" t="n">
        <v>45617.62358796296</v>
      </c>
      <c r="C605" s="1" t="n">
        <v>46108</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23056-2023</t>
        </is>
      </c>
      <c r="B606" s="1" t="n">
        <v>45075</v>
      </c>
      <c r="C606" s="1" t="n">
        <v>46108</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58990-2021</t>
        </is>
      </c>
      <c r="B607" s="1" t="n">
        <v>44490.03621527777</v>
      </c>
      <c r="C607" s="1" t="n">
        <v>46108</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47431-2023</t>
        </is>
      </c>
      <c r="B608" s="1" t="n">
        <v>45202</v>
      </c>
      <c r="C608" s="1" t="n">
        <v>46108</v>
      </c>
      <c r="D608" t="inlineStr">
        <is>
          <t>STOCKHOLMS LÄN</t>
        </is>
      </c>
      <c r="E608" t="inlineStr">
        <is>
          <t>NORRTÄLJE</t>
        </is>
      </c>
      <c r="F608" t="inlineStr">
        <is>
          <t>Naturvårdsverket</t>
        </is>
      </c>
      <c r="G608" t="n">
        <v>1.2</v>
      </c>
      <c r="H608" t="n">
        <v>0</v>
      </c>
      <c r="I608" t="n">
        <v>0</v>
      </c>
      <c r="J608" t="n">
        <v>0</v>
      </c>
      <c r="K608" t="n">
        <v>0</v>
      </c>
      <c r="L608" t="n">
        <v>0</v>
      </c>
      <c r="M608" t="n">
        <v>0</v>
      </c>
      <c r="N608" t="n">
        <v>0</v>
      </c>
      <c r="O608" t="n">
        <v>0</v>
      </c>
      <c r="P608" t="n">
        <v>0</v>
      </c>
      <c r="Q608" t="n">
        <v>0</v>
      </c>
      <c r="R608" s="2" t="inlineStr"/>
    </row>
    <row r="609" ht="15" customHeight="1">
      <c r="A609" t="inlineStr">
        <is>
          <t>A 59499-2023</t>
        </is>
      </c>
      <c r="B609" s="1" t="n">
        <v>45254</v>
      </c>
      <c r="C609" s="1" t="n">
        <v>46108</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51532-2025</t>
        </is>
      </c>
      <c r="B610" s="1" t="n">
        <v>45950.68297453703</v>
      </c>
      <c r="C610" s="1" t="n">
        <v>46108</v>
      </c>
      <c r="D610" t="inlineStr">
        <is>
          <t>STOCKHOLMS LÄN</t>
        </is>
      </c>
      <c r="E610" t="inlineStr">
        <is>
          <t>NORRTÄLJE</t>
        </is>
      </c>
      <c r="F610" t="inlineStr">
        <is>
          <t>Naturvårdsverket</t>
        </is>
      </c>
      <c r="G610" t="n">
        <v>17.3</v>
      </c>
      <c r="H610" t="n">
        <v>0</v>
      </c>
      <c r="I610" t="n">
        <v>0</v>
      </c>
      <c r="J610" t="n">
        <v>0</v>
      </c>
      <c r="K610" t="n">
        <v>0</v>
      </c>
      <c r="L610" t="n">
        <v>0</v>
      </c>
      <c r="M610" t="n">
        <v>0</v>
      </c>
      <c r="N610" t="n">
        <v>0</v>
      </c>
      <c r="O610" t="n">
        <v>0</v>
      </c>
      <c r="P610" t="n">
        <v>0</v>
      </c>
      <c r="Q610" t="n">
        <v>0</v>
      </c>
      <c r="R610" s="2" t="inlineStr"/>
    </row>
    <row r="611" ht="15" customHeight="1">
      <c r="A611" t="inlineStr">
        <is>
          <t>A 51789-2025</t>
        </is>
      </c>
      <c r="B611" s="1" t="n">
        <v>45951.68046296296</v>
      </c>
      <c r="C611" s="1" t="n">
        <v>46108</v>
      </c>
      <c r="D611" t="inlineStr">
        <is>
          <t>STOCKHOLMS LÄN</t>
        </is>
      </c>
      <c r="E611" t="inlineStr">
        <is>
          <t>NORRTÄLJE</t>
        </is>
      </c>
      <c r="F611" t="inlineStr">
        <is>
          <t>Naturvårdsverket</t>
        </is>
      </c>
      <c r="G611" t="n">
        <v>8.9</v>
      </c>
      <c r="H611" t="n">
        <v>0</v>
      </c>
      <c r="I611" t="n">
        <v>0</v>
      </c>
      <c r="J611" t="n">
        <v>0</v>
      </c>
      <c r="K611" t="n">
        <v>0</v>
      </c>
      <c r="L611" t="n">
        <v>0</v>
      </c>
      <c r="M611" t="n">
        <v>0</v>
      </c>
      <c r="N611" t="n">
        <v>0</v>
      </c>
      <c r="O611" t="n">
        <v>0</v>
      </c>
      <c r="P611" t="n">
        <v>0</v>
      </c>
      <c r="Q611" t="n">
        <v>0</v>
      </c>
      <c r="R611" s="2" t="inlineStr"/>
    </row>
    <row r="612" ht="15" customHeight="1">
      <c r="A612" t="inlineStr">
        <is>
          <t>A 59468-2023</t>
        </is>
      </c>
      <c r="B612" s="1" t="n">
        <v>45254.41509259259</v>
      </c>
      <c r="C612" s="1" t="n">
        <v>46108</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20790-2025</t>
        </is>
      </c>
      <c r="B613" s="1" t="n">
        <v>45776.62563657408</v>
      </c>
      <c r="C613" s="1" t="n">
        <v>46108</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12532-2025</t>
        </is>
      </c>
      <c r="B614" s="1" t="n">
        <v>45730.69143518519</v>
      </c>
      <c r="C614" s="1" t="n">
        <v>46108</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5732-2023</t>
        </is>
      </c>
      <c r="B615" s="1" t="n">
        <v>44962</v>
      </c>
      <c r="C615" s="1" t="n">
        <v>46108</v>
      </c>
      <c r="D615" t="inlineStr">
        <is>
          <t>STOCKHOLMS LÄN</t>
        </is>
      </c>
      <c r="E615" t="inlineStr">
        <is>
          <t>NORRTÄLJE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10653-2022</t>
        </is>
      </c>
      <c r="B616" s="1" t="n">
        <v>44624.59434027778</v>
      </c>
      <c r="C616" s="1" t="n">
        <v>46108</v>
      </c>
      <c r="D616" t="inlineStr">
        <is>
          <t>STOCKHOLMS LÄN</t>
        </is>
      </c>
      <c r="E616" t="inlineStr">
        <is>
          <t>NORRTÄLJE</t>
        </is>
      </c>
      <c r="G616" t="n">
        <v>2.3</v>
      </c>
      <c r="H616" t="n">
        <v>0</v>
      </c>
      <c r="I616" t="n">
        <v>0</v>
      </c>
      <c r="J616" t="n">
        <v>0</v>
      </c>
      <c r="K616" t="n">
        <v>0</v>
      </c>
      <c r="L616" t="n">
        <v>0</v>
      </c>
      <c r="M616" t="n">
        <v>0</v>
      </c>
      <c r="N616" t="n">
        <v>0</v>
      </c>
      <c r="O616" t="n">
        <v>0</v>
      </c>
      <c r="P616" t="n">
        <v>0</v>
      </c>
      <c r="Q616" t="n">
        <v>0</v>
      </c>
      <c r="R616" s="2" t="inlineStr"/>
    </row>
    <row r="617" ht="15" customHeight="1">
      <c r="A617" t="inlineStr">
        <is>
          <t>A 20699-2025</t>
        </is>
      </c>
      <c r="B617" s="1" t="n">
        <v>45776.47346064815</v>
      </c>
      <c r="C617" s="1" t="n">
        <v>46108</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3152-2024</t>
        </is>
      </c>
      <c r="B618" s="1" t="n">
        <v>45316.60306712963</v>
      </c>
      <c r="C618" s="1" t="n">
        <v>46108</v>
      </c>
      <c r="D618" t="inlineStr">
        <is>
          <t>STOCKHOLMS LÄN</t>
        </is>
      </c>
      <c r="E618" t="inlineStr">
        <is>
          <t>NORRTÄLJE</t>
        </is>
      </c>
      <c r="G618" t="n">
        <v>7.9</v>
      </c>
      <c r="H618" t="n">
        <v>0</v>
      </c>
      <c r="I618" t="n">
        <v>0</v>
      </c>
      <c r="J618" t="n">
        <v>0</v>
      </c>
      <c r="K618" t="n">
        <v>0</v>
      </c>
      <c r="L618" t="n">
        <v>0</v>
      </c>
      <c r="M618" t="n">
        <v>0</v>
      </c>
      <c r="N618" t="n">
        <v>0</v>
      </c>
      <c r="O618" t="n">
        <v>0</v>
      </c>
      <c r="P618" t="n">
        <v>0</v>
      </c>
      <c r="Q618" t="n">
        <v>0</v>
      </c>
      <c r="R618" s="2" t="inlineStr"/>
    </row>
    <row r="619" ht="15" customHeight="1">
      <c r="A619" t="inlineStr">
        <is>
          <t>A 51960-2025</t>
        </is>
      </c>
      <c r="B619" s="1" t="n">
        <v>45952.54755787037</v>
      </c>
      <c r="C619" s="1" t="n">
        <v>46108</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21729-2024</t>
        </is>
      </c>
      <c r="B620" s="1" t="n">
        <v>45442</v>
      </c>
      <c r="C620" s="1" t="n">
        <v>46108</v>
      </c>
      <c r="D620" t="inlineStr">
        <is>
          <t>STOCKHOLMS LÄN</t>
        </is>
      </c>
      <c r="E620" t="inlineStr">
        <is>
          <t>NORRTÄLJE</t>
        </is>
      </c>
      <c r="G620" t="n">
        <v>2.2</v>
      </c>
      <c r="H620" t="n">
        <v>0</v>
      </c>
      <c r="I620" t="n">
        <v>0</v>
      </c>
      <c r="J620" t="n">
        <v>0</v>
      </c>
      <c r="K620" t="n">
        <v>0</v>
      </c>
      <c r="L620" t="n">
        <v>0</v>
      </c>
      <c r="M620" t="n">
        <v>0</v>
      </c>
      <c r="N620" t="n">
        <v>0</v>
      </c>
      <c r="O620" t="n">
        <v>0</v>
      </c>
      <c r="P620" t="n">
        <v>0</v>
      </c>
      <c r="Q620" t="n">
        <v>0</v>
      </c>
      <c r="R620" s="2" t="inlineStr"/>
    </row>
    <row r="621" ht="15" customHeight="1">
      <c r="A621" t="inlineStr">
        <is>
          <t>A 59326-2023</t>
        </is>
      </c>
      <c r="B621" s="1" t="n">
        <v>45253.63089120371</v>
      </c>
      <c r="C621" s="1" t="n">
        <v>46108</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44836-2023</t>
        </is>
      </c>
      <c r="B622" s="1" t="n">
        <v>45190.55609953704</v>
      </c>
      <c r="C622" s="1" t="n">
        <v>46108</v>
      </c>
      <c r="D622" t="inlineStr">
        <is>
          <t>STOCKHOLMS LÄN</t>
        </is>
      </c>
      <c r="E622" t="inlineStr">
        <is>
          <t>NORRTÄLJE</t>
        </is>
      </c>
      <c r="G622" t="n">
        <v>2.3</v>
      </c>
      <c r="H622" t="n">
        <v>0</v>
      </c>
      <c r="I622" t="n">
        <v>0</v>
      </c>
      <c r="J622" t="n">
        <v>0</v>
      </c>
      <c r="K622" t="n">
        <v>0</v>
      </c>
      <c r="L622" t="n">
        <v>0</v>
      </c>
      <c r="M622" t="n">
        <v>0</v>
      </c>
      <c r="N622" t="n">
        <v>0</v>
      </c>
      <c r="O622" t="n">
        <v>0</v>
      </c>
      <c r="P622" t="n">
        <v>0</v>
      </c>
      <c r="Q622" t="n">
        <v>0</v>
      </c>
      <c r="R622" s="2" t="inlineStr"/>
    </row>
    <row r="623" ht="15" customHeight="1">
      <c r="A623" t="inlineStr">
        <is>
          <t>A 11854-2025</t>
        </is>
      </c>
      <c r="B623" s="1" t="n">
        <v>45728.38924768518</v>
      </c>
      <c r="C623" s="1" t="n">
        <v>46108</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20779-2025</t>
        </is>
      </c>
      <c r="B624" s="1" t="n">
        <v>45776.59871527777</v>
      </c>
      <c r="C624" s="1" t="n">
        <v>46108</v>
      </c>
      <c r="D624" t="inlineStr">
        <is>
          <t>STOCKHOLMS LÄN</t>
        </is>
      </c>
      <c r="E624" t="inlineStr">
        <is>
          <t>NORRTÄLJE</t>
        </is>
      </c>
      <c r="G624" t="n">
        <v>6.9</v>
      </c>
      <c r="H624" t="n">
        <v>0</v>
      </c>
      <c r="I624" t="n">
        <v>0</v>
      </c>
      <c r="J624" t="n">
        <v>0</v>
      </c>
      <c r="K624" t="n">
        <v>0</v>
      </c>
      <c r="L624" t="n">
        <v>0</v>
      </c>
      <c r="M624" t="n">
        <v>0</v>
      </c>
      <c r="N624" t="n">
        <v>0</v>
      </c>
      <c r="O624" t="n">
        <v>0</v>
      </c>
      <c r="P624" t="n">
        <v>0</v>
      </c>
      <c r="Q624" t="n">
        <v>0</v>
      </c>
      <c r="R624" s="2" t="inlineStr"/>
    </row>
    <row r="625" ht="15" customHeight="1">
      <c r="A625" t="inlineStr">
        <is>
          <t>A 51941-2025</t>
        </is>
      </c>
      <c r="B625" s="1" t="n">
        <v>45952.52261574074</v>
      </c>
      <c r="C625" s="1" t="n">
        <v>46108</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14762-2024</t>
        </is>
      </c>
      <c r="B626" s="1" t="n">
        <v>45397</v>
      </c>
      <c r="C626" s="1" t="n">
        <v>46108</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52061-2025</t>
        </is>
      </c>
      <c r="B627" s="1" t="n">
        <v>45952.63679398148</v>
      </c>
      <c r="C627" s="1" t="n">
        <v>46108</v>
      </c>
      <c r="D627" t="inlineStr">
        <is>
          <t>STOCKHOLMS LÄN</t>
        </is>
      </c>
      <c r="E627" t="inlineStr">
        <is>
          <t>NORRTÄLJE</t>
        </is>
      </c>
      <c r="G627" t="n">
        <v>9.5</v>
      </c>
      <c r="H627" t="n">
        <v>0</v>
      </c>
      <c r="I627" t="n">
        <v>0</v>
      </c>
      <c r="J627" t="n">
        <v>0</v>
      </c>
      <c r="K627" t="n">
        <v>0</v>
      </c>
      <c r="L627" t="n">
        <v>0</v>
      </c>
      <c r="M627" t="n">
        <v>0</v>
      </c>
      <c r="N627" t="n">
        <v>0</v>
      </c>
      <c r="O627" t="n">
        <v>0</v>
      </c>
      <c r="P627" t="n">
        <v>0</v>
      </c>
      <c r="Q627" t="n">
        <v>0</v>
      </c>
      <c r="R627" s="2" t="inlineStr"/>
    </row>
    <row r="628" ht="15" customHeight="1">
      <c r="A628" t="inlineStr">
        <is>
          <t>A 51945-2025</t>
        </is>
      </c>
      <c r="B628" s="1" t="n">
        <v>45952.52679398148</v>
      </c>
      <c r="C628" s="1" t="n">
        <v>46108</v>
      </c>
      <c r="D628" t="inlineStr">
        <is>
          <t>STOCKHOLMS LÄN</t>
        </is>
      </c>
      <c r="E628" t="inlineStr">
        <is>
          <t>NORRTÄLJE</t>
        </is>
      </c>
      <c r="G628" t="n">
        <v>7</v>
      </c>
      <c r="H628" t="n">
        <v>0</v>
      </c>
      <c r="I628" t="n">
        <v>0</v>
      </c>
      <c r="J628" t="n">
        <v>0</v>
      </c>
      <c r="K628" t="n">
        <v>0</v>
      </c>
      <c r="L628" t="n">
        <v>0</v>
      </c>
      <c r="M628" t="n">
        <v>0</v>
      </c>
      <c r="N628" t="n">
        <v>0</v>
      </c>
      <c r="O628" t="n">
        <v>0</v>
      </c>
      <c r="P628" t="n">
        <v>0</v>
      </c>
      <c r="Q628" t="n">
        <v>0</v>
      </c>
      <c r="R628" s="2" t="inlineStr"/>
    </row>
    <row r="629" ht="15" customHeight="1">
      <c r="A629" t="inlineStr">
        <is>
          <t>A 52251-2025</t>
        </is>
      </c>
      <c r="B629" s="1" t="n">
        <v>45953.49185185185</v>
      </c>
      <c r="C629" s="1" t="n">
        <v>46108</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52254-2025</t>
        </is>
      </c>
      <c r="B630" s="1" t="n">
        <v>45953.49519675926</v>
      </c>
      <c r="C630" s="1" t="n">
        <v>46108</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52773-2025</t>
        </is>
      </c>
      <c r="B631" s="1" t="n">
        <v>45957.41457175926</v>
      </c>
      <c r="C631" s="1" t="n">
        <v>46108</v>
      </c>
      <c r="D631" t="inlineStr">
        <is>
          <t>STOCKHOLMS LÄN</t>
        </is>
      </c>
      <c r="E631" t="inlineStr">
        <is>
          <t>NORRTÄLJE</t>
        </is>
      </c>
      <c r="F631" t="inlineStr">
        <is>
          <t>Sveaskog</t>
        </is>
      </c>
      <c r="G631" t="n">
        <v>10.5</v>
      </c>
      <c r="H631" t="n">
        <v>0</v>
      </c>
      <c r="I631" t="n">
        <v>0</v>
      </c>
      <c r="J631" t="n">
        <v>0</v>
      </c>
      <c r="K631" t="n">
        <v>0</v>
      </c>
      <c r="L631" t="n">
        <v>0</v>
      </c>
      <c r="M631" t="n">
        <v>0</v>
      </c>
      <c r="N631" t="n">
        <v>0</v>
      </c>
      <c r="O631" t="n">
        <v>0</v>
      </c>
      <c r="P631" t="n">
        <v>0</v>
      </c>
      <c r="Q631" t="n">
        <v>0</v>
      </c>
      <c r="R631" s="2" t="inlineStr"/>
    </row>
    <row r="632" ht="15" customHeight="1">
      <c r="A632" t="inlineStr">
        <is>
          <t>A 52777-2025</t>
        </is>
      </c>
      <c r="B632" s="1" t="n">
        <v>45957.41832175926</v>
      </c>
      <c r="C632" s="1" t="n">
        <v>46108</v>
      </c>
      <c r="D632" t="inlineStr">
        <is>
          <t>STOCKHOLMS LÄN</t>
        </is>
      </c>
      <c r="E632" t="inlineStr">
        <is>
          <t>NORRTÄLJE</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52526-2025</t>
        </is>
      </c>
      <c r="B633" s="1" t="n">
        <v>45954.53061342592</v>
      </c>
      <c r="C633" s="1" t="n">
        <v>46108</v>
      </c>
      <c r="D633" t="inlineStr">
        <is>
          <t>STOCKHOLMS LÄN</t>
        </is>
      </c>
      <c r="E633" t="inlineStr">
        <is>
          <t>NORRTÄLJE</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53000-2025</t>
        </is>
      </c>
      <c r="B634" s="1" t="n">
        <v>45957.74357638889</v>
      </c>
      <c r="C634" s="1" t="n">
        <v>46108</v>
      </c>
      <c r="D634" t="inlineStr">
        <is>
          <t>STOCKHOLMS LÄN</t>
        </is>
      </c>
      <c r="E634" t="inlineStr">
        <is>
          <t>NORRTÄLJE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52703-2025</t>
        </is>
      </c>
      <c r="B635" s="1" t="n">
        <v>45956.88643518519</v>
      </c>
      <c r="C635" s="1" t="n">
        <v>46108</v>
      </c>
      <c r="D635" t="inlineStr">
        <is>
          <t>STOCKHOLMS LÄN</t>
        </is>
      </c>
      <c r="E635" t="inlineStr">
        <is>
          <t>NORRTÄLJE</t>
        </is>
      </c>
      <c r="G635" t="n">
        <v>4.7</v>
      </c>
      <c r="H635" t="n">
        <v>0</v>
      </c>
      <c r="I635" t="n">
        <v>0</v>
      </c>
      <c r="J635" t="n">
        <v>0</v>
      </c>
      <c r="K635" t="n">
        <v>0</v>
      </c>
      <c r="L635" t="n">
        <v>0</v>
      </c>
      <c r="M635" t="n">
        <v>0</v>
      </c>
      <c r="N635" t="n">
        <v>0</v>
      </c>
      <c r="O635" t="n">
        <v>0</v>
      </c>
      <c r="P635" t="n">
        <v>0</v>
      </c>
      <c r="Q635" t="n">
        <v>0</v>
      </c>
      <c r="R635" s="2" t="inlineStr"/>
    </row>
    <row r="636" ht="15" customHeight="1">
      <c r="A636" t="inlineStr">
        <is>
          <t>A 59712-2024</t>
        </is>
      </c>
      <c r="B636" s="1" t="n">
        <v>45639.45166666667</v>
      </c>
      <c r="C636" s="1" t="n">
        <v>46108</v>
      </c>
      <c r="D636" t="inlineStr">
        <is>
          <t>STOCKHOLMS LÄN</t>
        </is>
      </c>
      <c r="E636" t="inlineStr">
        <is>
          <t>NORRTÄLJE</t>
        </is>
      </c>
      <c r="G636" t="n">
        <v>4.4</v>
      </c>
      <c r="H636" t="n">
        <v>0</v>
      </c>
      <c r="I636" t="n">
        <v>0</v>
      </c>
      <c r="J636" t="n">
        <v>0</v>
      </c>
      <c r="K636" t="n">
        <v>0</v>
      </c>
      <c r="L636" t="n">
        <v>0</v>
      </c>
      <c r="M636" t="n">
        <v>0</v>
      </c>
      <c r="N636" t="n">
        <v>0</v>
      </c>
      <c r="O636" t="n">
        <v>0</v>
      </c>
      <c r="P636" t="n">
        <v>0</v>
      </c>
      <c r="Q636" t="n">
        <v>0</v>
      </c>
      <c r="R636" s="2" t="inlineStr"/>
    </row>
    <row r="637" ht="15" customHeight="1">
      <c r="A637" t="inlineStr">
        <is>
          <t>A 52729-2025</t>
        </is>
      </c>
      <c r="B637" s="1" t="n">
        <v>45957.3636574074</v>
      </c>
      <c r="C637" s="1" t="n">
        <v>46108</v>
      </c>
      <c r="D637" t="inlineStr">
        <is>
          <t>STOCKHOLMS LÄN</t>
        </is>
      </c>
      <c r="E637" t="inlineStr">
        <is>
          <t>NORRTÄLJE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52734-2025</t>
        </is>
      </c>
      <c r="B638" s="1" t="n">
        <v>45957.3710300926</v>
      </c>
      <c r="C638" s="1" t="n">
        <v>46108</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52776-2025</t>
        </is>
      </c>
      <c r="B639" s="1" t="n">
        <v>45957.41724537037</v>
      </c>
      <c r="C639" s="1" t="n">
        <v>46108</v>
      </c>
      <c r="D639" t="inlineStr">
        <is>
          <t>STOCKHOLMS LÄN</t>
        </is>
      </c>
      <c r="E639" t="inlineStr">
        <is>
          <t>NORRTÄLJE</t>
        </is>
      </c>
      <c r="F639" t="inlineStr">
        <is>
          <t>Sveaskog</t>
        </is>
      </c>
      <c r="G639" t="n">
        <v>2.5</v>
      </c>
      <c r="H639" t="n">
        <v>0</v>
      </c>
      <c r="I639" t="n">
        <v>0</v>
      </c>
      <c r="J639" t="n">
        <v>0</v>
      </c>
      <c r="K639" t="n">
        <v>0</v>
      </c>
      <c r="L639" t="n">
        <v>0</v>
      </c>
      <c r="M639" t="n">
        <v>0</v>
      </c>
      <c r="N639" t="n">
        <v>0</v>
      </c>
      <c r="O639" t="n">
        <v>0</v>
      </c>
      <c r="P639" t="n">
        <v>0</v>
      </c>
      <c r="Q639" t="n">
        <v>0</v>
      </c>
      <c r="R639" s="2" t="inlineStr"/>
    </row>
    <row r="640" ht="15" customHeight="1">
      <c r="A640" t="inlineStr">
        <is>
          <t>A 35127-2023</t>
        </is>
      </c>
      <c r="B640" s="1" t="n">
        <v>45145.51</v>
      </c>
      <c r="C640" s="1" t="n">
        <v>46108</v>
      </c>
      <c r="D640" t="inlineStr">
        <is>
          <t>STOCKHOLMS LÄN</t>
        </is>
      </c>
      <c r="E640" t="inlineStr">
        <is>
          <t>NORRTÄLJE</t>
        </is>
      </c>
      <c r="G640" t="n">
        <v>4.7</v>
      </c>
      <c r="H640" t="n">
        <v>0</v>
      </c>
      <c r="I640" t="n">
        <v>0</v>
      </c>
      <c r="J640" t="n">
        <v>0</v>
      </c>
      <c r="K640" t="n">
        <v>0</v>
      </c>
      <c r="L640" t="n">
        <v>0</v>
      </c>
      <c r="M640" t="n">
        <v>0</v>
      </c>
      <c r="N640" t="n">
        <v>0</v>
      </c>
      <c r="O640" t="n">
        <v>0</v>
      </c>
      <c r="P640" t="n">
        <v>0</v>
      </c>
      <c r="Q640" t="n">
        <v>0</v>
      </c>
      <c r="R640" s="2" t="inlineStr"/>
    </row>
    <row r="641" ht="15" customHeight="1">
      <c r="A641" t="inlineStr">
        <is>
          <t>A 21771-2025</t>
        </is>
      </c>
      <c r="B641" s="1" t="n">
        <v>45783</v>
      </c>
      <c r="C641" s="1" t="n">
        <v>46108</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52529-2025</t>
        </is>
      </c>
      <c r="B642" s="1" t="n">
        <v>45954.53229166667</v>
      </c>
      <c r="C642" s="1" t="n">
        <v>46108</v>
      </c>
      <c r="D642" t="inlineStr">
        <is>
          <t>STOCKHOLMS LÄN</t>
        </is>
      </c>
      <c r="E642" t="inlineStr">
        <is>
          <t>NORRTÄLJE</t>
        </is>
      </c>
      <c r="F642" t="inlineStr">
        <is>
          <t>Sveaskog</t>
        </is>
      </c>
      <c r="G642" t="n">
        <v>7.8</v>
      </c>
      <c r="H642" t="n">
        <v>0</v>
      </c>
      <c r="I642" t="n">
        <v>0</v>
      </c>
      <c r="J642" t="n">
        <v>0</v>
      </c>
      <c r="K642" t="n">
        <v>0</v>
      </c>
      <c r="L642" t="n">
        <v>0</v>
      </c>
      <c r="M642" t="n">
        <v>0</v>
      </c>
      <c r="N642" t="n">
        <v>0</v>
      </c>
      <c r="O642" t="n">
        <v>0</v>
      </c>
      <c r="P642" t="n">
        <v>0</v>
      </c>
      <c r="Q642" t="n">
        <v>0</v>
      </c>
      <c r="R642" s="2" t="inlineStr"/>
    </row>
    <row r="643" ht="15" customHeight="1">
      <c r="A643" t="inlineStr">
        <is>
          <t>A 52704-2025</t>
        </is>
      </c>
      <c r="B643" s="1" t="n">
        <v>45956.89097222222</v>
      </c>
      <c r="C643" s="1" t="n">
        <v>46108</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52553-2025</t>
        </is>
      </c>
      <c r="B644" s="1" t="n">
        <v>45954.5624537037</v>
      </c>
      <c r="C644" s="1" t="n">
        <v>46108</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45255-2022</t>
        </is>
      </c>
      <c r="B645" s="1" t="n">
        <v>44840</v>
      </c>
      <c r="C645" s="1" t="n">
        <v>46108</v>
      </c>
      <c r="D645" t="inlineStr">
        <is>
          <t>STOCKHOLMS LÄN</t>
        </is>
      </c>
      <c r="E645" t="inlineStr">
        <is>
          <t>NORRTÄLJE</t>
        </is>
      </c>
      <c r="G645" t="n">
        <v>4.1</v>
      </c>
      <c r="H645" t="n">
        <v>0</v>
      </c>
      <c r="I645" t="n">
        <v>0</v>
      </c>
      <c r="J645" t="n">
        <v>0</v>
      </c>
      <c r="K645" t="n">
        <v>0</v>
      </c>
      <c r="L645" t="n">
        <v>0</v>
      </c>
      <c r="M645" t="n">
        <v>0</v>
      </c>
      <c r="N645" t="n">
        <v>0</v>
      </c>
      <c r="O645" t="n">
        <v>0</v>
      </c>
      <c r="P645" t="n">
        <v>0</v>
      </c>
      <c r="Q645" t="n">
        <v>0</v>
      </c>
      <c r="R645" s="2" t="inlineStr"/>
    </row>
    <row r="646" ht="15" customHeight="1">
      <c r="A646" t="inlineStr">
        <is>
          <t>A 59893-2022</t>
        </is>
      </c>
      <c r="B646" s="1" t="n">
        <v>44908.77368055555</v>
      </c>
      <c r="C646" s="1" t="n">
        <v>46108</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39905-2023</t>
        </is>
      </c>
      <c r="B647" s="1" t="n">
        <v>45168.44489583333</v>
      </c>
      <c r="C647" s="1" t="n">
        <v>46108</v>
      </c>
      <c r="D647" t="inlineStr">
        <is>
          <t>STOCKHOLMS LÄN</t>
        </is>
      </c>
      <c r="E647" t="inlineStr">
        <is>
          <t>NORRTÄLJE</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5645-2023</t>
        </is>
      </c>
      <c r="B648" s="1" t="n">
        <v>44960.60469907407</v>
      </c>
      <c r="C648" s="1" t="n">
        <v>46108</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68361-2021</t>
        </is>
      </c>
      <c r="B649" s="1" t="n">
        <v>44528.91494212963</v>
      </c>
      <c r="C649" s="1" t="n">
        <v>46108</v>
      </c>
      <c r="D649" t="inlineStr">
        <is>
          <t>STOCKHOLMS LÄN</t>
        </is>
      </c>
      <c r="E649" t="inlineStr">
        <is>
          <t>NORRTÄLJE</t>
        </is>
      </c>
      <c r="G649" t="n">
        <v>1.9</v>
      </c>
      <c r="H649" t="n">
        <v>0</v>
      </c>
      <c r="I649" t="n">
        <v>0</v>
      </c>
      <c r="J649" t="n">
        <v>0</v>
      </c>
      <c r="K649" t="n">
        <v>0</v>
      </c>
      <c r="L649" t="n">
        <v>0</v>
      </c>
      <c r="M649" t="n">
        <v>0</v>
      </c>
      <c r="N649" t="n">
        <v>0</v>
      </c>
      <c r="O649" t="n">
        <v>0</v>
      </c>
      <c r="P649" t="n">
        <v>0</v>
      </c>
      <c r="Q649" t="n">
        <v>0</v>
      </c>
      <c r="R649" s="2" t="inlineStr"/>
    </row>
    <row r="650" ht="15" customHeight="1">
      <c r="A650" t="inlineStr">
        <is>
          <t>A 60529-2023</t>
        </is>
      </c>
      <c r="B650" s="1" t="n">
        <v>45259</v>
      </c>
      <c r="C650" s="1" t="n">
        <v>46108</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53299-2025</t>
        </is>
      </c>
      <c r="B651" s="1" t="n">
        <v>45959.31901620371</v>
      </c>
      <c r="C651" s="1" t="n">
        <v>46108</v>
      </c>
      <c r="D651" t="inlineStr">
        <is>
          <t>STOCKHOLMS LÄN</t>
        </is>
      </c>
      <c r="E651" t="inlineStr">
        <is>
          <t>NORRTÄLJE</t>
        </is>
      </c>
      <c r="G651" t="n">
        <v>4.8</v>
      </c>
      <c r="H651" t="n">
        <v>0</v>
      </c>
      <c r="I651" t="n">
        <v>0</v>
      </c>
      <c r="J651" t="n">
        <v>0</v>
      </c>
      <c r="K651" t="n">
        <v>0</v>
      </c>
      <c r="L651" t="n">
        <v>0</v>
      </c>
      <c r="M651" t="n">
        <v>0</v>
      </c>
      <c r="N651" t="n">
        <v>0</v>
      </c>
      <c r="O651" t="n">
        <v>0</v>
      </c>
      <c r="P651" t="n">
        <v>0</v>
      </c>
      <c r="Q651" t="n">
        <v>0</v>
      </c>
      <c r="R651" s="2" t="inlineStr"/>
    </row>
    <row r="652" ht="15" customHeight="1">
      <c r="A652" t="inlineStr">
        <is>
          <t>A 53087-2025</t>
        </is>
      </c>
      <c r="B652" s="1" t="n">
        <v>45958.41065972222</v>
      </c>
      <c r="C652" s="1" t="n">
        <v>46108</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53115-2025</t>
        </is>
      </c>
      <c r="B653" s="1" t="n">
        <v>45958.44614583333</v>
      </c>
      <c r="C653" s="1" t="n">
        <v>46108</v>
      </c>
      <c r="D653" t="inlineStr">
        <is>
          <t>STOCKHOLMS LÄN</t>
        </is>
      </c>
      <c r="E653" t="inlineStr">
        <is>
          <t>NORRTÄLJE</t>
        </is>
      </c>
      <c r="F653" t="inlineStr">
        <is>
          <t>Kyrkan</t>
        </is>
      </c>
      <c r="G653" t="n">
        <v>2.5</v>
      </c>
      <c r="H653" t="n">
        <v>0</v>
      </c>
      <c r="I653" t="n">
        <v>0</v>
      </c>
      <c r="J653" t="n">
        <v>0</v>
      </c>
      <c r="K653" t="n">
        <v>0</v>
      </c>
      <c r="L653" t="n">
        <v>0</v>
      </c>
      <c r="M653" t="n">
        <v>0</v>
      </c>
      <c r="N653" t="n">
        <v>0</v>
      </c>
      <c r="O653" t="n">
        <v>0</v>
      </c>
      <c r="P653" t="n">
        <v>0</v>
      </c>
      <c r="Q653" t="n">
        <v>0</v>
      </c>
      <c r="R653" s="2" t="inlineStr"/>
    </row>
    <row r="654" ht="15" customHeight="1">
      <c r="A654" t="inlineStr">
        <is>
          <t>A 53629-2025</t>
        </is>
      </c>
      <c r="B654" s="1" t="n">
        <v>45960.49570601852</v>
      </c>
      <c r="C654" s="1" t="n">
        <v>46108</v>
      </c>
      <c r="D654" t="inlineStr">
        <is>
          <t>STOCKHOLMS LÄN</t>
        </is>
      </c>
      <c r="E654" t="inlineStr">
        <is>
          <t>NORRTÄLJE</t>
        </is>
      </c>
      <c r="F654" t="inlineStr">
        <is>
          <t>Naturvårdsverket</t>
        </is>
      </c>
      <c r="G654" t="n">
        <v>7.9</v>
      </c>
      <c r="H654" t="n">
        <v>0</v>
      </c>
      <c r="I654" t="n">
        <v>0</v>
      </c>
      <c r="J654" t="n">
        <v>0</v>
      </c>
      <c r="K654" t="n">
        <v>0</v>
      </c>
      <c r="L654" t="n">
        <v>0</v>
      </c>
      <c r="M654" t="n">
        <v>0</v>
      </c>
      <c r="N654" t="n">
        <v>0</v>
      </c>
      <c r="O654" t="n">
        <v>0</v>
      </c>
      <c r="P654" t="n">
        <v>0</v>
      </c>
      <c r="Q654" t="n">
        <v>0</v>
      </c>
      <c r="R654" s="2" t="inlineStr"/>
    </row>
    <row r="655" ht="15" customHeight="1">
      <c r="A655" t="inlineStr">
        <is>
          <t>A 21778-2025</t>
        </is>
      </c>
      <c r="B655" s="1" t="n">
        <v>45783.66429398148</v>
      </c>
      <c r="C655" s="1" t="n">
        <v>46108</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53747-2025</t>
        </is>
      </c>
      <c r="B656" s="1" t="n">
        <v>45960.65415509259</v>
      </c>
      <c r="C656" s="1" t="n">
        <v>46108</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19706-2023</t>
        </is>
      </c>
      <c r="B657" s="1" t="n">
        <v>45051.455</v>
      </c>
      <c r="C657" s="1" t="n">
        <v>46108</v>
      </c>
      <c r="D657" t="inlineStr">
        <is>
          <t>STOCKHOLMS LÄN</t>
        </is>
      </c>
      <c r="E657" t="inlineStr">
        <is>
          <t>NORRTÄLJE</t>
        </is>
      </c>
      <c r="G657" t="n">
        <v>0.2</v>
      </c>
      <c r="H657" t="n">
        <v>0</v>
      </c>
      <c r="I657" t="n">
        <v>0</v>
      </c>
      <c r="J657" t="n">
        <v>0</v>
      </c>
      <c r="K657" t="n">
        <v>0</v>
      </c>
      <c r="L657" t="n">
        <v>0</v>
      </c>
      <c r="M657" t="n">
        <v>0</v>
      </c>
      <c r="N657" t="n">
        <v>0</v>
      </c>
      <c r="O657" t="n">
        <v>0</v>
      </c>
      <c r="P657" t="n">
        <v>0</v>
      </c>
      <c r="Q657" t="n">
        <v>0</v>
      </c>
      <c r="R657" s="2" t="inlineStr"/>
    </row>
    <row r="658" ht="15" customHeight="1">
      <c r="A658" t="inlineStr">
        <is>
          <t>A 18539-2021</t>
        </is>
      </c>
      <c r="B658" s="1" t="n">
        <v>44306</v>
      </c>
      <c r="C658" s="1" t="n">
        <v>46108</v>
      </c>
      <c r="D658" t="inlineStr">
        <is>
          <t>STOCKHOLMS LÄN</t>
        </is>
      </c>
      <c r="E658" t="inlineStr">
        <is>
          <t>NORRTÄLJE</t>
        </is>
      </c>
      <c r="F658" t="inlineStr">
        <is>
          <t>Holmen skog AB</t>
        </is>
      </c>
      <c r="G658" t="n">
        <v>5.5</v>
      </c>
      <c r="H658" t="n">
        <v>0</v>
      </c>
      <c r="I658" t="n">
        <v>0</v>
      </c>
      <c r="J658" t="n">
        <v>0</v>
      </c>
      <c r="K658" t="n">
        <v>0</v>
      </c>
      <c r="L658" t="n">
        <v>0</v>
      </c>
      <c r="M658" t="n">
        <v>0</v>
      </c>
      <c r="N658" t="n">
        <v>0</v>
      </c>
      <c r="O658" t="n">
        <v>0</v>
      </c>
      <c r="P658" t="n">
        <v>0</v>
      </c>
      <c r="Q658" t="n">
        <v>0</v>
      </c>
      <c r="R658" s="2" t="inlineStr"/>
    </row>
    <row r="659" ht="15" customHeight="1">
      <c r="A659" t="inlineStr">
        <is>
          <t>A 17612-2022</t>
        </is>
      </c>
      <c r="B659" s="1" t="n">
        <v>44680</v>
      </c>
      <c r="C659" s="1" t="n">
        <v>46108</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16835-2022</t>
        </is>
      </c>
      <c r="B660" s="1" t="n">
        <v>44673</v>
      </c>
      <c r="C660" s="1" t="n">
        <v>46108</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62765-2022</t>
        </is>
      </c>
      <c r="B661" s="1" t="n">
        <v>44637</v>
      </c>
      <c r="C661" s="1" t="n">
        <v>46108</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22202-2025</t>
        </is>
      </c>
      <c r="B662" s="1" t="n">
        <v>45785.65300925926</v>
      </c>
      <c r="C662" s="1" t="n">
        <v>46108</v>
      </c>
      <c r="D662" t="inlineStr">
        <is>
          <t>STOCKHOLMS LÄN</t>
        </is>
      </c>
      <c r="E662" t="inlineStr">
        <is>
          <t>NORRTÄLJE</t>
        </is>
      </c>
      <c r="G662" t="n">
        <v>10.2</v>
      </c>
      <c r="H662" t="n">
        <v>0</v>
      </c>
      <c r="I662" t="n">
        <v>0</v>
      </c>
      <c r="J662" t="n">
        <v>0</v>
      </c>
      <c r="K662" t="n">
        <v>0</v>
      </c>
      <c r="L662" t="n">
        <v>0</v>
      </c>
      <c r="M662" t="n">
        <v>0</v>
      </c>
      <c r="N662" t="n">
        <v>0</v>
      </c>
      <c r="O662" t="n">
        <v>0</v>
      </c>
      <c r="P662" t="n">
        <v>0</v>
      </c>
      <c r="Q662" t="n">
        <v>0</v>
      </c>
      <c r="R662" s="2" t="inlineStr"/>
    </row>
    <row r="663" ht="15" customHeight="1">
      <c r="A663" t="inlineStr">
        <is>
          <t>A 58404-2023</t>
        </is>
      </c>
      <c r="B663" s="1" t="n">
        <v>45245</v>
      </c>
      <c r="C663" s="1" t="n">
        <v>46108</v>
      </c>
      <c r="D663" t="inlineStr">
        <is>
          <t>STOCKHOLMS LÄN</t>
        </is>
      </c>
      <c r="E663" t="inlineStr">
        <is>
          <t>NORRTÄLJE</t>
        </is>
      </c>
      <c r="G663" t="n">
        <v>53.5</v>
      </c>
      <c r="H663" t="n">
        <v>0</v>
      </c>
      <c r="I663" t="n">
        <v>0</v>
      </c>
      <c r="J663" t="n">
        <v>0</v>
      </c>
      <c r="K663" t="n">
        <v>0</v>
      </c>
      <c r="L663" t="n">
        <v>0</v>
      </c>
      <c r="M663" t="n">
        <v>0</v>
      </c>
      <c r="N663" t="n">
        <v>0</v>
      </c>
      <c r="O663" t="n">
        <v>0</v>
      </c>
      <c r="P663" t="n">
        <v>0</v>
      </c>
      <c r="Q663" t="n">
        <v>0</v>
      </c>
      <c r="R663" s="2" t="inlineStr"/>
    </row>
    <row r="664" ht="15" customHeight="1">
      <c r="A664" t="inlineStr">
        <is>
          <t>A 8586-2023</t>
        </is>
      </c>
      <c r="B664" s="1" t="n">
        <v>44977</v>
      </c>
      <c r="C664" s="1" t="n">
        <v>46108</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54907-2025</t>
        </is>
      </c>
      <c r="B665" s="1" t="n">
        <v>45967.37137731481</v>
      </c>
      <c r="C665" s="1" t="n">
        <v>46108</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16202-2022</t>
        </is>
      </c>
      <c r="B666" s="1" t="n">
        <v>44670</v>
      </c>
      <c r="C666" s="1" t="n">
        <v>46108</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16620-2024</t>
        </is>
      </c>
      <c r="B667" s="1" t="n">
        <v>45408.57707175926</v>
      </c>
      <c r="C667" s="1" t="n">
        <v>46108</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55018-2024</t>
        </is>
      </c>
      <c r="B668" s="1" t="n">
        <v>45621.35712962963</v>
      </c>
      <c r="C668" s="1" t="n">
        <v>46108</v>
      </c>
      <c r="D668" t="inlineStr">
        <is>
          <t>STOCKHOLMS LÄN</t>
        </is>
      </c>
      <c r="E668" t="inlineStr">
        <is>
          <t>NORRTÄLJE</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55503-2025</t>
        </is>
      </c>
      <c r="B669" s="1" t="n">
        <v>45971</v>
      </c>
      <c r="C669" s="1" t="n">
        <v>46108</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50136-2023</t>
        </is>
      </c>
      <c r="B670" s="1" t="n">
        <v>45215</v>
      </c>
      <c r="C670" s="1" t="n">
        <v>46108</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25656-2023</t>
        </is>
      </c>
      <c r="B671" s="1" t="n">
        <v>45089</v>
      </c>
      <c r="C671" s="1" t="n">
        <v>46108</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6003-2025</t>
        </is>
      </c>
      <c r="B672" s="1" t="n">
        <v>45695.57881944445</v>
      </c>
      <c r="C672" s="1" t="n">
        <v>46108</v>
      </c>
      <c r="D672" t="inlineStr">
        <is>
          <t>STOCKHOLMS LÄN</t>
        </is>
      </c>
      <c r="E672" t="inlineStr">
        <is>
          <t>NORRTÄLJE</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11902-2024</t>
        </is>
      </c>
      <c r="B673" s="1" t="n">
        <v>45376.55704861111</v>
      </c>
      <c r="C673" s="1" t="n">
        <v>46108</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38049-2023</t>
        </is>
      </c>
      <c r="B674" s="1" t="n">
        <v>45159</v>
      </c>
      <c r="C674" s="1" t="n">
        <v>46108</v>
      </c>
      <c r="D674" t="inlineStr">
        <is>
          <t>STOCKHOLMS LÄN</t>
        </is>
      </c>
      <c r="E674" t="inlineStr">
        <is>
          <t>NORRTÄLJE</t>
        </is>
      </c>
      <c r="G674" t="n">
        <v>3.6</v>
      </c>
      <c r="H674" t="n">
        <v>0</v>
      </c>
      <c r="I674" t="n">
        <v>0</v>
      </c>
      <c r="J674" t="n">
        <v>0</v>
      </c>
      <c r="K674" t="n">
        <v>0</v>
      </c>
      <c r="L674" t="n">
        <v>0</v>
      </c>
      <c r="M674" t="n">
        <v>0</v>
      </c>
      <c r="N674" t="n">
        <v>0</v>
      </c>
      <c r="O674" t="n">
        <v>0</v>
      </c>
      <c r="P674" t="n">
        <v>0</v>
      </c>
      <c r="Q674" t="n">
        <v>0</v>
      </c>
      <c r="R674" s="2" t="inlineStr"/>
    </row>
    <row r="675" ht="15" customHeight="1">
      <c r="A675" t="inlineStr">
        <is>
          <t>A 59535-2024</t>
        </is>
      </c>
      <c r="B675" s="1" t="n">
        <v>45638.59979166667</v>
      </c>
      <c r="C675" s="1" t="n">
        <v>46108</v>
      </c>
      <c r="D675" t="inlineStr">
        <is>
          <t>STOCKHOLMS LÄN</t>
        </is>
      </c>
      <c r="E675" t="inlineStr">
        <is>
          <t>NORRTÄLJE</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55599-2025</t>
        </is>
      </c>
      <c r="B676" s="1" t="n">
        <v>45971.76810185185</v>
      </c>
      <c r="C676" s="1" t="n">
        <v>46108</v>
      </c>
      <c r="D676" t="inlineStr">
        <is>
          <t>STOCKHOLMS LÄN</t>
        </is>
      </c>
      <c r="E676" t="inlineStr">
        <is>
          <t>NORRTÄLJE</t>
        </is>
      </c>
      <c r="F676" t="inlineStr">
        <is>
          <t>Holmen skog AB</t>
        </is>
      </c>
      <c r="G676" t="n">
        <v>6.4</v>
      </c>
      <c r="H676" t="n">
        <v>0</v>
      </c>
      <c r="I676" t="n">
        <v>0</v>
      </c>
      <c r="J676" t="n">
        <v>0</v>
      </c>
      <c r="K676" t="n">
        <v>0</v>
      </c>
      <c r="L676" t="n">
        <v>0</v>
      </c>
      <c r="M676" t="n">
        <v>0</v>
      </c>
      <c r="N676" t="n">
        <v>0</v>
      </c>
      <c r="O676" t="n">
        <v>0</v>
      </c>
      <c r="P676" t="n">
        <v>0</v>
      </c>
      <c r="Q676" t="n">
        <v>0</v>
      </c>
      <c r="R676" s="2" t="inlineStr"/>
    </row>
    <row r="677" ht="15" customHeight="1">
      <c r="A677" t="inlineStr">
        <is>
          <t>A 56114-2025</t>
        </is>
      </c>
      <c r="B677" s="1" t="n">
        <v>45973.74474537037</v>
      </c>
      <c r="C677" s="1" t="n">
        <v>46108</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22416-2025</t>
        </is>
      </c>
      <c r="B678" s="1" t="n">
        <v>45786.55645833333</v>
      </c>
      <c r="C678" s="1" t="n">
        <v>46108</v>
      </c>
      <c r="D678" t="inlineStr">
        <is>
          <t>STOCKHOLMS LÄN</t>
        </is>
      </c>
      <c r="E678" t="inlineStr">
        <is>
          <t>NORRTÄLJE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4183-2025</t>
        </is>
      </c>
      <c r="B679" s="1" t="n">
        <v>45685.44592592592</v>
      </c>
      <c r="C679" s="1" t="n">
        <v>46108</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9480-2025</t>
        </is>
      </c>
      <c r="B680" s="1" t="n">
        <v>45715</v>
      </c>
      <c r="C680" s="1" t="n">
        <v>46108</v>
      </c>
      <c r="D680" t="inlineStr">
        <is>
          <t>STOCKHOLMS LÄN</t>
        </is>
      </c>
      <c r="E680" t="inlineStr">
        <is>
          <t>NORRTÄLJE</t>
        </is>
      </c>
      <c r="F680" t="inlineStr">
        <is>
          <t>Övriga Aktiebolag</t>
        </is>
      </c>
      <c r="G680" t="n">
        <v>3.9</v>
      </c>
      <c r="H680" t="n">
        <v>0</v>
      </c>
      <c r="I680" t="n">
        <v>0</v>
      </c>
      <c r="J680" t="n">
        <v>0</v>
      </c>
      <c r="K680" t="n">
        <v>0</v>
      </c>
      <c r="L680" t="n">
        <v>0</v>
      </c>
      <c r="M680" t="n">
        <v>0</v>
      </c>
      <c r="N680" t="n">
        <v>0</v>
      </c>
      <c r="O680" t="n">
        <v>0</v>
      </c>
      <c r="P680" t="n">
        <v>0</v>
      </c>
      <c r="Q680" t="n">
        <v>0</v>
      </c>
      <c r="R680" s="2" t="inlineStr"/>
    </row>
    <row r="681" ht="15" customHeight="1">
      <c r="A681" t="inlineStr">
        <is>
          <t>A 58785-2024</t>
        </is>
      </c>
      <c r="B681" s="1" t="n">
        <v>45635.88849537037</v>
      </c>
      <c r="C681" s="1" t="n">
        <v>46108</v>
      </c>
      <c r="D681" t="inlineStr">
        <is>
          <t>STOCKHOLMS LÄN</t>
        </is>
      </c>
      <c r="E681" t="inlineStr">
        <is>
          <t>NORRTÄLJE</t>
        </is>
      </c>
      <c r="G681" t="n">
        <v>3.3</v>
      </c>
      <c r="H681" t="n">
        <v>0</v>
      </c>
      <c r="I681" t="n">
        <v>0</v>
      </c>
      <c r="J681" t="n">
        <v>0</v>
      </c>
      <c r="K681" t="n">
        <v>0</v>
      </c>
      <c r="L681" t="n">
        <v>0</v>
      </c>
      <c r="M681" t="n">
        <v>0</v>
      </c>
      <c r="N681" t="n">
        <v>0</v>
      </c>
      <c r="O681" t="n">
        <v>0</v>
      </c>
      <c r="P681" t="n">
        <v>0</v>
      </c>
      <c r="Q681" t="n">
        <v>0</v>
      </c>
      <c r="R681" s="2" t="inlineStr"/>
    </row>
    <row r="682" ht="15" customHeight="1">
      <c r="A682" t="inlineStr">
        <is>
          <t>A 2182-2022</t>
        </is>
      </c>
      <c r="B682" s="1" t="n">
        <v>44578</v>
      </c>
      <c r="C682" s="1" t="n">
        <v>46108</v>
      </c>
      <c r="D682" t="inlineStr">
        <is>
          <t>STOCKHOLMS LÄN</t>
        </is>
      </c>
      <c r="E682" t="inlineStr">
        <is>
          <t>NORRTÄLJE</t>
        </is>
      </c>
      <c r="G682" t="n">
        <v>7.2</v>
      </c>
      <c r="H682" t="n">
        <v>0</v>
      </c>
      <c r="I682" t="n">
        <v>0</v>
      </c>
      <c r="J682" t="n">
        <v>0</v>
      </c>
      <c r="K682" t="n">
        <v>0</v>
      </c>
      <c r="L682" t="n">
        <v>0</v>
      </c>
      <c r="M682" t="n">
        <v>0</v>
      </c>
      <c r="N682" t="n">
        <v>0</v>
      </c>
      <c r="O682" t="n">
        <v>0</v>
      </c>
      <c r="P682" t="n">
        <v>0</v>
      </c>
      <c r="Q682" t="n">
        <v>0</v>
      </c>
      <c r="R682" s="2" t="inlineStr"/>
    </row>
    <row r="683" ht="15" customHeight="1">
      <c r="A683" t="inlineStr">
        <is>
          <t>A 13268-2025</t>
        </is>
      </c>
      <c r="B683" s="1" t="n">
        <v>45735</v>
      </c>
      <c r="C683" s="1" t="n">
        <v>46108</v>
      </c>
      <c r="D683" t="inlineStr">
        <is>
          <t>STOCKHOLMS LÄN</t>
        </is>
      </c>
      <c r="E683" t="inlineStr">
        <is>
          <t>NORRTÄLJE</t>
        </is>
      </c>
      <c r="G683" t="n">
        <v>11.4</v>
      </c>
      <c r="H683" t="n">
        <v>0</v>
      </c>
      <c r="I683" t="n">
        <v>0</v>
      </c>
      <c r="J683" t="n">
        <v>0</v>
      </c>
      <c r="K683" t="n">
        <v>0</v>
      </c>
      <c r="L683" t="n">
        <v>0</v>
      </c>
      <c r="M683" t="n">
        <v>0</v>
      </c>
      <c r="N683" t="n">
        <v>0</v>
      </c>
      <c r="O683" t="n">
        <v>0</v>
      </c>
      <c r="P683" t="n">
        <v>0</v>
      </c>
      <c r="Q683" t="n">
        <v>0</v>
      </c>
      <c r="R683" s="2" t="inlineStr"/>
    </row>
    <row r="684" ht="15" customHeight="1">
      <c r="A684" t="inlineStr">
        <is>
          <t>A 8414-2025</t>
        </is>
      </c>
      <c r="B684" s="1" t="n">
        <v>45709.39361111111</v>
      </c>
      <c r="C684" s="1" t="n">
        <v>46108</v>
      </c>
      <c r="D684" t="inlineStr">
        <is>
          <t>STOCKHOLMS LÄN</t>
        </is>
      </c>
      <c r="E684" t="inlineStr">
        <is>
          <t>NORRTÄLJE</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56207-2025</t>
        </is>
      </c>
      <c r="B685" s="1" t="n">
        <v>45974.47329861111</v>
      </c>
      <c r="C685" s="1" t="n">
        <v>46108</v>
      </c>
      <c r="D685" t="inlineStr">
        <is>
          <t>STOCKHOLMS LÄN</t>
        </is>
      </c>
      <c r="E685" t="inlineStr">
        <is>
          <t>NORRTÄLJE</t>
        </is>
      </c>
      <c r="G685" t="n">
        <v>3.2</v>
      </c>
      <c r="H685" t="n">
        <v>0</v>
      </c>
      <c r="I685" t="n">
        <v>0</v>
      </c>
      <c r="J685" t="n">
        <v>0</v>
      </c>
      <c r="K685" t="n">
        <v>0</v>
      </c>
      <c r="L685" t="n">
        <v>0</v>
      </c>
      <c r="M685" t="n">
        <v>0</v>
      </c>
      <c r="N685" t="n">
        <v>0</v>
      </c>
      <c r="O685" t="n">
        <v>0</v>
      </c>
      <c r="P685" t="n">
        <v>0</v>
      </c>
      <c r="Q685" t="n">
        <v>0</v>
      </c>
      <c r="R685" s="2" t="inlineStr"/>
    </row>
    <row r="686" ht="15" customHeight="1">
      <c r="A686" t="inlineStr">
        <is>
          <t>A 24522-2023</t>
        </is>
      </c>
      <c r="B686" s="1" t="n">
        <v>45082.69179398148</v>
      </c>
      <c r="C686" s="1" t="n">
        <v>46108</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25625-2023</t>
        </is>
      </c>
      <c r="B687" s="1" t="n">
        <v>45089</v>
      </c>
      <c r="C687" s="1" t="n">
        <v>46108</v>
      </c>
      <c r="D687" t="inlineStr">
        <is>
          <t>STOCKHOLMS LÄN</t>
        </is>
      </c>
      <c r="E687" t="inlineStr">
        <is>
          <t>NORRTÄLJE</t>
        </is>
      </c>
      <c r="G687" t="n">
        <v>5.5</v>
      </c>
      <c r="H687" t="n">
        <v>0</v>
      </c>
      <c r="I687" t="n">
        <v>0</v>
      </c>
      <c r="J687" t="n">
        <v>0</v>
      </c>
      <c r="K687" t="n">
        <v>0</v>
      </c>
      <c r="L687" t="n">
        <v>0</v>
      </c>
      <c r="M687" t="n">
        <v>0</v>
      </c>
      <c r="N687" t="n">
        <v>0</v>
      </c>
      <c r="O687" t="n">
        <v>0</v>
      </c>
      <c r="P687" t="n">
        <v>0</v>
      </c>
      <c r="Q687" t="n">
        <v>0</v>
      </c>
      <c r="R687" s="2" t="inlineStr"/>
    </row>
    <row r="688" ht="15" customHeight="1">
      <c r="A688" t="inlineStr">
        <is>
          <t>A 36625-2024</t>
        </is>
      </c>
      <c r="B688" s="1" t="n">
        <v>45537</v>
      </c>
      <c r="C688" s="1" t="n">
        <v>46108</v>
      </c>
      <c r="D688" t="inlineStr">
        <is>
          <t>STOCKHOLMS LÄN</t>
        </is>
      </c>
      <c r="E688" t="inlineStr">
        <is>
          <t>NORRTÄLJE</t>
        </is>
      </c>
      <c r="G688" t="n">
        <v>3.8</v>
      </c>
      <c r="H688" t="n">
        <v>0</v>
      </c>
      <c r="I688" t="n">
        <v>0</v>
      </c>
      <c r="J688" t="n">
        <v>0</v>
      </c>
      <c r="K688" t="n">
        <v>0</v>
      </c>
      <c r="L688" t="n">
        <v>0</v>
      </c>
      <c r="M688" t="n">
        <v>0</v>
      </c>
      <c r="N688" t="n">
        <v>0</v>
      </c>
      <c r="O688" t="n">
        <v>0</v>
      </c>
      <c r="P688" t="n">
        <v>0</v>
      </c>
      <c r="Q688" t="n">
        <v>0</v>
      </c>
      <c r="R688" s="2" t="inlineStr"/>
    </row>
    <row r="689" ht="15" customHeight="1">
      <c r="A689" t="inlineStr">
        <is>
          <t>A 37147-2023</t>
        </is>
      </c>
      <c r="B689" s="1" t="n">
        <v>45155</v>
      </c>
      <c r="C689" s="1" t="n">
        <v>46108</v>
      </c>
      <c r="D689" t="inlineStr">
        <is>
          <t>STOCKHOLMS LÄN</t>
        </is>
      </c>
      <c r="E689" t="inlineStr">
        <is>
          <t>NORRTÄLJE</t>
        </is>
      </c>
      <c r="G689" t="n">
        <v>8</v>
      </c>
      <c r="H689" t="n">
        <v>0</v>
      </c>
      <c r="I689" t="n">
        <v>0</v>
      </c>
      <c r="J689" t="n">
        <v>0</v>
      </c>
      <c r="K689" t="n">
        <v>0</v>
      </c>
      <c r="L689" t="n">
        <v>0</v>
      </c>
      <c r="M689" t="n">
        <v>0</v>
      </c>
      <c r="N689" t="n">
        <v>0</v>
      </c>
      <c r="O689" t="n">
        <v>0</v>
      </c>
      <c r="P689" t="n">
        <v>0</v>
      </c>
      <c r="Q689" t="n">
        <v>0</v>
      </c>
      <c r="R689" s="2" t="inlineStr"/>
    </row>
    <row r="690" ht="15" customHeight="1">
      <c r="A690" t="inlineStr">
        <is>
          <t>A 7186-2024</t>
        </is>
      </c>
      <c r="B690" s="1" t="n">
        <v>45344</v>
      </c>
      <c r="C690" s="1" t="n">
        <v>46108</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44891-2023</t>
        </is>
      </c>
      <c r="B691" s="1" t="n">
        <v>45187</v>
      </c>
      <c r="C691" s="1" t="n">
        <v>46108</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12902-2024</t>
        </is>
      </c>
      <c r="B692" s="1" t="n">
        <v>45385.38146990741</v>
      </c>
      <c r="C692" s="1" t="n">
        <v>46108</v>
      </c>
      <c r="D692" t="inlineStr">
        <is>
          <t>STOCKHOLMS LÄN</t>
        </is>
      </c>
      <c r="E692" t="inlineStr">
        <is>
          <t>NORRTÄLJE</t>
        </is>
      </c>
      <c r="G692" t="n">
        <v>3.7</v>
      </c>
      <c r="H692" t="n">
        <v>0</v>
      </c>
      <c r="I692" t="n">
        <v>0</v>
      </c>
      <c r="J692" t="n">
        <v>0</v>
      </c>
      <c r="K692" t="n">
        <v>0</v>
      </c>
      <c r="L692" t="n">
        <v>0</v>
      </c>
      <c r="M692" t="n">
        <v>0</v>
      </c>
      <c r="N692" t="n">
        <v>0</v>
      </c>
      <c r="O692" t="n">
        <v>0</v>
      </c>
      <c r="P692" t="n">
        <v>0</v>
      </c>
      <c r="Q692" t="n">
        <v>0</v>
      </c>
      <c r="R692" s="2" t="inlineStr"/>
    </row>
    <row r="693" ht="15" customHeight="1">
      <c r="A693" t="inlineStr">
        <is>
          <t>A 44032-2024</t>
        </is>
      </c>
      <c r="B693" s="1" t="n">
        <v>45572.57828703704</v>
      </c>
      <c r="C693" s="1" t="n">
        <v>46108</v>
      </c>
      <c r="D693" t="inlineStr">
        <is>
          <t>STOCKHOLMS LÄN</t>
        </is>
      </c>
      <c r="E693" t="inlineStr">
        <is>
          <t>NORRTÄLJE</t>
        </is>
      </c>
      <c r="G693" t="n">
        <v>8.6</v>
      </c>
      <c r="H693" t="n">
        <v>0</v>
      </c>
      <c r="I693" t="n">
        <v>0</v>
      </c>
      <c r="J693" t="n">
        <v>0</v>
      </c>
      <c r="K693" t="n">
        <v>0</v>
      </c>
      <c r="L693" t="n">
        <v>0</v>
      </c>
      <c r="M693" t="n">
        <v>0</v>
      </c>
      <c r="N693" t="n">
        <v>0</v>
      </c>
      <c r="O693" t="n">
        <v>0</v>
      </c>
      <c r="P693" t="n">
        <v>0</v>
      </c>
      <c r="Q693" t="n">
        <v>0</v>
      </c>
      <c r="R693" s="2" t="inlineStr"/>
    </row>
    <row r="694" ht="15" customHeight="1">
      <c r="A694" t="inlineStr">
        <is>
          <t>A 24563-2024</t>
        </is>
      </c>
      <c r="B694" s="1" t="n">
        <v>45460.44347222222</v>
      </c>
      <c r="C694" s="1" t="n">
        <v>46108</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57602-2024</t>
        </is>
      </c>
      <c r="B695" s="1" t="n">
        <v>45630.52866898148</v>
      </c>
      <c r="C695" s="1" t="n">
        <v>46108</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39237-2024</t>
        </is>
      </c>
      <c r="B696" s="1" t="n">
        <v>45549</v>
      </c>
      <c r="C696" s="1" t="n">
        <v>46108</v>
      </c>
      <c r="D696" t="inlineStr">
        <is>
          <t>STOCKHOLMS LÄN</t>
        </is>
      </c>
      <c r="E696" t="inlineStr">
        <is>
          <t>NORRTÄLJE</t>
        </is>
      </c>
      <c r="G696" t="n">
        <v>13.3</v>
      </c>
      <c r="H696" t="n">
        <v>0</v>
      </c>
      <c r="I696" t="n">
        <v>0</v>
      </c>
      <c r="J696" t="n">
        <v>0</v>
      </c>
      <c r="K696" t="n">
        <v>0</v>
      </c>
      <c r="L696" t="n">
        <v>0</v>
      </c>
      <c r="M696" t="n">
        <v>0</v>
      </c>
      <c r="N696" t="n">
        <v>0</v>
      </c>
      <c r="O696" t="n">
        <v>0</v>
      </c>
      <c r="P696" t="n">
        <v>0</v>
      </c>
      <c r="Q696" t="n">
        <v>0</v>
      </c>
      <c r="R696" s="2" t="inlineStr"/>
    </row>
    <row r="697" ht="15" customHeight="1">
      <c r="A697" t="inlineStr">
        <is>
          <t>A 64600-2021</t>
        </is>
      </c>
      <c r="B697" s="1" t="n">
        <v>44511.70518518519</v>
      </c>
      <c r="C697" s="1" t="n">
        <v>46108</v>
      </c>
      <c r="D697" t="inlineStr">
        <is>
          <t>STOCKHOLMS LÄN</t>
        </is>
      </c>
      <c r="E697" t="inlineStr">
        <is>
          <t>NORRTÄLJE</t>
        </is>
      </c>
      <c r="G697" t="n">
        <v>6.2</v>
      </c>
      <c r="H697" t="n">
        <v>0</v>
      </c>
      <c r="I697" t="n">
        <v>0</v>
      </c>
      <c r="J697" t="n">
        <v>0</v>
      </c>
      <c r="K697" t="n">
        <v>0</v>
      </c>
      <c r="L697" t="n">
        <v>0</v>
      </c>
      <c r="M697" t="n">
        <v>0</v>
      </c>
      <c r="N697" t="n">
        <v>0</v>
      </c>
      <c r="O697" t="n">
        <v>0</v>
      </c>
      <c r="P697" t="n">
        <v>0</v>
      </c>
      <c r="Q697" t="n">
        <v>0</v>
      </c>
      <c r="R697" s="2" t="inlineStr"/>
    </row>
    <row r="698" ht="15" customHeight="1">
      <c r="A698" t="inlineStr">
        <is>
          <t>A 45746-2024</t>
        </is>
      </c>
      <c r="B698" s="1" t="n">
        <v>45579</v>
      </c>
      <c r="C698" s="1" t="n">
        <v>46108</v>
      </c>
      <c r="D698" t="inlineStr">
        <is>
          <t>STOCKHOLMS LÄN</t>
        </is>
      </c>
      <c r="E698" t="inlineStr">
        <is>
          <t>NORRTÄLJE</t>
        </is>
      </c>
      <c r="G698" t="n">
        <v>3.3</v>
      </c>
      <c r="H698" t="n">
        <v>0</v>
      </c>
      <c r="I698" t="n">
        <v>0</v>
      </c>
      <c r="J698" t="n">
        <v>0</v>
      </c>
      <c r="K698" t="n">
        <v>0</v>
      </c>
      <c r="L698" t="n">
        <v>0</v>
      </c>
      <c r="M698" t="n">
        <v>0</v>
      </c>
      <c r="N698" t="n">
        <v>0</v>
      </c>
      <c r="O698" t="n">
        <v>0</v>
      </c>
      <c r="P698" t="n">
        <v>0</v>
      </c>
      <c r="Q698" t="n">
        <v>0</v>
      </c>
      <c r="R698" s="2" t="inlineStr"/>
    </row>
    <row r="699" ht="15" customHeight="1">
      <c r="A699" t="inlineStr">
        <is>
          <t>A 50602-2021</t>
        </is>
      </c>
      <c r="B699" s="1" t="n">
        <v>44459</v>
      </c>
      <c r="C699" s="1" t="n">
        <v>46108</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26365-2024</t>
        </is>
      </c>
      <c r="B700" s="1" t="n">
        <v>45469</v>
      </c>
      <c r="C700" s="1" t="n">
        <v>46108</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8400-2024</t>
        </is>
      </c>
      <c r="B701" s="1" t="n">
        <v>45352.74090277778</v>
      </c>
      <c r="C701" s="1" t="n">
        <v>46108</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26640-2023</t>
        </is>
      </c>
      <c r="B702" s="1" t="n">
        <v>45092</v>
      </c>
      <c r="C702" s="1" t="n">
        <v>46108</v>
      </c>
      <c r="D702" t="inlineStr">
        <is>
          <t>STOCKHOLMS LÄN</t>
        </is>
      </c>
      <c r="E702" t="inlineStr">
        <is>
          <t>NORRTÄLJE</t>
        </is>
      </c>
      <c r="G702" t="n">
        <v>5.7</v>
      </c>
      <c r="H702" t="n">
        <v>0</v>
      </c>
      <c r="I702" t="n">
        <v>0</v>
      </c>
      <c r="J702" t="n">
        <v>0</v>
      </c>
      <c r="K702" t="n">
        <v>0</v>
      </c>
      <c r="L702" t="n">
        <v>0</v>
      </c>
      <c r="M702" t="n">
        <v>0</v>
      </c>
      <c r="N702" t="n">
        <v>0</v>
      </c>
      <c r="O702" t="n">
        <v>0</v>
      </c>
      <c r="P702" t="n">
        <v>0</v>
      </c>
      <c r="Q702" t="n">
        <v>0</v>
      </c>
      <c r="R702" s="2" t="inlineStr"/>
    </row>
    <row r="703" ht="15" customHeight="1">
      <c r="A703" t="inlineStr">
        <is>
          <t>A 31827-2023</t>
        </is>
      </c>
      <c r="B703" s="1" t="n">
        <v>45118</v>
      </c>
      <c r="C703" s="1" t="n">
        <v>46108</v>
      </c>
      <c r="D703" t="inlineStr">
        <is>
          <t>STOCKHOLMS LÄN</t>
        </is>
      </c>
      <c r="E703" t="inlineStr">
        <is>
          <t>NORRTÄLJE</t>
        </is>
      </c>
      <c r="F703" t="inlineStr">
        <is>
          <t>Kyrkan</t>
        </is>
      </c>
      <c r="G703" t="n">
        <v>4.9</v>
      </c>
      <c r="H703" t="n">
        <v>0</v>
      </c>
      <c r="I703" t="n">
        <v>0</v>
      </c>
      <c r="J703" t="n">
        <v>0</v>
      </c>
      <c r="K703" t="n">
        <v>0</v>
      </c>
      <c r="L703" t="n">
        <v>0</v>
      </c>
      <c r="M703" t="n">
        <v>0</v>
      </c>
      <c r="N703" t="n">
        <v>0</v>
      </c>
      <c r="O703" t="n">
        <v>0</v>
      </c>
      <c r="P703" t="n">
        <v>0</v>
      </c>
      <c r="Q703" t="n">
        <v>0</v>
      </c>
      <c r="R703" s="2" t="inlineStr"/>
    </row>
    <row r="704" ht="15" customHeight="1">
      <c r="A704" t="inlineStr">
        <is>
          <t>A 58993-2022</t>
        </is>
      </c>
      <c r="B704" s="1" t="n">
        <v>44903</v>
      </c>
      <c r="C704" s="1" t="n">
        <v>46108</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28900-2022</t>
        </is>
      </c>
      <c r="B705" s="1" t="n">
        <v>44749.55258101852</v>
      </c>
      <c r="C705" s="1" t="n">
        <v>46108</v>
      </c>
      <c r="D705" t="inlineStr">
        <is>
          <t>STOCKHOLMS LÄN</t>
        </is>
      </c>
      <c r="E705" t="inlineStr">
        <is>
          <t>NORRTÄLJE</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17574-2025</t>
        </is>
      </c>
      <c r="B706" s="1" t="n">
        <v>45757.65178240741</v>
      </c>
      <c r="C706" s="1" t="n">
        <v>46108</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58297-2023</t>
        </is>
      </c>
      <c r="B707" s="1" t="n">
        <v>45245</v>
      </c>
      <c r="C707" s="1" t="n">
        <v>46108</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20304-2023</t>
        </is>
      </c>
      <c r="B708" s="1" t="n">
        <v>45056</v>
      </c>
      <c r="C708" s="1" t="n">
        <v>46108</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12299-2025</t>
        </is>
      </c>
      <c r="B709" s="1" t="n">
        <v>45729.71065972222</v>
      </c>
      <c r="C709" s="1" t="n">
        <v>46108</v>
      </c>
      <c r="D709" t="inlineStr">
        <is>
          <t>STOCKHOLMS LÄN</t>
        </is>
      </c>
      <c r="E709" t="inlineStr">
        <is>
          <t>NORRTÄLJE</t>
        </is>
      </c>
      <c r="F709" t="inlineStr">
        <is>
          <t>Holmen skog AB</t>
        </is>
      </c>
      <c r="G709" t="n">
        <v>6.9</v>
      </c>
      <c r="H709" t="n">
        <v>0</v>
      </c>
      <c r="I709" t="n">
        <v>0</v>
      </c>
      <c r="J709" t="n">
        <v>0</v>
      </c>
      <c r="K709" t="n">
        <v>0</v>
      </c>
      <c r="L709" t="n">
        <v>0</v>
      </c>
      <c r="M709" t="n">
        <v>0</v>
      </c>
      <c r="N709" t="n">
        <v>0</v>
      </c>
      <c r="O709" t="n">
        <v>0</v>
      </c>
      <c r="P709" t="n">
        <v>0</v>
      </c>
      <c r="Q709" t="n">
        <v>0</v>
      </c>
      <c r="R709" s="2" t="inlineStr"/>
    </row>
    <row r="710" ht="15" customHeight="1">
      <c r="A710" t="inlineStr">
        <is>
          <t>A 22157-2023</t>
        </is>
      </c>
      <c r="B710" s="1" t="n">
        <v>45069</v>
      </c>
      <c r="C710" s="1" t="n">
        <v>46108</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c r="U710">
        <f>HYPERLINK("https://klasma.github.io/Logging_0188/knärot/A 22157-2023 karta knärot.png", "A 22157-2023")</f>
        <v/>
      </c>
      <c r="V710">
        <f>HYPERLINK("https://klasma.github.io/Logging_0188/klagomål/A 22157-2023 FSC-klagomål.docx", "A 22157-2023")</f>
        <v/>
      </c>
      <c r="W710">
        <f>HYPERLINK("https://klasma.github.io/Logging_0188/klagomålsmail/A 22157-2023 FSC-klagomål mail.docx", "A 22157-2023")</f>
        <v/>
      </c>
      <c r="X710">
        <f>HYPERLINK("https://klasma.github.io/Logging_0188/tillsyn/A 22157-2023 tillsynsbegäran.docx", "A 22157-2023")</f>
        <v/>
      </c>
      <c r="Y710">
        <f>HYPERLINK("https://klasma.github.io/Logging_0188/tillsynsmail/A 22157-2023 tillsynsbegäran mail.docx", "A 22157-2023")</f>
        <v/>
      </c>
    </row>
    <row r="711" ht="15" customHeight="1">
      <c r="A711" t="inlineStr">
        <is>
          <t>A 11929-2024</t>
        </is>
      </c>
      <c r="B711" s="1" t="n">
        <v>45376.64532407407</v>
      </c>
      <c r="C711" s="1" t="n">
        <v>46108</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58403-2025</t>
        </is>
      </c>
      <c r="B712" s="1" t="n">
        <v>45985.56777777777</v>
      </c>
      <c r="C712" s="1" t="n">
        <v>46108</v>
      </c>
      <c r="D712" t="inlineStr">
        <is>
          <t>STOCKHOLMS LÄN</t>
        </is>
      </c>
      <c r="E712" t="inlineStr">
        <is>
          <t>NORRTÄLJE</t>
        </is>
      </c>
      <c r="F712" t="inlineStr">
        <is>
          <t>Naturvårdsverket</t>
        </is>
      </c>
      <c r="G712" t="n">
        <v>13.5</v>
      </c>
      <c r="H712" t="n">
        <v>0</v>
      </c>
      <c r="I712" t="n">
        <v>0</v>
      </c>
      <c r="J712" t="n">
        <v>0</v>
      </c>
      <c r="K712" t="n">
        <v>0</v>
      </c>
      <c r="L712" t="n">
        <v>0</v>
      </c>
      <c r="M712" t="n">
        <v>0</v>
      </c>
      <c r="N712" t="n">
        <v>0</v>
      </c>
      <c r="O712" t="n">
        <v>0</v>
      </c>
      <c r="P712" t="n">
        <v>0</v>
      </c>
      <c r="Q712" t="n">
        <v>0</v>
      </c>
      <c r="R712" s="2" t="inlineStr"/>
    </row>
    <row r="713" ht="15" customHeight="1">
      <c r="A713" t="inlineStr">
        <is>
          <t>A 58142-2025</t>
        </is>
      </c>
      <c r="B713" s="1" t="n">
        <v>45982.63791666667</v>
      </c>
      <c r="C713" s="1" t="n">
        <v>46108</v>
      </c>
      <c r="D713" t="inlineStr">
        <is>
          <t>STOCKHOLMS LÄN</t>
        </is>
      </c>
      <c r="E713" t="inlineStr">
        <is>
          <t>NORRTÄLJE</t>
        </is>
      </c>
      <c r="G713" t="n">
        <v>3.3</v>
      </c>
      <c r="H713" t="n">
        <v>0</v>
      </c>
      <c r="I713" t="n">
        <v>0</v>
      </c>
      <c r="J713" t="n">
        <v>0</v>
      </c>
      <c r="K713" t="n">
        <v>0</v>
      </c>
      <c r="L713" t="n">
        <v>0</v>
      </c>
      <c r="M713" t="n">
        <v>0</v>
      </c>
      <c r="N713" t="n">
        <v>0</v>
      </c>
      <c r="O713" t="n">
        <v>0</v>
      </c>
      <c r="P713" t="n">
        <v>0</v>
      </c>
      <c r="Q713" t="n">
        <v>0</v>
      </c>
      <c r="R713" s="2" t="inlineStr"/>
    </row>
    <row r="714" ht="15" customHeight="1">
      <c r="A714" t="inlineStr">
        <is>
          <t>A 57953-2025</t>
        </is>
      </c>
      <c r="B714" s="1" t="n">
        <v>45982.35016203704</v>
      </c>
      <c r="C714" s="1" t="n">
        <v>46108</v>
      </c>
      <c r="D714" t="inlineStr">
        <is>
          <t>STOCKHOLMS LÄN</t>
        </is>
      </c>
      <c r="E714" t="inlineStr">
        <is>
          <t>NORRTÄLJE</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8296-2023</t>
        </is>
      </c>
      <c r="B715" s="1" t="n">
        <v>44974</v>
      </c>
      <c r="C715" s="1" t="n">
        <v>46108</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24575-2024</t>
        </is>
      </c>
      <c r="B716" s="1" t="n">
        <v>45460.45523148148</v>
      </c>
      <c r="C716" s="1" t="n">
        <v>46108</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64899-2023</t>
        </is>
      </c>
      <c r="B717" s="1" t="n">
        <v>45282</v>
      </c>
      <c r="C717" s="1" t="n">
        <v>46108</v>
      </c>
      <c r="D717" t="inlineStr">
        <is>
          <t>STOCKHOLMS LÄN</t>
        </is>
      </c>
      <c r="E717" t="inlineStr">
        <is>
          <t>NORRTÄLJE</t>
        </is>
      </c>
      <c r="G717" t="n">
        <v>6.3</v>
      </c>
      <c r="H717" t="n">
        <v>0</v>
      </c>
      <c r="I717" t="n">
        <v>0</v>
      </c>
      <c r="J717" t="n">
        <v>0</v>
      </c>
      <c r="K717" t="n">
        <v>0</v>
      </c>
      <c r="L717" t="n">
        <v>0</v>
      </c>
      <c r="M717" t="n">
        <v>0</v>
      </c>
      <c r="N717" t="n">
        <v>0</v>
      </c>
      <c r="O717" t="n">
        <v>0</v>
      </c>
      <c r="P717" t="n">
        <v>0</v>
      </c>
      <c r="Q717" t="n">
        <v>0</v>
      </c>
      <c r="R717" s="2" t="inlineStr"/>
    </row>
    <row r="718" ht="15" customHeight="1">
      <c r="A718" t="inlineStr">
        <is>
          <t>A 52593-2024</t>
        </is>
      </c>
      <c r="B718" s="1" t="n">
        <v>45609.70778935185</v>
      </c>
      <c r="C718" s="1" t="n">
        <v>46108</v>
      </c>
      <c r="D718" t="inlineStr">
        <is>
          <t>STOCKHOLMS LÄN</t>
        </is>
      </c>
      <c r="E718" t="inlineStr">
        <is>
          <t>NORRTÄLJE</t>
        </is>
      </c>
      <c r="F718" t="inlineStr">
        <is>
          <t>Holmen skog AB</t>
        </is>
      </c>
      <c r="G718" t="n">
        <v>2.4</v>
      </c>
      <c r="H718" t="n">
        <v>0</v>
      </c>
      <c r="I718" t="n">
        <v>0</v>
      </c>
      <c r="J718" t="n">
        <v>0</v>
      </c>
      <c r="K718" t="n">
        <v>0</v>
      </c>
      <c r="L718" t="n">
        <v>0</v>
      </c>
      <c r="M718" t="n">
        <v>0</v>
      </c>
      <c r="N718" t="n">
        <v>0</v>
      </c>
      <c r="O718" t="n">
        <v>0</v>
      </c>
      <c r="P718" t="n">
        <v>0</v>
      </c>
      <c r="Q718" t="n">
        <v>0</v>
      </c>
      <c r="R718" s="2" t="inlineStr"/>
    </row>
    <row r="719" ht="15" customHeight="1">
      <c r="A719" t="inlineStr">
        <is>
          <t>A 52617-2024</t>
        </is>
      </c>
      <c r="B719" s="1" t="n">
        <v>45609.85146990741</v>
      </c>
      <c r="C719" s="1" t="n">
        <v>46108</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58939-2025</t>
        </is>
      </c>
      <c r="B720" s="1" t="n">
        <v>45987.5681712963</v>
      </c>
      <c r="C720" s="1" t="n">
        <v>46108</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22816-2021</t>
        </is>
      </c>
      <c r="B721" s="1" t="n">
        <v>44325</v>
      </c>
      <c r="C721" s="1" t="n">
        <v>46108</v>
      </c>
      <c r="D721" t="inlineStr">
        <is>
          <t>STOCKHOLMS LÄN</t>
        </is>
      </c>
      <c r="E721" t="inlineStr">
        <is>
          <t>NORRTÄLJE</t>
        </is>
      </c>
      <c r="G721" t="n">
        <v>4.5</v>
      </c>
      <c r="H721" t="n">
        <v>0</v>
      </c>
      <c r="I721" t="n">
        <v>0</v>
      </c>
      <c r="J721" t="n">
        <v>0</v>
      </c>
      <c r="K721" t="n">
        <v>0</v>
      </c>
      <c r="L721" t="n">
        <v>0</v>
      </c>
      <c r="M721" t="n">
        <v>0</v>
      </c>
      <c r="N721" t="n">
        <v>0</v>
      </c>
      <c r="O721" t="n">
        <v>0</v>
      </c>
      <c r="P721" t="n">
        <v>0</v>
      </c>
      <c r="Q721" t="n">
        <v>0</v>
      </c>
      <c r="R721" s="2" t="inlineStr"/>
    </row>
    <row r="722" ht="15" customHeight="1">
      <c r="A722" t="inlineStr">
        <is>
          <t>A 59904-2023</t>
        </is>
      </c>
      <c r="B722" s="1" t="n">
        <v>45257</v>
      </c>
      <c r="C722" s="1" t="n">
        <v>46108</v>
      </c>
      <c r="D722" t="inlineStr">
        <is>
          <t>STOCKHOLMS LÄN</t>
        </is>
      </c>
      <c r="E722" t="inlineStr">
        <is>
          <t>NORRTÄLJE</t>
        </is>
      </c>
      <c r="G722" t="n">
        <v>17.4</v>
      </c>
      <c r="H722" t="n">
        <v>0</v>
      </c>
      <c r="I722" t="n">
        <v>0</v>
      </c>
      <c r="J722" t="n">
        <v>0</v>
      </c>
      <c r="K722" t="n">
        <v>0</v>
      </c>
      <c r="L722" t="n">
        <v>0</v>
      </c>
      <c r="M722" t="n">
        <v>0</v>
      </c>
      <c r="N722" t="n">
        <v>0</v>
      </c>
      <c r="O722" t="n">
        <v>0</v>
      </c>
      <c r="P722" t="n">
        <v>0</v>
      </c>
      <c r="Q722" t="n">
        <v>0</v>
      </c>
      <c r="R722" s="2" t="inlineStr"/>
    </row>
    <row r="723" ht="15" customHeight="1">
      <c r="A723" t="inlineStr">
        <is>
          <t>A 9914-2023</t>
        </is>
      </c>
      <c r="B723" s="1" t="n">
        <v>44985</v>
      </c>
      <c r="C723" s="1" t="n">
        <v>46108</v>
      </c>
      <c r="D723" t="inlineStr">
        <is>
          <t>STOCKHOLMS LÄN</t>
        </is>
      </c>
      <c r="E723" t="inlineStr">
        <is>
          <t>NORRTÄLJE</t>
        </is>
      </c>
      <c r="G723" t="n">
        <v>4.2</v>
      </c>
      <c r="H723" t="n">
        <v>0</v>
      </c>
      <c r="I723" t="n">
        <v>0</v>
      </c>
      <c r="J723" t="n">
        <v>0</v>
      </c>
      <c r="K723" t="n">
        <v>0</v>
      </c>
      <c r="L723" t="n">
        <v>0</v>
      </c>
      <c r="M723" t="n">
        <v>0</v>
      </c>
      <c r="N723" t="n">
        <v>0</v>
      </c>
      <c r="O723" t="n">
        <v>0</v>
      </c>
      <c r="P723" t="n">
        <v>0</v>
      </c>
      <c r="Q723" t="n">
        <v>0</v>
      </c>
      <c r="R723" s="2" t="inlineStr"/>
    </row>
    <row r="724" ht="15" customHeight="1">
      <c r="A724" t="inlineStr">
        <is>
          <t>A 11062-2024</t>
        </is>
      </c>
      <c r="B724" s="1" t="n">
        <v>45370</v>
      </c>
      <c r="C724" s="1" t="n">
        <v>46108</v>
      </c>
      <c r="D724" t="inlineStr">
        <is>
          <t>STOCKHOLMS LÄN</t>
        </is>
      </c>
      <c r="E724" t="inlineStr">
        <is>
          <t>NORRTÄLJE</t>
        </is>
      </c>
      <c r="G724" t="n">
        <v>3.2</v>
      </c>
      <c r="H724" t="n">
        <v>0</v>
      </c>
      <c r="I724" t="n">
        <v>0</v>
      </c>
      <c r="J724" t="n">
        <v>0</v>
      </c>
      <c r="K724" t="n">
        <v>0</v>
      </c>
      <c r="L724" t="n">
        <v>0</v>
      </c>
      <c r="M724" t="n">
        <v>0</v>
      </c>
      <c r="N724" t="n">
        <v>0</v>
      </c>
      <c r="O724" t="n">
        <v>0</v>
      </c>
      <c r="P724" t="n">
        <v>0</v>
      </c>
      <c r="Q724" t="n">
        <v>0</v>
      </c>
      <c r="R724" s="2" t="inlineStr"/>
    </row>
    <row r="725" ht="15" customHeight="1">
      <c r="A725" t="inlineStr">
        <is>
          <t>A 33569-2023</t>
        </is>
      </c>
      <c r="B725" s="1" t="n">
        <v>45131.666875</v>
      </c>
      <c r="C725" s="1" t="n">
        <v>46108</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15905-2023</t>
        </is>
      </c>
      <c r="B726" s="1" t="n">
        <v>45022</v>
      </c>
      <c r="C726" s="1" t="n">
        <v>46108</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row>
    <row r="727" ht="15" customHeight="1">
      <c r="A727" t="inlineStr">
        <is>
          <t>A 15956-2023</t>
        </is>
      </c>
      <c r="B727" s="1" t="n">
        <v>45022.61003472222</v>
      </c>
      <c r="C727" s="1" t="n">
        <v>46108</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47626-2022</t>
        </is>
      </c>
      <c r="B728" s="1" t="n">
        <v>44854</v>
      </c>
      <c r="C728" s="1" t="n">
        <v>46108</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62206-2022</t>
        </is>
      </c>
      <c r="B729" s="1" t="n">
        <v>44922</v>
      </c>
      <c r="C729" s="1" t="n">
        <v>46108</v>
      </c>
      <c r="D729" t="inlineStr">
        <is>
          <t>STOCKHOLMS LÄN</t>
        </is>
      </c>
      <c r="E729" t="inlineStr">
        <is>
          <t>NORRTÄLJE</t>
        </is>
      </c>
      <c r="G729" t="n">
        <v>2.9</v>
      </c>
      <c r="H729" t="n">
        <v>0</v>
      </c>
      <c r="I729" t="n">
        <v>0</v>
      </c>
      <c r="J729" t="n">
        <v>0</v>
      </c>
      <c r="K729" t="n">
        <v>0</v>
      </c>
      <c r="L729" t="n">
        <v>0</v>
      </c>
      <c r="M729" t="n">
        <v>0</v>
      </c>
      <c r="N729" t="n">
        <v>0</v>
      </c>
      <c r="O729" t="n">
        <v>0</v>
      </c>
      <c r="P729" t="n">
        <v>0</v>
      </c>
      <c r="Q729" t="n">
        <v>0</v>
      </c>
      <c r="R729" s="2" t="inlineStr"/>
    </row>
    <row r="730" ht="15" customHeight="1">
      <c r="A730" t="inlineStr">
        <is>
          <t>A 20618-2022</t>
        </is>
      </c>
      <c r="B730" s="1" t="n">
        <v>44700.50659722222</v>
      </c>
      <c r="C730" s="1" t="n">
        <v>46108</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40192-2023</t>
        </is>
      </c>
      <c r="B731" s="1" t="n">
        <v>45169</v>
      </c>
      <c r="C731" s="1" t="n">
        <v>46108</v>
      </c>
      <c r="D731" t="inlineStr">
        <is>
          <t>STOCKHOLMS LÄN</t>
        </is>
      </c>
      <c r="E731" t="inlineStr">
        <is>
          <t>NORRTÄLJE</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11900-2022</t>
        </is>
      </c>
      <c r="B732" s="1" t="n">
        <v>44635</v>
      </c>
      <c r="C732" s="1" t="n">
        <v>46108</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10973-2025</t>
        </is>
      </c>
      <c r="B733" s="1" t="n">
        <v>45723</v>
      </c>
      <c r="C733" s="1" t="n">
        <v>46108</v>
      </c>
      <c r="D733" t="inlineStr">
        <is>
          <t>STOCKHOLMS LÄN</t>
        </is>
      </c>
      <c r="E733" t="inlineStr">
        <is>
          <t>NORRTÄLJE</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27885-2022</t>
        </is>
      </c>
      <c r="B734" s="1" t="n">
        <v>44743.67418981482</v>
      </c>
      <c r="C734" s="1" t="n">
        <v>46108</v>
      </c>
      <c r="D734" t="inlineStr">
        <is>
          <t>STOCKHOLMS LÄN</t>
        </is>
      </c>
      <c r="E734" t="inlineStr">
        <is>
          <t>NORRTÄLJE</t>
        </is>
      </c>
      <c r="F734" t="inlineStr">
        <is>
          <t>Holmen skog AB</t>
        </is>
      </c>
      <c r="G734" t="n">
        <v>0.8</v>
      </c>
      <c r="H734" t="n">
        <v>0</v>
      </c>
      <c r="I734" t="n">
        <v>0</v>
      </c>
      <c r="J734" t="n">
        <v>0</v>
      </c>
      <c r="K734" t="n">
        <v>0</v>
      </c>
      <c r="L734" t="n">
        <v>0</v>
      </c>
      <c r="M734" t="n">
        <v>0</v>
      </c>
      <c r="N734" t="n">
        <v>0</v>
      </c>
      <c r="O734" t="n">
        <v>0</v>
      </c>
      <c r="P734" t="n">
        <v>0</v>
      </c>
      <c r="Q734" t="n">
        <v>0</v>
      </c>
      <c r="R734" s="2" t="inlineStr"/>
    </row>
    <row r="735" ht="15" customHeight="1">
      <c r="A735" t="inlineStr">
        <is>
          <t>A 59041-2025</t>
        </is>
      </c>
      <c r="B735" s="1" t="n">
        <v>45988</v>
      </c>
      <c r="C735" s="1" t="n">
        <v>46108</v>
      </c>
      <c r="D735" t="inlineStr">
        <is>
          <t>STOCKHOLMS LÄN</t>
        </is>
      </c>
      <c r="E735" t="inlineStr">
        <is>
          <t>NORRTÄLJE</t>
        </is>
      </c>
      <c r="G735" t="n">
        <v>6.6</v>
      </c>
      <c r="H735" t="n">
        <v>0</v>
      </c>
      <c r="I735" t="n">
        <v>0</v>
      </c>
      <c r="J735" t="n">
        <v>0</v>
      </c>
      <c r="K735" t="n">
        <v>0</v>
      </c>
      <c r="L735" t="n">
        <v>0</v>
      </c>
      <c r="M735" t="n">
        <v>0</v>
      </c>
      <c r="N735" t="n">
        <v>0</v>
      </c>
      <c r="O735" t="n">
        <v>0</v>
      </c>
      <c r="P735" t="n">
        <v>0</v>
      </c>
      <c r="Q735" t="n">
        <v>0</v>
      </c>
      <c r="R735" s="2" t="inlineStr"/>
    </row>
    <row r="736" ht="15" customHeight="1">
      <c r="A736" t="inlineStr">
        <is>
          <t>A 59914-2025</t>
        </is>
      </c>
      <c r="B736" s="1" t="n">
        <v>45993.37056712963</v>
      </c>
      <c r="C736" s="1" t="n">
        <v>46108</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59672-2025</t>
        </is>
      </c>
      <c r="B737" s="1" t="n">
        <v>45992.45884259259</v>
      </c>
      <c r="C737" s="1" t="n">
        <v>46108</v>
      </c>
      <c r="D737" t="inlineStr">
        <is>
          <t>STOCKHOLMS LÄN</t>
        </is>
      </c>
      <c r="E737" t="inlineStr">
        <is>
          <t>NORRTÄLJE</t>
        </is>
      </c>
      <c r="G737" t="n">
        <v>4</v>
      </c>
      <c r="H737" t="n">
        <v>0</v>
      </c>
      <c r="I737" t="n">
        <v>0</v>
      </c>
      <c r="J737" t="n">
        <v>0</v>
      </c>
      <c r="K737" t="n">
        <v>0</v>
      </c>
      <c r="L737" t="n">
        <v>0</v>
      </c>
      <c r="M737" t="n">
        <v>0</v>
      </c>
      <c r="N737" t="n">
        <v>0</v>
      </c>
      <c r="O737" t="n">
        <v>0</v>
      </c>
      <c r="P737" t="n">
        <v>0</v>
      </c>
      <c r="Q737" t="n">
        <v>0</v>
      </c>
      <c r="R737" s="2" t="inlineStr"/>
    </row>
    <row r="738" ht="15" customHeight="1">
      <c r="A738" t="inlineStr">
        <is>
          <t>A 57788-2025</t>
        </is>
      </c>
      <c r="B738" s="1" t="n">
        <v>45981.5778125</v>
      </c>
      <c r="C738" s="1" t="n">
        <v>46108</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59907-2025</t>
        </is>
      </c>
      <c r="B739" s="1" t="n">
        <v>45993.35350694445</v>
      </c>
      <c r="C739" s="1" t="n">
        <v>46108</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62998-2023</t>
        </is>
      </c>
      <c r="B740" s="1" t="n">
        <v>45272.64479166667</v>
      </c>
      <c r="C740" s="1" t="n">
        <v>46108</v>
      </c>
      <c r="D740" t="inlineStr">
        <is>
          <t>STOCKHOLMS LÄN</t>
        </is>
      </c>
      <c r="E740" t="inlineStr">
        <is>
          <t>NORRTÄLJE</t>
        </is>
      </c>
      <c r="G740" t="n">
        <v>16.3</v>
      </c>
      <c r="H740" t="n">
        <v>0</v>
      </c>
      <c r="I740" t="n">
        <v>0</v>
      </c>
      <c r="J740" t="n">
        <v>0</v>
      </c>
      <c r="K740" t="n">
        <v>0</v>
      </c>
      <c r="L740" t="n">
        <v>0</v>
      </c>
      <c r="M740" t="n">
        <v>0</v>
      </c>
      <c r="N740" t="n">
        <v>0</v>
      </c>
      <c r="O740" t="n">
        <v>0</v>
      </c>
      <c r="P740" t="n">
        <v>0</v>
      </c>
      <c r="Q740" t="n">
        <v>0</v>
      </c>
      <c r="R740" s="2" t="inlineStr"/>
    </row>
    <row r="741" ht="15" customHeight="1">
      <c r="A741" t="inlineStr">
        <is>
          <t>A 63015-2023</t>
        </is>
      </c>
      <c r="B741" s="1" t="n">
        <v>45272</v>
      </c>
      <c r="C741" s="1" t="n">
        <v>46108</v>
      </c>
      <c r="D741" t="inlineStr">
        <is>
          <t>STOCKHOLMS LÄN</t>
        </is>
      </c>
      <c r="E741" t="inlineStr">
        <is>
          <t>NORRTÄLJE</t>
        </is>
      </c>
      <c r="G741" t="n">
        <v>13.1</v>
      </c>
      <c r="H741" t="n">
        <v>0</v>
      </c>
      <c r="I741" t="n">
        <v>0</v>
      </c>
      <c r="J741" t="n">
        <v>0</v>
      </c>
      <c r="K741" t="n">
        <v>0</v>
      </c>
      <c r="L741" t="n">
        <v>0</v>
      </c>
      <c r="M741" t="n">
        <v>0</v>
      </c>
      <c r="N741" t="n">
        <v>0</v>
      </c>
      <c r="O741" t="n">
        <v>0</v>
      </c>
      <c r="P741" t="n">
        <v>0</v>
      </c>
      <c r="Q741" t="n">
        <v>0</v>
      </c>
      <c r="R741" s="2" t="inlineStr"/>
    </row>
    <row r="742" ht="15" customHeight="1">
      <c r="A742" t="inlineStr">
        <is>
          <t>A 59924-2025</t>
        </is>
      </c>
      <c r="B742" s="1" t="n">
        <v>45993.38928240741</v>
      </c>
      <c r="C742" s="1" t="n">
        <v>46108</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60253-2025</t>
        </is>
      </c>
      <c r="B743" s="1" t="n">
        <v>45994.59827546297</v>
      </c>
      <c r="C743" s="1" t="n">
        <v>46108</v>
      </c>
      <c r="D743" t="inlineStr">
        <is>
          <t>STOCKHOLMS LÄN</t>
        </is>
      </c>
      <c r="E743" t="inlineStr">
        <is>
          <t>NORRTÄLJE</t>
        </is>
      </c>
      <c r="F743" t="inlineStr">
        <is>
          <t>Holmen skog AB</t>
        </is>
      </c>
      <c r="G743" t="n">
        <v>3.6</v>
      </c>
      <c r="H743" t="n">
        <v>0</v>
      </c>
      <c r="I743" t="n">
        <v>0</v>
      </c>
      <c r="J743" t="n">
        <v>0</v>
      </c>
      <c r="K743" t="n">
        <v>0</v>
      </c>
      <c r="L743" t="n">
        <v>0</v>
      </c>
      <c r="M743" t="n">
        <v>0</v>
      </c>
      <c r="N743" t="n">
        <v>0</v>
      </c>
      <c r="O743" t="n">
        <v>0</v>
      </c>
      <c r="P743" t="n">
        <v>0</v>
      </c>
      <c r="Q743" t="n">
        <v>0</v>
      </c>
      <c r="R743" s="2" t="inlineStr"/>
    </row>
    <row r="744" ht="15" customHeight="1">
      <c r="A744" t="inlineStr">
        <is>
          <t>A 27831-2024</t>
        </is>
      </c>
      <c r="B744" s="1" t="n">
        <v>45475.61896990741</v>
      </c>
      <c r="C744" s="1" t="n">
        <v>46108</v>
      </c>
      <c r="D744" t="inlineStr">
        <is>
          <t>STOCKHOLMS LÄN</t>
        </is>
      </c>
      <c r="E744" t="inlineStr">
        <is>
          <t>NORRTÄLJE</t>
        </is>
      </c>
      <c r="G744" t="n">
        <v>3.8</v>
      </c>
      <c r="H744" t="n">
        <v>0</v>
      </c>
      <c r="I744" t="n">
        <v>0</v>
      </c>
      <c r="J744" t="n">
        <v>0</v>
      </c>
      <c r="K744" t="n">
        <v>0</v>
      </c>
      <c r="L744" t="n">
        <v>0</v>
      </c>
      <c r="M744" t="n">
        <v>0</v>
      </c>
      <c r="N744" t="n">
        <v>0</v>
      </c>
      <c r="O744" t="n">
        <v>0</v>
      </c>
      <c r="P744" t="n">
        <v>0</v>
      </c>
      <c r="Q744" t="n">
        <v>0</v>
      </c>
      <c r="R744" s="2" t="inlineStr"/>
    </row>
    <row r="745" ht="15" customHeight="1">
      <c r="A745" t="inlineStr">
        <is>
          <t>A 60224-2023</t>
        </is>
      </c>
      <c r="B745" s="1" t="n">
        <v>45257</v>
      </c>
      <c r="C745" s="1" t="n">
        <v>46108</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60214-2025</t>
        </is>
      </c>
      <c r="B746" s="1" t="n">
        <v>45994.53761574074</v>
      </c>
      <c r="C746" s="1" t="n">
        <v>46108</v>
      </c>
      <c r="D746" t="inlineStr">
        <is>
          <t>STOCKHOLMS LÄN</t>
        </is>
      </c>
      <c r="E746" t="inlineStr">
        <is>
          <t>NORRTÄLJE</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5158-2024</t>
        </is>
      </c>
      <c r="B747" s="1" t="n">
        <v>45330.50098379629</v>
      </c>
      <c r="C747" s="1" t="n">
        <v>46108</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60223-2025</t>
        </is>
      </c>
      <c r="B748" s="1" t="n">
        <v>45994.54497685185</v>
      </c>
      <c r="C748" s="1" t="n">
        <v>46108</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33175-2024</t>
        </is>
      </c>
      <c r="B749" s="1" t="n">
        <v>45518</v>
      </c>
      <c r="C749" s="1" t="n">
        <v>46108</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21803-2022</t>
        </is>
      </c>
      <c r="B750" s="1" t="n">
        <v>44708.67822916667</v>
      </c>
      <c r="C750" s="1" t="n">
        <v>46108</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9130-2025</t>
        </is>
      </c>
      <c r="B751" s="1" t="n">
        <v>45713.92623842593</v>
      </c>
      <c r="C751" s="1" t="n">
        <v>46108</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60745-2025</t>
        </is>
      </c>
      <c r="B752" s="1" t="n">
        <v>45999.37753472223</v>
      </c>
      <c r="C752" s="1" t="n">
        <v>46108</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20730-2024</t>
        </is>
      </c>
      <c r="B753" s="1" t="n">
        <v>45436</v>
      </c>
      <c r="C753" s="1" t="n">
        <v>46108</v>
      </c>
      <c r="D753" t="inlineStr">
        <is>
          <t>STOCKHOLMS LÄN</t>
        </is>
      </c>
      <c r="E753" t="inlineStr">
        <is>
          <t>NORRTÄLJE</t>
        </is>
      </c>
      <c r="G753" t="n">
        <v>7.3</v>
      </c>
      <c r="H753" t="n">
        <v>0</v>
      </c>
      <c r="I753" t="n">
        <v>0</v>
      </c>
      <c r="J753" t="n">
        <v>0</v>
      </c>
      <c r="K753" t="n">
        <v>0</v>
      </c>
      <c r="L753" t="n">
        <v>0</v>
      </c>
      <c r="M753" t="n">
        <v>0</v>
      </c>
      <c r="N753" t="n">
        <v>0</v>
      </c>
      <c r="O753" t="n">
        <v>0</v>
      </c>
      <c r="P753" t="n">
        <v>0</v>
      </c>
      <c r="Q753" t="n">
        <v>0</v>
      </c>
      <c r="R753" s="2" t="inlineStr"/>
    </row>
    <row r="754" ht="15" customHeight="1">
      <c r="A754" t="inlineStr">
        <is>
          <t>A 60649-2025</t>
        </is>
      </c>
      <c r="B754" s="1" t="n">
        <v>45996.4560300926</v>
      </c>
      <c r="C754" s="1" t="n">
        <v>46108</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17551-2025</t>
        </is>
      </c>
      <c r="B755" s="1" t="n">
        <v>45757.61421296297</v>
      </c>
      <c r="C755" s="1" t="n">
        <v>46108</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60948-2025</t>
        </is>
      </c>
      <c r="B756" s="1" t="n">
        <v>45999.650625</v>
      </c>
      <c r="C756" s="1" t="n">
        <v>46108</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55010-2024</t>
        </is>
      </c>
      <c r="B757" s="1" t="n">
        <v>45621.34425925926</v>
      </c>
      <c r="C757" s="1" t="n">
        <v>46108</v>
      </c>
      <c r="D757" t="inlineStr">
        <is>
          <t>STOCKHOLMS LÄN</t>
        </is>
      </c>
      <c r="E757" t="inlineStr">
        <is>
          <t>NORRTÄLJE</t>
        </is>
      </c>
      <c r="F757" t="inlineStr">
        <is>
          <t>Sveaskog</t>
        </is>
      </c>
      <c r="G757" t="n">
        <v>5.7</v>
      </c>
      <c r="H757" t="n">
        <v>0</v>
      </c>
      <c r="I757" t="n">
        <v>0</v>
      </c>
      <c r="J757" t="n">
        <v>0</v>
      </c>
      <c r="K757" t="n">
        <v>0</v>
      </c>
      <c r="L757" t="n">
        <v>0</v>
      </c>
      <c r="M757" t="n">
        <v>0</v>
      </c>
      <c r="N757" t="n">
        <v>0</v>
      </c>
      <c r="O757" t="n">
        <v>0</v>
      </c>
      <c r="P757" t="n">
        <v>0</v>
      </c>
      <c r="Q757" t="n">
        <v>0</v>
      </c>
      <c r="R757" s="2" t="inlineStr"/>
    </row>
    <row r="758" ht="15" customHeight="1">
      <c r="A758" t="inlineStr">
        <is>
          <t>A 31105-2022</t>
        </is>
      </c>
      <c r="B758" s="1" t="n">
        <v>44769.66039351852</v>
      </c>
      <c r="C758" s="1" t="n">
        <v>46108</v>
      </c>
      <c r="D758" t="inlineStr">
        <is>
          <t>STOCKHOLMS LÄN</t>
        </is>
      </c>
      <c r="E758" t="inlineStr">
        <is>
          <t>NORRTÄLJE</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60928-2025</t>
        </is>
      </c>
      <c r="B759" s="1" t="n">
        <v>45999.633125</v>
      </c>
      <c r="C759" s="1" t="n">
        <v>46108</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61160-2025</t>
        </is>
      </c>
      <c r="B760" s="1" t="n">
        <v>46000.55262731481</v>
      </c>
      <c r="C760" s="1" t="n">
        <v>46108</v>
      </c>
      <c r="D760" t="inlineStr">
        <is>
          <t>STOCKHOLMS LÄN</t>
        </is>
      </c>
      <c r="E760" t="inlineStr">
        <is>
          <t>NORRTÄLJE</t>
        </is>
      </c>
      <c r="G760" t="n">
        <v>5.3</v>
      </c>
      <c r="H760" t="n">
        <v>0</v>
      </c>
      <c r="I760" t="n">
        <v>0</v>
      </c>
      <c r="J760" t="n">
        <v>0</v>
      </c>
      <c r="K760" t="n">
        <v>0</v>
      </c>
      <c r="L760" t="n">
        <v>0</v>
      </c>
      <c r="M760" t="n">
        <v>0</v>
      </c>
      <c r="N760" t="n">
        <v>0</v>
      </c>
      <c r="O760" t="n">
        <v>0</v>
      </c>
      <c r="P760" t="n">
        <v>0</v>
      </c>
      <c r="Q760" t="n">
        <v>0</v>
      </c>
      <c r="R760" s="2" t="inlineStr"/>
    </row>
    <row r="761" ht="15" customHeight="1">
      <c r="A761" t="inlineStr">
        <is>
          <t>A 30620-2022</t>
        </is>
      </c>
      <c r="B761" s="1" t="n">
        <v>44763.40914351852</v>
      </c>
      <c r="C761" s="1" t="n">
        <v>46108</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50113-2024</t>
        </is>
      </c>
      <c r="B762" s="1" t="n">
        <v>45600.411875</v>
      </c>
      <c r="C762" s="1" t="n">
        <v>46108</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61419-2025</t>
        </is>
      </c>
      <c r="B763" s="1" t="n">
        <v>46001.54137731482</v>
      </c>
      <c r="C763" s="1" t="n">
        <v>46108</v>
      </c>
      <c r="D763" t="inlineStr">
        <is>
          <t>STOCKHOLMS LÄN</t>
        </is>
      </c>
      <c r="E763" t="inlineStr">
        <is>
          <t>NORRTÄLJE</t>
        </is>
      </c>
      <c r="G763" t="n">
        <v>5.2</v>
      </c>
      <c r="H763" t="n">
        <v>0</v>
      </c>
      <c r="I763" t="n">
        <v>0</v>
      </c>
      <c r="J763" t="n">
        <v>0</v>
      </c>
      <c r="K763" t="n">
        <v>0</v>
      </c>
      <c r="L763" t="n">
        <v>0</v>
      </c>
      <c r="M763" t="n">
        <v>0</v>
      </c>
      <c r="N763" t="n">
        <v>0</v>
      </c>
      <c r="O763" t="n">
        <v>0</v>
      </c>
      <c r="P763" t="n">
        <v>0</v>
      </c>
      <c r="Q763" t="n">
        <v>0</v>
      </c>
      <c r="R763" s="2" t="inlineStr"/>
    </row>
    <row r="764" ht="15" customHeight="1">
      <c r="A764" t="inlineStr">
        <is>
          <t>A 61430-2025</t>
        </is>
      </c>
      <c r="B764" s="1" t="n">
        <v>46001.55583333333</v>
      </c>
      <c r="C764" s="1" t="n">
        <v>46108</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28365-2022</t>
        </is>
      </c>
      <c r="B765" s="1" t="n">
        <v>44747</v>
      </c>
      <c r="C765" s="1" t="n">
        <v>46108</v>
      </c>
      <c r="D765" t="inlineStr">
        <is>
          <t>STOCKHOLMS LÄN</t>
        </is>
      </c>
      <c r="E765" t="inlineStr">
        <is>
          <t>NORRTÄLJE</t>
        </is>
      </c>
      <c r="G765" t="n">
        <v>5.1</v>
      </c>
      <c r="H765" t="n">
        <v>0</v>
      </c>
      <c r="I765" t="n">
        <v>0</v>
      </c>
      <c r="J765" t="n">
        <v>0</v>
      </c>
      <c r="K765" t="n">
        <v>0</v>
      </c>
      <c r="L765" t="n">
        <v>0</v>
      </c>
      <c r="M765" t="n">
        <v>0</v>
      </c>
      <c r="N765" t="n">
        <v>0</v>
      </c>
      <c r="O765" t="n">
        <v>0</v>
      </c>
      <c r="P765" t="n">
        <v>0</v>
      </c>
      <c r="Q765" t="n">
        <v>0</v>
      </c>
      <c r="R765" s="2" t="inlineStr"/>
    </row>
    <row r="766" ht="15" customHeight="1">
      <c r="A766" t="inlineStr">
        <is>
          <t>A 12901-2024</t>
        </is>
      </c>
      <c r="B766" s="1" t="n">
        <v>45385.37922453704</v>
      </c>
      <c r="C766" s="1" t="n">
        <v>46108</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8950-2025</t>
        </is>
      </c>
      <c r="B767" s="1" t="n">
        <v>45713</v>
      </c>
      <c r="C767" s="1" t="n">
        <v>46108</v>
      </c>
      <c r="D767" t="inlineStr">
        <is>
          <t>STOCKHOLMS LÄN</t>
        </is>
      </c>
      <c r="E767" t="inlineStr">
        <is>
          <t>NORRTÄLJE</t>
        </is>
      </c>
      <c r="F767" t="inlineStr">
        <is>
          <t>Övriga Aktiebolag</t>
        </is>
      </c>
      <c r="G767" t="n">
        <v>3.6</v>
      </c>
      <c r="H767" t="n">
        <v>0</v>
      </c>
      <c r="I767" t="n">
        <v>0</v>
      </c>
      <c r="J767" t="n">
        <v>0</v>
      </c>
      <c r="K767" t="n">
        <v>0</v>
      </c>
      <c r="L767" t="n">
        <v>0</v>
      </c>
      <c r="M767" t="n">
        <v>0</v>
      </c>
      <c r="N767" t="n">
        <v>0</v>
      </c>
      <c r="O767" t="n">
        <v>0</v>
      </c>
      <c r="P767" t="n">
        <v>0</v>
      </c>
      <c r="Q767" t="n">
        <v>0</v>
      </c>
      <c r="R767" s="2" t="inlineStr"/>
    </row>
    <row r="768" ht="15" customHeight="1">
      <c r="A768" t="inlineStr">
        <is>
          <t>A 42955-2022</t>
        </is>
      </c>
      <c r="B768" s="1" t="n">
        <v>44833.40876157407</v>
      </c>
      <c r="C768" s="1" t="n">
        <v>46108</v>
      </c>
      <c r="D768" t="inlineStr">
        <is>
          <t>STOCKHOLMS LÄN</t>
        </is>
      </c>
      <c r="E768" t="inlineStr">
        <is>
          <t>NORRTÄLJE</t>
        </is>
      </c>
      <c r="G768" t="n">
        <v>13.1</v>
      </c>
      <c r="H768" t="n">
        <v>0</v>
      </c>
      <c r="I768" t="n">
        <v>0</v>
      </c>
      <c r="J768" t="n">
        <v>0</v>
      </c>
      <c r="K768" t="n">
        <v>0</v>
      </c>
      <c r="L768" t="n">
        <v>0</v>
      </c>
      <c r="M768" t="n">
        <v>0</v>
      </c>
      <c r="N768" t="n">
        <v>0</v>
      </c>
      <c r="O768" t="n">
        <v>0</v>
      </c>
      <c r="P768" t="n">
        <v>0</v>
      </c>
      <c r="Q768" t="n">
        <v>0</v>
      </c>
      <c r="R768" s="2" t="inlineStr"/>
    </row>
    <row r="769" ht="15" customHeight="1">
      <c r="A769" t="inlineStr">
        <is>
          <t>A 1283-2025</t>
        </is>
      </c>
      <c r="B769" s="1" t="n">
        <v>45667.49878472222</v>
      </c>
      <c r="C769" s="1" t="n">
        <v>46108</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12301-2025</t>
        </is>
      </c>
      <c r="B770" s="1" t="n">
        <v>45729.7271875</v>
      </c>
      <c r="C770" s="1" t="n">
        <v>46108</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61452-2025</t>
        </is>
      </c>
      <c r="B771" s="1" t="n">
        <v>46001.58043981482</v>
      </c>
      <c r="C771" s="1" t="n">
        <v>46108</v>
      </c>
      <c r="D771" t="inlineStr">
        <is>
          <t>STOCKHOLMS LÄN</t>
        </is>
      </c>
      <c r="E771" t="inlineStr">
        <is>
          <t>NORRTÄLJE</t>
        </is>
      </c>
      <c r="F771" t="inlineStr">
        <is>
          <t>Holmen skog AB</t>
        </is>
      </c>
      <c r="G771" t="n">
        <v>3.7</v>
      </c>
      <c r="H771" t="n">
        <v>0</v>
      </c>
      <c r="I771" t="n">
        <v>0</v>
      </c>
      <c r="J771" t="n">
        <v>0</v>
      </c>
      <c r="K771" t="n">
        <v>0</v>
      </c>
      <c r="L771" t="n">
        <v>0</v>
      </c>
      <c r="M771" t="n">
        <v>0</v>
      </c>
      <c r="N771" t="n">
        <v>0</v>
      </c>
      <c r="O771" t="n">
        <v>0</v>
      </c>
      <c r="P771" t="n">
        <v>0</v>
      </c>
      <c r="Q771" t="n">
        <v>0</v>
      </c>
      <c r="R771" s="2" t="inlineStr"/>
    </row>
    <row r="772" ht="15" customHeight="1">
      <c r="A772" t="inlineStr">
        <is>
          <t>A 24351-2025</t>
        </is>
      </c>
      <c r="B772" s="1" t="n">
        <v>45797.58399305555</v>
      </c>
      <c r="C772" s="1" t="n">
        <v>46108</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13283-2025</t>
        </is>
      </c>
      <c r="B773" s="1" t="n">
        <v>45735</v>
      </c>
      <c r="C773" s="1" t="n">
        <v>46108</v>
      </c>
      <c r="D773" t="inlineStr">
        <is>
          <t>STOCKHOLMS LÄN</t>
        </is>
      </c>
      <c r="E773" t="inlineStr">
        <is>
          <t>NORRTÄLJE</t>
        </is>
      </c>
      <c r="G773" t="n">
        <v>4.9</v>
      </c>
      <c r="H773" t="n">
        <v>0</v>
      </c>
      <c r="I773" t="n">
        <v>0</v>
      </c>
      <c r="J773" t="n">
        <v>0</v>
      </c>
      <c r="K773" t="n">
        <v>0</v>
      </c>
      <c r="L773" t="n">
        <v>0</v>
      </c>
      <c r="M773" t="n">
        <v>0</v>
      </c>
      <c r="N773" t="n">
        <v>0</v>
      </c>
      <c r="O773" t="n">
        <v>0</v>
      </c>
      <c r="P773" t="n">
        <v>0</v>
      </c>
      <c r="Q773" t="n">
        <v>0</v>
      </c>
      <c r="R773" s="2" t="inlineStr"/>
    </row>
    <row r="774" ht="15" customHeight="1">
      <c r="A774" t="inlineStr">
        <is>
          <t>A 61289-2025</t>
        </is>
      </c>
      <c r="B774" s="1" t="n">
        <v>46000.73659722223</v>
      </c>
      <c r="C774" s="1" t="n">
        <v>46108</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61769-2025</t>
        </is>
      </c>
      <c r="B775" s="1" t="n">
        <v>46002.64556712963</v>
      </c>
      <c r="C775" s="1" t="n">
        <v>46108</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61764-2025</t>
        </is>
      </c>
      <c r="B776" s="1" t="n">
        <v>46002.62763888889</v>
      </c>
      <c r="C776" s="1" t="n">
        <v>46108</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13767-2025</t>
        </is>
      </c>
      <c r="B777" s="1" t="n">
        <v>45737.43347222222</v>
      </c>
      <c r="C777" s="1" t="n">
        <v>46108</v>
      </c>
      <c r="D777" t="inlineStr">
        <is>
          <t>STOCKHOLMS LÄN</t>
        </is>
      </c>
      <c r="E777" t="inlineStr">
        <is>
          <t>NORRTÄLJE</t>
        </is>
      </c>
      <c r="F777" t="inlineStr">
        <is>
          <t>Holmen skog AB</t>
        </is>
      </c>
      <c r="G777" t="n">
        <v>1.3</v>
      </c>
      <c r="H777" t="n">
        <v>0</v>
      </c>
      <c r="I777" t="n">
        <v>0</v>
      </c>
      <c r="J777" t="n">
        <v>0</v>
      </c>
      <c r="K777" t="n">
        <v>0</v>
      </c>
      <c r="L777" t="n">
        <v>0</v>
      </c>
      <c r="M777" t="n">
        <v>0</v>
      </c>
      <c r="N777" t="n">
        <v>0</v>
      </c>
      <c r="O777" t="n">
        <v>0</v>
      </c>
      <c r="P777" t="n">
        <v>0</v>
      </c>
      <c r="Q777" t="n">
        <v>0</v>
      </c>
      <c r="R777" s="2" t="inlineStr"/>
    </row>
    <row r="778" ht="15" customHeight="1">
      <c r="A778" t="inlineStr">
        <is>
          <t>A 20013-2025</t>
        </is>
      </c>
      <c r="B778" s="1" t="n">
        <v>45772.30436342592</v>
      </c>
      <c r="C778" s="1" t="n">
        <v>46108</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53362-2023</t>
        </is>
      </c>
      <c r="B779" s="1" t="n">
        <v>45223</v>
      </c>
      <c r="C779" s="1" t="n">
        <v>46108</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15422-2024</t>
        </is>
      </c>
      <c r="B780" s="1" t="n">
        <v>45401.3653125</v>
      </c>
      <c r="C780" s="1" t="n">
        <v>46108</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24687-2025</t>
        </is>
      </c>
      <c r="B781" s="1" t="n">
        <v>45798.66767361111</v>
      </c>
      <c r="C781" s="1" t="n">
        <v>46108</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30508-2023</t>
        </is>
      </c>
      <c r="B782" s="1" t="n">
        <v>45111</v>
      </c>
      <c r="C782" s="1" t="n">
        <v>46108</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33279-2025</t>
        </is>
      </c>
      <c r="B783" s="1" t="n">
        <v>45840</v>
      </c>
      <c r="C783" s="1" t="n">
        <v>46108</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53499-2025</t>
        </is>
      </c>
      <c r="B784" s="1" t="n">
        <v>45960</v>
      </c>
      <c r="C784" s="1" t="n">
        <v>46108</v>
      </c>
      <c r="D784" t="inlineStr">
        <is>
          <t>STOCKHOLMS LÄN</t>
        </is>
      </c>
      <c r="E784" t="inlineStr">
        <is>
          <t>NORRTÄLJE</t>
        </is>
      </c>
      <c r="G784" t="n">
        <v>23.8</v>
      </c>
      <c r="H784" t="n">
        <v>0</v>
      </c>
      <c r="I784" t="n">
        <v>0</v>
      </c>
      <c r="J784" t="n">
        <v>0</v>
      </c>
      <c r="K784" t="n">
        <v>0</v>
      </c>
      <c r="L784" t="n">
        <v>0</v>
      </c>
      <c r="M784" t="n">
        <v>0</v>
      </c>
      <c r="N784" t="n">
        <v>0</v>
      </c>
      <c r="O784" t="n">
        <v>0</v>
      </c>
      <c r="P784" t="n">
        <v>0</v>
      </c>
      <c r="Q784" t="n">
        <v>0</v>
      </c>
      <c r="R784" s="2" t="inlineStr"/>
    </row>
    <row r="785" ht="15" customHeight="1">
      <c r="A785" t="inlineStr">
        <is>
          <t>A 16008-2025</t>
        </is>
      </c>
      <c r="B785" s="1" t="n">
        <v>45749</v>
      </c>
      <c r="C785" s="1" t="n">
        <v>46108</v>
      </c>
      <c r="D785" t="inlineStr">
        <is>
          <t>STOCKHOLMS LÄN</t>
        </is>
      </c>
      <c r="E785" t="inlineStr">
        <is>
          <t>NORRTÄLJE</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21158-2022</t>
        </is>
      </c>
      <c r="B786" s="1" t="n">
        <v>44704</v>
      </c>
      <c r="C786" s="1" t="n">
        <v>46108</v>
      </c>
      <c r="D786" t="inlineStr">
        <is>
          <t>STOCKHOLMS LÄN</t>
        </is>
      </c>
      <c r="E786" t="inlineStr">
        <is>
          <t>NORRTÄLJE</t>
        </is>
      </c>
      <c r="G786" t="n">
        <v>17.8</v>
      </c>
      <c r="H786" t="n">
        <v>0</v>
      </c>
      <c r="I786" t="n">
        <v>0</v>
      </c>
      <c r="J786" t="n">
        <v>0</v>
      </c>
      <c r="K786" t="n">
        <v>0</v>
      </c>
      <c r="L786" t="n">
        <v>0</v>
      </c>
      <c r="M786" t="n">
        <v>0</v>
      </c>
      <c r="N786" t="n">
        <v>0</v>
      </c>
      <c r="O786" t="n">
        <v>0</v>
      </c>
      <c r="P786" t="n">
        <v>0</v>
      </c>
      <c r="Q786" t="n">
        <v>0</v>
      </c>
      <c r="R786" s="2" t="inlineStr"/>
    </row>
    <row r="787" ht="15" customHeight="1">
      <c r="A787" t="inlineStr">
        <is>
          <t>A 32101-2022</t>
        </is>
      </c>
      <c r="B787" s="1" t="n">
        <v>44778.69210648148</v>
      </c>
      <c r="C787" s="1" t="n">
        <v>46108</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24638-2025</t>
        </is>
      </c>
      <c r="B788" s="1" t="n">
        <v>45798</v>
      </c>
      <c r="C788" s="1" t="n">
        <v>46108</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23150-2024</t>
        </is>
      </c>
      <c r="B789" s="1" t="n">
        <v>45450.64643518518</v>
      </c>
      <c r="C789" s="1" t="n">
        <v>46108</v>
      </c>
      <c r="D789" t="inlineStr">
        <is>
          <t>STOCKHOLMS LÄN</t>
        </is>
      </c>
      <c r="E789" t="inlineStr">
        <is>
          <t>NORRTÄLJE</t>
        </is>
      </c>
      <c r="F789" t="inlineStr">
        <is>
          <t>Kommuner</t>
        </is>
      </c>
      <c r="G789" t="n">
        <v>2.7</v>
      </c>
      <c r="H789" t="n">
        <v>0</v>
      </c>
      <c r="I789" t="n">
        <v>0</v>
      </c>
      <c r="J789" t="n">
        <v>0</v>
      </c>
      <c r="K789" t="n">
        <v>0</v>
      </c>
      <c r="L789" t="n">
        <v>0</v>
      </c>
      <c r="M789" t="n">
        <v>0</v>
      </c>
      <c r="N789" t="n">
        <v>0</v>
      </c>
      <c r="O789" t="n">
        <v>0</v>
      </c>
      <c r="P789" t="n">
        <v>0</v>
      </c>
      <c r="Q789" t="n">
        <v>0</v>
      </c>
      <c r="R789" s="2" t="inlineStr"/>
    </row>
    <row r="790" ht="15" customHeight="1">
      <c r="A790" t="inlineStr">
        <is>
          <t>A 62708-2025</t>
        </is>
      </c>
      <c r="B790" s="1" t="n">
        <v>46008.50986111111</v>
      </c>
      <c r="C790" s="1" t="n">
        <v>46108</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24933-2023</t>
        </is>
      </c>
      <c r="B791" s="1" t="n">
        <v>45085.5309375</v>
      </c>
      <c r="C791" s="1" t="n">
        <v>46108</v>
      </c>
      <c r="D791" t="inlineStr">
        <is>
          <t>STOCKHOLMS LÄN</t>
        </is>
      </c>
      <c r="E791" t="inlineStr">
        <is>
          <t>NORRTÄLJE</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34478-2025</t>
        </is>
      </c>
      <c r="B792" s="1" t="n">
        <v>45847</v>
      </c>
      <c r="C792" s="1" t="n">
        <v>46108</v>
      </c>
      <c r="D792" t="inlineStr">
        <is>
          <t>STOCKHOLMS LÄN</t>
        </is>
      </c>
      <c r="E792" t="inlineStr">
        <is>
          <t>NORRTÄLJE</t>
        </is>
      </c>
      <c r="F792" t="inlineStr">
        <is>
          <t>Övriga Aktiebolag</t>
        </is>
      </c>
      <c r="G792" t="n">
        <v>10.8</v>
      </c>
      <c r="H792" t="n">
        <v>0</v>
      </c>
      <c r="I792" t="n">
        <v>0</v>
      </c>
      <c r="J792" t="n">
        <v>0</v>
      </c>
      <c r="K792" t="n">
        <v>0</v>
      </c>
      <c r="L792" t="n">
        <v>0</v>
      </c>
      <c r="M792" t="n">
        <v>0</v>
      </c>
      <c r="N792" t="n">
        <v>0</v>
      </c>
      <c r="O792" t="n">
        <v>0</v>
      </c>
      <c r="P792" t="n">
        <v>0</v>
      </c>
      <c r="Q792" t="n">
        <v>0</v>
      </c>
      <c r="R792" s="2" t="inlineStr"/>
    </row>
    <row r="793" ht="15" customHeight="1">
      <c r="A793" t="inlineStr">
        <is>
          <t>A 62681-2025</t>
        </is>
      </c>
      <c r="B793" s="1" t="n">
        <v>46008.45534722223</v>
      </c>
      <c r="C793" s="1" t="n">
        <v>46108</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62922-2025</t>
        </is>
      </c>
      <c r="B794" s="1" t="n">
        <v>46009.38064814815</v>
      </c>
      <c r="C794" s="1" t="n">
        <v>46108</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56631-2024</t>
        </is>
      </c>
      <c r="B795" s="1" t="n">
        <v>45625</v>
      </c>
      <c r="C795" s="1" t="n">
        <v>46108</v>
      </c>
      <c r="D795" t="inlineStr">
        <is>
          <t>STOCKHOLMS LÄN</t>
        </is>
      </c>
      <c r="E795" t="inlineStr">
        <is>
          <t>NORRTÄLJE</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652-2025</t>
        </is>
      </c>
      <c r="B796" s="1" t="n">
        <v>45664</v>
      </c>
      <c r="C796" s="1" t="n">
        <v>46108</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62689-2025</t>
        </is>
      </c>
      <c r="B797" s="1" t="n">
        <v>46008.47171296296</v>
      </c>
      <c r="C797" s="1" t="n">
        <v>46108</v>
      </c>
      <c r="D797" t="inlineStr">
        <is>
          <t>STOCKHOLMS LÄN</t>
        </is>
      </c>
      <c r="E797" t="inlineStr">
        <is>
          <t>NORRTÄLJE</t>
        </is>
      </c>
      <c r="F797" t="inlineStr">
        <is>
          <t>Kyrkan</t>
        </is>
      </c>
      <c r="G797" t="n">
        <v>0.7</v>
      </c>
      <c r="H797" t="n">
        <v>0</v>
      </c>
      <c r="I797" t="n">
        <v>0</v>
      </c>
      <c r="J797" t="n">
        <v>0</v>
      </c>
      <c r="K797" t="n">
        <v>0</v>
      </c>
      <c r="L797" t="n">
        <v>0</v>
      </c>
      <c r="M797" t="n">
        <v>0</v>
      </c>
      <c r="N797" t="n">
        <v>0</v>
      </c>
      <c r="O797" t="n">
        <v>0</v>
      </c>
      <c r="P797" t="n">
        <v>0</v>
      </c>
      <c r="Q797" t="n">
        <v>0</v>
      </c>
      <c r="R797" s="2" t="inlineStr"/>
    </row>
    <row r="798" ht="15" customHeight="1">
      <c r="A798" t="inlineStr">
        <is>
          <t>A 28603-2024</t>
        </is>
      </c>
      <c r="B798" s="1" t="n">
        <v>45478.42887731481</v>
      </c>
      <c r="C798" s="1" t="n">
        <v>46108</v>
      </c>
      <c r="D798" t="inlineStr">
        <is>
          <t>STOCKHOLMS LÄN</t>
        </is>
      </c>
      <c r="E798" t="inlineStr">
        <is>
          <t>NORRTÄLJE</t>
        </is>
      </c>
      <c r="G798" t="n">
        <v>5.6</v>
      </c>
      <c r="H798" t="n">
        <v>0</v>
      </c>
      <c r="I798" t="n">
        <v>0</v>
      </c>
      <c r="J798" t="n">
        <v>0</v>
      </c>
      <c r="K798" t="n">
        <v>0</v>
      </c>
      <c r="L798" t="n">
        <v>0</v>
      </c>
      <c r="M798" t="n">
        <v>0</v>
      </c>
      <c r="N798" t="n">
        <v>0</v>
      </c>
      <c r="O798" t="n">
        <v>0</v>
      </c>
      <c r="P798" t="n">
        <v>0</v>
      </c>
      <c r="Q798" t="n">
        <v>0</v>
      </c>
      <c r="R798" s="2" t="inlineStr"/>
    </row>
    <row r="799" ht="15" customHeight="1">
      <c r="A799" t="inlineStr">
        <is>
          <t>A 5389-2025</t>
        </is>
      </c>
      <c r="B799" s="1" t="n">
        <v>45692</v>
      </c>
      <c r="C799" s="1" t="n">
        <v>46108</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11499-2023</t>
        </is>
      </c>
      <c r="B800" s="1" t="n">
        <v>44993.66707175926</v>
      </c>
      <c r="C800" s="1" t="n">
        <v>46108</v>
      </c>
      <c r="D800" t="inlineStr">
        <is>
          <t>STOCKHOLMS LÄN</t>
        </is>
      </c>
      <c r="E800" t="inlineStr">
        <is>
          <t>NORRTÄLJE</t>
        </is>
      </c>
      <c r="F800" t="inlineStr">
        <is>
          <t>Holmen skog AB</t>
        </is>
      </c>
      <c r="G800" t="n">
        <v>2.8</v>
      </c>
      <c r="H800" t="n">
        <v>0</v>
      </c>
      <c r="I800" t="n">
        <v>0</v>
      </c>
      <c r="J800" t="n">
        <v>0</v>
      </c>
      <c r="K800" t="n">
        <v>0</v>
      </c>
      <c r="L800" t="n">
        <v>0</v>
      </c>
      <c r="M800" t="n">
        <v>0</v>
      </c>
      <c r="N800" t="n">
        <v>0</v>
      </c>
      <c r="O800" t="n">
        <v>0</v>
      </c>
      <c r="P800" t="n">
        <v>0</v>
      </c>
      <c r="Q800" t="n">
        <v>0</v>
      </c>
      <c r="R800" s="2" t="inlineStr"/>
    </row>
    <row r="801" ht="15" customHeight="1">
      <c r="A801" t="inlineStr">
        <is>
          <t>A 24690-2025</t>
        </is>
      </c>
      <c r="B801" s="1" t="n">
        <v>45798.67082175926</v>
      </c>
      <c r="C801" s="1" t="n">
        <v>46108</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576-2023</t>
        </is>
      </c>
      <c r="B802" s="1" t="n">
        <v>44925</v>
      </c>
      <c r="C802" s="1" t="n">
        <v>46108</v>
      </c>
      <c r="D802" t="inlineStr">
        <is>
          <t>STOCKHOLMS LÄN</t>
        </is>
      </c>
      <c r="E802" t="inlineStr">
        <is>
          <t>NORRTÄLJE</t>
        </is>
      </c>
      <c r="G802" t="n">
        <v>7.2</v>
      </c>
      <c r="H802" t="n">
        <v>0</v>
      </c>
      <c r="I802" t="n">
        <v>0</v>
      </c>
      <c r="J802" t="n">
        <v>0</v>
      </c>
      <c r="K802" t="n">
        <v>0</v>
      </c>
      <c r="L802" t="n">
        <v>0</v>
      </c>
      <c r="M802" t="n">
        <v>0</v>
      </c>
      <c r="N802" t="n">
        <v>0</v>
      </c>
      <c r="O802" t="n">
        <v>0</v>
      </c>
      <c r="P802" t="n">
        <v>0</v>
      </c>
      <c r="Q802" t="n">
        <v>0</v>
      </c>
      <c r="R802" s="2" t="inlineStr"/>
    </row>
    <row r="803" ht="15" customHeight="1">
      <c r="A803" t="inlineStr">
        <is>
          <t>A 10678-2025</t>
        </is>
      </c>
      <c r="B803" s="1" t="n">
        <v>45721.89123842592</v>
      </c>
      <c r="C803" s="1" t="n">
        <v>46108</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47259-2024</t>
        </is>
      </c>
      <c r="B804" s="1" t="n">
        <v>45586</v>
      </c>
      <c r="C804" s="1" t="n">
        <v>46108</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31936-2022</t>
        </is>
      </c>
      <c r="B805" s="1" t="n">
        <v>44777</v>
      </c>
      <c r="C805" s="1" t="n">
        <v>46108</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25702-2025</t>
        </is>
      </c>
      <c r="B806" s="1" t="n">
        <v>45800</v>
      </c>
      <c r="C806" s="1" t="n">
        <v>46108</v>
      </c>
      <c r="D806" t="inlineStr">
        <is>
          <t>STOCKHOLMS LÄN</t>
        </is>
      </c>
      <c r="E806" t="inlineStr">
        <is>
          <t>NORRTÄLJE</t>
        </is>
      </c>
      <c r="G806" t="n">
        <v>5.3</v>
      </c>
      <c r="H806" t="n">
        <v>0</v>
      </c>
      <c r="I806" t="n">
        <v>0</v>
      </c>
      <c r="J806" t="n">
        <v>0</v>
      </c>
      <c r="K806" t="n">
        <v>0</v>
      </c>
      <c r="L806" t="n">
        <v>0</v>
      </c>
      <c r="M806" t="n">
        <v>0</v>
      </c>
      <c r="N806" t="n">
        <v>0</v>
      </c>
      <c r="O806" t="n">
        <v>0</v>
      </c>
      <c r="P806" t="n">
        <v>0</v>
      </c>
      <c r="Q806" t="n">
        <v>0</v>
      </c>
      <c r="R806" s="2" t="inlineStr"/>
    </row>
    <row r="807" ht="15" customHeight="1">
      <c r="A807" t="inlineStr">
        <is>
          <t>A 59873-2024</t>
        </is>
      </c>
      <c r="B807" s="1" t="n">
        <v>45640.57305555556</v>
      </c>
      <c r="C807" s="1" t="n">
        <v>46108</v>
      </c>
      <c r="D807" t="inlineStr">
        <is>
          <t>STOCKHOLMS LÄN</t>
        </is>
      </c>
      <c r="E807" t="inlineStr">
        <is>
          <t>NORRTÄLJE</t>
        </is>
      </c>
      <c r="G807" t="n">
        <v>3.3</v>
      </c>
      <c r="H807" t="n">
        <v>0</v>
      </c>
      <c r="I807" t="n">
        <v>0</v>
      </c>
      <c r="J807" t="n">
        <v>0</v>
      </c>
      <c r="K807" t="n">
        <v>0</v>
      </c>
      <c r="L807" t="n">
        <v>0</v>
      </c>
      <c r="M807" t="n">
        <v>0</v>
      </c>
      <c r="N807" t="n">
        <v>0</v>
      </c>
      <c r="O807" t="n">
        <v>0</v>
      </c>
      <c r="P807" t="n">
        <v>0</v>
      </c>
      <c r="Q807" t="n">
        <v>0</v>
      </c>
      <c r="R807" s="2" t="inlineStr"/>
    </row>
    <row r="808" ht="15" customHeight="1">
      <c r="A808" t="inlineStr">
        <is>
          <t>A 35916-2024</t>
        </is>
      </c>
      <c r="B808" s="1" t="n">
        <v>45533</v>
      </c>
      <c r="C808" s="1" t="n">
        <v>46108</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10098-2022</t>
        </is>
      </c>
      <c r="B809" s="1" t="n">
        <v>44621</v>
      </c>
      <c r="C809" s="1" t="n">
        <v>46108</v>
      </c>
      <c r="D809" t="inlineStr">
        <is>
          <t>STOCKHOLMS LÄN</t>
        </is>
      </c>
      <c r="E809" t="inlineStr">
        <is>
          <t>NORRTÄLJE</t>
        </is>
      </c>
      <c r="G809" t="n">
        <v>2.2</v>
      </c>
      <c r="H809" t="n">
        <v>0</v>
      </c>
      <c r="I809" t="n">
        <v>0</v>
      </c>
      <c r="J809" t="n">
        <v>0</v>
      </c>
      <c r="K809" t="n">
        <v>0</v>
      </c>
      <c r="L809" t="n">
        <v>0</v>
      </c>
      <c r="M809" t="n">
        <v>0</v>
      </c>
      <c r="N809" t="n">
        <v>0</v>
      </c>
      <c r="O809" t="n">
        <v>0</v>
      </c>
      <c r="P809" t="n">
        <v>0</v>
      </c>
      <c r="Q809" t="n">
        <v>0</v>
      </c>
      <c r="R809" s="2" t="inlineStr"/>
    </row>
    <row r="810" ht="15" customHeight="1">
      <c r="A810" t="inlineStr">
        <is>
          <t>A 25712-2025</t>
        </is>
      </c>
      <c r="B810" s="1" t="n">
        <v>45803.69228009259</v>
      </c>
      <c r="C810" s="1" t="n">
        <v>46108</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63161-2023</t>
        </is>
      </c>
      <c r="B811" s="1" t="n">
        <v>45273</v>
      </c>
      <c r="C811" s="1" t="n">
        <v>46108</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197-2026</t>
        </is>
      </c>
      <c r="B812" s="1" t="n">
        <v>46026</v>
      </c>
      <c r="C812" s="1" t="n">
        <v>46108</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124-2026</t>
        </is>
      </c>
      <c r="B813" s="1" t="n">
        <v>46024.58378472222</v>
      </c>
      <c r="C813" s="1" t="n">
        <v>46108</v>
      </c>
      <c r="D813" t="inlineStr">
        <is>
          <t>STOCKHOLMS LÄN</t>
        </is>
      </c>
      <c r="E813" t="inlineStr">
        <is>
          <t>NORRTÄLJE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25733-2025</t>
        </is>
      </c>
      <c r="B814" s="1" t="n">
        <v>45800</v>
      </c>
      <c r="C814" s="1" t="n">
        <v>46108</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39238-2024</t>
        </is>
      </c>
      <c r="B815" s="1" t="n">
        <v>45549</v>
      </c>
      <c r="C815" s="1" t="n">
        <v>46108</v>
      </c>
      <c r="D815" t="inlineStr">
        <is>
          <t>STOCKHOLMS LÄN</t>
        </is>
      </c>
      <c r="E815" t="inlineStr">
        <is>
          <t>NORRTÄLJE</t>
        </is>
      </c>
      <c r="G815" t="n">
        <v>3.6</v>
      </c>
      <c r="H815" t="n">
        <v>0</v>
      </c>
      <c r="I815" t="n">
        <v>0</v>
      </c>
      <c r="J815" t="n">
        <v>0</v>
      </c>
      <c r="K815" t="n">
        <v>0</v>
      </c>
      <c r="L815" t="n">
        <v>0</v>
      </c>
      <c r="M815" t="n">
        <v>0</v>
      </c>
      <c r="N815" t="n">
        <v>0</v>
      </c>
      <c r="O815" t="n">
        <v>0</v>
      </c>
      <c r="P815" t="n">
        <v>0</v>
      </c>
      <c r="Q815" t="n">
        <v>0</v>
      </c>
      <c r="R815" s="2" t="inlineStr"/>
    </row>
    <row r="816" ht="15" customHeight="1">
      <c r="A816" t="inlineStr">
        <is>
          <t>A 25571-2025</t>
        </is>
      </c>
      <c r="B816" s="1" t="n">
        <v>45803.4675</v>
      </c>
      <c r="C816" s="1" t="n">
        <v>46108</v>
      </c>
      <c r="D816" t="inlineStr">
        <is>
          <t>STOCKHOLMS LÄN</t>
        </is>
      </c>
      <c r="E816" t="inlineStr">
        <is>
          <t>NORRTÄLJE</t>
        </is>
      </c>
      <c r="G816" t="n">
        <v>5.4</v>
      </c>
      <c r="H816" t="n">
        <v>0</v>
      </c>
      <c r="I816" t="n">
        <v>0</v>
      </c>
      <c r="J816" t="n">
        <v>0</v>
      </c>
      <c r="K816" t="n">
        <v>0</v>
      </c>
      <c r="L816" t="n">
        <v>0</v>
      </c>
      <c r="M816" t="n">
        <v>0</v>
      </c>
      <c r="N816" t="n">
        <v>0</v>
      </c>
      <c r="O816" t="n">
        <v>0</v>
      </c>
      <c r="P816" t="n">
        <v>0</v>
      </c>
      <c r="Q816" t="n">
        <v>0</v>
      </c>
      <c r="R816" s="2" t="inlineStr"/>
    </row>
    <row r="817" ht="15" customHeight="1">
      <c r="A817" t="inlineStr">
        <is>
          <t>A 25721-2025</t>
        </is>
      </c>
      <c r="B817" s="1" t="n">
        <v>45800</v>
      </c>
      <c r="C817" s="1" t="n">
        <v>46108</v>
      </c>
      <c r="D817" t="inlineStr">
        <is>
          <t>STOCKHOLMS LÄN</t>
        </is>
      </c>
      <c r="E817" t="inlineStr">
        <is>
          <t>NORRTÄLJE</t>
        </is>
      </c>
      <c r="G817" t="n">
        <v>6</v>
      </c>
      <c r="H817" t="n">
        <v>0</v>
      </c>
      <c r="I817" t="n">
        <v>0</v>
      </c>
      <c r="J817" t="n">
        <v>0</v>
      </c>
      <c r="K817" t="n">
        <v>0</v>
      </c>
      <c r="L817" t="n">
        <v>0</v>
      </c>
      <c r="M817" t="n">
        <v>0</v>
      </c>
      <c r="N817" t="n">
        <v>0</v>
      </c>
      <c r="O817" t="n">
        <v>0</v>
      </c>
      <c r="P817" t="n">
        <v>0</v>
      </c>
      <c r="Q817" t="n">
        <v>0</v>
      </c>
      <c r="R817" s="2" t="inlineStr"/>
    </row>
    <row r="818" ht="15" customHeight="1">
      <c r="A818" t="inlineStr">
        <is>
          <t>A 7796-2025</t>
        </is>
      </c>
      <c r="B818" s="1" t="n">
        <v>45706.60130787037</v>
      </c>
      <c r="C818" s="1" t="n">
        <v>46108</v>
      </c>
      <c r="D818" t="inlineStr">
        <is>
          <t>STOCKHOLMS LÄN</t>
        </is>
      </c>
      <c r="E818" t="inlineStr">
        <is>
          <t>NORRTÄLJE</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15552-2021</t>
        </is>
      </c>
      <c r="B819" s="1" t="n">
        <v>44285</v>
      </c>
      <c r="C819" s="1" t="n">
        <v>46108</v>
      </c>
      <c r="D819" t="inlineStr">
        <is>
          <t>STOCKHOLMS LÄN</t>
        </is>
      </c>
      <c r="E819" t="inlineStr">
        <is>
          <t>NORRTÄLJE</t>
        </is>
      </c>
      <c r="G819" t="n">
        <v>10</v>
      </c>
      <c r="H819" t="n">
        <v>0</v>
      </c>
      <c r="I819" t="n">
        <v>0</v>
      </c>
      <c r="J819" t="n">
        <v>0</v>
      </c>
      <c r="K819" t="n">
        <v>0</v>
      </c>
      <c r="L819" t="n">
        <v>0</v>
      </c>
      <c r="M819" t="n">
        <v>0</v>
      </c>
      <c r="N819" t="n">
        <v>0</v>
      </c>
      <c r="O819" t="n">
        <v>0</v>
      </c>
      <c r="P819" t="n">
        <v>0</v>
      </c>
      <c r="Q819" t="n">
        <v>0</v>
      </c>
      <c r="R819" s="2" t="inlineStr"/>
    </row>
    <row r="820" ht="15" customHeight="1">
      <c r="A820" t="inlineStr">
        <is>
          <t>A 58040-2024</t>
        </is>
      </c>
      <c r="B820" s="1" t="n">
        <v>45631.73952546297</v>
      </c>
      <c r="C820" s="1" t="n">
        <v>46108</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58041-2024</t>
        </is>
      </c>
      <c r="B821" s="1" t="n">
        <v>45631.74673611111</v>
      </c>
      <c r="C821" s="1" t="n">
        <v>46108</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30268-2024</t>
        </is>
      </c>
      <c r="B822" s="1" t="n">
        <v>45490.60572916667</v>
      </c>
      <c r="C822" s="1" t="n">
        <v>46108</v>
      </c>
      <c r="D822" t="inlineStr">
        <is>
          <t>STOCKHOLMS LÄN</t>
        </is>
      </c>
      <c r="E822" t="inlineStr">
        <is>
          <t>NORRTÄLJE</t>
        </is>
      </c>
      <c r="G822" t="n">
        <v>5.6</v>
      </c>
      <c r="H822" t="n">
        <v>0</v>
      </c>
      <c r="I822" t="n">
        <v>0</v>
      </c>
      <c r="J822" t="n">
        <v>0</v>
      </c>
      <c r="K822" t="n">
        <v>0</v>
      </c>
      <c r="L822" t="n">
        <v>0</v>
      </c>
      <c r="M822" t="n">
        <v>0</v>
      </c>
      <c r="N822" t="n">
        <v>0</v>
      </c>
      <c r="O822" t="n">
        <v>0</v>
      </c>
      <c r="P822" t="n">
        <v>0</v>
      </c>
      <c r="Q822" t="n">
        <v>0</v>
      </c>
      <c r="R822" s="2" t="inlineStr"/>
    </row>
    <row r="823" ht="15" customHeight="1">
      <c r="A823" t="inlineStr">
        <is>
          <t>A 9103-2026</t>
        </is>
      </c>
      <c r="B823" s="1" t="n">
        <v>46069.65039351852</v>
      </c>
      <c r="C823" s="1" t="n">
        <v>46108</v>
      </c>
      <c r="D823" t="inlineStr">
        <is>
          <t>STOCKHOLMS LÄN</t>
        </is>
      </c>
      <c r="E823" t="inlineStr">
        <is>
          <t>NORRTÄLJE</t>
        </is>
      </c>
      <c r="F823" t="inlineStr">
        <is>
          <t>Holmen skog AB</t>
        </is>
      </c>
      <c r="G823" t="n">
        <v>3.6</v>
      </c>
      <c r="H823" t="n">
        <v>0</v>
      </c>
      <c r="I823" t="n">
        <v>0</v>
      </c>
      <c r="J823" t="n">
        <v>0</v>
      </c>
      <c r="K823" t="n">
        <v>0</v>
      </c>
      <c r="L823" t="n">
        <v>0</v>
      </c>
      <c r="M823" t="n">
        <v>0</v>
      </c>
      <c r="N823" t="n">
        <v>0</v>
      </c>
      <c r="O823" t="n">
        <v>0</v>
      </c>
      <c r="P823" t="n">
        <v>0</v>
      </c>
      <c r="Q823" t="n">
        <v>0</v>
      </c>
      <c r="R823" s="2" t="inlineStr"/>
    </row>
    <row r="824" ht="15" customHeight="1">
      <c r="A824" t="inlineStr">
        <is>
          <t>A 12407-2025</t>
        </is>
      </c>
      <c r="B824" s="1" t="n">
        <v>45730.42851851852</v>
      </c>
      <c r="C824" s="1" t="n">
        <v>46108</v>
      </c>
      <c r="D824" t="inlineStr">
        <is>
          <t>STOCKHOLMS LÄN</t>
        </is>
      </c>
      <c r="E824" t="inlineStr">
        <is>
          <t>NORRTÄLJE</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8962-2026</t>
        </is>
      </c>
      <c r="B825" s="1" t="n">
        <v>46069.41644675926</v>
      </c>
      <c r="C825" s="1" t="n">
        <v>46108</v>
      </c>
      <c r="D825" t="inlineStr">
        <is>
          <t>STOCKHOLMS LÄN</t>
        </is>
      </c>
      <c r="E825" t="inlineStr">
        <is>
          <t>NORRTÄLJE</t>
        </is>
      </c>
      <c r="F825" t="inlineStr">
        <is>
          <t>Holmen skog AB</t>
        </is>
      </c>
      <c r="G825" t="n">
        <v>4.1</v>
      </c>
      <c r="H825" t="n">
        <v>0</v>
      </c>
      <c r="I825" t="n">
        <v>0</v>
      </c>
      <c r="J825" t="n">
        <v>0</v>
      </c>
      <c r="K825" t="n">
        <v>0</v>
      </c>
      <c r="L825" t="n">
        <v>0</v>
      </c>
      <c r="M825" t="n">
        <v>0</v>
      </c>
      <c r="N825" t="n">
        <v>0</v>
      </c>
      <c r="O825" t="n">
        <v>0</v>
      </c>
      <c r="P825" t="n">
        <v>0</v>
      </c>
      <c r="Q825" t="n">
        <v>0</v>
      </c>
      <c r="R825" s="2" t="inlineStr"/>
    </row>
    <row r="826" ht="15" customHeight="1">
      <c r="A826" t="inlineStr">
        <is>
          <t>A 8989-2026</t>
        </is>
      </c>
      <c r="B826" s="1" t="n">
        <v>46069.45789351852</v>
      </c>
      <c r="C826" s="1" t="n">
        <v>46108</v>
      </c>
      <c r="D826" t="inlineStr">
        <is>
          <t>STOCKHOLMS LÄN</t>
        </is>
      </c>
      <c r="E826" t="inlineStr">
        <is>
          <t>NORRTÄLJE</t>
        </is>
      </c>
      <c r="F826" t="inlineStr">
        <is>
          <t>Holmen skog AB</t>
        </is>
      </c>
      <c r="G826" t="n">
        <v>0.8</v>
      </c>
      <c r="H826" t="n">
        <v>0</v>
      </c>
      <c r="I826" t="n">
        <v>0</v>
      </c>
      <c r="J826" t="n">
        <v>0</v>
      </c>
      <c r="K826" t="n">
        <v>0</v>
      </c>
      <c r="L826" t="n">
        <v>0</v>
      </c>
      <c r="M826" t="n">
        <v>0</v>
      </c>
      <c r="N826" t="n">
        <v>0</v>
      </c>
      <c r="O826" t="n">
        <v>0</v>
      </c>
      <c r="P826" t="n">
        <v>0</v>
      </c>
      <c r="Q826" t="n">
        <v>0</v>
      </c>
      <c r="R826" s="2" t="inlineStr"/>
    </row>
    <row r="827" ht="15" customHeight="1">
      <c r="A827" t="inlineStr">
        <is>
          <t>A 25697-2025</t>
        </is>
      </c>
      <c r="B827" s="1" t="n">
        <v>45803.66587962963</v>
      </c>
      <c r="C827" s="1" t="n">
        <v>46108</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41218-2024</t>
        </is>
      </c>
      <c r="B828" s="1" t="n">
        <v>45559.54706018518</v>
      </c>
      <c r="C828" s="1" t="n">
        <v>46108</v>
      </c>
      <c r="D828" t="inlineStr">
        <is>
          <t>STOCKHOLMS LÄN</t>
        </is>
      </c>
      <c r="E828" t="inlineStr">
        <is>
          <t>NORRTÄLJE</t>
        </is>
      </c>
      <c r="G828" t="n">
        <v>6</v>
      </c>
      <c r="H828" t="n">
        <v>0</v>
      </c>
      <c r="I828" t="n">
        <v>0</v>
      </c>
      <c r="J828" t="n">
        <v>0</v>
      </c>
      <c r="K828" t="n">
        <v>0</v>
      </c>
      <c r="L828" t="n">
        <v>0</v>
      </c>
      <c r="M828" t="n">
        <v>0</v>
      </c>
      <c r="N828" t="n">
        <v>0</v>
      </c>
      <c r="O828" t="n">
        <v>0</v>
      </c>
      <c r="P828" t="n">
        <v>0</v>
      </c>
      <c r="Q828" t="n">
        <v>0</v>
      </c>
      <c r="R828" s="2" t="inlineStr"/>
    </row>
    <row r="829" ht="15" customHeight="1">
      <c r="A829" t="inlineStr">
        <is>
          <t>A 19025-2025</t>
        </is>
      </c>
      <c r="B829" s="1" t="n">
        <v>45764.6359837963</v>
      </c>
      <c r="C829" s="1" t="n">
        <v>46108</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38449-2022</t>
        </is>
      </c>
      <c r="B830" s="1" t="n">
        <v>44813</v>
      </c>
      <c r="C830" s="1" t="n">
        <v>46108</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54276-2021</t>
        </is>
      </c>
      <c r="B831" s="1" t="n">
        <v>44470</v>
      </c>
      <c r="C831" s="1" t="n">
        <v>46108</v>
      </c>
      <c r="D831" t="inlineStr">
        <is>
          <t>STOCKHOLMS LÄN</t>
        </is>
      </c>
      <c r="E831" t="inlineStr">
        <is>
          <t>NORRTÄLJE</t>
        </is>
      </c>
      <c r="G831" t="n">
        <v>7.3</v>
      </c>
      <c r="H831" t="n">
        <v>0</v>
      </c>
      <c r="I831" t="n">
        <v>0</v>
      </c>
      <c r="J831" t="n">
        <v>0</v>
      </c>
      <c r="K831" t="n">
        <v>0</v>
      </c>
      <c r="L831" t="n">
        <v>0</v>
      </c>
      <c r="M831" t="n">
        <v>0</v>
      </c>
      <c r="N831" t="n">
        <v>0</v>
      </c>
      <c r="O831" t="n">
        <v>0</v>
      </c>
      <c r="P831" t="n">
        <v>0</v>
      </c>
      <c r="Q831" t="n">
        <v>0</v>
      </c>
      <c r="R831" s="2" t="inlineStr"/>
    </row>
    <row r="832" ht="15" customHeight="1">
      <c r="A832" t="inlineStr">
        <is>
          <t>A 4316-2023</t>
        </is>
      </c>
      <c r="B832" s="1" t="n">
        <v>44953.67443287037</v>
      </c>
      <c r="C832" s="1" t="n">
        <v>46108</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53561-2023</t>
        </is>
      </c>
      <c r="B833" s="1" t="n">
        <v>45224</v>
      </c>
      <c r="C833" s="1" t="n">
        <v>46108</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8985-2026</t>
        </is>
      </c>
      <c r="B834" s="1" t="n">
        <v>46069.45234953704</v>
      </c>
      <c r="C834" s="1" t="n">
        <v>46108</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41587-2023</t>
        </is>
      </c>
      <c r="B835" s="1" t="n">
        <v>45175</v>
      </c>
      <c r="C835" s="1" t="n">
        <v>46108</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718-2026</t>
        </is>
      </c>
      <c r="B836" s="1" t="n">
        <v>46029.63174768518</v>
      </c>
      <c r="C836" s="1" t="n">
        <v>46108</v>
      </c>
      <c r="D836" t="inlineStr">
        <is>
          <t>STOCKHOLMS LÄN</t>
        </is>
      </c>
      <c r="E836" t="inlineStr">
        <is>
          <t>NORRTÄLJE</t>
        </is>
      </c>
      <c r="G836" t="n">
        <v>2.4</v>
      </c>
      <c r="H836" t="n">
        <v>0</v>
      </c>
      <c r="I836" t="n">
        <v>0</v>
      </c>
      <c r="J836" t="n">
        <v>0</v>
      </c>
      <c r="K836" t="n">
        <v>0</v>
      </c>
      <c r="L836" t="n">
        <v>0</v>
      </c>
      <c r="M836" t="n">
        <v>0</v>
      </c>
      <c r="N836" t="n">
        <v>0</v>
      </c>
      <c r="O836" t="n">
        <v>0</v>
      </c>
      <c r="P836" t="n">
        <v>0</v>
      </c>
      <c r="Q836" t="n">
        <v>0</v>
      </c>
      <c r="R836" s="2" t="inlineStr"/>
    </row>
    <row r="837" ht="15" customHeight="1">
      <c r="A837" t="inlineStr">
        <is>
          <t>A 26051-2025</t>
        </is>
      </c>
      <c r="B837" s="1" t="n">
        <v>45804.74479166666</v>
      </c>
      <c r="C837" s="1" t="n">
        <v>46108</v>
      </c>
      <c r="D837" t="inlineStr">
        <is>
          <t>STOCKHOLMS LÄN</t>
        </is>
      </c>
      <c r="E837" t="inlineStr">
        <is>
          <t>NORRTÄLJE</t>
        </is>
      </c>
      <c r="G837" t="n">
        <v>3.2</v>
      </c>
      <c r="H837" t="n">
        <v>0</v>
      </c>
      <c r="I837" t="n">
        <v>0</v>
      </c>
      <c r="J837" t="n">
        <v>0</v>
      </c>
      <c r="K837" t="n">
        <v>0</v>
      </c>
      <c r="L837" t="n">
        <v>0</v>
      </c>
      <c r="M837" t="n">
        <v>0</v>
      </c>
      <c r="N837" t="n">
        <v>0</v>
      </c>
      <c r="O837" t="n">
        <v>0</v>
      </c>
      <c r="P837" t="n">
        <v>0</v>
      </c>
      <c r="Q837" t="n">
        <v>0</v>
      </c>
      <c r="R837" s="2" t="inlineStr"/>
    </row>
    <row r="838" ht="15" customHeight="1">
      <c r="A838" t="inlineStr">
        <is>
          <t>A 694-2026</t>
        </is>
      </c>
      <c r="B838" s="1" t="n">
        <v>46029.61375</v>
      </c>
      <c r="C838" s="1" t="n">
        <v>46108</v>
      </c>
      <c r="D838" t="inlineStr">
        <is>
          <t>STOCKHOLMS LÄN</t>
        </is>
      </c>
      <c r="E838" t="inlineStr">
        <is>
          <t>NORRTÄLJE</t>
        </is>
      </c>
      <c r="G838" t="n">
        <v>9.6</v>
      </c>
      <c r="H838" t="n">
        <v>0</v>
      </c>
      <c r="I838" t="n">
        <v>0</v>
      </c>
      <c r="J838" t="n">
        <v>0</v>
      </c>
      <c r="K838" t="n">
        <v>0</v>
      </c>
      <c r="L838" t="n">
        <v>0</v>
      </c>
      <c r="M838" t="n">
        <v>0</v>
      </c>
      <c r="N838" t="n">
        <v>0</v>
      </c>
      <c r="O838" t="n">
        <v>0</v>
      </c>
      <c r="P838" t="n">
        <v>0</v>
      </c>
      <c r="Q838" t="n">
        <v>0</v>
      </c>
      <c r="R838" s="2" t="inlineStr"/>
    </row>
    <row r="839" ht="15" customHeight="1">
      <c r="A839" t="inlineStr">
        <is>
          <t>A 17304-2024</t>
        </is>
      </c>
      <c r="B839" s="1" t="n">
        <v>45414</v>
      </c>
      <c r="C839" s="1" t="n">
        <v>46108</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693-2026</t>
        </is>
      </c>
      <c r="B840" s="1" t="n">
        <v>46029.6133449074</v>
      </c>
      <c r="C840" s="1" t="n">
        <v>46108</v>
      </c>
      <c r="D840" t="inlineStr">
        <is>
          <t>STOCKHOLMS LÄN</t>
        </is>
      </c>
      <c r="E840" t="inlineStr">
        <is>
          <t>NORRTÄLJE</t>
        </is>
      </c>
      <c r="G840" t="n">
        <v>9.6</v>
      </c>
      <c r="H840" t="n">
        <v>0</v>
      </c>
      <c r="I840" t="n">
        <v>0</v>
      </c>
      <c r="J840" t="n">
        <v>0</v>
      </c>
      <c r="K840" t="n">
        <v>0</v>
      </c>
      <c r="L840" t="n">
        <v>0</v>
      </c>
      <c r="M840" t="n">
        <v>0</v>
      </c>
      <c r="N840" t="n">
        <v>0</v>
      </c>
      <c r="O840" t="n">
        <v>0</v>
      </c>
      <c r="P840" t="n">
        <v>0</v>
      </c>
      <c r="Q840" t="n">
        <v>0</v>
      </c>
      <c r="R840" s="2" t="inlineStr"/>
    </row>
    <row r="841" ht="15" customHeight="1">
      <c r="A841" t="inlineStr">
        <is>
          <t>A 11280-2023</t>
        </is>
      </c>
      <c r="B841" s="1" t="n">
        <v>44992</v>
      </c>
      <c r="C841" s="1" t="n">
        <v>46108</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475-2026</t>
        </is>
      </c>
      <c r="B842" s="1" t="n">
        <v>46029.39351851852</v>
      </c>
      <c r="C842" s="1" t="n">
        <v>46108</v>
      </c>
      <c r="D842" t="inlineStr">
        <is>
          <t>STOCKHOLMS LÄN</t>
        </is>
      </c>
      <c r="E842" t="inlineStr">
        <is>
          <t>NORRTÄLJE</t>
        </is>
      </c>
      <c r="G842" t="n">
        <v>4.6</v>
      </c>
      <c r="H842" t="n">
        <v>0</v>
      </c>
      <c r="I842" t="n">
        <v>0</v>
      </c>
      <c r="J842" t="n">
        <v>0</v>
      </c>
      <c r="K842" t="n">
        <v>0</v>
      </c>
      <c r="L842" t="n">
        <v>0</v>
      </c>
      <c r="M842" t="n">
        <v>0</v>
      </c>
      <c r="N842" t="n">
        <v>0</v>
      </c>
      <c r="O842" t="n">
        <v>0</v>
      </c>
      <c r="P842" t="n">
        <v>0</v>
      </c>
      <c r="Q842" t="n">
        <v>0</v>
      </c>
      <c r="R842" s="2" t="inlineStr"/>
    </row>
    <row r="843" ht="15" customHeight="1">
      <c r="A843" t="inlineStr">
        <is>
          <t>A 717-2026</t>
        </is>
      </c>
      <c r="B843" s="1" t="n">
        <v>46029.63028935185</v>
      </c>
      <c r="C843" s="1" t="n">
        <v>46108</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26668-2024</t>
        </is>
      </c>
      <c r="B844" s="1" t="n">
        <v>45469</v>
      </c>
      <c r="C844" s="1" t="n">
        <v>46108</v>
      </c>
      <c r="D844" t="inlineStr">
        <is>
          <t>STOCKHOLMS LÄN</t>
        </is>
      </c>
      <c r="E844" t="inlineStr">
        <is>
          <t>NORRTÄLJE</t>
        </is>
      </c>
      <c r="G844" t="n">
        <v>4.8</v>
      </c>
      <c r="H844" t="n">
        <v>0</v>
      </c>
      <c r="I844" t="n">
        <v>0</v>
      </c>
      <c r="J844" t="n">
        <v>0</v>
      </c>
      <c r="K844" t="n">
        <v>0</v>
      </c>
      <c r="L844" t="n">
        <v>0</v>
      </c>
      <c r="M844" t="n">
        <v>0</v>
      </c>
      <c r="N844" t="n">
        <v>0</v>
      </c>
      <c r="O844" t="n">
        <v>0</v>
      </c>
      <c r="P844" t="n">
        <v>0</v>
      </c>
      <c r="Q844" t="n">
        <v>0</v>
      </c>
      <c r="R844" s="2" t="inlineStr"/>
    </row>
    <row r="845" ht="15" customHeight="1">
      <c r="A845" t="inlineStr">
        <is>
          <t>A 812-2026</t>
        </is>
      </c>
      <c r="B845" s="1" t="n">
        <v>46030.33358796296</v>
      </c>
      <c r="C845" s="1" t="n">
        <v>46108</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26708-2025</t>
        </is>
      </c>
      <c r="B846" s="1" t="n">
        <v>45810.45633101852</v>
      </c>
      <c r="C846" s="1" t="n">
        <v>46108</v>
      </c>
      <c r="D846" t="inlineStr">
        <is>
          <t>STOCKHOLMS LÄN</t>
        </is>
      </c>
      <c r="E846" t="inlineStr">
        <is>
          <t>NORRTÄLJE</t>
        </is>
      </c>
      <c r="G846" t="n">
        <v>1.4</v>
      </c>
      <c r="H846" t="n">
        <v>0</v>
      </c>
      <c r="I846" t="n">
        <v>0</v>
      </c>
      <c r="J846" t="n">
        <v>0</v>
      </c>
      <c r="K846" t="n">
        <v>0</v>
      </c>
      <c r="L846" t="n">
        <v>0</v>
      </c>
      <c r="M846" t="n">
        <v>0</v>
      </c>
      <c r="N846" t="n">
        <v>0</v>
      </c>
      <c r="O846" t="n">
        <v>0</v>
      </c>
      <c r="P846" t="n">
        <v>0</v>
      </c>
      <c r="Q846" t="n">
        <v>0</v>
      </c>
      <c r="R846" s="2" t="inlineStr"/>
    </row>
    <row r="847" ht="15" customHeight="1">
      <c r="A847" t="inlineStr">
        <is>
          <t>A 26702-2025</t>
        </is>
      </c>
      <c r="B847" s="1" t="n">
        <v>45810.45236111111</v>
      </c>
      <c r="C847" s="1" t="n">
        <v>46108</v>
      </c>
      <c r="D847" t="inlineStr">
        <is>
          <t>STOCKHOLMS LÄN</t>
        </is>
      </c>
      <c r="E847" t="inlineStr">
        <is>
          <t>NORRTÄLJE</t>
        </is>
      </c>
      <c r="G847" t="n">
        <v>7.3</v>
      </c>
      <c r="H847" t="n">
        <v>0</v>
      </c>
      <c r="I847" t="n">
        <v>0</v>
      </c>
      <c r="J847" t="n">
        <v>0</v>
      </c>
      <c r="K847" t="n">
        <v>0</v>
      </c>
      <c r="L847" t="n">
        <v>0</v>
      </c>
      <c r="M847" t="n">
        <v>0</v>
      </c>
      <c r="N847" t="n">
        <v>0</v>
      </c>
      <c r="O847" t="n">
        <v>0</v>
      </c>
      <c r="P847" t="n">
        <v>0</v>
      </c>
      <c r="Q847" t="n">
        <v>0</v>
      </c>
      <c r="R847" s="2" t="inlineStr"/>
    </row>
    <row r="848" ht="15" customHeight="1">
      <c r="A848" t="inlineStr">
        <is>
          <t>A 31926-2022</t>
        </is>
      </c>
      <c r="B848" s="1" t="n">
        <v>44777</v>
      </c>
      <c r="C848" s="1" t="n">
        <v>46108</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23061-2025</t>
        </is>
      </c>
      <c r="B849" s="1" t="n">
        <v>45790.81410879629</v>
      </c>
      <c r="C849" s="1" t="n">
        <v>46108</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46108</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27040-2025</t>
        </is>
      </c>
      <c r="B851" s="1" t="n">
        <v>45811.60451388889</v>
      </c>
      <c r="C851" s="1" t="n">
        <v>46108</v>
      </c>
      <c r="D851" t="inlineStr">
        <is>
          <t>STOCKHOLMS LÄN</t>
        </is>
      </c>
      <c r="E851" t="inlineStr">
        <is>
          <t>NORRTÄLJE</t>
        </is>
      </c>
      <c r="G851" t="n">
        <v>4.3</v>
      </c>
      <c r="H851" t="n">
        <v>0</v>
      </c>
      <c r="I851" t="n">
        <v>0</v>
      </c>
      <c r="J851" t="n">
        <v>0</v>
      </c>
      <c r="K851" t="n">
        <v>0</v>
      </c>
      <c r="L851" t="n">
        <v>0</v>
      </c>
      <c r="M851" t="n">
        <v>0</v>
      </c>
      <c r="N851" t="n">
        <v>0</v>
      </c>
      <c r="O851" t="n">
        <v>0</v>
      </c>
      <c r="P851" t="n">
        <v>0</v>
      </c>
      <c r="Q851" t="n">
        <v>0</v>
      </c>
      <c r="R851" s="2" t="inlineStr"/>
    </row>
    <row r="852" ht="15" customHeight="1">
      <c r="A852" t="inlineStr">
        <is>
          <t>A 11041-2025</t>
        </is>
      </c>
      <c r="B852" s="1" t="n">
        <v>45723</v>
      </c>
      <c r="C852" s="1" t="n">
        <v>46108</v>
      </c>
      <c r="D852" t="inlineStr">
        <is>
          <t>STOCKHOLMS LÄN</t>
        </is>
      </c>
      <c r="E852" t="inlineStr">
        <is>
          <t>NORRTÄLJE</t>
        </is>
      </c>
      <c r="F852" t="inlineStr">
        <is>
          <t>Övriga Aktiebolag</t>
        </is>
      </c>
      <c r="G852" t="n">
        <v>1.8</v>
      </c>
      <c r="H852" t="n">
        <v>0</v>
      </c>
      <c r="I852" t="n">
        <v>0</v>
      </c>
      <c r="J852" t="n">
        <v>0</v>
      </c>
      <c r="K852" t="n">
        <v>0</v>
      </c>
      <c r="L852" t="n">
        <v>0</v>
      </c>
      <c r="M852" t="n">
        <v>0</v>
      </c>
      <c r="N852" t="n">
        <v>0</v>
      </c>
      <c r="O852" t="n">
        <v>0</v>
      </c>
      <c r="P852" t="n">
        <v>0</v>
      </c>
      <c r="Q852" t="n">
        <v>0</v>
      </c>
      <c r="R852" s="2" t="inlineStr"/>
    </row>
    <row r="853" ht="15" customHeight="1">
      <c r="A853" t="inlineStr">
        <is>
          <t>A 26747-2025</t>
        </is>
      </c>
      <c r="B853" s="1" t="n">
        <v>45810.5333912037</v>
      </c>
      <c r="C853" s="1" t="n">
        <v>46108</v>
      </c>
      <c r="D853" t="inlineStr">
        <is>
          <t>STOCKHOLMS LÄN</t>
        </is>
      </c>
      <c r="E853" t="inlineStr">
        <is>
          <t>NORRTÄLJE</t>
        </is>
      </c>
      <c r="G853" t="n">
        <v>1.9</v>
      </c>
      <c r="H853" t="n">
        <v>0</v>
      </c>
      <c r="I853" t="n">
        <v>0</v>
      </c>
      <c r="J853" t="n">
        <v>0</v>
      </c>
      <c r="K853" t="n">
        <v>0</v>
      </c>
      <c r="L853" t="n">
        <v>0</v>
      </c>
      <c r="M853" t="n">
        <v>0</v>
      </c>
      <c r="N853" t="n">
        <v>0</v>
      </c>
      <c r="O853" t="n">
        <v>0</v>
      </c>
      <c r="P853" t="n">
        <v>0</v>
      </c>
      <c r="Q853" t="n">
        <v>0</v>
      </c>
      <c r="R853" s="2" t="inlineStr"/>
    </row>
    <row r="854" ht="15" customHeight="1">
      <c r="A854" t="inlineStr">
        <is>
          <t>A 9720-2026</t>
        </is>
      </c>
      <c r="B854" s="1" t="n">
        <v>46072.45061342593</v>
      </c>
      <c r="C854" s="1" t="n">
        <v>46108</v>
      </c>
      <c r="D854" t="inlineStr">
        <is>
          <t>STOCKHOLMS LÄN</t>
        </is>
      </c>
      <c r="E854" t="inlineStr">
        <is>
          <t>NORRTÄLJE</t>
        </is>
      </c>
      <c r="G854" t="n">
        <v>3.6</v>
      </c>
      <c r="H854" t="n">
        <v>0</v>
      </c>
      <c r="I854" t="n">
        <v>0</v>
      </c>
      <c r="J854" t="n">
        <v>0</v>
      </c>
      <c r="K854" t="n">
        <v>0</v>
      </c>
      <c r="L854" t="n">
        <v>0</v>
      </c>
      <c r="M854" t="n">
        <v>0</v>
      </c>
      <c r="N854" t="n">
        <v>0</v>
      </c>
      <c r="O854" t="n">
        <v>0</v>
      </c>
      <c r="P854" t="n">
        <v>0</v>
      </c>
      <c r="Q854" t="n">
        <v>0</v>
      </c>
      <c r="R854" s="2" t="inlineStr"/>
    </row>
    <row r="855" ht="15" customHeight="1">
      <c r="A855" t="inlineStr">
        <is>
          <t>A 24024-2024</t>
        </is>
      </c>
      <c r="B855" s="1" t="n">
        <v>45456</v>
      </c>
      <c r="C855" s="1" t="n">
        <v>46108</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28809-2023</t>
        </is>
      </c>
      <c r="B856" s="1" t="n">
        <v>45104</v>
      </c>
      <c r="C856" s="1" t="n">
        <v>46108</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28813-2023</t>
        </is>
      </c>
      <c r="B857" s="1" t="n">
        <v>45104</v>
      </c>
      <c r="C857" s="1" t="n">
        <v>46108</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40656-2022</t>
        </is>
      </c>
      <c r="B858" s="1" t="n">
        <v>44824.36069444445</v>
      </c>
      <c r="C858" s="1" t="n">
        <v>46108</v>
      </c>
      <c r="D858" t="inlineStr">
        <is>
          <t>STOCKHOLMS LÄN</t>
        </is>
      </c>
      <c r="E858" t="inlineStr">
        <is>
          <t>NORRTÄLJE</t>
        </is>
      </c>
      <c r="G858" t="n">
        <v>2.7</v>
      </c>
      <c r="H858" t="n">
        <v>0</v>
      </c>
      <c r="I858" t="n">
        <v>0</v>
      </c>
      <c r="J858" t="n">
        <v>0</v>
      </c>
      <c r="K858" t="n">
        <v>0</v>
      </c>
      <c r="L858" t="n">
        <v>0</v>
      </c>
      <c r="M858" t="n">
        <v>0</v>
      </c>
      <c r="N858" t="n">
        <v>0</v>
      </c>
      <c r="O858" t="n">
        <v>0</v>
      </c>
      <c r="P858" t="n">
        <v>0</v>
      </c>
      <c r="Q858" t="n">
        <v>0</v>
      </c>
      <c r="R858" s="2" t="inlineStr"/>
    </row>
    <row r="859" ht="15" customHeight="1">
      <c r="A859" t="inlineStr">
        <is>
          <t>A 10399-2026</t>
        </is>
      </c>
      <c r="B859" s="1" t="n">
        <v>46077</v>
      </c>
      <c r="C859" s="1" t="n">
        <v>46108</v>
      </c>
      <c r="D859" t="inlineStr">
        <is>
          <t>STOCKHOLMS LÄN</t>
        </is>
      </c>
      <c r="E859" t="inlineStr">
        <is>
          <t>NORRTÄLJE</t>
        </is>
      </c>
      <c r="F859" t="inlineStr">
        <is>
          <t>Övriga Aktiebolag</t>
        </is>
      </c>
      <c r="G859" t="n">
        <v>0.2</v>
      </c>
      <c r="H859" t="n">
        <v>0</v>
      </c>
      <c r="I859" t="n">
        <v>0</v>
      </c>
      <c r="J859" t="n">
        <v>0</v>
      </c>
      <c r="K859" t="n">
        <v>0</v>
      </c>
      <c r="L859" t="n">
        <v>0</v>
      </c>
      <c r="M859" t="n">
        <v>0</v>
      </c>
      <c r="N859" t="n">
        <v>0</v>
      </c>
      <c r="O859" t="n">
        <v>0</v>
      </c>
      <c r="P859" t="n">
        <v>0</v>
      </c>
      <c r="Q859" t="n">
        <v>0</v>
      </c>
      <c r="R859" s="2" t="inlineStr"/>
    </row>
    <row r="860" ht="15" customHeight="1">
      <c r="A860" t="inlineStr">
        <is>
          <t>A 60694-2024</t>
        </is>
      </c>
      <c r="B860" s="1" t="n">
        <v>45644.47878472223</v>
      </c>
      <c r="C860" s="1" t="n">
        <v>46108</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26675-2025</t>
        </is>
      </c>
      <c r="B861" s="1" t="n">
        <v>45810.42393518519</v>
      </c>
      <c r="C861" s="1" t="n">
        <v>46108</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1755-2026</t>
        </is>
      </c>
      <c r="B862" s="1" t="n">
        <v>46034.66230324074</v>
      </c>
      <c r="C862" s="1" t="n">
        <v>46108</v>
      </c>
      <c r="D862" t="inlineStr">
        <is>
          <t>STOCKHOLMS LÄN</t>
        </is>
      </c>
      <c r="E862" t="inlineStr">
        <is>
          <t>NORRTÄLJE</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19450-2025</t>
        </is>
      </c>
      <c r="B863" s="1" t="n">
        <v>45770</v>
      </c>
      <c r="C863" s="1" t="n">
        <v>46108</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1789-2026</t>
        </is>
      </c>
      <c r="B864" s="1" t="n">
        <v>46034</v>
      </c>
      <c r="C864" s="1" t="n">
        <v>46108</v>
      </c>
      <c r="D864" t="inlineStr">
        <is>
          <t>STOCKHOLMS LÄN</t>
        </is>
      </c>
      <c r="E864" t="inlineStr">
        <is>
          <t>NORRTÄLJE</t>
        </is>
      </c>
      <c r="G864" t="n">
        <v>1.4</v>
      </c>
      <c r="H864" t="n">
        <v>0</v>
      </c>
      <c r="I864" t="n">
        <v>0</v>
      </c>
      <c r="J864" t="n">
        <v>0</v>
      </c>
      <c r="K864" t="n">
        <v>0</v>
      </c>
      <c r="L864" t="n">
        <v>0</v>
      </c>
      <c r="M864" t="n">
        <v>0</v>
      </c>
      <c r="N864" t="n">
        <v>0</v>
      </c>
      <c r="O864" t="n">
        <v>0</v>
      </c>
      <c r="P864" t="n">
        <v>0</v>
      </c>
      <c r="Q864" t="n">
        <v>0</v>
      </c>
      <c r="R864" s="2" t="inlineStr"/>
    </row>
    <row r="865" ht="15" customHeight="1">
      <c r="A865" t="inlineStr">
        <is>
          <t>A 27554-2025</t>
        </is>
      </c>
      <c r="B865" s="1" t="n">
        <v>45813.4709375</v>
      </c>
      <c r="C865" s="1" t="n">
        <v>46108</v>
      </c>
      <c r="D865" t="inlineStr">
        <is>
          <t>STOCKHOLMS LÄN</t>
        </is>
      </c>
      <c r="E865" t="inlineStr">
        <is>
          <t>NORRTÄLJE</t>
        </is>
      </c>
      <c r="F865" t="inlineStr">
        <is>
          <t>Övriga Aktiebolag</t>
        </is>
      </c>
      <c r="G865" t="n">
        <v>2.5</v>
      </c>
      <c r="H865" t="n">
        <v>0</v>
      </c>
      <c r="I865" t="n">
        <v>0</v>
      </c>
      <c r="J865" t="n">
        <v>0</v>
      </c>
      <c r="K865" t="n">
        <v>0</v>
      </c>
      <c r="L865" t="n">
        <v>0</v>
      </c>
      <c r="M865" t="n">
        <v>0</v>
      </c>
      <c r="N865" t="n">
        <v>0</v>
      </c>
      <c r="O865" t="n">
        <v>0</v>
      </c>
      <c r="P865" t="n">
        <v>0</v>
      </c>
      <c r="Q865" t="n">
        <v>0</v>
      </c>
      <c r="R865" s="2" t="inlineStr"/>
    </row>
    <row r="866" ht="15" customHeight="1">
      <c r="A866" t="inlineStr">
        <is>
          <t>A 10429-2026</t>
        </is>
      </c>
      <c r="B866" s="1" t="n">
        <v>46077.3822337963</v>
      </c>
      <c r="C866" s="1" t="n">
        <v>46108</v>
      </c>
      <c r="D866" t="inlineStr">
        <is>
          <t>STOCKHOLMS LÄN</t>
        </is>
      </c>
      <c r="E866" t="inlineStr">
        <is>
          <t>NORRTÄLJE</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10444-2026</t>
        </is>
      </c>
      <c r="B867" s="1" t="n">
        <v>46077.42230324074</v>
      </c>
      <c r="C867" s="1" t="n">
        <v>46108</v>
      </c>
      <c r="D867" t="inlineStr">
        <is>
          <t>STOCKHOLMS LÄN</t>
        </is>
      </c>
      <c r="E867" t="inlineStr">
        <is>
          <t>NORRTÄLJE</t>
        </is>
      </c>
      <c r="F867" t="inlineStr">
        <is>
          <t>Holmen skog AB</t>
        </is>
      </c>
      <c r="G867" t="n">
        <v>4.9</v>
      </c>
      <c r="H867" t="n">
        <v>0</v>
      </c>
      <c r="I867" t="n">
        <v>0</v>
      </c>
      <c r="J867" t="n">
        <v>0</v>
      </c>
      <c r="K867" t="n">
        <v>0</v>
      </c>
      <c r="L867" t="n">
        <v>0</v>
      </c>
      <c r="M867" t="n">
        <v>0</v>
      </c>
      <c r="N867" t="n">
        <v>0</v>
      </c>
      <c r="O867" t="n">
        <v>0</v>
      </c>
      <c r="P867" t="n">
        <v>0</v>
      </c>
      <c r="Q867" t="n">
        <v>0</v>
      </c>
      <c r="R867" s="2" t="inlineStr"/>
    </row>
    <row r="868" ht="15" customHeight="1">
      <c r="A868" t="inlineStr">
        <is>
          <t>A 10586-2026</t>
        </is>
      </c>
      <c r="B868" s="1" t="n">
        <v>46077.68192129629</v>
      </c>
      <c r="C868" s="1" t="n">
        <v>46108</v>
      </c>
      <c r="D868" t="inlineStr">
        <is>
          <t>STOCKHOLMS LÄN</t>
        </is>
      </c>
      <c r="E868" t="inlineStr">
        <is>
          <t>NORRTÄLJE</t>
        </is>
      </c>
      <c r="F868" t="inlineStr">
        <is>
          <t>Holmen skog AB</t>
        </is>
      </c>
      <c r="G868" t="n">
        <v>3.3</v>
      </c>
      <c r="H868" t="n">
        <v>0</v>
      </c>
      <c r="I868" t="n">
        <v>0</v>
      </c>
      <c r="J868" t="n">
        <v>0</v>
      </c>
      <c r="K868" t="n">
        <v>0</v>
      </c>
      <c r="L868" t="n">
        <v>0</v>
      </c>
      <c r="M868" t="n">
        <v>0</v>
      </c>
      <c r="N868" t="n">
        <v>0</v>
      </c>
      <c r="O868" t="n">
        <v>0</v>
      </c>
      <c r="P868" t="n">
        <v>0</v>
      </c>
      <c r="Q868" t="n">
        <v>0</v>
      </c>
      <c r="R868" s="2" t="inlineStr"/>
    </row>
    <row r="869" ht="15" customHeight="1">
      <c r="A869" t="inlineStr">
        <is>
          <t>A 10553-2026</t>
        </is>
      </c>
      <c r="B869" s="1" t="n">
        <v>46077.62944444444</v>
      </c>
      <c r="C869" s="1" t="n">
        <v>46108</v>
      </c>
      <c r="D869" t="inlineStr">
        <is>
          <t>STOCKHOLMS LÄN</t>
        </is>
      </c>
      <c r="E869" t="inlineStr">
        <is>
          <t>NORRTÄLJE</t>
        </is>
      </c>
      <c r="G869" t="n">
        <v>4.9</v>
      </c>
      <c r="H869" t="n">
        <v>0</v>
      </c>
      <c r="I869" t="n">
        <v>0</v>
      </c>
      <c r="J869" t="n">
        <v>0</v>
      </c>
      <c r="K869" t="n">
        <v>0</v>
      </c>
      <c r="L869" t="n">
        <v>0</v>
      </c>
      <c r="M869" t="n">
        <v>0</v>
      </c>
      <c r="N869" t="n">
        <v>0</v>
      </c>
      <c r="O869" t="n">
        <v>0</v>
      </c>
      <c r="P869" t="n">
        <v>0</v>
      </c>
      <c r="Q869" t="n">
        <v>0</v>
      </c>
      <c r="R869" s="2" t="inlineStr"/>
    </row>
    <row r="870" ht="15" customHeight="1">
      <c r="A870" t="inlineStr">
        <is>
          <t>A 27700-2025</t>
        </is>
      </c>
      <c r="B870" s="1" t="n">
        <v>45813.6799537037</v>
      </c>
      <c r="C870" s="1" t="n">
        <v>46108</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2088-2026</t>
        </is>
      </c>
      <c r="B871" s="1" t="n">
        <v>46036.35909722222</v>
      </c>
      <c r="C871" s="1" t="n">
        <v>46108</v>
      </c>
      <c r="D871" t="inlineStr">
        <is>
          <t>STOCKHOLMS LÄN</t>
        </is>
      </c>
      <c r="E871" t="inlineStr">
        <is>
          <t>NORRTÄLJE</t>
        </is>
      </c>
      <c r="G871" t="n">
        <v>7</v>
      </c>
      <c r="H871" t="n">
        <v>0</v>
      </c>
      <c r="I871" t="n">
        <v>0</v>
      </c>
      <c r="J871" t="n">
        <v>0</v>
      </c>
      <c r="K871" t="n">
        <v>0</v>
      </c>
      <c r="L871" t="n">
        <v>0</v>
      </c>
      <c r="M871" t="n">
        <v>0</v>
      </c>
      <c r="N871" t="n">
        <v>0</v>
      </c>
      <c r="O871" t="n">
        <v>0</v>
      </c>
      <c r="P871" t="n">
        <v>0</v>
      </c>
      <c r="Q871" t="n">
        <v>0</v>
      </c>
      <c r="R871" s="2" t="inlineStr"/>
    </row>
    <row r="872" ht="15" customHeight="1">
      <c r="A872" t="inlineStr">
        <is>
          <t>A 27697-2025</t>
        </is>
      </c>
      <c r="B872" s="1" t="n">
        <v>45813.66961805556</v>
      </c>
      <c r="C872" s="1" t="n">
        <v>46108</v>
      </c>
      <c r="D872" t="inlineStr">
        <is>
          <t>STOCKHOLMS LÄN</t>
        </is>
      </c>
      <c r="E872" t="inlineStr">
        <is>
          <t>NORRTÄLJE</t>
        </is>
      </c>
      <c r="G872" t="n">
        <v>6.2</v>
      </c>
      <c r="H872" t="n">
        <v>0</v>
      </c>
      <c r="I872" t="n">
        <v>0</v>
      </c>
      <c r="J872" t="n">
        <v>0</v>
      </c>
      <c r="K872" t="n">
        <v>0</v>
      </c>
      <c r="L872" t="n">
        <v>0</v>
      </c>
      <c r="M872" t="n">
        <v>0</v>
      </c>
      <c r="N872" t="n">
        <v>0</v>
      </c>
      <c r="O872" t="n">
        <v>0</v>
      </c>
      <c r="P872" t="n">
        <v>0</v>
      </c>
      <c r="Q872" t="n">
        <v>0</v>
      </c>
      <c r="R872" s="2" t="inlineStr"/>
    </row>
    <row r="873" ht="15" customHeight="1">
      <c r="A873" t="inlineStr">
        <is>
          <t>A 33353-2023</t>
        </is>
      </c>
      <c r="B873" s="1" t="n">
        <v>45128</v>
      </c>
      <c r="C873" s="1" t="n">
        <v>46108</v>
      </c>
      <c r="D873" t="inlineStr">
        <is>
          <t>STOCKHOLMS LÄN</t>
        </is>
      </c>
      <c r="E873" t="inlineStr">
        <is>
          <t>NORRTÄLJE</t>
        </is>
      </c>
      <c r="G873" t="n">
        <v>0.8</v>
      </c>
      <c r="H873" t="n">
        <v>0</v>
      </c>
      <c r="I873" t="n">
        <v>0</v>
      </c>
      <c r="J873" t="n">
        <v>0</v>
      </c>
      <c r="K873" t="n">
        <v>0</v>
      </c>
      <c r="L873" t="n">
        <v>0</v>
      </c>
      <c r="M873" t="n">
        <v>0</v>
      </c>
      <c r="N873" t="n">
        <v>0</v>
      </c>
      <c r="O873" t="n">
        <v>0</v>
      </c>
      <c r="P873" t="n">
        <v>0</v>
      </c>
      <c r="Q873" t="n">
        <v>0</v>
      </c>
      <c r="R873" s="2" t="inlineStr"/>
    </row>
    <row r="874" ht="15" customHeight="1">
      <c r="A874" t="inlineStr">
        <is>
          <t>A 27802-2025</t>
        </is>
      </c>
      <c r="B874" s="1" t="n">
        <v>45817.2565625</v>
      </c>
      <c r="C874" s="1" t="n">
        <v>46108</v>
      </c>
      <c r="D874" t="inlineStr">
        <is>
          <t>STOCKHOLMS LÄN</t>
        </is>
      </c>
      <c r="E874" t="inlineStr">
        <is>
          <t>NORRTÄLJE</t>
        </is>
      </c>
      <c r="G874" t="n">
        <v>3</v>
      </c>
      <c r="H874" t="n">
        <v>0</v>
      </c>
      <c r="I874" t="n">
        <v>0</v>
      </c>
      <c r="J874" t="n">
        <v>0</v>
      </c>
      <c r="K874" t="n">
        <v>0</v>
      </c>
      <c r="L874" t="n">
        <v>0</v>
      </c>
      <c r="M874" t="n">
        <v>0</v>
      </c>
      <c r="N874" t="n">
        <v>0</v>
      </c>
      <c r="O874" t="n">
        <v>0</v>
      </c>
      <c r="P874" t="n">
        <v>0</v>
      </c>
      <c r="Q874" t="n">
        <v>0</v>
      </c>
      <c r="R874" s="2" t="inlineStr"/>
    </row>
    <row r="875" ht="15" customHeight="1">
      <c r="A875" t="inlineStr">
        <is>
          <t>A 27806-2025</t>
        </is>
      </c>
      <c r="B875" s="1" t="n">
        <v>45817.30329861111</v>
      </c>
      <c r="C875" s="1" t="n">
        <v>46108</v>
      </c>
      <c r="D875" t="inlineStr">
        <is>
          <t>STOCKHOLMS LÄN</t>
        </is>
      </c>
      <c r="E875" t="inlineStr">
        <is>
          <t>NORRTÄLJE</t>
        </is>
      </c>
      <c r="G875" t="n">
        <v>3</v>
      </c>
      <c r="H875" t="n">
        <v>0</v>
      </c>
      <c r="I875" t="n">
        <v>0</v>
      </c>
      <c r="J875" t="n">
        <v>0</v>
      </c>
      <c r="K875" t="n">
        <v>0</v>
      </c>
      <c r="L875" t="n">
        <v>0</v>
      </c>
      <c r="M875" t="n">
        <v>0</v>
      </c>
      <c r="N875" t="n">
        <v>0</v>
      </c>
      <c r="O875" t="n">
        <v>0</v>
      </c>
      <c r="P875" t="n">
        <v>0</v>
      </c>
      <c r="Q875" t="n">
        <v>0</v>
      </c>
      <c r="R875" s="2" t="inlineStr"/>
    </row>
    <row r="876" ht="15" customHeight="1">
      <c r="A876" t="inlineStr">
        <is>
          <t>A 27808-2025</t>
        </is>
      </c>
      <c r="B876" s="1" t="n">
        <v>45817.31085648148</v>
      </c>
      <c r="C876" s="1" t="n">
        <v>46108</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27810-2025</t>
        </is>
      </c>
      <c r="B877" s="1" t="n">
        <v>45817.31708333334</v>
      </c>
      <c r="C877" s="1" t="n">
        <v>46108</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27811-2025</t>
        </is>
      </c>
      <c r="B878" s="1" t="n">
        <v>45817.31986111111</v>
      </c>
      <c r="C878" s="1" t="n">
        <v>46108</v>
      </c>
      <c r="D878" t="inlineStr">
        <is>
          <t>STOCKHOLMS LÄN</t>
        </is>
      </c>
      <c r="E878" t="inlineStr">
        <is>
          <t>NORRTÄLJE</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27818-2025</t>
        </is>
      </c>
      <c r="B879" s="1" t="n">
        <v>45817.33503472222</v>
      </c>
      <c r="C879" s="1" t="n">
        <v>46108</v>
      </c>
      <c r="D879" t="inlineStr">
        <is>
          <t>STOCKHOLMS LÄN</t>
        </is>
      </c>
      <c r="E879" t="inlineStr">
        <is>
          <t>NORRTÄLJE</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3966-2024</t>
        </is>
      </c>
      <c r="B880" s="1" t="n">
        <v>45322</v>
      </c>
      <c r="C880" s="1" t="n">
        <v>46108</v>
      </c>
      <c r="D880" t="inlineStr">
        <is>
          <t>STOCKHOLMS LÄN</t>
        </is>
      </c>
      <c r="E880" t="inlineStr">
        <is>
          <t>NORRTÄLJE</t>
        </is>
      </c>
      <c r="G880" t="n">
        <v>5.3</v>
      </c>
      <c r="H880" t="n">
        <v>0</v>
      </c>
      <c r="I880" t="n">
        <v>0</v>
      </c>
      <c r="J880" t="n">
        <v>0</v>
      </c>
      <c r="K880" t="n">
        <v>0</v>
      </c>
      <c r="L880" t="n">
        <v>0</v>
      </c>
      <c r="M880" t="n">
        <v>0</v>
      </c>
      <c r="N880" t="n">
        <v>0</v>
      </c>
      <c r="O880" t="n">
        <v>0</v>
      </c>
      <c r="P880" t="n">
        <v>0</v>
      </c>
      <c r="Q880" t="n">
        <v>0</v>
      </c>
      <c r="R880" s="2" t="inlineStr"/>
    </row>
    <row r="881" ht="15" customHeight="1">
      <c r="A881" t="inlineStr">
        <is>
          <t>A 2116-2026</t>
        </is>
      </c>
      <c r="B881" s="1" t="n">
        <v>46036.38108796296</v>
      </c>
      <c r="C881" s="1" t="n">
        <v>46108</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27801-2025</t>
        </is>
      </c>
      <c r="B882" s="1" t="n">
        <v>45817.25471064815</v>
      </c>
      <c r="C882" s="1" t="n">
        <v>46108</v>
      </c>
      <c r="D882" t="inlineStr">
        <is>
          <t>STOCKHOLMS LÄN</t>
        </is>
      </c>
      <c r="E882" t="inlineStr">
        <is>
          <t>NORRTÄLJE</t>
        </is>
      </c>
      <c r="G882" t="n">
        <v>2</v>
      </c>
      <c r="H882" t="n">
        <v>0</v>
      </c>
      <c r="I882" t="n">
        <v>0</v>
      </c>
      <c r="J882" t="n">
        <v>0</v>
      </c>
      <c r="K882" t="n">
        <v>0</v>
      </c>
      <c r="L882" t="n">
        <v>0</v>
      </c>
      <c r="M882" t="n">
        <v>0</v>
      </c>
      <c r="N882" t="n">
        <v>0</v>
      </c>
      <c r="O882" t="n">
        <v>0</v>
      </c>
      <c r="P882" t="n">
        <v>0</v>
      </c>
      <c r="Q882" t="n">
        <v>0</v>
      </c>
      <c r="R882" s="2" t="inlineStr"/>
    </row>
    <row r="883" ht="15" customHeight="1">
      <c r="A883" t="inlineStr">
        <is>
          <t>A 10646-2026</t>
        </is>
      </c>
      <c r="B883" s="1" t="n">
        <v>46078.34157407407</v>
      </c>
      <c r="C883" s="1" t="n">
        <v>46108</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27803-2025</t>
        </is>
      </c>
      <c r="B884" s="1" t="n">
        <v>45817.291875</v>
      </c>
      <c r="C884" s="1" t="n">
        <v>46108</v>
      </c>
      <c r="D884" t="inlineStr">
        <is>
          <t>STOCKHOLMS LÄN</t>
        </is>
      </c>
      <c r="E884" t="inlineStr">
        <is>
          <t>NORRTÄLJE</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27813-2025</t>
        </is>
      </c>
      <c r="B885" s="1" t="n">
        <v>45817.32538194444</v>
      </c>
      <c r="C885" s="1" t="n">
        <v>46108</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27821-2025</t>
        </is>
      </c>
      <c r="B886" s="1" t="n">
        <v>45817.34083333334</v>
      </c>
      <c r="C886" s="1" t="n">
        <v>46108</v>
      </c>
      <c r="D886" t="inlineStr">
        <is>
          <t>STOCKHOLMS LÄN</t>
        </is>
      </c>
      <c r="E886" t="inlineStr">
        <is>
          <t>NORRTÄLJE</t>
        </is>
      </c>
      <c r="G886" t="n">
        <v>3.2</v>
      </c>
      <c r="H886" t="n">
        <v>0</v>
      </c>
      <c r="I886" t="n">
        <v>0</v>
      </c>
      <c r="J886" t="n">
        <v>0</v>
      </c>
      <c r="K886" t="n">
        <v>0</v>
      </c>
      <c r="L886" t="n">
        <v>0</v>
      </c>
      <c r="M886" t="n">
        <v>0</v>
      </c>
      <c r="N886" t="n">
        <v>0</v>
      </c>
      <c r="O886" t="n">
        <v>0</v>
      </c>
      <c r="P886" t="n">
        <v>0</v>
      </c>
      <c r="Q886" t="n">
        <v>0</v>
      </c>
      <c r="R886" s="2" t="inlineStr"/>
    </row>
    <row r="887" ht="15" customHeight="1">
      <c r="A887" t="inlineStr">
        <is>
          <t>A 15528-2025</t>
        </is>
      </c>
      <c r="B887" s="1" t="n">
        <v>45747.63471064815</v>
      </c>
      <c r="C887" s="1" t="n">
        <v>46108</v>
      </c>
      <c r="D887" t="inlineStr">
        <is>
          <t>STOCKHOLMS LÄN</t>
        </is>
      </c>
      <c r="E887" t="inlineStr">
        <is>
          <t>NORRTÄLJE</t>
        </is>
      </c>
      <c r="G887" t="n">
        <v>10</v>
      </c>
      <c r="H887" t="n">
        <v>0</v>
      </c>
      <c r="I887" t="n">
        <v>0</v>
      </c>
      <c r="J887" t="n">
        <v>0</v>
      </c>
      <c r="K887" t="n">
        <v>0</v>
      </c>
      <c r="L887" t="n">
        <v>0</v>
      </c>
      <c r="M887" t="n">
        <v>0</v>
      </c>
      <c r="N887" t="n">
        <v>0</v>
      </c>
      <c r="O887" t="n">
        <v>0</v>
      </c>
      <c r="P887" t="n">
        <v>0</v>
      </c>
      <c r="Q887" t="n">
        <v>0</v>
      </c>
      <c r="R887" s="2" t="inlineStr"/>
    </row>
    <row r="888" ht="15" customHeight="1">
      <c r="A888" t="inlineStr">
        <is>
          <t>A 11901-2024</t>
        </is>
      </c>
      <c r="B888" s="1" t="n">
        <v>45376.55638888889</v>
      </c>
      <c r="C888" s="1" t="n">
        <v>46108</v>
      </c>
      <c r="D888" t="inlineStr">
        <is>
          <t>STOCKHOLMS LÄN</t>
        </is>
      </c>
      <c r="E888" t="inlineStr">
        <is>
          <t>NORRTÄLJE</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23262-2023</t>
        </is>
      </c>
      <c r="B889" s="1" t="n">
        <v>45075.90270833333</v>
      </c>
      <c r="C889" s="1" t="n">
        <v>46108</v>
      </c>
      <c r="D889" t="inlineStr">
        <is>
          <t>STOCKHOLMS LÄN</t>
        </is>
      </c>
      <c r="E889" t="inlineStr">
        <is>
          <t>NORRTÄLJE</t>
        </is>
      </c>
      <c r="F889" t="inlineStr">
        <is>
          <t>Kommuner</t>
        </is>
      </c>
      <c r="G889" t="n">
        <v>1.9</v>
      </c>
      <c r="H889" t="n">
        <v>0</v>
      </c>
      <c r="I889" t="n">
        <v>0</v>
      </c>
      <c r="J889" t="n">
        <v>0</v>
      </c>
      <c r="K889" t="n">
        <v>0</v>
      </c>
      <c r="L889" t="n">
        <v>0</v>
      </c>
      <c r="M889" t="n">
        <v>0</v>
      </c>
      <c r="N889" t="n">
        <v>0</v>
      </c>
      <c r="O889" t="n">
        <v>0</v>
      </c>
      <c r="P889" t="n">
        <v>0</v>
      </c>
      <c r="Q889" t="n">
        <v>0</v>
      </c>
      <c r="R889" s="2" t="inlineStr"/>
    </row>
    <row r="890" ht="15" customHeight="1">
      <c r="A890" t="inlineStr">
        <is>
          <t>A 23268-2023</t>
        </is>
      </c>
      <c r="B890" s="1" t="n">
        <v>45075.91042824074</v>
      </c>
      <c r="C890" s="1" t="n">
        <v>46108</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23270-2023</t>
        </is>
      </c>
      <c r="B891" s="1" t="n">
        <v>45075.91265046296</v>
      </c>
      <c r="C891" s="1" t="n">
        <v>46108</v>
      </c>
      <c r="D891" t="inlineStr">
        <is>
          <t>STOCKHOLMS LÄN</t>
        </is>
      </c>
      <c r="E891" t="inlineStr">
        <is>
          <t>NORRTÄLJE</t>
        </is>
      </c>
      <c r="G891" t="n">
        <v>12.3</v>
      </c>
      <c r="H891" t="n">
        <v>0</v>
      </c>
      <c r="I891" t="n">
        <v>0</v>
      </c>
      <c r="J891" t="n">
        <v>0</v>
      </c>
      <c r="K891" t="n">
        <v>0</v>
      </c>
      <c r="L891" t="n">
        <v>0</v>
      </c>
      <c r="M891" t="n">
        <v>0</v>
      </c>
      <c r="N891" t="n">
        <v>0</v>
      </c>
      <c r="O891" t="n">
        <v>0</v>
      </c>
      <c r="P891" t="n">
        <v>0</v>
      </c>
      <c r="Q891" t="n">
        <v>0</v>
      </c>
      <c r="R891" s="2" t="inlineStr"/>
    </row>
    <row r="892" ht="15" customHeight="1">
      <c r="A892" t="inlineStr">
        <is>
          <t>A 23274-2023</t>
        </is>
      </c>
      <c r="B892" s="1" t="n">
        <v>45075.92153935185</v>
      </c>
      <c r="C892" s="1" t="n">
        <v>46108</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17843-2024</t>
        </is>
      </c>
      <c r="B893" s="1" t="n">
        <v>45418</v>
      </c>
      <c r="C893" s="1" t="n">
        <v>46108</v>
      </c>
      <c r="D893" t="inlineStr">
        <is>
          <t>STOCKHOLMS LÄN</t>
        </is>
      </c>
      <c r="E893" t="inlineStr">
        <is>
          <t>NORRTÄLJE</t>
        </is>
      </c>
      <c r="G893" t="n">
        <v>5.4</v>
      </c>
      <c r="H893" t="n">
        <v>0</v>
      </c>
      <c r="I893" t="n">
        <v>0</v>
      </c>
      <c r="J893" t="n">
        <v>0</v>
      </c>
      <c r="K893" t="n">
        <v>0</v>
      </c>
      <c r="L893" t="n">
        <v>0</v>
      </c>
      <c r="M893" t="n">
        <v>0</v>
      </c>
      <c r="N893" t="n">
        <v>0</v>
      </c>
      <c r="O893" t="n">
        <v>0</v>
      </c>
      <c r="P893" t="n">
        <v>0</v>
      </c>
      <c r="Q893" t="n">
        <v>0</v>
      </c>
      <c r="R893" s="2" t="inlineStr"/>
    </row>
    <row r="894" ht="15" customHeight="1">
      <c r="A894" t="inlineStr">
        <is>
          <t>A 26636-2023</t>
        </is>
      </c>
      <c r="B894" s="1" t="n">
        <v>45092</v>
      </c>
      <c r="C894" s="1" t="n">
        <v>46108</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26637-2023</t>
        </is>
      </c>
      <c r="B895" s="1" t="n">
        <v>45092</v>
      </c>
      <c r="C895" s="1" t="n">
        <v>46108</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44075-2023</t>
        </is>
      </c>
      <c r="B896" s="1" t="n">
        <v>45188.41637731482</v>
      </c>
      <c r="C896" s="1" t="n">
        <v>46108</v>
      </c>
      <c r="D896" t="inlineStr">
        <is>
          <t>STOCKHOLMS LÄN</t>
        </is>
      </c>
      <c r="E896" t="inlineStr">
        <is>
          <t>NORRTÄLJE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72704-2021</t>
        </is>
      </c>
      <c r="B897" s="1" t="n">
        <v>44546</v>
      </c>
      <c r="C897" s="1" t="n">
        <v>46108</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52743-2024</t>
        </is>
      </c>
      <c r="B898" s="1" t="n">
        <v>45610.47414351852</v>
      </c>
      <c r="C898" s="1" t="n">
        <v>46108</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16852-2024</t>
        </is>
      </c>
      <c r="B899" s="1" t="n">
        <v>45411.54768518519</v>
      </c>
      <c r="C899" s="1" t="n">
        <v>46108</v>
      </c>
      <c r="D899" t="inlineStr">
        <is>
          <t>STOCKHOLMS LÄN</t>
        </is>
      </c>
      <c r="E899" t="inlineStr">
        <is>
          <t>NORRTÄLJE</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3549-2026</t>
        </is>
      </c>
      <c r="B900" s="1" t="n">
        <v>46042</v>
      </c>
      <c r="C900" s="1" t="n">
        <v>46108</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29250-2025</t>
        </is>
      </c>
      <c r="B901" s="1" t="n">
        <v>45824.37275462963</v>
      </c>
      <c r="C901" s="1" t="n">
        <v>46108</v>
      </c>
      <c r="D901" t="inlineStr">
        <is>
          <t>STOCKHOLMS LÄN</t>
        </is>
      </c>
      <c r="E901" t="inlineStr">
        <is>
          <t>NORRTÄLJE</t>
        </is>
      </c>
      <c r="F901" t="inlineStr">
        <is>
          <t>Sveaskog</t>
        </is>
      </c>
      <c r="G901" t="n">
        <v>6.4</v>
      </c>
      <c r="H901" t="n">
        <v>0</v>
      </c>
      <c r="I901" t="n">
        <v>0</v>
      </c>
      <c r="J901" t="n">
        <v>0</v>
      </c>
      <c r="K901" t="n">
        <v>0</v>
      </c>
      <c r="L901" t="n">
        <v>0</v>
      </c>
      <c r="M901" t="n">
        <v>0</v>
      </c>
      <c r="N901" t="n">
        <v>0</v>
      </c>
      <c r="O901" t="n">
        <v>0</v>
      </c>
      <c r="P901" t="n">
        <v>0</v>
      </c>
      <c r="Q901" t="n">
        <v>0</v>
      </c>
      <c r="R901" s="2" t="inlineStr"/>
    </row>
    <row r="902" ht="15" customHeight="1">
      <c r="A902" t="inlineStr">
        <is>
          <t>A 55755-2023</t>
        </is>
      </c>
      <c r="B902" s="1" t="n">
        <v>45239</v>
      </c>
      <c r="C902" s="1" t="n">
        <v>46108</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11648-2026</t>
        </is>
      </c>
      <c r="B903" s="1" t="n">
        <v>46084.51575231482</v>
      </c>
      <c r="C903" s="1" t="n">
        <v>46108</v>
      </c>
      <c r="D903" t="inlineStr">
        <is>
          <t>STOCKHOLMS LÄN</t>
        </is>
      </c>
      <c r="E903" t="inlineStr">
        <is>
          <t>NORRTÄLJE</t>
        </is>
      </c>
      <c r="G903" t="n">
        <v>4.1</v>
      </c>
      <c r="H903" t="n">
        <v>0</v>
      </c>
      <c r="I903" t="n">
        <v>0</v>
      </c>
      <c r="J903" t="n">
        <v>0</v>
      </c>
      <c r="K903" t="n">
        <v>0</v>
      </c>
      <c r="L903" t="n">
        <v>0</v>
      </c>
      <c r="M903" t="n">
        <v>0</v>
      </c>
      <c r="N903" t="n">
        <v>0</v>
      </c>
      <c r="O903" t="n">
        <v>0</v>
      </c>
      <c r="P903" t="n">
        <v>0</v>
      </c>
      <c r="Q903" t="n">
        <v>0</v>
      </c>
      <c r="R903" s="2" t="inlineStr"/>
    </row>
    <row r="904" ht="15" customHeight="1">
      <c r="A904" t="inlineStr">
        <is>
          <t>A 17348-2024</t>
        </is>
      </c>
      <c r="B904" s="1" t="n">
        <v>45414.58650462963</v>
      </c>
      <c r="C904" s="1" t="n">
        <v>46108</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4227-2026</t>
        </is>
      </c>
      <c r="B905" s="1" t="n">
        <v>46044</v>
      </c>
      <c r="C905" s="1" t="n">
        <v>46108</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12234-2026</t>
        </is>
      </c>
      <c r="B906" s="1" t="n">
        <v>46087.4091087963</v>
      </c>
      <c r="C906" s="1" t="n">
        <v>46108</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13089-2022</t>
        </is>
      </c>
      <c r="B907" s="1" t="n">
        <v>44643</v>
      </c>
      <c r="C907" s="1" t="n">
        <v>46108</v>
      </c>
      <c r="D907" t="inlineStr">
        <is>
          <t>STOCKHOLMS LÄN</t>
        </is>
      </c>
      <c r="E907" t="inlineStr">
        <is>
          <t>NORRTÄLJE</t>
        </is>
      </c>
      <c r="G907" t="n">
        <v>4.5</v>
      </c>
      <c r="H907" t="n">
        <v>0</v>
      </c>
      <c r="I907" t="n">
        <v>0</v>
      </c>
      <c r="J907" t="n">
        <v>0</v>
      </c>
      <c r="K907" t="n">
        <v>0</v>
      </c>
      <c r="L907" t="n">
        <v>0</v>
      </c>
      <c r="M907" t="n">
        <v>0</v>
      </c>
      <c r="N907" t="n">
        <v>0</v>
      </c>
      <c r="O907" t="n">
        <v>0</v>
      </c>
      <c r="P907" t="n">
        <v>0</v>
      </c>
      <c r="Q907" t="n">
        <v>0</v>
      </c>
      <c r="R907" s="2" t="inlineStr"/>
    </row>
    <row r="908" ht="15" customHeight="1">
      <c r="A908" t="inlineStr">
        <is>
          <t>A 4230-2026</t>
        </is>
      </c>
      <c r="B908" s="1" t="n">
        <v>46044.89366898148</v>
      </c>
      <c r="C908" s="1" t="n">
        <v>46108</v>
      </c>
      <c r="D908" t="inlineStr">
        <is>
          <t>STOCKHOLMS LÄN</t>
        </is>
      </c>
      <c r="E908" t="inlineStr">
        <is>
          <t>NORRTÄLJE</t>
        </is>
      </c>
      <c r="G908" t="n">
        <v>10.8</v>
      </c>
      <c r="H908" t="n">
        <v>0</v>
      </c>
      <c r="I908" t="n">
        <v>0</v>
      </c>
      <c r="J908" t="n">
        <v>0</v>
      </c>
      <c r="K908" t="n">
        <v>0</v>
      </c>
      <c r="L908" t="n">
        <v>0</v>
      </c>
      <c r="M908" t="n">
        <v>0</v>
      </c>
      <c r="N908" t="n">
        <v>0</v>
      </c>
      <c r="O908" t="n">
        <v>0</v>
      </c>
      <c r="P908" t="n">
        <v>0</v>
      </c>
      <c r="Q908" t="n">
        <v>0</v>
      </c>
      <c r="R908" s="2" t="inlineStr"/>
    </row>
    <row r="909" ht="15" customHeight="1">
      <c r="A909" t="inlineStr">
        <is>
          <t>A 4231-2026</t>
        </is>
      </c>
      <c r="B909" s="1" t="n">
        <v>46044</v>
      </c>
      <c r="C909" s="1" t="n">
        <v>46108</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4232-2026</t>
        </is>
      </c>
      <c r="B910" s="1" t="n">
        <v>46044.89594907407</v>
      </c>
      <c r="C910" s="1" t="n">
        <v>46108</v>
      </c>
      <c r="D910" t="inlineStr">
        <is>
          <t>STOCKHOLMS LÄN</t>
        </is>
      </c>
      <c r="E910" t="inlineStr">
        <is>
          <t>NORRTÄLJE</t>
        </is>
      </c>
      <c r="G910" t="n">
        <v>3.8</v>
      </c>
      <c r="H910" t="n">
        <v>0</v>
      </c>
      <c r="I910" t="n">
        <v>0</v>
      </c>
      <c r="J910" t="n">
        <v>0</v>
      </c>
      <c r="K910" t="n">
        <v>0</v>
      </c>
      <c r="L910" t="n">
        <v>0</v>
      </c>
      <c r="M910" t="n">
        <v>0</v>
      </c>
      <c r="N910" t="n">
        <v>0</v>
      </c>
      <c r="O910" t="n">
        <v>0</v>
      </c>
      <c r="P910" t="n">
        <v>0</v>
      </c>
      <c r="Q910" t="n">
        <v>0</v>
      </c>
      <c r="R910" s="2" t="inlineStr"/>
    </row>
    <row r="911" ht="15" customHeight="1">
      <c r="A911" t="inlineStr">
        <is>
          <t>A 48145-2024</t>
        </is>
      </c>
      <c r="B911" s="1" t="n">
        <v>45589.6756712963</v>
      </c>
      <c r="C911" s="1" t="n">
        <v>46108</v>
      </c>
      <c r="D911" t="inlineStr">
        <is>
          <t>STOCKHOLMS LÄN</t>
        </is>
      </c>
      <c r="E911" t="inlineStr">
        <is>
          <t>NORRTÄLJE</t>
        </is>
      </c>
      <c r="G911" t="n">
        <v>3.4</v>
      </c>
      <c r="H911" t="n">
        <v>0</v>
      </c>
      <c r="I911" t="n">
        <v>0</v>
      </c>
      <c r="J911" t="n">
        <v>0</v>
      </c>
      <c r="K911" t="n">
        <v>0</v>
      </c>
      <c r="L911" t="n">
        <v>0</v>
      </c>
      <c r="M911" t="n">
        <v>0</v>
      </c>
      <c r="N911" t="n">
        <v>0</v>
      </c>
      <c r="O911" t="n">
        <v>0</v>
      </c>
      <c r="P911" t="n">
        <v>0</v>
      </c>
      <c r="Q911" t="n">
        <v>0</v>
      </c>
      <c r="R911" s="2" t="inlineStr"/>
    </row>
    <row r="912" ht="15" customHeight="1">
      <c r="A912" t="inlineStr">
        <is>
          <t>A 3933-2026</t>
        </is>
      </c>
      <c r="B912" s="1" t="n">
        <v>46043.79916666666</v>
      </c>
      <c r="C912" s="1" t="n">
        <v>46108</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23998-2024</t>
        </is>
      </c>
      <c r="B913" s="1" t="n">
        <v>45456</v>
      </c>
      <c r="C913" s="1" t="n">
        <v>46108</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4235-2026</t>
        </is>
      </c>
      <c r="B914" s="1" t="n">
        <v>46044</v>
      </c>
      <c r="C914" s="1" t="n">
        <v>46108</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15447-2023</t>
        </is>
      </c>
      <c r="B915" s="1" t="n">
        <v>45020</v>
      </c>
      <c r="C915" s="1" t="n">
        <v>46108</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12718-2026</t>
        </is>
      </c>
      <c r="B916" s="1" t="n">
        <v>46091.60412037037</v>
      </c>
      <c r="C916" s="1" t="n">
        <v>46108</v>
      </c>
      <c r="D916" t="inlineStr">
        <is>
          <t>STOCKHOLMS LÄN</t>
        </is>
      </c>
      <c r="E916" t="inlineStr">
        <is>
          <t>NORRTÄLJE</t>
        </is>
      </c>
      <c r="F916" t="inlineStr">
        <is>
          <t>Holmen skog AB</t>
        </is>
      </c>
      <c r="G916" t="n">
        <v>1</v>
      </c>
      <c r="H916" t="n">
        <v>0</v>
      </c>
      <c r="I916" t="n">
        <v>0</v>
      </c>
      <c r="J916" t="n">
        <v>0</v>
      </c>
      <c r="K916" t="n">
        <v>0</v>
      </c>
      <c r="L916" t="n">
        <v>0</v>
      </c>
      <c r="M916" t="n">
        <v>0</v>
      </c>
      <c r="N916" t="n">
        <v>0</v>
      </c>
      <c r="O916" t="n">
        <v>0</v>
      </c>
      <c r="P916" t="n">
        <v>0</v>
      </c>
      <c r="Q916" t="n">
        <v>0</v>
      </c>
      <c r="R916" s="2" t="inlineStr"/>
    </row>
    <row r="917" ht="15" customHeight="1">
      <c r="A917" t="inlineStr">
        <is>
          <t>A 12703-2026</t>
        </is>
      </c>
      <c r="B917" s="1" t="n">
        <v>46091.58175925926</v>
      </c>
      <c r="C917" s="1" t="n">
        <v>46108</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54358-2022</t>
        </is>
      </c>
      <c r="B918" s="1" t="n">
        <v>44882</v>
      </c>
      <c r="C918" s="1" t="n">
        <v>46108</v>
      </c>
      <c r="D918" t="inlineStr">
        <is>
          <t>STOCKHOLMS LÄN</t>
        </is>
      </c>
      <c r="E918" t="inlineStr">
        <is>
          <t>NORRTÄLJE</t>
        </is>
      </c>
      <c r="G918" t="n">
        <v>3.3</v>
      </c>
      <c r="H918" t="n">
        <v>0</v>
      </c>
      <c r="I918" t="n">
        <v>0</v>
      </c>
      <c r="J918" t="n">
        <v>0</v>
      </c>
      <c r="K918" t="n">
        <v>0</v>
      </c>
      <c r="L918" t="n">
        <v>0</v>
      </c>
      <c r="M918" t="n">
        <v>0</v>
      </c>
      <c r="N918" t="n">
        <v>0</v>
      </c>
      <c r="O918" t="n">
        <v>0</v>
      </c>
      <c r="P918" t="n">
        <v>0</v>
      </c>
      <c r="Q918" t="n">
        <v>0</v>
      </c>
      <c r="R918" s="2" t="inlineStr"/>
    </row>
    <row r="919" ht="15" customHeight="1">
      <c r="A919" t="inlineStr">
        <is>
          <t>A 4549-2026</t>
        </is>
      </c>
      <c r="B919" s="1" t="n">
        <v>46047</v>
      </c>
      <c r="C919" s="1" t="n">
        <v>46108</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23263-2023</t>
        </is>
      </c>
      <c r="B920" s="1" t="n">
        <v>45075</v>
      </c>
      <c r="C920" s="1" t="n">
        <v>46108</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23264-2023</t>
        </is>
      </c>
      <c r="B921" s="1" t="n">
        <v>45075</v>
      </c>
      <c r="C921" s="1" t="n">
        <v>46108</v>
      </c>
      <c r="D921" t="inlineStr">
        <is>
          <t>STOCKHOLMS LÄN</t>
        </is>
      </c>
      <c r="E921" t="inlineStr">
        <is>
          <t>NORRTÄLJE</t>
        </is>
      </c>
      <c r="G921" t="n">
        <v>2.9</v>
      </c>
      <c r="H921" t="n">
        <v>0</v>
      </c>
      <c r="I921" t="n">
        <v>0</v>
      </c>
      <c r="J921" t="n">
        <v>0</v>
      </c>
      <c r="K921" t="n">
        <v>0</v>
      </c>
      <c r="L921" t="n">
        <v>0</v>
      </c>
      <c r="M921" t="n">
        <v>0</v>
      </c>
      <c r="N921" t="n">
        <v>0</v>
      </c>
      <c r="O921" t="n">
        <v>0</v>
      </c>
      <c r="P921" t="n">
        <v>0</v>
      </c>
      <c r="Q921" t="n">
        <v>0</v>
      </c>
      <c r="R921" s="2" t="inlineStr"/>
    </row>
    <row r="922" ht="15" customHeight="1">
      <c r="A922" t="inlineStr">
        <is>
          <t>A 23267-2023</t>
        </is>
      </c>
      <c r="B922" s="1" t="n">
        <v>45075.90934027778</v>
      </c>
      <c r="C922" s="1" t="n">
        <v>46108</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23269-2023</t>
        </is>
      </c>
      <c r="B923" s="1" t="n">
        <v>45075.91148148148</v>
      </c>
      <c r="C923" s="1" t="n">
        <v>46108</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19911-2025</t>
        </is>
      </c>
      <c r="B924" s="1" t="n">
        <v>45771</v>
      </c>
      <c r="C924" s="1" t="n">
        <v>46108</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5831-2022</t>
        </is>
      </c>
      <c r="B925" s="1" t="n">
        <v>44596</v>
      </c>
      <c r="C925" s="1" t="n">
        <v>46108</v>
      </c>
      <c r="D925" t="inlineStr">
        <is>
          <t>STOCKHOLMS LÄN</t>
        </is>
      </c>
      <c r="E925" t="inlineStr">
        <is>
          <t>NORRTÄLJE</t>
        </is>
      </c>
      <c r="G925" t="n">
        <v>4.8</v>
      </c>
      <c r="H925" t="n">
        <v>0</v>
      </c>
      <c r="I925" t="n">
        <v>0</v>
      </c>
      <c r="J925" t="n">
        <v>0</v>
      </c>
      <c r="K925" t="n">
        <v>0</v>
      </c>
      <c r="L925" t="n">
        <v>0</v>
      </c>
      <c r="M925" t="n">
        <v>0</v>
      </c>
      <c r="N925" t="n">
        <v>0</v>
      </c>
      <c r="O925" t="n">
        <v>0</v>
      </c>
      <c r="P925" t="n">
        <v>0</v>
      </c>
      <c r="Q925" t="n">
        <v>0</v>
      </c>
      <c r="R925" s="2" t="inlineStr"/>
    </row>
    <row r="926" ht="15" customHeight="1">
      <c r="A926" t="inlineStr">
        <is>
          <t>A 5867-2022</t>
        </is>
      </c>
      <c r="B926" s="1" t="n">
        <v>44596.66335648148</v>
      </c>
      <c r="C926" s="1" t="n">
        <v>46108</v>
      </c>
      <c r="D926" t="inlineStr">
        <is>
          <t>STOCKHOLMS LÄN</t>
        </is>
      </c>
      <c r="E926" t="inlineStr">
        <is>
          <t>NORRTÄLJE</t>
        </is>
      </c>
      <c r="F926" t="inlineStr">
        <is>
          <t>Naturvårdsverket</t>
        </is>
      </c>
      <c r="G926" t="n">
        <v>1.6</v>
      </c>
      <c r="H926" t="n">
        <v>0</v>
      </c>
      <c r="I926" t="n">
        <v>0</v>
      </c>
      <c r="J926" t="n">
        <v>0</v>
      </c>
      <c r="K926" t="n">
        <v>0</v>
      </c>
      <c r="L926" t="n">
        <v>0</v>
      </c>
      <c r="M926" t="n">
        <v>0</v>
      </c>
      <c r="N926" t="n">
        <v>0</v>
      </c>
      <c r="O926" t="n">
        <v>0</v>
      </c>
      <c r="P926" t="n">
        <v>0</v>
      </c>
      <c r="Q926" t="n">
        <v>0</v>
      </c>
      <c r="R926" s="2" t="inlineStr"/>
    </row>
    <row r="927" ht="15" customHeight="1">
      <c r="A927" t="inlineStr">
        <is>
          <t>A 20244-2025</t>
        </is>
      </c>
      <c r="B927" s="1" t="n">
        <v>45772.71221064815</v>
      </c>
      <c r="C927" s="1" t="n">
        <v>46108</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48633-2023</t>
        </is>
      </c>
      <c r="B928" s="1" t="n">
        <v>45208.58004629629</v>
      </c>
      <c r="C928" s="1" t="n">
        <v>46108</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39669-2024</t>
        </is>
      </c>
      <c r="B929" s="1" t="n">
        <v>45552.52827546297</v>
      </c>
      <c r="C929" s="1" t="n">
        <v>46108</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4886-2026</t>
        </is>
      </c>
      <c r="B930" s="1" t="n">
        <v>46048.66328703704</v>
      </c>
      <c r="C930" s="1" t="n">
        <v>46108</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30639-2025</t>
        </is>
      </c>
      <c r="B931" s="1" t="n">
        <v>45831.4844212963</v>
      </c>
      <c r="C931" s="1" t="n">
        <v>46108</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30668-2025</t>
        </is>
      </c>
      <c r="B932" s="1" t="n">
        <v>45831.51659722222</v>
      </c>
      <c r="C932" s="1" t="n">
        <v>46108</v>
      </c>
      <c r="D932" t="inlineStr">
        <is>
          <t>STOCKHOLMS LÄN</t>
        </is>
      </c>
      <c r="E932" t="inlineStr">
        <is>
          <t>NORRTÄLJE</t>
        </is>
      </c>
      <c r="G932" t="n">
        <v>4.9</v>
      </c>
      <c r="H932" t="n">
        <v>0</v>
      </c>
      <c r="I932" t="n">
        <v>0</v>
      </c>
      <c r="J932" t="n">
        <v>0</v>
      </c>
      <c r="K932" t="n">
        <v>0</v>
      </c>
      <c r="L932" t="n">
        <v>0</v>
      </c>
      <c r="M932" t="n">
        <v>0</v>
      </c>
      <c r="N932" t="n">
        <v>0</v>
      </c>
      <c r="O932" t="n">
        <v>0</v>
      </c>
      <c r="P932" t="n">
        <v>0</v>
      </c>
      <c r="Q932" t="n">
        <v>0</v>
      </c>
      <c r="R932" s="2" t="inlineStr"/>
    </row>
    <row r="933" ht="15" customHeight="1">
      <c r="A933" t="inlineStr">
        <is>
          <t>A 43170-2023</t>
        </is>
      </c>
      <c r="B933" s="1" t="n">
        <v>45183</v>
      </c>
      <c r="C933" s="1" t="n">
        <v>46108</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9-2024</t>
        </is>
      </c>
      <c r="B934" s="1" t="n">
        <v>45293</v>
      </c>
      <c r="C934" s="1" t="n">
        <v>46108</v>
      </c>
      <c r="D934" t="inlineStr">
        <is>
          <t>STOCKHOLMS LÄN</t>
        </is>
      </c>
      <c r="E934" t="inlineStr">
        <is>
          <t>NORRTÄLJE</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13109-2026</t>
        </is>
      </c>
      <c r="B935" s="1" t="n">
        <v>46093.42730324074</v>
      </c>
      <c r="C935" s="1" t="n">
        <v>46108</v>
      </c>
      <c r="D935" t="inlineStr">
        <is>
          <t>STOCKHOLMS LÄN</t>
        </is>
      </c>
      <c r="E935" t="inlineStr">
        <is>
          <t>NORRTÄLJE</t>
        </is>
      </c>
      <c r="G935" t="n">
        <v>4</v>
      </c>
      <c r="H935" t="n">
        <v>0</v>
      </c>
      <c r="I935" t="n">
        <v>0</v>
      </c>
      <c r="J935" t="n">
        <v>0</v>
      </c>
      <c r="K935" t="n">
        <v>0</v>
      </c>
      <c r="L935" t="n">
        <v>0</v>
      </c>
      <c r="M935" t="n">
        <v>0</v>
      </c>
      <c r="N935" t="n">
        <v>0</v>
      </c>
      <c r="O935" t="n">
        <v>0</v>
      </c>
      <c r="P935" t="n">
        <v>0</v>
      </c>
      <c r="Q935" t="n">
        <v>0</v>
      </c>
      <c r="R935" s="2" t="inlineStr"/>
    </row>
    <row r="936" ht="15" customHeight="1">
      <c r="A936" t="inlineStr">
        <is>
          <t>A 22832-2021</t>
        </is>
      </c>
      <c r="B936" s="1" t="n">
        <v>44325</v>
      </c>
      <c r="C936" s="1" t="n">
        <v>46108</v>
      </c>
      <c r="D936" t="inlineStr">
        <is>
          <t>STOCKHOLMS LÄN</t>
        </is>
      </c>
      <c r="E936" t="inlineStr">
        <is>
          <t>NORRTÄLJE</t>
        </is>
      </c>
      <c r="G936" t="n">
        <v>6.8</v>
      </c>
      <c r="H936" t="n">
        <v>0</v>
      </c>
      <c r="I936" t="n">
        <v>0</v>
      </c>
      <c r="J936" t="n">
        <v>0</v>
      </c>
      <c r="K936" t="n">
        <v>0</v>
      </c>
      <c r="L936" t="n">
        <v>0</v>
      </c>
      <c r="M936" t="n">
        <v>0</v>
      </c>
      <c r="N936" t="n">
        <v>0</v>
      </c>
      <c r="O936" t="n">
        <v>0</v>
      </c>
      <c r="P936" t="n">
        <v>0</v>
      </c>
      <c r="Q936" t="n">
        <v>0</v>
      </c>
      <c r="R936" s="2" t="inlineStr"/>
    </row>
    <row r="937" ht="15" customHeight="1">
      <c r="A937" t="inlineStr">
        <is>
          <t>A 13204-2026</t>
        </is>
      </c>
      <c r="B937" s="1" t="n">
        <v>46093.60788194444</v>
      </c>
      <c r="C937" s="1" t="n">
        <v>46108</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16913-2025</t>
        </is>
      </c>
      <c r="B938" s="1" t="n">
        <v>45755.36583333334</v>
      </c>
      <c r="C938" s="1" t="n">
        <v>46108</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4035-2023</t>
        </is>
      </c>
      <c r="B939" s="1" t="n">
        <v>44952.57989583333</v>
      </c>
      <c r="C939" s="1" t="n">
        <v>46108</v>
      </c>
      <c r="D939" t="inlineStr">
        <is>
          <t>STOCKHOLMS LÄN</t>
        </is>
      </c>
      <c r="E939" t="inlineStr">
        <is>
          <t>NORRTÄLJE</t>
        </is>
      </c>
      <c r="F939" t="inlineStr">
        <is>
          <t>Holmen skog AB</t>
        </is>
      </c>
      <c r="G939" t="n">
        <v>1.5</v>
      </c>
      <c r="H939" t="n">
        <v>0</v>
      </c>
      <c r="I939" t="n">
        <v>0</v>
      </c>
      <c r="J939" t="n">
        <v>0</v>
      </c>
      <c r="K939" t="n">
        <v>0</v>
      </c>
      <c r="L939" t="n">
        <v>0</v>
      </c>
      <c r="M939" t="n">
        <v>0</v>
      </c>
      <c r="N939" t="n">
        <v>0</v>
      </c>
      <c r="O939" t="n">
        <v>0</v>
      </c>
      <c r="P939" t="n">
        <v>0</v>
      </c>
      <c r="Q939" t="n">
        <v>0</v>
      </c>
      <c r="R939" s="2" t="inlineStr"/>
    </row>
    <row r="940" ht="15" customHeight="1">
      <c r="A940" t="inlineStr">
        <is>
          <t>A 33793-2022</t>
        </is>
      </c>
      <c r="B940" s="1" t="n">
        <v>44790</v>
      </c>
      <c r="C940" s="1" t="n">
        <v>46108</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53600-2022</t>
        </is>
      </c>
      <c r="B941" s="1" t="n">
        <v>44879.70518518519</v>
      </c>
      <c r="C941" s="1" t="n">
        <v>46108</v>
      </c>
      <c r="D941" t="inlineStr">
        <is>
          <t>STOCKHOLMS LÄN</t>
        </is>
      </c>
      <c r="E941" t="inlineStr">
        <is>
          <t>NORRTÄLJE</t>
        </is>
      </c>
      <c r="G941" t="n">
        <v>4.3</v>
      </c>
      <c r="H941" t="n">
        <v>0</v>
      </c>
      <c r="I941" t="n">
        <v>0</v>
      </c>
      <c r="J941" t="n">
        <v>0</v>
      </c>
      <c r="K941" t="n">
        <v>0</v>
      </c>
      <c r="L941" t="n">
        <v>0</v>
      </c>
      <c r="M941" t="n">
        <v>0</v>
      </c>
      <c r="N941" t="n">
        <v>0</v>
      </c>
      <c r="O941" t="n">
        <v>0</v>
      </c>
      <c r="P941" t="n">
        <v>0</v>
      </c>
      <c r="Q941" t="n">
        <v>0</v>
      </c>
      <c r="R941" s="2" t="inlineStr"/>
    </row>
    <row r="942" ht="15" customHeight="1">
      <c r="A942" t="inlineStr">
        <is>
          <t>A 7697-2025</t>
        </is>
      </c>
      <c r="B942" s="1" t="n">
        <v>45706.40086805556</v>
      </c>
      <c r="C942" s="1" t="n">
        <v>46108</v>
      </c>
      <c r="D942" t="inlineStr">
        <is>
          <t>STOCKHOLMS LÄN</t>
        </is>
      </c>
      <c r="E942" t="inlineStr">
        <is>
          <t>NORRTÄLJE</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30221-2024</t>
        </is>
      </c>
      <c r="B943" s="1" t="n">
        <v>45490.45342592592</v>
      </c>
      <c r="C943" s="1" t="n">
        <v>46108</v>
      </c>
      <c r="D943" t="inlineStr">
        <is>
          <t>STOCKHOLMS LÄN</t>
        </is>
      </c>
      <c r="E943" t="inlineStr">
        <is>
          <t>NORRTÄLJE</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5226-2026</t>
        </is>
      </c>
      <c r="B944" s="1" t="n">
        <v>46049.79961805556</v>
      </c>
      <c r="C944" s="1" t="n">
        <v>46108</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13122-2026</t>
        </is>
      </c>
      <c r="B945" s="1" t="n">
        <v>46093.45657407407</v>
      </c>
      <c r="C945" s="1" t="n">
        <v>46108</v>
      </c>
      <c r="D945" t="inlineStr">
        <is>
          <t>STOCKHOLMS LÄN</t>
        </is>
      </c>
      <c r="E945" t="inlineStr">
        <is>
          <t>NORRTÄLJE</t>
        </is>
      </c>
      <c r="G945" t="n">
        <v>4</v>
      </c>
      <c r="H945" t="n">
        <v>0</v>
      </c>
      <c r="I945" t="n">
        <v>0</v>
      </c>
      <c r="J945" t="n">
        <v>0</v>
      </c>
      <c r="K945" t="n">
        <v>0</v>
      </c>
      <c r="L945" t="n">
        <v>0</v>
      </c>
      <c r="M945" t="n">
        <v>0</v>
      </c>
      <c r="N945" t="n">
        <v>0</v>
      </c>
      <c r="O945" t="n">
        <v>0</v>
      </c>
      <c r="P945" t="n">
        <v>0</v>
      </c>
      <c r="Q945" t="n">
        <v>0</v>
      </c>
      <c r="R945" s="2" t="inlineStr"/>
    </row>
    <row r="946" ht="15" customHeight="1">
      <c r="A946" t="inlineStr">
        <is>
          <t>A 13-2024</t>
        </is>
      </c>
      <c r="B946" s="1" t="n">
        <v>45293.37263888889</v>
      </c>
      <c r="C946" s="1" t="n">
        <v>46108</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19-2024</t>
        </is>
      </c>
      <c r="B947" s="1" t="n">
        <v>45293</v>
      </c>
      <c r="C947" s="1" t="n">
        <v>46108</v>
      </c>
      <c r="D947" t="inlineStr">
        <is>
          <t>STOCKHOLMS LÄN</t>
        </is>
      </c>
      <c r="E947" t="inlineStr">
        <is>
          <t>NORRTÄLJE</t>
        </is>
      </c>
      <c r="G947" t="n">
        <v>0.3</v>
      </c>
      <c r="H947" t="n">
        <v>0</v>
      </c>
      <c r="I947" t="n">
        <v>0</v>
      </c>
      <c r="J947" t="n">
        <v>0</v>
      </c>
      <c r="K947" t="n">
        <v>0</v>
      </c>
      <c r="L947" t="n">
        <v>0</v>
      </c>
      <c r="M947" t="n">
        <v>0</v>
      </c>
      <c r="N947" t="n">
        <v>0</v>
      </c>
      <c r="O947" t="n">
        <v>0</v>
      </c>
      <c r="P947" t="n">
        <v>0</v>
      </c>
      <c r="Q947" t="n">
        <v>0</v>
      </c>
      <c r="R947" s="2" t="inlineStr"/>
    </row>
    <row r="948" ht="15" customHeight="1">
      <c r="A948" t="inlineStr">
        <is>
          <t>A 31559-2022</t>
        </is>
      </c>
      <c r="B948" s="1" t="n">
        <v>44775</v>
      </c>
      <c r="C948" s="1" t="n">
        <v>46108</v>
      </c>
      <c r="D948" t="inlineStr">
        <is>
          <t>STOCKHOLMS LÄN</t>
        </is>
      </c>
      <c r="E948" t="inlineStr">
        <is>
          <t>NORRTÄLJE</t>
        </is>
      </c>
      <c r="G948" t="n">
        <v>5.6</v>
      </c>
      <c r="H948" t="n">
        <v>0</v>
      </c>
      <c r="I948" t="n">
        <v>0</v>
      </c>
      <c r="J948" t="n">
        <v>0</v>
      </c>
      <c r="K948" t="n">
        <v>0</v>
      </c>
      <c r="L948" t="n">
        <v>0</v>
      </c>
      <c r="M948" t="n">
        <v>0</v>
      </c>
      <c r="N948" t="n">
        <v>0</v>
      </c>
      <c r="O948" t="n">
        <v>0</v>
      </c>
      <c r="P948" t="n">
        <v>0</v>
      </c>
      <c r="Q948" t="n">
        <v>0</v>
      </c>
      <c r="R948" s="2" t="inlineStr"/>
    </row>
    <row r="949" ht="15" customHeight="1">
      <c r="A949" t="inlineStr">
        <is>
          <t>A 5224-2026</t>
        </is>
      </c>
      <c r="B949" s="1" t="n">
        <v>46049.79521990741</v>
      </c>
      <c r="C949" s="1" t="n">
        <v>46108</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5227-2026</t>
        </is>
      </c>
      <c r="B950" s="1" t="n">
        <v>46049.80460648148</v>
      </c>
      <c r="C950" s="1" t="n">
        <v>46108</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8419-2025</t>
        </is>
      </c>
      <c r="B951" s="1" t="n">
        <v>45709.40231481481</v>
      </c>
      <c r="C951" s="1" t="n">
        <v>46108</v>
      </c>
      <c r="D951" t="inlineStr">
        <is>
          <t>STOCKHOLMS LÄN</t>
        </is>
      </c>
      <c r="E951" t="inlineStr">
        <is>
          <t>NORRTÄLJE</t>
        </is>
      </c>
      <c r="F951" t="inlineStr">
        <is>
          <t>Holmen skog AB</t>
        </is>
      </c>
      <c r="G951" t="n">
        <v>1.2</v>
      </c>
      <c r="H951" t="n">
        <v>0</v>
      </c>
      <c r="I951" t="n">
        <v>0</v>
      </c>
      <c r="J951" t="n">
        <v>0</v>
      </c>
      <c r="K951" t="n">
        <v>0</v>
      </c>
      <c r="L951" t="n">
        <v>0</v>
      </c>
      <c r="M951" t="n">
        <v>0</v>
      </c>
      <c r="N951" t="n">
        <v>0</v>
      </c>
      <c r="O951" t="n">
        <v>0</v>
      </c>
      <c r="P951" t="n">
        <v>0</v>
      </c>
      <c r="Q951" t="n">
        <v>0</v>
      </c>
      <c r="R951" s="2" t="inlineStr"/>
    </row>
    <row r="952" ht="15" customHeight="1">
      <c r="A952" t="inlineStr">
        <is>
          <t>A 5241-2026</t>
        </is>
      </c>
      <c r="B952" s="1" t="n">
        <v>46049.86471064815</v>
      </c>
      <c r="C952" s="1" t="n">
        <v>46108</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46108</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31170-2025</t>
        </is>
      </c>
      <c r="B954" s="1" t="n">
        <v>45832.66385416667</v>
      </c>
      <c r="C954" s="1" t="n">
        <v>46108</v>
      </c>
      <c r="D954" t="inlineStr">
        <is>
          <t>STOCKHOLMS LÄN</t>
        </is>
      </c>
      <c r="E954" t="inlineStr">
        <is>
          <t>NORRTÄLJE</t>
        </is>
      </c>
      <c r="G954" t="n">
        <v>2.7</v>
      </c>
      <c r="H954" t="n">
        <v>0</v>
      </c>
      <c r="I954" t="n">
        <v>0</v>
      </c>
      <c r="J954" t="n">
        <v>0</v>
      </c>
      <c r="K954" t="n">
        <v>0</v>
      </c>
      <c r="L954" t="n">
        <v>0</v>
      </c>
      <c r="M954" t="n">
        <v>0</v>
      </c>
      <c r="N954" t="n">
        <v>0</v>
      </c>
      <c r="O954" t="n">
        <v>0</v>
      </c>
      <c r="P954" t="n">
        <v>0</v>
      </c>
      <c r="Q954" t="n">
        <v>0</v>
      </c>
      <c r="R954" s="2" t="inlineStr"/>
    </row>
    <row r="955" ht="15" customHeight="1">
      <c r="A955" t="inlineStr">
        <is>
          <t>A 13544-2026</t>
        </is>
      </c>
      <c r="B955" s="1" t="n">
        <v>46094.68538194444</v>
      </c>
      <c r="C955" s="1" t="n">
        <v>46108</v>
      </c>
      <c r="D955" t="inlineStr">
        <is>
          <t>STOCKHOLMS LÄN</t>
        </is>
      </c>
      <c r="E955" t="inlineStr">
        <is>
          <t>NORRTÄLJE</t>
        </is>
      </c>
      <c r="F955" t="inlineStr">
        <is>
          <t>Holmen skog AB</t>
        </is>
      </c>
      <c r="G955" t="n">
        <v>3.2</v>
      </c>
      <c r="H955" t="n">
        <v>0</v>
      </c>
      <c r="I955" t="n">
        <v>0</v>
      </c>
      <c r="J955" t="n">
        <v>0</v>
      </c>
      <c r="K955" t="n">
        <v>0</v>
      </c>
      <c r="L955" t="n">
        <v>0</v>
      </c>
      <c r="M955" t="n">
        <v>0</v>
      </c>
      <c r="N955" t="n">
        <v>0</v>
      </c>
      <c r="O955" t="n">
        <v>0</v>
      </c>
      <c r="P955" t="n">
        <v>0</v>
      </c>
      <c r="Q955" t="n">
        <v>0</v>
      </c>
      <c r="R955" s="2" t="inlineStr"/>
    </row>
    <row r="956" ht="15" customHeight="1">
      <c r="A956" t="inlineStr">
        <is>
          <t>A 58989-2021</t>
        </is>
      </c>
      <c r="B956" s="1" t="n">
        <v>44490.02482638889</v>
      </c>
      <c r="C956" s="1" t="n">
        <v>46108</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39610-2025</t>
        </is>
      </c>
      <c r="B957" s="1" t="n">
        <v>45890</v>
      </c>
      <c r="C957" s="1" t="n">
        <v>46108</v>
      </c>
      <c r="D957" t="inlineStr">
        <is>
          <t>STOCKHOLMS LÄN</t>
        </is>
      </c>
      <c r="E957" t="inlineStr">
        <is>
          <t>NORRTÄLJE</t>
        </is>
      </c>
      <c r="G957" t="n">
        <v>28.6</v>
      </c>
      <c r="H957" t="n">
        <v>0</v>
      </c>
      <c r="I957" t="n">
        <v>0</v>
      </c>
      <c r="J957" t="n">
        <v>0</v>
      </c>
      <c r="K957" t="n">
        <v>0</v>
      </c>
      <c r="L957" t="n">
        <v>0</v>
      </c>
      <c r="M957" t="n">
        <v>0</v>
      </c>
      <c r="N957" t="n">
        <v>0</v>
      </c>
      <c r="O957" t="n">
        <v>0</v>
      </c>
      <c r="P957" t="n">
        <v>0</v>
      </c>
      <c r="Q957" t="n">
        <v>0</v>
      </c>
      <c r="R957" s="2" t="inlineStr"/>
    </row>
    <row r="958" ht="15" customHeight="1">
      <c r="A958" t="inlineStr">
        <is>
          <t>A 46988-2024</t>
        </is>
      </c>
      <c r="B958" s="1" t="n">
        <v>45586</v>
      </c>
      <c r="C958" s="1" t="n">
        <v>46108</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13545-2026</t>
        </is>
      </c>
      <c r="B959" s="1" t="n">
        <v>46094.6911574074</v>
      </c>
      <c r="C959" s="1" t="n">
        <v>46108</v>
      </c>
      <c r="D959" t="inlineStr">
        <is>
          <t>STOCKHOLMS LÄN</t>
        </is>
      </c>
      <c r="E959" t="inlineStr">
        <is>
          <t>NORRTÄLJE</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21529-2021</t>
        </is>
      </c>
      <c r="B960" s="1" t="n">
        <v>44321</v>
      </c>
      <c r="C960" s="1" t="n">
        <v>46108</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13701-2022</t>
        </is>
      </c>
      <c r="B961" s="1" t="n">
        <v>44648</v>
      </c>
      <c r="C961" s="1" t="n">
        <v>46108</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5934-2026</t>
        </is>
      </c>
      <c r="B962" s="1" t="n">
        <v>46052.47082175926</v>
      </c>
      <c r="C962" s="1" t="n">
        <v>46108</v>
      </c>
      <c r="D962" t="inlineStr">
        <is>
          <t>STOCKHOLMS LÄN</t>
        </is>
      </c>
      <c r="E962" t="inlineStr">
        <is>
          <t>NORRTÄLJE</t>
        </is>
      </c>
      <c r="F962" t="inlineStr">
        <is>
          <t>Holmen skog AB</t>
        </is>
      </c>
      <c r="G962" t="n">
        <v>5.5</v>
      </c>
      <c r="H962" t="n">
        <v>0</v>
      </c>
      <c r="I962" t="n">
        <v>0</v>
      </c>
      <c r="J962" t="n">
        <v>0</v>
      </c>
      <c r="K962" t="n">
        <v>0</v>
      </c>
      <c r="L962" t="n">
        <v>0</v>
      </c>
      <c r="M962" t="n">
        <v>0</v>
      </c>
      <c r="N962" t="n">
        <v>0</v>
      </c>
      <c r="O962" t="n">
        <v>0</v>
      </c>
      <c r="P962" t="n">
        <v>0</v>
      </c>
      <c r="Q962" t="n">
        <v>0</v>
      </c>
      <c r="R962" s="2" t="inlineStr"/>
    </row>
    <row r="963" ht="15" customHeight="1">
      <c r="A963" t="inlineStr">
        <is>
          <t>A 13546-2026</t>
        </is>
      </c>
      <c r="B963" s="1" t="n">
        <v>46094.69196759259</v>
      </c>
      <c r="C963" s="1" t="n">
        <v>46108</v>
      </c>
      <c r="D963" t="inlineStr">
        <is>
          <t>STOCKHOLMS LÄN</t>
        </is>
      </c>
      <c r="E963" t="inlineStr">
        <is>
          <t>NORRTÄLJE</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31880-2025</t>
        </is>
      </c>
      <c r="B964" s="1" t="n">
        <v>45834.65538194445</v>
      </c>
      <c r="C964" s="1" t="n">
        <v>46108</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32122-2025</t>
        </is>
      </c>
      <c r="B965" s="1" t="n">
        <v>45835.4928125</v>
      </c>
      <c r="C965" s="1" t="n">
        <v>46108</v>
      </c>
      <c r="D965" t="inlineStr">
        <is>
          <t>STOCKHOLMS LÄN</t>
        </is>
      </c>
      <c r="E965" t="inlineStr">
        <is>
          <t>NORRTÄLJE</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14132-2025</t>
        </is>
      </c>
      <c r="B966" s="1" t="n">
        <v>45740.47550925926</v>
      </c>
      <c r="C966" s="1" t="n">
        <v>46108</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14133-2025</t>
        </is>
      </c>
      <c r="B967" s="1" t="n">
        <v>45740.47724537037</v>
      </c>
      <c r="C967" s="1" t="n">
        <v>46108</v>
      </c>
      <c r="D967" t="inlineStr">
        <is>
          <t>STOCKHOLMS LÄN</t>
        </is>
      </c>
      <c r="E967" t="inlineStr">
        <is>
          <t>NORRTÄLJE</t>
        </is>
      </c>
      <c r="G967" t="n">
        <v>0.4</v>
      </c>
      <c r="H967" t="n">
        <v>0</v>
      </c>
      <c r="I967" t="n">
        <v>0</v>
      </c>
      <c r="J967" t="n">
        <v>0</v>
      </c>
      <c r="K967" t="n">
        <v>0</v>
      </c>
      <c r="L967" t="n">
        <v>0</v>
      </c>
      <c r="M967" t="n">
        <v>0</v>
      </c>
      <c r="N967" t="n">
        <v>0</v>
      </c>
      <c r="O967" t="n">
        <v>0</v>
      </c>
      <c r="P967" t="n">
        <v>0</v>
      </c>
      <c r="Q967" t="n">
        <v>0</v>
      </c>
      <c r="R967" s="2" t="inlineStr"/>
    </row>
    <row r="968" ht="15" customHeight="1">
      <c r="A968" t="inlineStr">
        <is>
          <t>A 8792-2025</t>
        </is>
      </c>
      <c r="B968" s="1" t="n">
        <v>45712</v>
      </c>
      <c r="C968" s="1" t="n">
        <v>46108</v>
      </c>
      <c r="D968" t="inlineStr">
        <is>
          <t>STOCKHOLMS LÄN</t>
        </is>
      </c>
      <c r="E968" t="inlineStr">
        <is>
          <t>NORRTÄLJE</t>
        </is>
      </c>
      <c r="F968" t="inlineStr">
        <is>
          <t>Övriga Aktiebolag</t>
        </is>
      </c>
      <c r="G968" t="n">
        <v>6.6</v>
      </c>
      <c r="H968" t="n">
        <v>0</v>
      </c>
      <c r="I968" t="n">
        <v>0</v>
      </c>
      <c r="J968" t="n">
        <v>0</v>
      </c>
      <c r="K968" t="n">
        <v>0</v>
      </c>
      <c r="L968" t="n">
        <v>0</v>
      </c>
      <c r="M968" t="n">
        <v>0</v>
      </c>
      <c r="N968" t="n">
        <v>0</v>
      </c>
      <c r="O968" t="n">
        <v>0</v>
      </c>
      <c r="P968" t="n">
        <v>0</v>
      </c>
      <c r="Q968" t="n">
        <v>0</v>
      </c>
      <c r="R968" s="2" t="inlineStr"/>
    </row>
    <row r="969" ht="15" customHeight="1">
      <c r="A969" t="inlineStr">
        <is>
          <t>A 31868-2025</t>
        </is>
      </c>
      <c r="B969" s="1" t="n">
        <v>45834.6447337963</v>
      </c>
      <c r="C969" s="1" t="n">
        <v>46108</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24887-2023</t>
        </is>
      </c>
      <c r="B970" s="1" t="n">
        <v>45085</v>
      </c>
      <c r="C970" s="1" t="n">
        <v>46108</v>
      </c>
      <c r="D970" t="inlineStr">
        <is>
          <t>STOCKHOLMS LÄN</t>
        </is>
      </c>
      <c r="E970" t="inlineStr">
        <is>
          <t>NORRTÄLJE</t>
        </is>
      </c>
      <c r="G970" t="n">
        <v>13.9</v>
      </c>
      <c r="H970" t="n">
        <v>0</v>
      </c>
      <c r="I970" t="n">
        <v>0</v>
      </c>
      <c r="J970" t="n">
        <v>0</v>
      </c>
      <c r="K970" t="n">
        <v>0</v>
      </c>
      <c r="L970" t="n">
        <v>0</v>
      </c>
      <c r="M970" t="n">
        <v>0</v>
      </c>
      <c r="N970" t="n">
        <v>0</v>
      </c>
      <c r="O970" t="n">
        <v>0</v>
      </c>
      <c r="P970" t="n">
        <v>0</v>
      </c>
      <c r="Q970" t="n">
        <v>0</v>
      </c>
      <c r="R970" s="2" t="inlineStr"/>
    </row>
    <row r="971" ht="15" customHeight="1">
      <c r="A971" t="inlineStr">
        <is>
          <t>A 6413-2025</t>
        </is>
      </c>
      <c r="B971" s="1" t="n">
        <v>45699.46283564815</v>
      </c>
      <c r="C971" s="1" t="n">
        <v>46108</v>
      </c>
      <c r="D971" t="inlineStr">
        <is>
          <t>STOCKHOLMS LÄN</t>
        </is>
      </c>
      <c r="E971" t="inlineStr">
        <is>
          <t>NORRTÄLJE</t>
        </is>
      </c>
      <c r="G971" t="n">
        <v>3.6</v>
      </c>
      <c r="H971" t="n">
        <v>0</v>
      </c>
      <c r="I971" t="n">
        <v>0</v>
      </c>
      <c r="J971" t="n">
        <v>0</v>
      </c>
      <c r="K971" t="n">
        <v>0</v>
      </c>
      <c r="L971" t="n">
        <v>0</v>
      </c>
      <c r="M971" t="n">
        <v>0</v>
      </c>
      <c r="N971" t="n">
        <v>0</v>
      </c>
      <c r="O971" t="n">
        <v>0</v>
      </c>
      <c r="P971" t="n">
        <v>0</v>
      </c>
      <c r="Q971" t="n">
        <v>0</v>
      </c>
      <c r="R971" s="2" t="inlineStr"/>
    </row>
    <row r="972" ht="15" customHeight="1">
      <c r="A972" t="inlineStr">
        <is>
          <t>A 38612-2022</t>
        </is>
      </c>
      <c r="B972" s="1" t="n">
        <v>44813</v>
      </c>
      <c r="C972" s="1" t="n">
        <v>46108</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4326-2023</t>
        </is>
      </c>
      <c r="B973" s="1" t="n">
        <v>44953.70481481482</v>
      </c>
      <c r="C973" s="1" t="n">
        <v>46108</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32016-2025</t>
        </is>
      </c>
      <c r="B974" s="1" t="n">
        <v>45835</v>
      </c>
      <c r="C974" s="1" t="n">
        <v>46108</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54504-2024</t>
        </is>
      </c>
      <c r="B975" s="1" t="n">
        <v>45617.58453703704</v>
      </c>
      <c r="C975" s="1" t="n">
        <v>46108</v>
      </c>
      <c r="D975" t="inlineStr">
        <is>
          <t>STOCKHOLMS LÄN</t>
        </is>
      </c>
      <c r="E975" t="inlineStr">
        <is>
          <t>NORRTÄLJE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32283-2025</t>
        </is>
      </c>
      <c r="B976" s="1" t="n">
        <v>45835.68076388889</v>
      </c>
      <c r="C976" s="1" t="n">
        <v>46108</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31874-2025</t>
        </is>
      </c>
      <c r="B977" s="1" t="n">
        <v>45834</v>
      </c>
      <c r="C977" s="1" t="n">
        <v>46108</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32094-2025</t>
        </is>
      </c>
      <c r="B978" s="1" t="n">
        <v>45835.46034722222</v>
      </c>
      <c r="C978" s="1" t="n">
        <v>46108</v>
      </c>
      <c r="D978" t="inlineStr">
        <is>
          <t>STOCKHOLMS LÄN</t>
        </is>
      </c>
      <c r="E978" t="inlineStr">
        <is>
          <t>NORRTÄLJE</t>
        </is>
      </c>
      <c r="F978" t="inlineStr">
        <is>
          <t>Holmen skog AB</t>
        </is>
      </c>
      <c r="G978" t="n">
        <v>2.9</v>
      </c>
      <c r="H978" t="n">
        <v>0</v>
      </c>
      <c r="I978" t="n">
        <v>0</v>
      </c>
      <c r="J978" t="n">
        <v>0</v>
      </c>
      <c r="K978" t="n">
        <v>0</v>
      </c>
      <c r="L978" t="n">
        <v>0</v>
      </c>
      <c r="M978" t="n">
        <v>0</v>
      </c>
      <c r="N978" t="n">
        <v>0</v>
      </c>
      <c r="O978" t="n">
        <v>0</v>
      </c>
      <c r="P978" t="n">
        <v>0</v>
      </c>
      <c r="Q978" t="n">
        <v>0</v>
      </c>
      <c r="R978" s="2" t="inlineStr"/>
    </row>
    <row r="979" ht="15" customHeight="1">
      <c r="A979" t="inlineStr">
        <is>
          <t>A 21745-2023</t>
        </is>
      </c>
      <c r="B979" s="1" t="n">
        <v>45065.55917824074</v>
      </c>
      <c r="C979" s="1" t="n">
        <v>46108</v>
      </c>
      <c r="D979" t="inlineStr">
        <is>
          <t>STOCKHOLMS LÄN</t>
        </is>
      </c>
      <c r="E979" t="inlineStr">
        <is>
          <t>NORRTÄLJE</t>
        </is>
      </c>
      <c r="F979" t="inlineStr">
        <is>
          <t>Holmen skog AB</t>
        </is>
      </c>
      <c r="G979" t="n">
        <v>0.7</v>
      </c>
      <c r="H979" t="n">
        <v>0</v>
      </c>
      <c r="I979" t="n">
        <v>0</v>
      </c>
      <c r="J979" t="n">
        <v>0</v>
      </c>
      <c r="K979" t="n">
        <v>0</v>
      </c>
      <c r="L979" t="n">
        <v>0</v>
      </c>
      <c r="M979" t="n">
        <v>0</v>
      </c>
      <c r="N979" t="n">
        <v>0</v>
      </c>
      <c r="O979" t="n">
        <v>0</v>
      </c>
      <c r="P979" t="n">
        <v>0</v>
      </c>
      <c r="Q979" t="n">
        <v>0</v>
      </c>
      <c r="R979" s="2" t="inlineStr"/>
    </row>
    <row r="980" ht="15" customHeight="1">
      <c r="A980" t="inlineStr">
        <is>
          <t>A 21894-2023</t>
        </is>
      </c>
      <c r="B980" s="1" t="n">
        <v>45068.51783564815</v>
      </c>
      <c r="C980" s="1" t="n">
        <v>46108</v>
      </c>
      <c r="D980" t="inlineStr">
        <is>
          <t>STOCKHOLMS LÄN</t>
        </is>
      </c>
      <c r="E980" t="inlineStr">
        <is>
          <t>NORRTÄLJE</t>
        </is>
      </c>
      <c r="G980" t="n">
        <v>2.5</v>
      </c>
      <c r="H980" t="n">
        <v>0</v>
      </c>
      <c r="I980" t="n">
        <v>0</v>
      </c>
      <c r="J980" t="n">
        <v>0</v>
      </c>
      <c r="K980" t="n">
        <v>0</v>
      </c>
      <c r="L980" t="n">
        <v>0</v>
      </c>
      <c r="M980" t="n">
        <v>0</v>
      </c>
      <c r="N980" t="n">
        <v>0</v>
      </c>
      <c r="O980" t="n">
        <v>0</v>
      </c>
      <c r="P980" t="n">
        <v>0</v>
      </c>
      <c r="Q980" t="n">
        <v>0</v>
      </c>
      <c r="R980" s="2" t="inlineStr"/>
    </row>
    <row r="981" ht="15" customHeight="1">
      <c r="A981" t="inlineStr">
        <is>
          <t>A 13276-2022</t>
        </is>
      </c>
      <c r="B981" s="1" t="n">
        <v>44644</v>
      </c>
      <c r="C981" s="1" t="n">
        <v>46108</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6724-2026</t>
        </is>
      </c>
      <c r="B982" s="1" t="n">
        <v>46056.67717592593</v>
      </c>
      <c r="C982" s="1" t="n">
        <v>46108</v>
      </c>
      <c r="D982" t="inlineStr">
        <is>
          <t>STOCKHOLMS LÄN</t>
        </is>
      </c>
      <c r="E982" t="inlineStr">
        <is>
          <t>NORRTÄLJE</t>
        </is>
      </c>
      <c r="F982" t="inlineStr">
        <is>
          <t>Holmen skog AB</t>
        </is>
      </c>
      <c r="G982" t="n">
        <v>16.2</v>
      </c>
      <c r="H982" t="n">
        <v>0</v>
      </c>
      <c r="I982" t="n">
        <v>0</v>
      </c>
      <c r="J982" t="n">
        <v>0</v>
      </c>
      <c r="K982" t="n">
        <v>0</v>
      </c>
      <c r="L982" t="n">
        <v>0</v>
      </c>
      <c r="M982" t="n">
        <v>0</v>
      </c>
      <c r="N982" t="n">
        <v>0</v>
      </c>
      <c r="O982" t="n">
        <v>0</v>
      </c>
      <c r="P982" t="n">
        <v>0</v>
      </c>
      <c r="Q982" t="n">
        <v>0</v>
      </c>
      <c r="R982" s="2" t="inlineStr"/>
    </row>
    <row r="983" ht="15" customHeight="1">
      <c r="A983" t="inlineStr">
        <is>
          <t>A 6828-2026</t>
        </is>
      </c>
      <c r="B983" s="1" t="n">
        <v>46057</v>
      </c>
      <c r="C983" s="1" t="n">
        <v>46108</v>
      </c>
      <c r="D983" t="inlineStr">
        <is>
          <t>STOCKHOLMS LÄN</t>
        </is>
      </c>
      <c r="E983" t="inlineStr">
        <is>
          <t>NORRTÄLJE</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6838-2026</t>
        </is>
      </c>
      <c r="B984" s="1" t="n">
        <v>46057.41151620371</v>
      </c>
      <c r="C984" s="1" t="n">
        <v>46108</v>
      </c>
      <c r="D984" t="inlineStr">
        <is>
          <t>STOCKHOLMS LÄN</t>
        </is>
      </c>
      <c r="E984" t="inlineStr">
        <is>
          <t>NORRTÄLJE</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32480-2025</t>
        </is>
      </c>
      <c r="B985" s="1" t="n">
        <v>45838.43261574074</v>
      </c>
      <c r="C985" s="1" t="n">
        <v>46108</v>
      </c>
      <c r="D985" t="inlineStr">
        <is>
          <t>STOCKHOLMS LÄN</t>
        </is>
      </c>
      <c r="E985" t="inlineStr">
        <is>
          <t>NORRTÄLJE</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28182-2022</t>
        </is>
      </c>
      <c r="B986" s="1" t="n">
        <v>44746.58530092592</v>
      </c>
      <c r="C986" s="1" t="n">
        <v>46108</v>
      </c>
      <c r="D986" t="inlineStr">
        <is>
          <t>STOCKHOLMS LÄN</t>
        </is>
      </c>
      <c r="E986" t="inlineStr">
        <is>
          <t>NORRTÄLJE</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32872-2025</t>
        </is>
      </c>
      <c r="B987" s="1" t="n">
        <v>45839</v>
      </c>
      <c r="C987" s="1" t="n">
        <v>46108</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32903-2025</t>
        </is>
      </c>
      <c r="B988" s="1" t="n">
        <v>45839.62398148148</v>
      </c>
      <c r="C988" s="1" t="n">
        <v>46108</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34461-2023</t>
        </is>
      </c>
      <c r="B989" s="1" t="n">
        <v>45139</v>
      </c>
      <c r="C989" s="1" t="n">
        <v>46108</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32395-2025</t>
        </is>
      </c>
      <c r="B990" s="1" t="n">
        <v>45837.93730324074</v>
      </c>
      <c r="C990" s="1" t="n">
        <v>46108</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32396-2025</t>
        </is>
      </c>
      <c r="B991" s="1" t="n">
        <v>45837</v>
      </c>
      <c r="C991" s="1" t="n">
        <v>46108</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32397-2025</t>
        </is>
      </c>
      <c r="B992" s="1" t="n">
        <v>45837.94081018519</v>
      </c>
      <c r="C992" s="1" t="n">
        <v>46108</v>
      </c>
      <c r="D992" t="inlineStr">
        <is>
          <t>STOCKHOLMS LÄN</t>
        </is>
      </c>
      <c r="E992" t="inlineStr">
        <is>
          <t>NORRTÄLJE</t>
        </is>
      </c>
      <c r="G992" t="n">
        <v>5.9</v>
      </c>
      <c r="H992" t="n">
        <v>0</v>
      </c>
      <c r="I992" t="n">
        <v>0</v>
      </c>
      <c r="J992" t="n">
        <v>0</v>
      </c>
      <c r="K992" t="n">
        <v>0</v>
      </c>
      <c r="L992" t="n">
        <v>0</v>
      </c>
      <c r="M992" t="n">
        <v>0</v>
      </c>
      <c r="N992" t="n">
        <v>0</v>
      </c>
      <c r="O992" t="n">
        <v>0</v>
      </c>
      <c r="P992" t="n">
        <v>0</v>
      </c>
      <c r="Q992" t="n">
        <v>0</v>
      </c>
      <c r="R992" s="2" t="inlineStr"/>
    </row>
    <row r="993" ht="15" customHeight="1">
      <c r="A993" t="inlineStr">
        <is>
          <t>A 6874-2026</t>
        </is>
      </c>
      <c r="B993" s="1" t="n">
        <v>46057.45295138889</v>
      </c>
      <c r="C993" s="1" t="n">
        <v>46108</v>
      </c>
      <c r="D993" t="inlineStr">
        <is>
          <t>STOCKHOLMS LÄN</t>
        </is>
      </c>
      <c r="E993" t="inlineStr">
        <is>
          <t>NORRTÄLJE</t>
        </is>
      </c>
      <c r="F993" t="inlineStr">
        <is>
          <t>Holmen skog AB</t>
        </is>
      </c>
      <c r="G993" t="n">
        <v>1.4</v>
      </c>
      <c r="H993" t="n">
        <v>0</v>
      </c>
      <c r="I993" t="n">
        <v>0</v>
      </c>
      <c r="J993" t="n">
        <v>0</v>
      </c>
      <c r="K993" t="n">
        <v>0</v>
      </c>
      <c r="L993" t="n">
        <v>0</v>
      </c>
      <c r="M993" t="n">
        <v>0</v>
      </c>
      <c r="N993" t="n">
        <v>0</v>
      </c>
      <c r="O993" t="n">
        <v>0</v>
      </c>
      <c r="P993" t="n">
        <v>0</v>
      </c>
      <c r="Q993" t="n">
        <v>0</v>
      </c>
      <c r="R993" s="2" t="inlineStr"/>
    </row>
    <row r="994" ht="15" customHeight="1">
      <c r="A994" t="inlineStr">
        <is>
          <t>A 51046-2023</t>
        </is>
      </c>
      <c r="B994" s="1" t="n">
        <v>45218</v>
      </c>
      <c r="C994" s="1" t="n">
        <v>46108</v>
      </c>
      <c r="D994" t="inlineStr">
        <is>
          <t>STOCKHOLMS LÄN</t>
        </is>
      </c>
      <c r="E994" t="inlineStr">
        <is>
          <t>NORRTÄLJE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6532-2026</t>
        </is>
      </c>
      <c r="B995" s="1" t="n">
        <v>46056.41300925926</v>
      </c>
      <c r="C995" s="1" t="n">
        <v>46108</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6701-2026</t>
        </is>
      </c>
      <c r="B996" s="1" t="n">
        <v>46056</v>
      </c>
      <c r="C996" s="1" t="n">
        <v>46108</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17382-2024</t>
        </is>
      </c>
      <c r="B997" s="1" t="n">
        <v>45414.65855324074</v>
      </c>
      <c r="C997" s="1" t="n">
        <v>46108</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6070-2022</t>
        </is>
      </c>
      <c r="B998" s="1" t="n">
        <v>44599.58428240741</v>
      </c>
      <c r="C998" s="1" t="n">
        <v>46108</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17039-2024</t>
        </is>
      </c>
      <c r="B999" s="1" t="n">
        <v>45412.4104050926</v>
      </c>
      <c r="C999" s="1" t="n">
        <v>46108</v>
      </c>
      <c r="D999" t="inlineStr">
        <is>
          <t>STOCKHOLMS LÄN</t>
        </is>
      </c>
      <c r="E999" t="inlineStr">
        <is>
          <t>NORRTÄLJE</t>
        </is>
      </c>
      <c r="G999" t="n">
        <v>5.9</v>
      </c>
      <c r="H999" t="n">
        <v>0</v>
      </c>
      <c r="I999" t="n">
        <v>0</v>
      </c>
      <c r="J999" t="n">
        <v>0</v>
      </c>
      <c r="K999" t="n">
        <v>0</v>
      </c>
      <c r="L999" t="n">
        <v>0</v>
      </c>
      <c r="M999" t="n">
        <v>0</v>
      </c>
      <c r="N999" t="n">
        <v>0</v>
      </c>
      <c r="O999" t="n">
        <v>0</v>
      </c>
      <c r="P999" t="n">
        <v>0</v>
      </c>
      <c r="Q999" t="n">
        <v>0</v>
      </c>
      <c r="R999" s="2" t="inlineStr"/>
    </row>
    <row r="1000" ht="15" customHeight="1">
      <c r="A1000" t="inlineStr">
        <is>
          <t>A 48180-2023</t>
        </is>
      </c>
      <c r="B1000" s="1" t="n">
        <v>45205</v>
      </c>
      <c r="C1000" s="1" t="n">
        <v>46108</v>
      </c>
      <c r="D1000" t="inlineStr">
        <is>
          <t>STOCKHOLMS LÄN</t>
        </is>
      </c>
      <c r="E1000" t="inlineStr">
        <is>
          <t>NORRTÄLJE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35695-2023</t>
        </is>
      </c>
      <c r="B1001" s="1" t="n">
        <v>45147.65407407407</v>
      </c>
      <c r="C1001" s="1" t="n">
        <v>46108</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45173-2023</t>
        </is>
      </c>
      <c r="B1002" s="1" t="n">
        <v>45191</v>
      </c>
      <c r="C1002" s="1" t="n">
        <v>46108</v>
      </c>
      <c r="D1002" t="inlineStr">
        <is>
          <t>STOCKHOLMS LÄN</t>
        </is>
      </c>
      <c r="E1002" t="inlineStr">
        <is>
          <t>NORRTÄLJE</t>
        </is>
      </c>
      <c r="F1002" t="inlineStr">
        <is>
          <t>Sveaskog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33702-2025</t>
        </is>
      </c>
      <c r="B1003" s="1" t="n">
        <v>45841.74596064815</v>
      </c>
      <c r="C1003" s="1" t="n">
        <v>46108</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33211-2025</t>
        </is>
      </c>
      <c r="B1004" s="1" t="n">
        <v>45840.62755787037</v>
      </c>
      <c r="C1004" s="1" t="n">
        <v>46108</v>
      </c>
      <c r="D1004" t="inlineStr">
        <is>
          <t>STOCKHOLMS LÄN</t>
        </is>
      </c>
      <c r="E1004" t="inlineStr">
        <is>
          <t>NORRTÄLJE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24705-2023</t>
        </is>
      </c>
      <c r="B1005" s="1" t="n">
        <v>45084.54459490741</v>
      </c>
      <c r="C1005" s="1" t="n">
        <v>46108</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14348-2026</t>
        </is>
      </c>
      <c r="B1006" s="1" t="n">
        <v>46100.34112268518</v>
      </c>
      <c r="C1006" s="1" t="n">
        <v>46108</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21696-2024</t>
        </is>
      </c>
      <c r="B1007" s="1" t="n">
        <v>45442.45686342593</v>
      </c>
      <c r="C1007" s="1" t="n">
        <v>46108</v>
      </c>
      <c r="D1007" t="inlineStr">
        <is>
          <t>STOCKHOLMS LÄN</t>
        </is>
      </c>
      <c r="E1007" t="inlineStr">
        <is>
          <t>NORRTÄLJE</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7308-2026</t>
        </is>
      </c>
      <c r="B1008" s="1" t="n">
        <v>46058.66025462963</v>
      </c>
      <c r="C1008" s="1" t="n">
        <v>46108</v>
      </c>
      <c r="D1008" t="inlineStr">
        <is>
          <t>STOCKHOLMS LÄN</t>
        </is>
      </c>
      <c r="E1008" t="inlineStr">
        <is>
          <t>NORRTÄLJE</t>
        </is>
      </c>
      <c r="F1008" t="inlineStr">
        <is>
          <t>Holmen skog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7532-2026</t>
        </is>
      </c>
      <c r="B1009" s="1" t="n">
        <v>46059</v>
      </c>
      <c r="C1009" s="1" t="n">
        <v>46108</v>
      </c>
      <c r="D1009" t="inlineStr">
        <is>
          <t>STOCKHOLMS LÄN</t>
        </is>
      </c>
      <c r="E1009" t="inlineStr">
        <is>
          <t>NORRTÄLJE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33265-2025</t>
        </is>
      </c>
      <c r="B1010" s="1" t="n">
        <v>45840.67829861111</v>
      </c>
      <c r="C1010" s="1" t="n">
        <v>46108</v>
      </c>
      <c r="D1010" t="inlineStr">
        <is>
          <t>STOCKHOLMS LÄN</t>
        </is>
      </c>
      <c r="E1010" t="inlineStr">
        <is>
          <t>NORRTÄLJE</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14475-2026</t>
        </is>
      </c>
      <c r="B1011" s="1" t="n">
        <v>46100.57251157407</v>
      </c>
      <c r="C1011" s="1" t="n">
        <v>46108</v>
      </c>
      <c r="D1011" t="inlineStr">
        <is>
          <t>STOCKHOLMS LÄN</t>
        </is>
      </c>
      <c r="E1011" t="inlineStr">
        <is>
          <t>NORRTÄLJE</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67990-2021</t>
        </is>
      </c>
      <c r="B1012" s="1" t="n">
        <v>44525</v>
      </c>
      <c r="C1012" s="1" t="n">
        <v>46108</v>
      </c>
      <c r="D1012" t="inlineStr">
        <is>
          <t>STOCKHOLMS LÄN</t>
        </is>
      </c>
      <c r="E1012" t="inlineStr">
        <is>
          <t>NORRTÄLJE</t>
        </is>
      </c>
      <c r="F1012" t="inlineStr">
        <is>
          <t>Sveaskog</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71552-2021</t>
        </is>
      </c>
      <c r="B1013" s="1" t="n">
        <v>44540</v>
      </c>
      <c r="C1013" s="1" t="n">
        <v>46108</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33552-2025</t>
        </is>
      </c>
      <c r="B1014" s="1" t="n">
        <v>45841.5737962963</v>
      </c>
      <c r="C1014" s="1" t="n">
        <v>46108</v>
      </c>
      <c r="D1014" t="inlineStr">
        <is>
          <t>STOCKHOLMS LÄN</t>
        </is>
      </c>
      <c r="E1014" t="inlineStr">
        <is>
          <t>NORRTÄLJE</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33336-2025</t>
        </is>
      </c>
      <c r="B1015" s="1" t="n">
        <v>45841.35611111111</v>
      </c>
      <c r="C1015" s="1" t="n">
        <v>46108</v>
      </c>
      <c r="D1015" t="inlineStr">
        <is>
          <t>STOCKHOLMS LÄN</t>
        </is>
      </c>
      <c r="E1015" t="inlineStr">
        <is>
          <t>NORRTÄLJE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73992-2021</t>
        </is>
      </c>
      <c r="B1016" s="1" t="n">
        <v>44556</v>
      </c>
      <c r="C1016" s="1" t="n">
        <v>46108</v>
      </c>
      <c r="D1016" t="inlineStr">
        <is>
          <t>STOCKHOLMS LÄN</t>
        </is>
      </c>
      <c r="E1016" t="inlineStr">
        <is>
          <t>NORRTÄLJE</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33824-2025</t>
        </is>
      </c>
      <c r="B1017" s="1" t="n">
        <v>45842.46885416667</v>
      </c>
      <c r="C1017" s="1" t="n">
        <v>46108</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34006-2025</t>
        </is>
      </c>
      <c r="B1018" s="1" t="n">
        <v>45844.62609953704</v>
      </c>
      <c r="C1018" s="1" t="n">
        <v>46108</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26113-2024</t>
        </is>
      </c>
      <c r="B1019" s="1" t="n">
        <v>45468.45541666666</v>
      </c>
      <c r="C1019" s="1" t="n">
        <v>46108</v>
      </c>
      <c r="D1019" t="inlineStr">
        <is>
          <t>STOCKHOLMS LÄN</t>
        </is>
      </c>
      <c r="E1019" t="inlineStr">
        <is>
          <t>NORRTÄLJE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26116-2024</t>
        </is>
      </c>
      <c r="B1020" s="1" t="n">
        <v>45468.45747685185</v>
      </c>
      <c r="C1020" s="1" t="n">
        <v>46108</v>
      </c>
      <c r="D1020" t="inlineStr">
        <is>
          <t>STOCKHOLMS LÄN</t>
        </is>
      </c>
      <c r="E1020" t="inlineStr">
        <is>
          <t>NORRTÄLJE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34139-2025</t>
        </is>
      </c>
      <c r="B1021" s="1" t="n">
        <v>45845</v>
      </c>
      <c r="C1021" s="1" t="n">
        <v>46108</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34010-2025</t>
        </is>
      </c>
      <c r="B1022" s="1" t="n">
        <v>45844.91234953704</v>
      </c>
      <c r="C1022" s="1" t="n">
        <v>46108</v>
      </c>
      <c r="D1022" t="inlineStr">
        <is>
          <t>STOCKHOLMS LÄN</t>
        </is>
      </c>
      <c r="E1022" t="inlineStr">
        <is>
          <t>NORRTÄLJE</t>
        </is>
      </c>
      <c r="F1022" t="inlineStr">
        <is>
          <t>Övriga Aktiebolag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15978-2024</t>
        </is>
      </c>
      <c r="B1023" s="1" t="n">
        <v>45405.57927083333</v>
      </c>
      <c r="C1023" s="1" t="n">
        <v>46108</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11333-2025</t>
        </is>
      </c>
      <c r="B1024" s="1" t="n">
        <v>45726.48377314815</v>
      </c>
      <c r="C1024" s="1" t="n">
        <v>46108</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8055-2026</t>
        </is>
      </c>
      <c r="B1025" s="1" t="n">
        <v>46063.62002314815</v>
      </c>
      <c r="C1025" s="1" t="n">
        <v>46108</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36689-2023</t>
        </is>
      </c>
      <c r="B1026" s="1" t="n">
        <v>45152</v>
      </c>
      <c r="C1026" s="1" t="n">
        <v>46108</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46073-2024</t>
        </is>
      </c>
      <c r="B1027" s="1" t="n">
        <v>45581</v>
      </c>
      <c r="C1027" s="1" t="n">
        <v>46108</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7793-2026</t>
        </is>
      </c>
      <c r="B1028" s="1" t="n">
        <v>46062.59496527778</v>
      </c>
      <c r="C1028" s="1" t="n">
        <v>46108</v>
      </c>
      <c r="D1028" t="inlineStr">
        <is>
          <t>STOCKHOLMS LÄN</t>
        </is>
      </c>
      <c r="E1028" t="inlineStr">
        <is>
          <t>NORRTÄLJE</t>
        </is>
      </c>
      <c r="F1028" t="inlineStr">
        <is>
          <t>Holmen skog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34391-2023</t>
        </is>
      </c>
      <c r="B1029" s="1" t="n">
        <v>45139.51457175926</v>
      </c>
      <c r="C1029" s="1" t="n">
        <v>46108</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67921-2021</t>
        </is>
      </c>
      <c r="B1030" s="1" t="n">
        <v>44525</v>
      </c>
      <c r="C1030" s="1" t="n">
        <v>46108</v>
      </c>
      <c r="D1030" t="inlineStr">
        <is>
          <t>STOCKHOLMS LÄN</t>
        </is>
      </c>
      <c r="E1030" t="inlineStr">
        <is>
          <t>NORRTÄLJE</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8096-2026</t>
        </is>
      </c>
      <c r="B1031" s="1" t="n">
        <v>46063.714375</v>
      </c>
      <c r="C1031" s="1" t="n">
        <v>46108</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7723-2026</t>
        </is>
      </c>
      <c r="B1032" s="1" t="n">
        <v>46062.49905092592</v>
      </c>
      <c r="C1032" s="1" t="n">
        <v>46108</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7729-2026</t>
        </is>
      </c>
      <c r="B1033" s="1" t="n">
        <v>46062.51100694444</v>
      </c>
      <c r="C1033" s="1" t="n">
        <v>46108</v>
      </c>
      <c r="D1033" t="inlineStr">
        <is>
          <t>STOCKHOLMS LÄN</t>
        </is>
      </c>
      <c r="E1033" t="inlineStr">
        <is>
          <t>NORRTÄLJE</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25681-2024</t>
        </is>
      </c>
      <c r="B1034" s="1" t="n">
        <v>45463.80486111111</v>
      </c>
      <c r="C1034" s="1" t="n">
        <v>46108</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7582-2026</t>
        </is>
      </c>
      <c r="B1035" s="1" t="n">
        <v>46061</v>
      </c>
      <c r="C1035" s="1" t="n">
        <v>46108</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58853-2024</t>
        </is>
      </c>
      <c r="B1036" s="1" t="n">
        <v>45636.38974537037</v>
      </c>
      <c r="C1036" s="1" t="n">
        <v>46108</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35438-2023</t>
        </is>
      </c>
      <c r="B1037" s="1" t="n">
        <v>45146</v>
      </c>
      <c r="C1037" s="1" t="n">
        <v>46108</v>
      </c>
      <c r="D1037" t="inlineStr">
        <is>
          <t>STOCKHOLMS LÄN</t>
        </is>
      </c>
      <c r="E1037" t="inlineStr">
        <is>
          <t>NORRTÄLJE</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8091-2026</t>
        </is>
      </c>
      <c r="B1038" s="1" t="n">
        <v>46063.70944444444</v>
      </c>
      <c r="C1038" s="1" t="n">
        <v>46108</v>
      </c>
      <c r="D1038" t="inlineStr">
        <is>
          <t>STOCKHOLMS LÄN</t>
        </is>
      </c>
      <c r="E1038" t="inlineStr">
        <is>
          <t>NORRTÄLJE</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20291-2022</t>
        </is>
      </c>
      <c r="B1039" s="1" t="n">
        <v>44698</v>
      </c>
      <c r="C1039" s="1" t="n">
        <v>46108</v>
      </c>
      <c r="D1039" t="inlineStr">
        <is>
          <t>STOCKHOLMS LÄN</t>
        </is>
      </c>
      <c r="E1039" t="inlineStr">
        <is>
          <t>NORRTÄLJE</t>
        </is>
      </c>
      <c r="F1039" t="inlineStr">
        <is>
          <t>Naturvårdsverket</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26115-2024</t>
        </is>
      </c>
      <c r="B1040" s="1" t="n">
        <v>45468.45628472222</v>
      </c>
      <c r="C1040" s="1" t="n">
        <v>46108</v>
      </c>
      <c r="D1040" t="inlineStr">
        <is>
          <t>STOCKHOLMS LÄN</t>
        </is>
      </c>
      <c r="E1040" t="inlineStr">
        <is>
          <t>NORRTÄLJE</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8410-2026</t>
        </is>
      </c>
      <c r="B1041" s="1" t="n">
        <v>46065.34261574074</v>
      </c>
      <c r="C1041" s="1" t="n">
        <v>46108</v>
      </c>
      <c r="D1041" t="inlineStr">
        <is>
          <t>STOCKHOLMS LÄN</t>
        </is>
      </c>
      <c r="E1041" t="inlineStr">
        <is>
          <t>NORRTÄLJE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19118-2022</t>
        </is>
      </c>
      <c r="B1042" s="1" t="n">
        <v>44691.5652662037</v>
      </c>
      <c r="C1042" s="1" t="n">
        <v>46108</v>
      </c>
      <c r="D1042" t="inlineStr">
        <is>
          <t>STOCKHOLMS LÄN</t>
        </is>
      </c>
      <c r="E1042" t="inlineStr">
        <is>
          <t>NORRTÄLJE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8739-2024</t>
        </is>
      </c>
      <c r="B1043" s="1" t="n">
        <v>45356.47784722222</v>
      </c>
      <c r="C1043" s="1" t="n">
        <v>46108</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38759-2022</t>
        </is>
      </c>
      <c r="B1044" s="1" t="n">
        <v>44816</v>
      </c>
      <c r="C1044" s="1" t="n">
        <v>46108</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8489-2026</t>
        </is>
      </c>
      <c r="B1045" s="1" t="n">
        <v>46065.48268518518</v>
      </c>
      <c r="C1045" s="1" t="n">
        <v>46108</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32857-2021</t>
        </is>
      </c>
      <c r="B1046" s="1" t="n">
        <v>44375</v>
      </c>
      <c r="C1046" s="1" t="n">
        <v>46108</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29714-2023</t>
        </is>
      </c>
      <c r="B1047" s="1" t="n">
        <v>45107.42538194444</v>
      </c>
      <c r="C1047" s="1" t="n">
        <v>46108</v>
      </c>
      <c r="D1047" t="inlineStr">
        <is>
          <t>STOCKHOLMS LÄN</t>
        </is>
      </c>
      <c r="E1047" t="inlineStr">
        <is>
          <t>NORRTÄLJE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23271-2023</t>
        </is>
      </c>
      <c r="B1048" s="1" t="n">
        <v>45075.91362268518</v>
      </c>
      <c r="C1048" s="1" t="n">
        <v>46108</v>
      </c>
      <c r="D1048" t="inlineStr">
        <is>
          <t>STOCKHOLMS LÄN</t>
        </is>
      </c>
      <c r="E1048" t="inlineStr">
        <is>
          <t>NORRTÄLJE</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23273-2023</t>
        </is>
      </c>
      <c r="B1049" s="1" t="n">
        <v>45075.91971064815</v>
      </c>
      <c r="C1049" s="1" t="n">
        <v>46108</v>
      </c>
      <c r="D1049" t="inlineStr">
        <is>
          <t>STOCKHOLMS LÄN</t>
        </is>
      </c>
      <c r="E1049" t="inlineStr">
        <is>
          <t>NORRTÄLJE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8465-2026</t>
        </is>
      </c>
      <c r="B1050" s="1" t="n">
        <v>46065.44141203703</v>
      </c>
      <c r="C1050" s="1" t="n">
        <v>46108</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15836-2026</t>
        </is>
      </c>
      <c r="B1051" s="1" t="n">
        <v>46107.56134259259</v>
      </c>
      <c r="C1051" s="1" t="n">
        <v>46108</v>
      </c>
      <c r="D1051" t="inlineStr">
        <is>
          <t>STOCKHOLMS LÄN</t>
        </is>
      </c>
      <c r="E1051" t="inlineStr">
        <is>
          <t>NORRTÄLJE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8454-2026</t>
        </is>
      </c>
      <c r="B1052" s="1" t="n">
        <v>46065.42506944444</v>
      </c>
      <c r="C1052" s="1" t="n">
        <v>46108</v>
      </c>
      <c r="D1052" t="inlineStr">
        <is>
          <t>STOCKHOLMS LÄN</t>
        </is>
      </c>
      <c r="E1052" t="inlineStr">
        <is>
          <t>NORRTÄLJE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35110-2025</t>
        </is>
      </c>
      <c r="B1053" s="1" t="n">
        <v>45852.58030092593</v>
      </c>
      <c r="C1053" s="1" t="n">
        <v>46108</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35254-2025</t>
        </is>
      </c>
      <c r="B1054" s="1" t="n">
        <v>45853</v>
      </c>
      <c r="C1054" s="1" t="n">
        <v>46108</v>
      </c>
      <c r="D1054" t="inlineStr">
        <is>
          <t>STOCKHOLMS LÄN</t>
        </is>
      </c>
      <c r="E1054" t="inlineStr">
        <is>
          <t>NORRTÄLJE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35479-2025</t>
        </is>
      </c>
      <c r="B1055" s="1" t="n">
        <v>45855.69387731481</v>
      </c>
      <c r="C1055" s="1" t="n">
        <v>46108</v>
      </c>
      <c r="D1055" t="inlineStr">
        <is>
          <t>STOCKHOLMS LÄN</t>
        </is>
      </c>
      <c r="E1055" t="inlineStr">
        <is>
          <t>NORRTÄLJE</t>
        </is>
      </c>
      <c r="F1055" t="inlineStr">
        <is>
          <t>Holmen skog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35451-2025</t>
        </is>
      </c>
      <c r="B1056" s="1" t="n">
        <v>45855.57033564815</v>
      </c>
      <c r="C1056" s="1" t="n">
        <v>46108</v>
      </c>
      <c r="D1056" t="inlineStr">
        <is>
          <t>STOCKHOLMS LÄN</t>
        </is>
      </c>
      <c r="E1056" t="inlineStr">
        <is>
          <t>NORRTÄLJE</t>
        </is>
      </c>
      <c r="F1056" t="inlineStr">
        <is>
          <t>Holmen skog AB</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35478-2025</t>
        </is>
      </c>
      <c r="B1057" s="1" t="n">
        <v>45855.68413194444</v>
      </c>
      <c r="C1057" s="1" t="n">
        <v>46108</v>
      </c>
      <c r="D1057" t="inlineStr">
        <is>
          <t>STOCKHOLMS LÄN</t>
        </is>
      </c>
      <c r="E1057" t="inlineStr">
        <is>
          <t>NORRTÄLJE</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7603-2025</t>
        </is>
      </c>
      <c r="B1058" s="1" t="n">
        <v>45705.66126157407</v>
      </c>
      <c r="C1058" s="1" t="n">
        <v>46108</v>
      </c>
      <c r="D1058" t="inlineStr">
        <is>
          <t>STOCKHOLMS LÄN</t>
        </is>
      </c>
      <c r="E1058" t="inlineStr">
        <is>
          <t>NORRTÄLJE</t>
        </is>
      </c>
      <c r="F1058" t="inlineStr">
        <is>
          <t>Holmen skog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30802-2022</t>
        </is>
      </c>
      <c r="B1059" s="1" t="n">
        <v>44764</v>
      </c>
      <c r="C1059" s="1" t="n">
        <v>46108</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55369-2023</t>
        </is>
      </c>
      <c r="B1060" s="1" t="n">
        <v>45238</v>
      </c>
      <c r="C1060" s="1" t="n">
        <v>46108</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61113-2023</t>
        </is>
      </c>
      <c r="B1061" s="1" t="n">
        <v>45261</v>
      </c>
      <c r="C1061" s="1" t="n">
        <v>46108</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3283-2025</t>
        </is>
      </c>
      <c r="B1062" s="1" t="n">
        <v>45679</v>
      </c>
      <c r="C1062" s="1" t="n">
        <v>46108</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34295-2024</t>
        </is>
      </c>
      <c r="B1063" s="1" t="n">
        <v>45524</v>
      </c>
      <c r="C1063" s="1" t="n">
        <v>46108</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58311-2023</t>
        </is>
      </c>
      <c r="B1064" s="1" t="n">
        <v>45245</v>
      </c>
      <c r="C1064" s="1" t="n">
        <v>46108</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23692-2024</t>
        </is>
      </c>
      <c r="B1065" s="1" t="n">
        <v>45454.65774305556</v>
      </c>
      <c r="C1065" s="1" t="n">
        <v>46108</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20473-2021</t>
        </is>
      </c>
      <c r="B1066" s="1" t="n">
        <v>44315</v>
      </c>
      <c r="C1066" s="1" t="n">
        <v>46108</v>
      </c>
      <c r="D1066" t="inlineStr">
        <is>
          <t>STOCKHOLMS LÄN</t>
        </is>
      </c>
      <c r="E1066" t="inlineStr">
        <is>
          <t>NORRTÄLJE</t>
        </is>
      </c>
      <c r="F1066" t="inlineStr">
        <is>
          <t>Övriga Aktiebolag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34444-2024</t>
        </is>
      </c>
      <c r="B1067" s="1" t="n">
        <v>45525</v>
      </c>
      <c r="C1067" s="1" t="n">
        <v>46108</v>
      </c>
      <c r="D1067" t="inlineStr">
        <is>
          <t>STOCKHOLMS LÄN</t>
        </is>
      </c>
      <c r="E1067" t="inlineStr">
        <is>
          <t>NORRTÄLJE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20698-2025</t>
        </is>
      </c>
      <c r="B1068" s="1" t="n">
        <v>45776.47122685185</v>
      </c>
      <c r="C1068" s="1" t="n">
        <v>46108</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54273-2021</t>
        </is>
      </c>
      <c r="B1069" s="1" t="n">
        <v>44470.72987268519</v>
      </c>
      <c r="C1069" s="1" t="n">
        <v>46108</v>
      </c>
      <c r="D1069" t="inlineStr">
        <is>
          <t>STOCKHOLMS LÄN</t>
        </is>
      </c>
      <c r="E1069" t="inlineStr">
        <is>
          <t>NORRTÄLJE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22232-2024</t>
        </is>
      </c>
      <c r="B1070" s="1" t="n">
        <v>45446.4287962963</v>
      </c>
      <c r="C1070" s="1" t="n">
        <v>46108</v>
      </c>
      <c r="D1070" t="inlineStr">
        <is>
          <t>STOCKHOLMS LÄN</t>
        </is>
      </c>
      <c r="E1070" t="inlineStr">
        <is>
          <t>NORRTÄLJE</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7806-2025</t>
        </is>
      </c>
      <c r="B1071" s="1" t="n">
        <v>45706.61178240741</v>
      </c>
      <c r="C1071" s="1" t="n">
        <v>46108</v>
      </c>
      <c r="D1071" t="inlineStr">
        <is>
          <t>STOCKHOLMS LÄN</t>
        </is>
      </c>
      <c r="E1071" t="inlineStr">
        <is>
          <t>NORRTÄLJE</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36396-2025</t>
        </is>
      </c>
      <c r="B1072" s="1" t="n">
        <v>45868.62267361111</v>
      </c>
      <c r="C1072" s="1" t="n">
        <v>46108</v>
      </c>
      <c r="D1072" t="inlineStr">
        <is>
          <t>STOCKHOLMS LÄN</t>
        </is>
      </c>
      <c r="E1072" t="inlineStr">
        <is>
          <t>NORRTÄLJE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53792-2023</t>
        </is>
      </c>
      <c r="B1073" s="1" t="n">
        <v>45231.34144675926</v>
      </c>
      <c r="C1073" s="1" t="n">
        <v>46108</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21329-2022</t>
        </is>
      </c>
      <c r="B1074" s="1" t="n">
        <v>44705.60626157407</v>
      </c>
      <c r="C1074" s="1" t="n">
        <v>46108</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50569-2022</t>
        </is>
      </c>
      <c r="B1075" s="1" t="n">
        <v>44866.63775462963</v>
      </c>
      <c r="C1075" s="1" t="n">
        <v>46108</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24501-2023</t>
        </is>
      </c>
      <c r="B1076" s="1" t="n">
        <v>45082</v>
      </c>
      <c r="C1076" s="1" t="n">
        <v>46108</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24520-2023</t>
        </is>
      </c>
      <c r="B1077" s="1" t="n">
        <v>45082.68922453704</v>
      </c>
      <c r="C1077" s="1" t="n">
        <v>46108</v>
      </c>
      <c r="D1077" t="inlineStr">
        <is>
          <t>STOCKHOLMS LÄN</t>
        </is>
      </c>
      <c r="E1077" t="inlineStr">
        <is>
          <t>NORRTÄLJE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60654-2023</t>
        </is>
      </c>
      <c r="B1078" s="1" t="n">
        <v>45260.43225694444</v>
      </c>
      <c r="C1078" s="1" t="n">
        <v>46108</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60656-2023</t>
        </is>
      </c>
      <c r="B1079" s="1" t="n">
        <v>45260.4333449074</v>
      </c>
      <c r="C1079" s="1" t="n">
        <v>46108</v>
      </c>
      <c r="D1079" t="inlineStr">
        <is>
          <t>STOCKHOLMS LÄN</t>
        </is>
      </c>
      <c r="E1079" t="inlineStr">
        <is>
          <t>NORRTÄLJE</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54496-2024</t>
        </is>
      </c>
      <c r="B1080" s="1" t="n">
        <v>45617.57439814815</v>
      </c>
      <c r="C1080" s="1" t="n">
        <v>46108</v>
      </c>
      <c r="D1080" t="inlineStr">
        <is>
          <t>STOCKHOLMS LÄN</t>
        </is>
      </c>
      <c r="E1080" t="inlineStr">
        <is>
          <t>NORRTÄLJE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21386-2023</t>
        </is>
      </c>
      <c r="B1081" s="1" t="n">
        <v>45063.35880787037</v>
      </c>
      <c r="C1081" s="1" t="n">
        <v>46108</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10642-2025</t>
        </is>
      </c>
      <c r="B1082" s="1" t="n">
        <v>45721.65858796296</v>
      </c>
      <c r="C1082" s="1" t="n">
        <v>46108</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20144-2023</t>
        </is>
      </c>
      <c r="B1083" s="1" t="n">
        <v>45055.43509259259</v>
      </c>
      <c r="C1083" s="1" t="n">
        <v>46108</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53312-2024</t>
        </is>
      </c>
      <c r="B1084" s="1" t="n">
        <v>45614.39627314815</v>
      </c>
      <c r="C1084" s="1" t="n">
        <v>46108</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39202-2024</t>
        </is>
      </c>
      <c r="B1085" s="1" t="n">
        <v>45548.72306712963</v>
      </c>
      <c r="C1085" s="1" t="n">
        <v>46108</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22756-2022</t>
        </is>
      </c>
      <c r="B1086" s="1" t="n">
        <v>44714.92253472222</v>
      </c>
      <c r="C1086" s="1" t="n">
        <v>46108</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4581-2025</t>
        </is>
      </c>
      <c r="B1087" s="1" t="n">
        <v>45687</v>
      </c>
      <c r="C1087" s="1" t="n">
        <v>46108</v>
      </c>
      <c r="D1087" t="inlineStr">
        <is>
          <t>STOCKHOLMS LÄN</t>
        </is>
      </c>
      <c r="E1087" t="inlineStr">
        <is>
          <t>NORRTÄLJE</t>
        </is>
      </c>
      <c r="F1087" t="inlineStr">
        <is>
          <t>Holmen skog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37261-2025</t>
        </is>
      </c>
      <c r="B1088" s="1" t="n">
        <v>45876.45253472222</v>
      </c>
      <c r="C1088" s="1" t="n">
        <v>46108</v>
      </c>
      <c r="D1088" t="inlineStr">
        <is>
          <t>STOCKHOLMS LÄN</t>
        </is>
      </c>
      <c r="E1088" t="inlineStr">
        <is>
          <t>NORRTÄLJE</t>
        </is>
      </c>
      <c r="F1088" t="inlineStr">
        <is>
          <t>Kommuner</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60765-2023</t>
        </is>
      </c>
      <c r="B1089" s="1" t="n">
        <v>45260</v>
      </c>
      <c r="C1089" s="1" t="n">
        <v>46108</v>
      </c>
      <c r="D1089" t="inlineStr">
        <is>
          <t>STOCKHOLMS LÄN</t>
        </is>
      </c>
      <c r="E1089" t="inlineStr">
        <is>
          <t>NORRTÄLJE</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23801-2022</t>
        </is>
      </c>
      <c r="B1090" s="1" t="n">
        <v>44722</v>
      </c>
      <c r="C1090" s="1" t="n">
        <v>46108</v>
      </c>
      <c r="D1090" t="inlineStr">
        <is>
          <t>STOCKHOLMS LÄN</t>
        </is>
      </c>
      <c r="E1090" t="inlineStr">
        <is>
          <t>NORRTÄLJE</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59276-2023</t>
        </is>
      </c>
      <c r="B1091" s="1" t="n">
        <v>45253.55641203704</v>
      </c>
      <c r="C1091" s="1" t="n">
        <v>46108</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46914-2022</t>
        </is>
      </c>
      <c r="B1092" s="1" t="n">
        <v>44851</v>
      </c>
      <c r="C1092" s="1" t="n">
        <v>46108</v>
      </c>
      <c r="D1092" t="inlineStr">
        <is>
          <t>STOCKHOLMS LÄN</t>
        </is>
      </c>
      <c r="E1092" t="inlineStr">
        <is>
          <t>NORRTÄLJE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18541-2023</t>
        </is>
      </c>
      <c r="B1093" s="1" t="n">
        <v>45042.74291666667</v>
      </c>
      <c r="C1093" s="1" t="n">
        <v>46108</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37628-2025</t>
        </is>
      </c>
      <c r="B1094" s="1" t="n">
        <v>45880.46189814815</v>
      </c>
      <c r="C1094" s="1" t="n">
        <v>46108</v>
      </c>
      <c r="D1094" t="inlineStr">
        <is>
          <t>STOCKHOLMS LÄN</t>
        </is>
      </c>
      <c r="E1094" t="inlineStr">
        <is>
          <t>NORRTÄLJE</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3509-2022</t>
        </is>
      </c>
      <c r="B1095" s="1" t="n">
        <v>44585</v>
      </c>
      <c r="C1095" s="1" t="n">
        <v>46108</v>
      </c>
      <c r="D1095" t="inlineStr">
        <is>
          <t>STOCKHOLMS LÄN</t>
        </is>
      </c>
      <c r="E1095" t="inlineStr">
        <is>
          <t>NORRTÄLJE</t>
        </is>
      </c>
      <c r="F1095" t="inlineStr">
        <is>
          <t>Kommuner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29369-2024</t>
        </is>
      </c>
      <c r="B1096" s="1" t="n">
        <v>45483.57244212963</v>
      </c>
      <c r="C1096" s="1" t="n">
        <v>46108</v>
      </c>
      <c r="D1096" t="inlineStr">
        <is>
          <t>STOCKHOLMS LÄN</t>
        </is>
      </c>
      <c r="E1096" t="inlineStr">
        <is>
          <t>NORRTÄLJE</t>
        </is>
      </c>
      <c r="G1096" t="n">
        <v>15.9</v>
      </c>
      <c r="H1096" t="n">
        <v>0</v>
      </c>
      <c r="I1096" t="n">
        <v>0</v>
      </c>
      <c r="J1096" t="n">
        <v>0</v>
      </c>
      <c r="K1096" t="n">
        <v>0</v>
      </c>
      <c r="L1096" t="n">
        <v>0</v>
      </c>
      <c r="M1096" t="n">
        <v>0</v>
      </c>
      <c r="N1096" t="n">
        <v>0</v>
      </c>
      <c r="O1096" t="n">
        <v>0</v>
      </c>
      <c r="P1096" t="n">
        <v>0</v>
      </c>
      <c r="Q1096" t="n">
        <v>0</v>
      </c>
      <c r="R1096" s="2" t="inlineStr"/>
    </row>
    <row r="1097" ht="15" customHeight="1">
      <c r="A1097" t="inlineStr">
        <is>
          <t>A 26407-2024</t>
        </is>
      </c>
      <c r="B1097" s="1" t="n">
        <v>45469</v>
      </c>
      <c r="C1097" s="1" t="n">
        <v>46108</v>
      </c>
      <c r="D1097" t="inlineStr">
        <is>
          <t>STOCKHOLMS LÄN</t>
        </is>
      </c>
      <c r="E1097" t="inlineStr">
        <is>
          <t>NORRTÄLJE</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37632-2025</t>
        </is>
      </c>
      <c r="B1098" s="1" t="n">
        <v>45880.46524305556</v>
      </c>
      <c r="C1098" s="1" t="n">
        <v>46108</v>
      </c>
      <c r="D1098" t="inlineStr">
        <is>
          <t>STOCKHOLMS LÄN</t>
        </is>
      </c>
      <c r="E1098" t="inlineStr">
        <is>
          <t>NORRTÄLJE</t>
        </is>
      </c>
      <c r="F1098" t="inlineStr">
        <is>
          <t>Sveaskog</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12890-2024</t>
        </is>
      </c>
      <c r="B1099" s="1" t="n">
        <v>45385.36243055556</v>
      </c>
      <c r="C1099" s="1" t="n">
        <v>46108</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29841-2024</t>
        </is>
      </c>
      <c r="B1100" s="1" t="n">
        <v>45485.60261574074</v>
      </c>
      <c r="C1100" s="1" t="n">
        <v>46108</v>
      </c>
      <c r="D1100" t="inlineStr">
        <is>
          <t>STOCKHOLMS LÄN</t>
        </is>
      </c>
      <c r="E1100" t="inlineStr">
        <is>
          <t>NORRTÄLJE</t>
        </is>
      </c>
      <c r="G1100" t="n">
        <v>15.9</v>
      </c>
      <c r="H1100" t="n">
        <v>0</v>
      </c>
      <c r="I1100" t="n">
        <v>0</v>
      </c>
      <c r="J1100" t="n">
        <v>0</v>
      </c>
      <c r="K1100" t="n">
        <v>0</v>
      </c>
      <c r="L1100" t="n">
        <v>0</v>
      </c>
      <c r="M1100" t="n">
        <v>0</v>
      </c>
      <c r="N1100" t="n">
        <v>0</v>
      </c>
      <c r="O1100" t="n">
        <v>0</v>
      </c>
      <c r="P1100" t="n">
        <v>0</v>
      </c>
      <c r="Q1100" t="n">
        <v>0</v>
      </c>
      <c r="R1100" s="2" t="inlineStr"/>
    </row>
    <row r="1101" ht="15" customHeight="1">
      <c r="A1101" t="inlineStr">
        <is>
          <t>A 20692-2025</t>
        </is>
      </c>
      <c r="B1101" s="1" t="n">
        <v>45776.46369212963</v>
      </c>
      <c r="C1101" s="1" t="n">
        <v>46108</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37630-2025</t>
        </is>
      </c>
      <c r="B1102" s="1" t="n">
        <v>45880.46372685185</v>
      </c>
      <c r="C1102" s="1" t="n">
        <v>46108</v>
      </c>
      <c r="D1102" t="inlineStr">
        <is>
          <t>STOCKHOLMS LÄN</t>
        </is>
      </c>
      <c r="E1102" t="inlineStr">
        <is>
          <t>NORRTÄLJE</t>
        </is>
      </c>
      <c r="F1102" t="inlineStr">
        <is>
          <t>Sveaskog</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47419-2023</t>
        </is>
      </c>
      <c r="B1103" s="1" t="n">
        <v>45202.65660879629</v>
      </c>
      <c r="C1103" s="1" t="n">
        <v>46108</v>
      </c>
      <c r="D1103" t="inlineStr">
        <is>
          <t>STOCKHOLMS LÄN</t>
        </is>
      </c>
      <c r="E1103" t="inlineStr">
        <is>
          <t>NORRTÄLJE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23070-2023</t>
        </is>
      </c>
      <c r="B1104" s="1" t="n">
        <v>45075</v>
      </c>
      <c r="C1104" s="1" t="n">
        <v>46108</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27824-2022</t>
        </is>
      </c>
      <c r="B1105" s="1" t="n">
        <v>44743.59331018518</v>
      </c>
      <c r="C1105" s="1" t="n">
        <v>46108</v>
      </c>
      <c r="D1105" t="inlineStr">
        <is>
          <t>STOCKHOLMS LÄN</t>
        </is>
      </c>
      <c r="E1105" t="inlineStr">
        <is>
          <t>NORRTÄLJE</t>
        </is>
      </c>
      <c r="F1105" t="inlineStr">
        <is>
          <t>Kommuner</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46071-2024</t>
        </is>
      </c>
      <c r="B1106" s="1" t="n">
        <v>45581</v>
      </c>
      <c r="C1106" s="1" t="n">
        <v>46108</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25619-2022</t>
        </is>
      </c>
      <c r="B1107" s="1" t="n">
        <v>44732</v>
      </c>
      <c r="C1107" s="1" t="n">
        <v>46108</v>
      </c>
      <c r="D1107" t="inlineStr">
        <is>
          <t>STOCKHOLMS LÄN</t>
        </is>
      </c>
      <c r="E1107" t="inlineStr">
        <is>
          <t>NORRTÄLJE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36246-2021</t>
        </is>
      </c>
      <c r="B1108" s="1" t="n">
        <v>44390</v>
      </c>
      <c r="C1108" s="1" t="n">
        <v>46108</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13137-2024</t>
        </is>
      </c>
      <c r="B1109" s="1" t="n">
        <v>45386.34175925926</v>
      </c>
      <c r="C1109" s="1" t="n">
        <v>46108</v>
      </c>
      <c r="D1109" t="inlineStr">
        <is>
          <t>STOCKHOLMS LÄN</t>
        </is>
      </c>
      <c r="E1109" t="inlineStr">
        <is>
          <t>NORRTÄLJE</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19952-2023</t>
        </is>
      </c>
      <c r="B1110" s="1" t="n">
        <v>45054.54091435186</v>
      </c>
      <c r="C1110" s="1" t="n">
        <v>46108</v>
      </c>
      <c r="D1110" t="inlineStr">
        <is>
          <t>STOCKHOLMS LÄN</t>
        </is>
      </c>
      <c r="E1110" t="inlineStr">
        <is>
          <t>NORRTÄLJE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19994-2023</t>
        </is>
      </c>
      <c r="B1111" s="1" t="n">
        <v>45054</v>
      </c>
      <c r="C1111" s="1" t="n">
        <v>46108</v>
      </c>
      <c r="D1111" t="inlineStr">
        <is>
          <t>STOCKHOLMS LÄN</t>
        </is>
      </c>
      <c r="E1111" t="inlineStr">
        <is>
          <t>NORRTÄLJE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14130-2025</t>
        </is>
      </c>
      <c r="B1112" s="1" t="n">
        <v>45740.47288194444</v>
      </c>
      <c r="C1112" s="1" t="n">
        <v>46108</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574-2023</t>
        </is>
      </c>
      <c r="B1113" s="1" t="n">
        <v>44925</v>
      </c>
      <c r="C1113" s="1" t="n">
        <v>46108</v>
      </c>
      <c r="D1113" t="inlineStr">
        <is>
          <t>STOCKHOLMS LÄN</t>
        </is>
      </c>
      <c r="E1113" t="inlineStr">
        <is>
          <t>NORRTÄLJE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30283-2022</t>
        </is>
      </c>
      <c r="B1114" s="1" t="n">
        <v>44760</v>
      </c>
      <c r="C1114" s="1" t="n">
        <v>46108</v>
      </c>
      <c r="D1114" t="inlineStr">
        <is>
          <t>STOCKHOLMS LÄN</t>
        </is>
      </c>
      <c r="E1114" t="inlineStr">
        <is>
          <t>NORRTÄLJE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30290-2022</t>
        </is>
      </c>
      <c r="B1115" s="1" t="n">
        <v>44760</v>
      </c>
      <c r="C1115" s="1" t="n">
        <v>46108</v>
      </c>
      <c r="D1115" t="inlineStr">
        <is>
          <t>STOCKHOLMS LÄN</t>
        </is>
      </c>
      <c r="E1115" t="inlineStr">
        <is>
          <t>NORRTÄLJE</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24350-2025</t>
        </is>
      </c>
      <c r="B1116" s="1" t="n">
        <v>45797.58350694444</v>
      </c>
      <c r="C1116" s="1" t="n">
        <v>46108</v>
      </c>
      <c r="D1116" t="inlineStr">
        <is>
          <t>STOCKHOLMS LÄN</t>
        </is>
      </c>
      <c r="E1116" t="inlineStr">
        <is>
          <t>NORRTÄLJE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26703-2025</t>
        </is>
      </c>
      <c r="B1117" s="1" t="n">
        <v>45810.45263888889</v>
      </c>
      <c r="C1117" s="1" t="n">
        <v>46108</v>
      </c>
      <c r="D1117" t="inlineStr">
        <is>
          <t>STOCKHOLMS LÄN</t>
        </is>
      </c>
      <c r="E1117" t="inlineStr">
        <is>
          <t>NORRTÄLJE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29684-2021</t>
        </is>
      </c>
      <c r="B1118" s="1" t="n">
        <v>44362.37172453704</v>
      </c>
      <c r="C1118" s="1" t="n">
        <v>46108</v>
      </c>
      <c r="D1118" t="inlineStr">
        <is>
          <t>STOCKHOLMS LÄN</t>
        </is>
      </c>
      <c r="E1118" t="inlineStr">
        <is>
          <t>NORRTÄLJE</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60884-2024</t>
        </is>
      </c>
      <c r="B1119" s="1" t="n">
        <v>45644.90815972222</v>
      </c>
      <c r="C1119" s="1" t="n">
        <v>46108</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38153-2025</t>
        </is>
      </c>
      <c r="B1120" s="1" t="n">
        <v>45882.59722222222</v>
      </c>
      <c r="C1120" s="1" t="n">
        <v>46108</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38610-2022</t>
        </is>
      </c>
      <c r="B1121" s="1" t="n">
        <v>44813.59915509259</v>
      </c>
      <c r="C1121" s="1" t="n">
        <v>46108</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10090-2022</t>
        </is>
      </c>
      <c r="B1122" s="1" t="n">
        <v>44621</v>
      </c>
      <c r="C1122" s="1" t="n">
        <v>46108</v>
      </c>
      <c r="D1122" t="inlineStr">
        <is>
          <t>STOCKHOLMS LÄN</t>
        </is>
      </c>
      <c r="E1122" t="inlineStr">
        <is>
          <t>NORRTÄLJE</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14724-2022</t>
        </is>
      </c>
      <c r="B1123" s="1" t="n">
        <v>44656</v>
      </c>
      <c r="C1123" s="1" t="n">
        <v>46108</v>
      </c>
      <c r="D1123" t="inlineStr">
        <is>
          <t>STOCKHOLMS LÄN</t>
        </is>
      </c>
      <c r="E1123" t="inlineStr">
        <is>
          <t>NORRTÄLJE</t>
        </is>
      </c>
      <c r="F1123" t="inlineStr">
        <is>
          <t>Sveaskog</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22816-2021</t>
        </is>
      </c>
      <c r="B1124" s="1" t="n">
        <v>44325</v>
      </c>
      <c r="C1124" s="1" t="n">
        <v>46108</v>
      </c>
      <c r="D1124" t="inlineStr">
        <is>
          <t>STOCKHOLMS LÄN</t>
        </is>
      </c>
      <c r="E1124" t="inlineStr">
        <is>
          <t>NORRTÄLJE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18846-2022</t>
        </is>
      </c>
      <c r="B1125" s="1" t="n">
        <v>44690</v>
      </c>
      <c r="C1125" s="1" t="n">
        <v>46108</v>
      </c>
      <c r="D1125" t="inlineStr">
        <is>
          <t>STOCKHOLMS LÄN</t>
        </is>
      </c>
      <c r="E1125" t="inlineStr">
        <is>
          <t>NORRTÄLJE</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43300-2023</t>
        </is>
      </c>
      <c r="B1126" s="1" t="n">
        <v>45183</v>
      </c>
      <c r="C1126" s="1" t="n">
        <v>46108</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25654-2023</t>
        </is>
      </c>
      <c r="B1127" s="1" t="n">
        <v>45089</v>
      </c>
      <c r="C1127" s="1" t="n">
        <v>46108</v>
      </c>
      <c r="D1127" t="inlineStr">
        <is>
          <t>STOCKHOLMS LÄN</t>
        </is>
      </c>
      <c r="E1127" t="inlineStr">
        <is>
          <t>NORRTÄLJE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23125-2022</t>
        </is>
      </c>
      <c r="B1128" s="1" t="n">
        <v>44719</v>
      </c>
      <c r="C1128" s="1" t="n">
        <v>46108</v>
      </c>
      <c r="D1128" t="inlineStr">
        <is>
          <t>STOCKHOLMS LÄN</t>
        </is>
      </c>
      <c r="E1128" t="inlineStr">
        <is>
          <t>NORRTÄLJE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20121-2022</t>
        </is>
      </c>
      <c r="B1129" s="1" t="n">
        <v>44698</v>
      </c>
      <c r="C1129" s="1" t="n">
        <v>46108</v>
      </c>
      <c r="D1129" t="inlineStr">
        <is>
          <t>STOCKHOLMS LÄN</t>
        </is>
      </c>
      <c r="E1129" t="inlineStr">
        <is>
          <t>NORRTÄLJE</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33385-2024</t>
        </is>
      </c>
      <c r="B1130" s="1" t="n">
        <v>45519</v>
      </c>
      <c r="C1130" s="1" t="n">
        <v>46108</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41172-2023</t>
        </is>
      </c>
      <c r="B1131" s="1" t="n">
        <v>45170</v>
      </c>
      <c r="C1131" s="1" t="n">
        <v>46108</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73307-2021</t>
        </is>
      </c>
      <c r="B1132" s="1" t="n">
        <v>44549</v>
      </c>
      <c r="C1132" s="1" t="n">
        <v>46108</v>
      </c>
      <c r="D1132" t="inlineStr">
        <is>
          <t>STOCKHOLMS LÄN</t>
        </is>
      </c>
      <c r="E1132" t="inlineStr">
        <is>
          <t>NORRTÄLJE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50534-2024</t>
        </is>
      </c>
      <c r="B1133" s="1" t="n">
        <v>45601.56726851852</v>
      </c>
      <c r="C1133" s="1" t="n">
        <v>46108</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65499-2021</t>
        </is>
      </c>
      <c r="B1134" s="1" t="n">
        <v>44516</v>
      </c>
      <c r="C1134" s="1" t="n">
        <v>46108</v>
      </c>
      <c r="D1134" t="inlineStr">
        <is>
          <t>STOCKHOLMS LÄN</t>
        </is>
      </c>
      <c r="E1134" t="inlineStr">
        <is>
          <t>NORRTÄLJE</t>
        </is>
      </c>
      <c r="F1134" t="inlineStr">
        <is>
          <t>Kommuner</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65511-2021</t>
        </is>
      </c>
      <c r="B1135" s="1" t="n">
        <v>44516.40674768519</v>
      </c>
      <c r="C1135" s="1" t="n">
        <v>46108</v>
      </c>
      <c r="D1135" t="inlineStr">
        <is>
          <t>STOCKHOLMS LÄN</t>
        </is>
      </c>
      <c r="E1135" t="inlineStr">
        <is>
          <t>NORRTÄLJE</t>
        </is>
      </c>
      <c r="F1135" t="inlineStr">
        <is>
          <t>Kommuner</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22833-2024</t>
        </is>
      </c>
      <c r="B1136" s="1" t="n">
        <v>45448.56746527777</v>
      </c>
      <c r="C1136" s="1" t="n">
        <v>46108</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32514-2022</t>
        </is>
      </c>
      <c r="B1137" s="1" t="n">
        <v>44782</v>
      </c>
      <c r="C1137" s="1" t="n">
        <v>46108</v>
      </c>
      <c r="D1137" t="inlineStr">
        <is>
          <t>STOCKHOLMS LÄN</t>
        </is>
      </c>
      <c r="E1137" t="inlineStr">
        <is>
          <t>NORRTÄLJE</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29362-2022</t>
        </is>
      </c>
      <c r="B1138" s="1" t="n">
        <v>44753</v>
      </c>
      <c r="C1138" s="1" t="n">
        <v>46108</v>
      </c>
      <c r="D1138" t="inlineStr">
        <is>
          <t>STOCKHOLMS LÄN</t>
        </is>
      </c>
      <c r="E1138" t="inlineStr">
        <is>
          <t>NORRTÄLJE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58492-2022</t>
        </is>
      </c>
      <c r="B1139" s="1" t="n">
        <v>44902</v>
      </c>
      <c r="C1139" s="1" t="n">
        <v>46108</v>
      </c>
      <c r="D1139" t="inlineStr">
        <is>
          <t>STOCKHOLMS LÄN</t>
        </is>
      </c>
      <c r="E1139" t="inlineStr">
        <is>
          <t>NORRTÄLJE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51315-2021</t>
        </is>
      </c>
      <c r="B1140" s="1" t="n">
        <v>44461</v>
      </c>
      <c r="C1140" s="1" t="n">
        <v>46108</v>
      </c>
      <c r="D1140" t="inlineStr">
        <is>
          <t>STOCKHOLMS LÄN</t>
        </is>
      </c>
      <c r="E1140" t="inlineStr">
        <is>
          <t>NORRTÄLJE</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14873-2025</t>
        </is>
      </c>
      <c r="B1141" s="1" t="n">
        <v>45743.44953703704</v>
      </c>
      <c r="C1141" s="1" t="n">
        <v>46108</v>
      </c>
      <c r="D1141" t="inlineStr">
        <is>
          <t>STOCKHOLMS LÄN</t>
        </is>
      </c>
      <c r="E1141" t="inlineStr">
        <is>
          <t>NORRTÄLJE</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34773-2022</t>
        </is>
      </c>
      <c r="B1142" s="1" t="n">
        <v>44795</v>
      </c>
      <c r="C1142" s="1" t="n">
        <v>46108</v>
      </c>
      <c r="D1142" t="inlineStr">
        <is>
          <t>STOCKHOLMS LÄN</t>
        </is>
      </c>
      <c r="E1142" t="inlineStr">
        <is>
          <t>NORRTÄLJE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33173-2024</t>
        </is>
      </c>
      <c r="B1143" s="1" t="n">
        <v>45518</v>
      </c>
      <c r="C1143" s="1" t="n">
        <v>46108</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4484-2025</t>
        </is>
      </c>
      <c r="B1144" s="1" t="n">
        <v>45686.65545138889</v>
      </c>
      <c r="C1144" s="1" t="n">
        <v>46108</v>
      </c>
      <c r="D1144" t="inlineStr">
        <is>
          <t>STOCKHOLMS LÄN</t>
        </is>
      </c>
      <c r="E1144" t="inlineStr">
        <is>
          <t>NORRTÄLJE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33878-2024</t>
        </is>
      </c>
      <c r="B1145" s="1" t="n">
        <v>45522.44414351852</v>
      </c>
      <c r="C1145" s="1" t="n">
        <v>46108</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9246-2024</t>
        </is>
      </c>
      <c r="B1146" s="1" t="n">
        <v>45357</v>
      </c>
      <c r="C1146" s="1" t="n">
        <v>46108</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35698-2023</t>
        </is>
      </c>
      <c r="B1147" s="1" t="n">
        <v>45147</v>
      </c>
      <c r="C1147" s="1" t="n">
        <v>46108</v>
      </c>
      <c r="D1147" t="inlineStr">
        <is>
          <t>STOCKHOLMS LÄN</t>
        </is>
      </c>
      <c r="E1147" t="inlineStr">
        <is>
          <t>NORRTÄLJE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62398-2022</t>
        </is>
      </c>
      <c r="B1148" s="1" t="n">
        <v>44923.90159722222</v>
      </c>
      <c r="C1148" s="1" t="n">
        <v>46108</v>
      </c>
      <c r="D1148" t="inlineStr">
        <is>
          <t>STOCKHOLMS LÄN</t>
        </is>
      </c>
      <c r="E1148" t="inlineStr">
        <is>
          <t>NORRTÄLJE</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49700-2023</t>
        </is>
      </c>
      <c r="B1149" s="1" t="n">
        <v>45212</v>
      </c>
      <c r="C1149" s="1" t="n">
        <v>46108</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32071-2023</t>
        </is>
      </c>
      <c r="B1150" s="1" t="n">
        <v>45119.57728009259</v>
      </c>
      <c r="C1150" s="1" t="n">
        <v>46108</v>
      </c>
      <c r="D1150" t="inlineStr">
        <is>
          <t>STOCKHOLMS LÄN</t>
        </is>
      </c>
      <c r="E1150" t="inlineStr">
        <is>
          <t>NORRTÄLJE</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1425-2025</t>
        </is>
      </c>
      <c r="B1151" s="1" t="n">
        <v>45668.67446759259</v>
      </c>
      <c r="C1151" s="1" t="n">
        <v>46108</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17775-2022</t>
        </is>
      </c>
      <c r="B1152" s="1" t="n">
        <v>44682.78430555556</v>
      </c>
      <c r="C1152" s="1" t="n">
        <v>46108</v>
      </c>
      <c r="D1152" t="inlineStr">
        <is>
          <t>STOCKHOLMS LÄN</t>
        </is>
      </c>
      <c r="E1152" t="inlineStr">
        <is>
          <t>NORRTÄLJE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38720-2022</t>
        </is>
      </c>
      <c r="B1153" s="1" t="n">
        <v>44815.74539351852</v>
      </c>
      <c r="C1153" s="1" t="n">
        <v>46108</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10215-2023</t>
        </is>
      </c>
      <c r="B1154" s="1" t="n">
        <v>44986.5887962963</v>
      </c>
      <c r="C1154" s="1" t="n">
        <v>46108</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25609-2023</t>
        </is>
      </c>
      <c r="B1155" s="1" t="n">
        <v>45089</v>
      </c>
      <c r="C1155" s="1" t="n">
        <v>46108</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20014-2025</t>
        </is>
      </c>
      <c r="B1156" s="1" t="n">
        <v>45772.3078125</v>
      </c>
      <c r="C1156" s="1" t="n">
        <v>46108</v>
      </c>
      <c r="D1156" t="inlineStr">
        <is>
          <t>STOCKHOLMS LÄN</t>
        </is>
      </c>
      <c r="E1156" t="inlineStr">
        <is>
          <t>NORRTÄLJE</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20136-2025</t>
        </is>
      </c>
      <c r="B1157" s="1" t="n">
        <v>45772.51127314815</v>
      </c>
      <c r="C1157" s="1" t="n">
        <v>46108</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2287-2024</t>
        </is>
      </c>
      <c r="B1158" s="1" t="n">
        <v>45310</v>
      </c>
      <c r="C1158" s="1" t="n">
        <v>46108</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13785-2024</t>
        </is>
      </c>
      <c r="B1159" s="1" t="n">
        <v>45391.3395949074</v>
      </c>
      <c r="C1159" s="1" t="n">
        <v>46108</v>
      </c>
      <c r="D1159" t="inlineStr">
        <is>
          <t>STOCKHOLMS LÄN</t>
        </is>
      </c>
      <c r="E1159" t="inlineStr">
        <is>
          <t>NORRTÄLJE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50469-2022</t>
        </is>
      </c>
      <c r="B1160" s="1" t="n">
        <v>44866.49827546296</v>
      </c>
      <c r="C1160" s="1" t="n">
        <v>46108</v>
      </c>
      <c r="D1160" t="inlineStr">
        <is>
          <t>STOCKHOLMS LÄN</t>
        </is>
      </c>
      <c r="E1160" t="inlineStr">
        <is>
          <t>NORRTÄLJE</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51116-2022</t>
        </is>
      </c>
      <c r="B1161" s="1" t="n">
        <v>44868.45741898148</v>
      </c>
      <c r="C1161" s="1" t="n">
        <v>46108</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60217-2021</t>
        </is>
      </c>
      <c r="B1162" s="1" t="n">
        <v>44495.5893287037</v>
      </c>
      <c r="C1162" s="1" t="n">
        <v>46108</v>
      </c>
      <c r="D1162" t="inlineStr">
        <is>
          <t>STOCKHOLMS LÄN</t>
        </is>
      </c>
      <c r="E1162" t="inlineStr">
        <is>
          <t>NORRTÄLJE</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5839-2023</t>
        </is>
      </c>
      <c r="B1163" s="1" t="n">
        <v>44963</v>
      </c>
      <c r="C1163" s="1" t="n">
        <v>46108</v>
      </c>
      <c r="D1163" t="inlineStr">
        <is>
          <t>STOCKHOLMS LÄN</t>
        </is>
      </c>
      <c r="E1163" t="inlineStr">
        <is>
          <t>NORRTÄLJE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38985-2022</t>
        </is>
      </c>
      <c r="B1164" s="1" t="n">
        <v>44816</v>
      </c>
      <c r="C1164" s="1" t="n">
        <v>46108</v>
      </c>
      <c r="D1164" t="inlineStr">
        <is>
          <t>STOCKHOLMS LÄN</t>
        </is>
      </c>
      <c r="E1164" t="inlineStr">
        <is>
          <t>NORRTÄLJE</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5665-2025</t>
        </is>
      </c>
      <c r="B1165" s="1" t="n">
        <v>45693</v>
      </c>
      <c r="C1165" s="1" t="n">
        <v>46108</v>
      </c>
      <c r="D1165" t="inlineStr">
        <is>
          <t>STOCKHOLMS LÄN</t>
        </is>
      </c>
      <c r="E1165" t="inlineStr">
        <is>
          <t>NORRTÄLJE</t>
        </is>
      </c>
      <c r="G1165" t="n">
        <v>4</v>
      </c>
      <c r="H1165" t="n">
        <v>0</v>
      </c>
      <c r="I1165" t="n">
        <v>0</v>
      </c>
      <c r="J1165" t="n">
        <v>0</v>
      </c>
      <c r="K1165" t="n">
        <v>0</v>
      </c>
      <c r="L1165" t="n">
        <v>0</v>
      </c>
      <c r="M1165" t="n">
        <v>0</v>
      </c>
      <c r="N1165" t="n">
        <v>0</v>
      </c>
      <c r="O1165" t="n">
        <v>0</v>
      </c>
      <c r="P1165" t="n">
        <v>0</v>
      </c>
      <c r="Q1165" t="n">
        <v>0</v>
      </c>
      <c r="R1165" s="2" t="inlineStr"/>
    </row>
    <row r="1166">
      <c r="A1166" t="inlineStr">
        <is>
          <t>A 3426-2025</t>
        </is>
      </c>
      <c r="B1166" s="1" t="n">
        <v>45680.42665509259</v>
      </c>
      <c r="C1166" s="1" t="n">
        <v>46108</v>
      </c>
      <c r="D1166" t="inlineStr">
        <is>
          <t>STOCKHOLMS LÄN</t>
        </is>
      </c>
      <c r="E1166" t="inlineStr">
        <is>
          <t>NORRTÄLJE</t>
        </is>
      </c>
      <c r="G1166" t="n">
        <v>3.2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2026-03-27T11:38:37Z</dcterms:created>
  <dcterms:modified xmlns:dcterms="http://purl.org/dc/terms/" xmlns:xsi="http://www.w3.org/2001/XMLSchema-instance" xsi:type="dcterms:W3CDTF">2026-03-27T11:38:38Z</dcterms:modified>
</cp:coreProperties>
</file>