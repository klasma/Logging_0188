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45649</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45649</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45649</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45649</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45649</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45649</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45649</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45649</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45649</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45649</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45649</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45649</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45649</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45649</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45649</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45649</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45649</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45649</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45649</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45649</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45649</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45649</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56742-2024</t>
        </is>
      </c>
      <c r="B25" s="1" t="n">
        <v>45628</v>
      </c>
      <c r="C25" s="1" t="n">
        <v>45649</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56742-2024 artfynd.xlsx", "A 56742-2024")</f>
        <v/>
      </c>
      <c r="T25">
        <f>HYPERLINK("https://klasma.github.io/Logging_0188/kartor/A 56742-2024 karta.png", "A 56742-2024")</f>
        <v/>
      </c>
      <c r="V25">
        <f>HYPERLINK("https://klasma.github.io/Logging_0188/klagomål/A 56742-2024 FSC-klagomål.docx", "A 56742-2024")</f>
        <v/>
      </c>
      <c r="W25">
        <f>HYPERLINK("https://klasma.github.io/Logging_0188/klagomålsmail/A 56742-2024 FSC-klagomål mail.docx", "A 56742-2024")</f>
        <v/>
      </c>
      <c r="X25">
        <f>HYPERLINK("https://klasma.github.io/Logging_0188/tillsyn/A 56742-2024 tillsynsbegäran.docx", "A 56742-2024")</f>
        <v/>
      </c>
      <c r="Y25">
        <f>HYPERLINK("https://klasma.github.io/Logging_0188/tillsynsmail/A 56742-2024 tillsynsbegäran mail.docx", "A 56742-2024")</f>
        <v/>
      </c>
      <c r="Z25">
        <f>HYPERLINK("https://klasma.github.io/Logging_0188/fåglar/A 56742-2024 prioriterade fågelarter.docx", "A 56742-2024")</f>
        <v/>
      </c>
    </row>
    <row r="26" ht="15" customHeight="1">
      <c r="A26" t="inlineStr">
        <is>
          <t>A 56743-2024</t>
        </is>
      </c>
      <c r="B26" s="1" t="n">
        <v>45628</v>
      </c>
      <c r="C26" s="1" t="n">
        <v>45649</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56743-2024 artfynd.xlsx", "A 56743-2024")</f>
        <v/>
      </c>
      <c r="T26">
        <f>HYPERLINK("https://klasma.github.io/Logging_0188/kartor/A 56743-2024 karta.png", "A 56743-2024")</f>
        <v/>
      </c>
      <c r="V26">
        <f>HYPERLINK("https://klasma.github.io/Logging_0188/klagomål/A 56743-2024 FSC-klagomål.docx", "A 56743-2024")</f>
        <v/>
      </c>
      <c r="W26">
        <f>HYPERLINK("https://klasma.github.io/Logging_0188/klagomålsmail/A 56743-2024 FSC-klagomål mail.docx", "A 56743-2024")</f>
        <v/>
      </c>
      <c r="X26">
        <f>HYPERLINK("https://klasma.github.io/Logging_0188/tillsyn/A 56743-2024 tillsynsbegäran.docx", "A 56743-2024")</f>
        <v/>
      </c>
      <c r="Y26">
        <f>HYPERLINK("https://klasma.github.io/Logging_0188/tillsynsmail/A 56743-2024 tillsynsbegäran mail.docx", "A 56743-2024")</f>
        <v/>
      </c>
      <c r="Z26">
        <f>HYPERLINK("https://klasma.github.io/Logging_0188/fåglar/A 56743-2024 prioriterade fågelarter.docx", "A 56743-2024")</f>
        <v/>
      </c>
    </row>
    <row r="27" ht="15" customHeight="1">
      <c r="A27" t="inlineStr">
        <is>
          <t>A 3472-2023</t>
        </is>
      </c>
      <c r="B27" s="1" t="n">
        <v>44949</v>
      </c>
      <c r="C27" s="1" t="n">
        <v>45649</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45649</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45649</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45649</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45649</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45649</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45649</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45649</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45649</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45649</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45649</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45649</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45649</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45649</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45649</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45649</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45649</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45649</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45649</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45649</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45649</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45649</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45649</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45649</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45649</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45649</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45649</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45649</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45649</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45649</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45649</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45649</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45649</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45649</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45649</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45649</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45649</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45649</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45649</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45649</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45649</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45649</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45649</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45649</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45649</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45649</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45649</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45649</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45649</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45649</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45649</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45649</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45649</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45649</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45649</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45649</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45649</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45649</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45649</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45649</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45649</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45649</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45649</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45649</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45649</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45649</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45649</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45649</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45649</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45649</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45649</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45649</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45649</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45649</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45649</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45649</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45649</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45649</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45649</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45649</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45649</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45649</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45649</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45649</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45649</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45649</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45649</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45649</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45649</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45649</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45649</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45649</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45649</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45649</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45649</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45649</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45649</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45649</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45649</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45649</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45649</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45649</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45649</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45649</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45649</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45649</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45649</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45649</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45649</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45649</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45649</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45649</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45649</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45649</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45649</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45649</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45649</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45649</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45649</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45649</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45649</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45649</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45649</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45649</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45649</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45649</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45649</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45649</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45649</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45649</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45649</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45649</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45649</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45649</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45649</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45649</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45649</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45649</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45649</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45649</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45649</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45649</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45649</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45649</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45649</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45649</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45649</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45649</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45649</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45649</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45649</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45649</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45649</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45649</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45649</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45649</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45649</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45649</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45649</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45649</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45649</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45649</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45649</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45649</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45649</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45649</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45649</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45649</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45649</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45649</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45649</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45649</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45649</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45649</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45649</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45649</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45649</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45649</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45649</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45649</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45649</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45649</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45649</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45649</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45649</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45649</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45649</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45649</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45649</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45649</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45649</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45649</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45649</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45649</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45649</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45649</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45649</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45649</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45649</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45649</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45649</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45649</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45649</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45649</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45649</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45649</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45649</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45649</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45649</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45649</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45649</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45649</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45649</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45649</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45649</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45649</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45649</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45649</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45649</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45649</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45649</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45649</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45649</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45649</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45649</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45649</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45649</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45649</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45649</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45649</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45649</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45649</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45649</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45649</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45649</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45649</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45649</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45649</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45649</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45649</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45649</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45649</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45649</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45649</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45649</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45649</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45649</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45649</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45649</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45649</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45649</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45649</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45649</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45649</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45649</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45649</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45649</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45649</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45649</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45649</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45649</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45649</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45649</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45649</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45649</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45649</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45649</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45649</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45649</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45649</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45649</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45649</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45649</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45649</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45649</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45649</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45649</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45649</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45649</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45649</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45649</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45649</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45649</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45649</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45649</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45649</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45649</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45649</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45649</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45649</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45649</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45649</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45649</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45649</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45649</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45649</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45649</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45649</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45649</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45649</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45649</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45649</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45649</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45649</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45649</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45649</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45649</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45649</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45649</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45649</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45649</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45649</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45649</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45649</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45649</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45649</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45649</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45649</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45649</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45649</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45649</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45649</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45649</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45649</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45649</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45649</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45649</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45649</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45649</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45649</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45649</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45649</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45649</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45649</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45649</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45649</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45649</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45649</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45649</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45649</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45649</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45649</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45649</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45649</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45649</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45649</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45649</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45649</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45649</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45649</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45649</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45649</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45649</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45649</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45649</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45649</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45649</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45649</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45649</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45649</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45649</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45649</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45649</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45649</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45649</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45649</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45649</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45649</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45649</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45649</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45649</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45649</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45649</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45649</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45649</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45649</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45649</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45649</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45649</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45649</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45649</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45649</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45649</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45649</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45649</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45649</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45649</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45649</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45649</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45649</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45649</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45649</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45649</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45649</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45649</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45649</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45649</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45649</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45649</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45649</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45649</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45649</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45649</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45649</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45649</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45649</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45649</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45649</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45649</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45649</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45649</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45649</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45649</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45649</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45649</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45649</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45649</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45649</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45649</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45649</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45649</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45649</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45649</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45649</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45649</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45649</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45649</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45649</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45649</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45649</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45649</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45649</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45649</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45649</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45649</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45649</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45649</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45649</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45649</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45649</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45649</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45649</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45649</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45649</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45649</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45649</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45649</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45649</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45649</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45649</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45649</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45649</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45649</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45649</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45649</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45649</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45649</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45649</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45649</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45649</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45649</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45649</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45649</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45649</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45649</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45649</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45649</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45649</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45649</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45649</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45649</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45649</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45649</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45649</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45649</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45649</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45649</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45649</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45649</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45649</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45649</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45649</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45649</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45649</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45649</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45649</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45649</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45649</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45649</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45649</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45649</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45649</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45649</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45649</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45649</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45649</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45649</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45649</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45649</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45649</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45649</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45649</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45649</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45649</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45649</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45649</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45649</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45649</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45649</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45649</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45649</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45649</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45649</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45649</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45649</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45649</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45649</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45649</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45649</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45649</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45649</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45649</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45649</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45649</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45649</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45649</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45649</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45649</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45649</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45649</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45649</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45649</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45649</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45649</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45649</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45649</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45649</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45649</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45649</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45649</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45649</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45649</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45649</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45649</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45649</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45649</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45649</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45649</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45649</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45649</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45649</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45649</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45649</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45649</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45649</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45649</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45649</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45649</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45649</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45649</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45649</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45649</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45649</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45649</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45649</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45649</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45649</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45649</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45649</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45649</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45649</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45649</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45649</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45649</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45649</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45649</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45649</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45649</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45649</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45649</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45649</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45649</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45649</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45649</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45649</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45649</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45649</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45649</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45649</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45649</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45649</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45649</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45649</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45649</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45649</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45649</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45649</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45649</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45649</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45649</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45649</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45649</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45649</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45649</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45649</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45649</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45649</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45649</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45649</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45649</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45649</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45649</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45649</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45649</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45649</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45649</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45649</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45649</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45649</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45649</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45649</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45649</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45649</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45649</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45649</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45649</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45649</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45649</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45649</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45649</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45649</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45649</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45649</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45649</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45649</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45649</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45649</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45649</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45649</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45649</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45649</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45649</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45649</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45649</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45649</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45649</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45649</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45649</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45649</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45649</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45649</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45649</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45649</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45649</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45649</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45649</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45649</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45649</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45649</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45649</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45649</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45649</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45649</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45649</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45649</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45649</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45649</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45649</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45649</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45649</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45649</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45649</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45649</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45649</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45649</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45649</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45649</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45649</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45649</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45649</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45649</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45649</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45649</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45649</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45649</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45649</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45649</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45649</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45649</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45649</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45649</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45649</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45649</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45649</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45649</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45649</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45649</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45649</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45649</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45649</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45649</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45649</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45649</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45649</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45649</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45649</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45649</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45649</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45649</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45649</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45649</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45649</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45649</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45649</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45649</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45649</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45649</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45649</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45649</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45649</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45649</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45649</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45649</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45649</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45649</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45649</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45649</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45649</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45649</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45649</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45649</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45649</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45649</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45649</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45649</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45649</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45649</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45649</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45649</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45649</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45649</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45649</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45649</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45649</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45649</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45649</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45649</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45649</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45649</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45649</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45649</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45649</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45649</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45649</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45649</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45649</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45649</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45649</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45649</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45649</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45649</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45649</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45649</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45649</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45649</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45649</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45649</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45649</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45649</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45649</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45649</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45649</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45649</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45649</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45649</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45649</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45649</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45649</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45649</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45649</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45649</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45649</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45649</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45649</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45649</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45649</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45649</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45649</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45649</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45649</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45649</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45649</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45649</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45649</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45649</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45649</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45649</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45649</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45649</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45649</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45649</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45649</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45649</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45649</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45649</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45649</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45649</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45649</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45649</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45649</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45649</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45649</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45649</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45649</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45649</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45649</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45649</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45649</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45649</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45649</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45649</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45649</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45649</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45649</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45649</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45649</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45649</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45649</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45649</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45649</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45649</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45649</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45649</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45649</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45649</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45649</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45649</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45649</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45649</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45649</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45649</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45649</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45649</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45649</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45649</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45649</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45649</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45649</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45649</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45649</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45649</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45649</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45649</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45649</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45649</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45649</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45649</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45649</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45649</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45649</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45649</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45649</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45649</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45649</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45649</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45649</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45649</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45649</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45649</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45649</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45649</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45649</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45649</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45649</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45649</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45649</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45649</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45649</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45649</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45649</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45649</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45649</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45649</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45649</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45649</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45649</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45649</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45649</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45649</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45649</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45649</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45649</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45649</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45649</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45649</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45649</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45649</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45649</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45649</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45649</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45649</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45649</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45649</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45649</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45649</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45649</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45649</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45649</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45649</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45649</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45649</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45649</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45649</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45649</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45649</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45649</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45649</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45649</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45649</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45649</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45649</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45649</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45649</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45649</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45649</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45649</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45649</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45649</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45649</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45649</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45649</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45649</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45649</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45649</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45649</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45649</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45649</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45649</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45649</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45649</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45649</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45649</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45649</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45649</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45649</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45649</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45649</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45649</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45649</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45649</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45649</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45649</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45649</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45649</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45649</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45649</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45649</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45649</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45649</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45649</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45649</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45649</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45649</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45649</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45649</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45649</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45649</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45649</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45649</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45649</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45649</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45649</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45649</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45649</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45649</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45649</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45649</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45649</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45649</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45649</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45649</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45649</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45649</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45649</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45649</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45649</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45649</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45649</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45649</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45649</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45649</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45649</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45649</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45649</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45649</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45649</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45649</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45649</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45649</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45649</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45649</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45649</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45649</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45649</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45649</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45649</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45649</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45649</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45649</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45649</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45649</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45649</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45649</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45649</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45649</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45649</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45649</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45649</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45649</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45649</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45649</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45649</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45649</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45649</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45649</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45649</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45649</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45649</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45649</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45649</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45649</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45649</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45649</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45649</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45649</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45649</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45649</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45649</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45649</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45649</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45649</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45649</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45649</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45649</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45649</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45649</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45649</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45649</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45649</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45649</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45649</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45649</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45649</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45649</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45649</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45649</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45649</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45649</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45649</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45649</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45649</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45649</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45649</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45649</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45649</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45649</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45649</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45649</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45649</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45649</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45649</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45649</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45649</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45649</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45649</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45649</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45649</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45649</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45649</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45649</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45649</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45649</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45649</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45649</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45649</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45649</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45649</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45649</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45649</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45649</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45649</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45649</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45649</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45649</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45649</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45649</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45649</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45649</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45649</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45649</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45649</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45649</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45649</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45649</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45649</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45649</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45649</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45649</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45649</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45649</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45649</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45649</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45649</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45649</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45649</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45649</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45649</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45649</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45649</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45649</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45649</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45649</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45649</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45649</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45649</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45649</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45649</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45649</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45649</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45649</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45649</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45649</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45649</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45649</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45649</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45649</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45649</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45649</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45649</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45649</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45649</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45649</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45649</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45649</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45649</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45649</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45649</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45649</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45649</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45649</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45649</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45649</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45649</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45649</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45649</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45649</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45649</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45649</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45649</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45649</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45649</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45649</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45649</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45649</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45649</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45649</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45649</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45649</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45649</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45649</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45649</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45649</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45649</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45649</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45649</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45649</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45649</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45649</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45649</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45649</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45649</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45649</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45649</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45649</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45649</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45649</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45649</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45649</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45649</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45649</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45649</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45649</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45649</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45649</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45649</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45649</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45649</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45649</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45649</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45649</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45649</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45649</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45649</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45649</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45649</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45649</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45649</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45649</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45649</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45649</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45649</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45649</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45649</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45649</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45649</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45649</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45649</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45649</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45649</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45649</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45649</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45649</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45649</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45649</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45649</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45649</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45649</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45649</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45649</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45649</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45649</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45649</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45649</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45649</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45649</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45649</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45649</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45649</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45649</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45649</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45649</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45649</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45649</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45649</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45649</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45649</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45649</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45649</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45649</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45649</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45649</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45649</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45649</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45649</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45649</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45649</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45649</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45649</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45649</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45649</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45649</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45649</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45649</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45649</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45649</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45649</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45649</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45649</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45649</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45649</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45649</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45649</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45649</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45649</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45649</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45649</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45649</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45649</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45649</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45649</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45649</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45649</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45649</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45649</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45649</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45649</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45649</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45649</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45649</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45649</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45649</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45649</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45649</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45649</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45649</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45649</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45649</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45649</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45649</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45649</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45649</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45649</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45649</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45649</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45649</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45649</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45649</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45649</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45649</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45649</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45649</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45649</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45649</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45649</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45649</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45649</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45649</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45649</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45649</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45649</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45649</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45649</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45649</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45649</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45649</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45649</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45649</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45649</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45649</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45649</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45649</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45649</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45649</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45649</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45649</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45649</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45649</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45649</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45649</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45649</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45649</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45649</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45649</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45649</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45649</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45649</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45649</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45649</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45649</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45649</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45649</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45649</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45649</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45649</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45649</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45649</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45649</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45649</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45649</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45649</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45649</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45649</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45649</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45649</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45649</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45649</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45649</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45649</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45649</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45649</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45649</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45649</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45649</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45649</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45649</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45649</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45649</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45649</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45649</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45649</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45649</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45649</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45649</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45649</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45649</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45649</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45649</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45649</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45649</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45649</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45649</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45649</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45649</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45649</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45649</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45649</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45649</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45649</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45649</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45649</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45649</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45649</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45649</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45649</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45649</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45649</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45649</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45649</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45649</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45649</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45649</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45649</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45649</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45649</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45649</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45649</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45649</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45649</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45649</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45649</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45649</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45649</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45649</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45649</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45649</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45649</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45649</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45649</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45649</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45649</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45649</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45649</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45649</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45649</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45649</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45649</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45649</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45649</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45649</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45649</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45649</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45649</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45649</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45649</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45649</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45649</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45649</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45649</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45649</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45649</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45649</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45649</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45649</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45649</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45649</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45649</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45649</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45649</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45649</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45649</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45649</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45649</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45649</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45649</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45649</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45649</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45649</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45649</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45649</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45649</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45649</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45649</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45649</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45649</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45649</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45649</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45649</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45649</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45649</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45649</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45649</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45649</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45649</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45649</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45649</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45649</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45649</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45649</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45649</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45649</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45649</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45649</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45649</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45649</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45649</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45649</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45649</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45649</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45649</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45649</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45649</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45649</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45649</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45649</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45649</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45649</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45649</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45649</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45649</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45649</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45649</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45649</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45649</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45649</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45649</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45649</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45649</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45649</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45649</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45649</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45649</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45649</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45649</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45649</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45649</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45649</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45649</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45649</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45649</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45649</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45649</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45649</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45649</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45649</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45649</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45649</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45649</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45649</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45649</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45649</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45649</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45649</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45649</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45649</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45649</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45649</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45649</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45649</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45649</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45649</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45649</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45649</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45649</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45649</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45649</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45649</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45649</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45649</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45649</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45649</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45649</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45649</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45649</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45649</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45649</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45649</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45649</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45649</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45649</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45649</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45649</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45649</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45649</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45649</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45649</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45649</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45649</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45649</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45649</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45649</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45649</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45649</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45649</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45649</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45649</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45649</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45649</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45649</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45649</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45649</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45649</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45649</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45649</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45649</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45649</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45649</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45649</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45649</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45649</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45649</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45649</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45649</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45649</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45649</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45649</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45649</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45649</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45649</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45649</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45649</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45649</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45649</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45649</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45649</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45649</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45649</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45649</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45649</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45649</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45649</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45649</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45649</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45649</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45649</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45649</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45649</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45649</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45649</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45649</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45649</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45649</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45649</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45649</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45649</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45649</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45649</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45649</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45649</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45649</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45649</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45649</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45649</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45649</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45649</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45649</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45649</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45649</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45649</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45649</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45649</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45649</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45649</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45649</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45649</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45649</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45649</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45649</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45649</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45649</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45649</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45649</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45649</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45649</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45649</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45649</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45649</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45649</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45649</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45649</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45649</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45649</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45649</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45649</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45649</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45649</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45649</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45649</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45649</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45649</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45649</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45649</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45649</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45649</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45649</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45649</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45649</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45649</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45649</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45649</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45649</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45649</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45649</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45649</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45649</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45649</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45649</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45649</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45649</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45649</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45649</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45649</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45649</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45649</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45649</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45649</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45649</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45649</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45649</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45649</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45649</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45649</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45649</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45649</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45649</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45649</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45649</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45649</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45649</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45649</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45649</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45649</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45649</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45649</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45649</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45649</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45649</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45649</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45649</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45649</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45649</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45649</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45649</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45649</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45649</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45649</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45649</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45649</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45649</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45649</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45649</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45649</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45649</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45649</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45649</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45649</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45649</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45649</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45649</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45649</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45649</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45649</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45649</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45649</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45649</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45649</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45649</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45649</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45649</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45649</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45649</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45649</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45649</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45649</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45649</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45649</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45649</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45649</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45649</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45649</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45649</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45649</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45649</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45649</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45649</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45649</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45649</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45649</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45649</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45649</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45649</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45649</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45649</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45649</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45649</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45649</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45649</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45649</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45649</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45649</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45649</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45649</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45649</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45649</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45649</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45649</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45649</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45649</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45649</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45649</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55012-2024</t>
        </is>
      </c>
      <c r="B1828" s="1" t="n">
        <v>45621</v>
      </c>
      <c r="C1828" s="1" t="n">
        <v>45649</v>
      </c>
      <c r="D1828" t="inlineStr">
        <is>
          <t>STOCKHOLMS LÄN</t>
        </is>
      </c>
      <c r="E1828" t="inlineStr">
        <is>
          <t>NORRTÄLJE</t>
        </is>
      </c>
      <c r="F1828" t="inlineStr">
        <is>
          <t>Sveaskog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45649</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45649</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45649</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57353-2024</t>
        </is>
      </c>
      <c r="B1832" s="1" t="n">
        <v>45629</v>
      </c>
      <c r="C1832" s="1" t="n">
        <v>45649</v>
      </c>
      <c r="D1832" t="inlineStr">
        <is>
          <t>STOCKHOLMS LÄN</t>
        </is>
      </c>
      <c r="E1832" t="inlineStr">
        <is>
          <t>NORRTÄLJE</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57155-2024</t>
        </is>
      </c>
      <c r="B1833" s="1" t="n">
        <v>45629</v>
      </c>
      <c r="C1833" s="1" t="n">
        <v>45649</v>
      </c>
      <c r="D1833" t="inlineStr">
        <is>
          <t>STOCKHOLMS LÄN</t>
        </is>
      </c>
      <c r="E1833" t="inlineStr">
        <is>
          <t>NORRTÄLJE</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45649</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45649</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45649</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45649</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45649</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45649</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45649</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59091-2024</t>
        </is>
      </c>
      <c r="B1841" s="1" t="n">
        <v>45637</v>
      </c>
      <c r="C1841" s="1" t="n">
        <v>45649</v>
      </c>
      <c r="D1841" t="inlineStr">
        <is>
          <t>STOCKHOLMS LÄN</t>
        </is>
      </c>
      <c r="E1841" t="inlineStr">
        <is>
          <t>NORRTÄLJE</t>
        </is>
      </c>
      <c r="F1841" t="inlineStr">
        <is>
          <t>Övriga Aktiebolag</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59274-2024</t>
        </is>
      </c>
      <c r="B1842" s="1" t="n">
        <v>45637</v>
      </c>
      <c r="C1842" s="1" t="n">
        <v>45649</v>
      </c>
      <c r="D1842" t="inlineStr">
        <is>
          <t>STOCKHOLMS LÄN</t>
        </is>
      </c>
      <c r="E1842" t="inlineStr">
        <is>
          <t>NORRTÄLJE</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45649</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59535-2024</t>
        </is>
      </c>
      <c r="B1844" s="1" t="n">
        <v>45638</v>
      </c>
      <c r="C1844" s="1" t="n">
        <v>45649</v>
      </c>
      <c r="D1844" t="inlineStr">
        <is>
          <t>STOCKHOLMS LÄN</t>
        </is>
      </c>
      <c r="E1844" t="inlineStr">
        <is>
          <t>NORRTÄLJE</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59712-2024</t>
        </is>
      </c>
      <c r="B1845" s="1" t="n">
        <v>45639</v>
      </c>
      <c r="C1845" s="1" t="n">
        <v>45649</v>
      </c>
      <c r="D1845" t="inlineStr">
        <is>
          <t>STOCKHOLMS LÄN</t>
        </is>
      </c>
      <c r="E1845" t="inlineStr">
        <is>
          <t>NORRTÄLJE</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59721-2024</t>
        </is>
      </c>
      <c r="B1846" s="1" t="n">
        <v>45639</v>
      </c>
      <c r="C1846" s="1" t="n">
        <v>45649</v>
      </c>
      <c r="D1846" t="inlineStr">
        <is>
          <t>STOCKHOLMS LÄN</t>
        </is>
      </c>
      <c r="E1846" t="inlineStr">
        <is>
          <t>NORRTÄLJE</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59874-2024</t>
        </is>
      </c>
      <c r="B1847" s="1" t="n">
        <v>45640</v>
      </c>
      <c r="C1847" s="1" t="n">
        <v>45649</v>
      </c>
      <c r="D1847" t="inlineStr">
        <is>
          <t>STOCKHOLMS LÄN</t>
        </is>
      </c>
      <c r="E1847" t="inlineStr">
        <is>
          <t>NORRTÄLJE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59878-2024</t>
        </is>
      </c>
      <c r="B1848" s="1" t="n">
        <v>45640</v>
      </c>
      <c r="C1848" s="1" t="n">
        <v>45649</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59875-2024</t>
        </is>
      </c>
      <c r="B1849" s="1" t="n">
        <v>45640</v>
      </c>
      <c r="C1849" s="1" t="n">
        <v>45649</v>
      </c>
      <c r="D1849" t="inlineStr">
        <is>
          <t>STOCKHOLMS LÄN</t>
        </is>
      </c>
      <c r="E1849" t="inlineStr">
        <is>
          <t>NORRTÄLJE</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59873-2024</t>
        </is>
      </c>
      <c r="B1850" s="1" t="n">
        <v>45640</v>
      </c>
      <c r="C1850" s="1" t="n">
        <v>45649</v>
      </c>
      <c r="D1850" t="inlineStr">
        <is>
          <t>STOCKHOLMS LÄN</t>
        </is>
      </c>
      <c r="E1850" t="inlineStr">
        <is>
          <t>NORRTÄLJE</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59877-2024</t>
        </is>
      </c>
      <c r="B1851" s="1" t="n">
        <v>45640</v>
      </c>
      <c r="C1851" s="1" t="n">
        <v>45649</v>
      </c>
      <c r="D1851" t="inlineStr">
        <is>
          <t>STOCKHOLMS LÄN</t>
        </is>
      </c>
      <c r="E1851" t="inlineStr">
        <is>
          <t>NORRTÄLJE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45649</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60160-2024</t>
        </is>
      </c>
      <c r="B1853" s="1" t="n">
        <v>45642</v>
      </c>
      <c r="C1853" s="1" t="n">
        <v>45649</v>
      </c>
      <c r="D1853" t="inlineStr">
        <is>
          <t>STOCKHOLMS LÄN</t>
        </is>
      </c>
      <c r="E1853" t="inlineStr">
        <is>
          <t>NORRTÄLJE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60166-2024</t>
        </is>
      </c>
      <c r="B1854" s="1" t="n">
        <v>45642</v>
      </c>
      <c r="C1854" s="1" t="n">
        <v>45649</v>
      </c>
      <c r="D1854" t="inlineStr">
        <is>
          <t>STOCKHOLMS LÄN</t>
        </is>
      </c>
      <c r="E1854" t="inlineStr">
        <is>
          <t>NORRTÄLJE</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60185-2024</t>
        </is>
      </c>
      <c r="B1855" s="1" t="n">
        <v>45642</v>
      </c>
      <c r="C1855" s="1" t="n">
        <v>45649</v>
      </c>
      <c r="D1855" t="inlineStr">
        <is>
          <t>STOCKHOLMS LÄN</t>
        </is>
      </c>
      <c r="E1855" t="inlineStr">
        <is>
          <t>NORRTÄLJE</t>
        </is>
      </c>
      <c r="G1855" t="n">
        <v>0.3</v>
      </c>
      <c r="H1855" t="n">
        <v>0</v>
      </c>
      <c r="I1855" t="n">
        <v>0</v>
      </c>
      <c r="J1855" t="n">
        <v>0</v>
      </c>
      <c r="K1855" t="n">
        <v>0</v>
      </c>
      <c r="L1855" t="n">
        <v>0</v>
      </c>
      <c r="M1855" t="n">
        <v>0</v>
      </c>
      <c r="N1855" t="n">
        <v>0</v>
      </c>
      <c r="O1855" t="n">
        <v>0</v>
      </c>
      <c r="P1855" t="n">
        <v>0</v>
      </c>
      <c r="Q1855" t="n">
        <v>0</v>
      </c>
      <c r="R1855" s="2" t="inlineStr"/>
    </row>
    <row r="1856" ht="15" customHeight="1">
      <c r="A1856" t="inlineStr">
        <is>
          <t>A 60317-2024</t>
        </is>
      </c>
      <c r="B1856" s="1" t="n">
        <v>45643</v>
      </c>
      <c r="C1856" s="1" t="n">
        <v>45649</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60694-2024</t>
        </is>
      </c>
      <c r="B1857" s="1" t="n">
        <v>45644</v>
      </c>
      <c r="C1857" s="1" t="n">
        <v>45649</v>
      </c>
      <c r="D1857" t="inlineStr">
        <is>
          <t>STOCKHOLMS LÄN</t>
        </is>
      </c>
      <c r="E1857" t="inlineStr">
        <is>
          <t>NORRTÄLJE</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60884-2024</t>
        </is>
      </c>
      <c r="B1858" s="1" t="n">
        <v>45644</v>
      </c>
      <c r="C1858" s="1" t="n">
        <v>45649</v>
      </c>
      <c r="D1858" t="inlineStr">
        <is>
          <t>STOCKHOLMS LÄN</t>
        </is>
      </c>
      <c r="E1858" t="inlineStr">
        <is>
          <t>NORRTÄLJE</t>
        </is>
      </c>
      <c r="G1858" t="n">
        <v>2.1</v>
      </c>
      <c r="H1858" t="n">
        <v>0</v>
      </c>
      <c r="I1858" t="n">
        <v>0</v>
      </c>
      <c r="J1858" t="n">
        <v>0</v>
      </c>
      <c r="K1858" t="n">
        <v>0</v>
      </c>
      <c r="L1858" t="n">
        <v>0</v>
      </c>
      <c r="M1858" t="n">
        <v>0</v>
      </c>
      <c r="N1858" t="n">
        <v>0</v>
      </c>
      <c r="O1858" t="n">
        <v>0</v>
      </c>
      <c r="P1858" t="n">
        <v>0</v>
      </c>
      <c r="Q1858" t="n">
        <v>0</v>
      </c>
      <c r="R1858" s="2" t="inlineStr"/>
    </row>
    <row r="1859">
      <c r="A1859" t="inlineStr">
        <is>
          <t>A 61516-2024</t>
        </is>
      </c>
      <c r="B1859" s="1" t="n">
        <v>45646</v>
      </c>
      <c r="C1859" s="1" t="n">
        <v>45649</v>
      </c>
      <c r="D1859" t="inlineStr">
        <is>
          <t>STOCKHOLMS LÄN</t>
        </is>
      </c>
      <c r="E1859" t="inlineStr">
        <is>
          <t>NORRTÄLJE</t>
        </is>
      </c>
      <c r="G1859" t="n">
        <v>3.9</v>
      </c>
      <c r="H1859" t="n">
        <v>0</v>
      </c>
      <c r="I1859" t="n">
        <v>0</v>
      </c>
      <c r="J1859" t="n">
        <v>0</v>
      </c>
      <c r="K1859" t="n">
        <v>0</v>
      </c>
      <c r="L1859" t="n">
        <v>0</v>
      </c>
      <c r="M1859" t="n">
        <v>0</v>
      </c>
      <c r="N1859" t="n">
        <v>0</v>
      </c>
      <c r="O1859" t="n">
        <v>0</v>
      </c>
      <c r="P1859" t="n">
        <v>0</v>
      </c>
      <c r="Q1859" t="n">
        <v>0</v>
      </c>
      <c r="R18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2024-12-23T15:56:18Z</dcterms:created>
  <dcterms:modified xmlns:dcterms="http://purl.org/dc/terms/" xmlns:xsi="http://www.w3.org/2001/XMLSchema-instance" xsi:type="dcterms:W3CDTF">2024-12-23T15:56:20Z</dcterms:modified>
</cp:coreProperties>
</file>