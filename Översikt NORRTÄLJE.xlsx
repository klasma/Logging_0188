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45730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45730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45730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45730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45730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45730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45730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45730</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45730</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45730</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45730</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45730</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45730</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45730</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45730</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45730</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45730</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45730</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45730</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45730</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45730</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45730</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45730</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45730</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45730</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45730</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45730</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45730</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45730</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45730</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45730</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45730</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45730</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45730</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45730</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45730</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45730</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45730</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45730</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45730</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45730</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45730</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45730</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45730</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45730</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45730</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45730</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45730</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45730</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45730</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45730</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45730</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45730</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45730</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45730</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45730</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45730</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45730</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45730</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45730</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45730</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45730</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45730</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45730</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45730</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45730</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45730</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45730</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45730</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45730</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45730</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45730</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45730</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45730</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45730</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45730</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45730</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45730</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45730</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45730</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45730</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45730</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45730</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45730</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45730</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45730</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45730</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45730</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45730</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45730</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45730</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45730</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45730</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45730</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45730</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45730</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45730</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45730</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45730</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45730</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45730</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45730</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45730</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45730</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45730</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45730</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45730</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45730</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45730</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45730</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45730</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45730</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45730</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45730</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45730</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45730</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45730</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45730</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45730</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45730</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45730</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45730</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45730</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45730</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45730</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45730</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45730</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45730</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45730</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45730</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45730</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45730</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45730</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45730</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45730</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45730</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45730</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45730</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45730</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45730</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45730</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45730</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45730</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45730</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45730</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45730</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45730</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45730</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45730</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45730</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45730</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45730</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45730</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45730</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45730</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45730</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45730</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45730</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45730</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45730</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45730</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45730</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45730</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45730</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45730</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45730</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45730</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45730</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45730</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45730</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45730</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45730</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45730</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45730</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45730</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45730</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45730</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45730</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45730</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45730</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45730</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45730</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45730</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45730</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45730</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45730</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45730</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45730</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45730</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45730</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45730</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45730</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45730</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45730</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45730</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45730</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45730</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45730</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45730</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45730</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45730</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45730</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45730</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45730</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45730</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45730</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45730</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17752-2019</t>
        </is>
      </c>
      <c r="B210" s="1" t="n">
        <v>43556</v>
      </c>
      <c r="C210" s="1" t="n">
        <v>45730</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17795-2019</t>
        </is>
      </c>
      <c r="B211" s="1" t="n">
        <v>43556</v>
      </c>
      <c r="C211" s="1" t="n">
        <v>45730</v>
      </c>
      <c r="D211" t="inlineStr">
        <is>
          <t>STOCKHOLMS LÄN</t>
        </is>
      </c>
      <c r="E211" t="inlineStr">
        <is>
          <t>NORRTÄLJE</t>
        </is>
      </c>
      <c r="G211" t="n">
        <v>0.8</v>
      </c>
      <c r="H211" t="n">
        <v>0</v>
      </c>
      <c r="I211" t="n">
        <v>0</v>
      </c>
      <c r="J211" t="n">
        <v>0</v>
      </c>
      <c r="K211" t="n">
        <v>0</v>
      </c>
      <c r="L211" t="n">
        <v>0</v>
      </c>
      <c r="M211" t="n">
        <v>0</v>
      </c>
      <c r="N211" t="n">
        <v>0</v>
      </c>
      <c r="O211" t="n">
        <v>0</v>
      </c>
      <c r="P211" t="n">
        <v>0</v>
      </c>
      <c r="Q211" t="n">
        <v>0</v>
      </c>
      <c r="R211" s="2" t="inlineStr"/>
    </row>
    <row r="212" ht="15" customHeight="1">
      <c r="A212" t="inlineStr">
        <is>
          <t>A 17757-2019</t>
        </is>
      </c>
      <c r="B212" s="1" t="n">
        <v>43556</v>
      </c>
      <c r="C212" s="1" t="n">
        <v>45730</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17963-2019</t>
        </is>
      </c>
      <c r="B213" s="1" t="n">
        <v>43557</v>
      </c>
      <c r="C213" s="1" t="n">
        <v>45730</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18378-2019</t>
        </is>
      </c>
      <c r="B214" s="1" t="n">
        <v>43559</v>
      </c>
      <c r="C214" s="1" t="n">
        <v>45730</v>
      </c>
      <c r="D214" t="inlineStr">
        <is>
          <t>STOCKHOLMS LÄN</t>
        </is>
      </c>
      <c r="E214" t="inlineStr">
        <is>
          <t>NORRTÄLJE</t>
        </is>
      </c>
      <c r="G214" t="n">
        <v>5.8</v>
      </c>
      <c r="H214" t="n">
        <v>0</v>
      </c>
      <c r="I214" t="n">
        <v>0</v>
      </c>
      <c r="J214" t="n">
        <v>0</v>
      </c>
      <c r="K214" t="n">
        <v>0</v>
      </c>
      <c r="L214" t="n">
        <v>0</v>
      </c>
      <c r="M214" t="n">
        <v>0</v>
      </c>
      <c r="N214" t="n">
        <v>0</v>
      </c>
      <c r="O214" t="n">
        <v>0</v>
      </c>
      <c r="P214" t="n">
        <v>0</v>
      </c>
      <c r="Q214" t="n">
        <v>0</v>
      </c>
      <c r="R214" s="2" t="inlineStr"/>
    </row>
    <row r="215" ht="15" customHeight="1">
      <c r="A215" t="inlineStr">
        <is>
          <t>A 18664-2019</t>
        </is>
      </c>
      <c r="B215" s="1" t="n">
        <v>43560</v>
      </c>
      <c r="C215" s="1" t="n">
        <v>45730</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18767-2019</t>
        </is>
      </c>
      <c r="B216" s="1" t="n">
        <v>43560</v>
      </c>
      <c r="C216" s="1" t="n">
        <v>45730</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18820-2019</t>
        </is>
      </c>
      <c r="B217" s="1" t="n">
        <v>43563</v>
      </c>
      <c r="C217" s="1" t="n">
        <v>45730</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18890-2019</t>
        </is>
      </c>
      <c r="B218" s="1" t="n">
        <v>43563</v>
      </c>
      <c r="C218" s="1" t="n">
        <v>45730</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18909-2019</t>
        </is>
      </c>
      <c r="B219" s="1" t="n">
        <v>43563</v>
      </c>
      <c r="C219" s="1" t="n">
        <v>45730</v>
      </c>
      <c r="D219" t="inlineStr">
        <is>
          <t>STOCKHOLMS LÄN</t>
        </is>
      </c>
      <c r="E219" t="inlineStr">
        <is>
          <t>NORRTÄLJE</t>
        </is>
      </c>
      <c r="G219" t="n">
        <v>2.9</v>
      </c>
      <c r="H219" t="n">
        <v>0</v>
      </c>
      <c r="I219" t="n">
        <v>0</v>
      </c>
      <c r="J219" t="n">
        <v>0</v>
      </c>
      <c r="K219" t="n">
        <v>0</v>
      </c>
      <c r="L219" t="n">
        <v>0</v>
      </c>
      <c r="M219" t="n">
        <v>0</v>
      </c>
      <c r="N219" t="n">
        <v>0</v>
      </c>
      <c r="O219" t="n">
        <v>0</v>
      </c>
      <c r="P219" t="n">
        <v>0</v>
      </c>
      <c r="Q219" t="n">
        <v>0</v>
      </c>
      <c r="R219" s="2" t="inlineStr"/>
    </row>
    <row r="220" ht="15" customHeight="1">
      <c r="A220" t="inlineStr">
        <is>
          <t>A 19026-2019</t>
        </is>
      </c>
      <c r="B220" s="1" t="n">
        <v>43563</v>
      </c>
      <c r="C220" s="1" t="n">
        <v>45730</v>
      </c>
      <c r="D220" t="inlineStr">
        <is>
          <t>STOCKHOLMS LÄN</t>
        </is>
      </c>
      <c r="E220" t="inlineStr">
        <is>
          <t>NORRTÄLJE</t>
        </is>
      </c>
      <c r="G220" t="n">
        <v>4.4</v>
      </c>
      <c r="H220" t="n">
        <v>0</v>
      </c>
      <c r="I220" t="n">
        <v>0</v>
      </c>
      <c r="J220" t="n">
        <v>0</v>
      </c>
      <c r="K220" t="n">
        <v>0</v>
      </c>
      <c r="L220" t="n">
        <v>0</v>
      </c>
      <c r="M220" t="n">
        <v>0</v>
      </c>
      <c r="N220" t="n">
        <v>0</v>
      </c>
      <c r="O220" t="n">
        <v>0</v>
      </c>
      <c r="P220" t="n">
        <v>0</v>
      </c>
      <c r="Q220" t="n">
        <v>0</v>
      </c>
      <c r="R220" s="2" t="inlineStr"/>
    </row>
    <row r="221" ht="15" customHeight="1">
      <c r="A221" t="inlineStr">
        <is>
          <t>A 19014-2019</t>
        </is>
      </c>
      <c r="B221" s="1" t="n">
        <v>43563</v>
      </c>
      <c r="C221" s="1" t="n">
        <v>45730</v>
      </c>
      <c r="D221" t="inlineStr">
        <is>
          <t>STOCKHOLMS LÄN</t>
        </is>
      </c>
      <c r="E221" t="inlineStr">
        <is>
          <t>NORRTÄLJE</t>
        </is>
      </c>
      <c r="G221" t="n">
        <v>2.2</v>
      </c>
      <c r="H221" t="n">
        <v>0</v>
      </c>
      <c r="I221" t="n">
        <v>0</v>
      </c>
      <c r="J221" t="n">
        <v>0</v>
      </c>
      <c r="K221" t="n">
        <v>0</v>
      </c>
      <c r="L221" t="n">
        <v>0</v>
      </c>
      <c r="M221" t="n">
        <v>0</v>
      </c>
      <c r="N221" t="n">
        <v>0</v>
      </c>
      <c r="O221" t="n">
        <v>0</v>
      </c>
      <c r="P221" t="n">
        <v>0</v>
      </c>
      <c r="Q221" t="n">
        <v>0</v>
      </c>
      <c r="R221" s="2" t="inlineStr"/>
    </row>
    <row r="222" ht="15" customHeight="1">
      <c r="A222" t="inlineStr">
        <is>
          <t>A 19247-2019</t>
        </is>
      </c>
      <c r="B222" s="1" t="n">
        <v>43564</v>
      </c>
      <c r="C222" s="1" t="n">
        <v>45730</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19255-2019</t>
        </is>
      </c>
      <c r="B223" s="1" t="n">
        <v>43564</v>
      </c>
      <c r="C223" s="1" t="n">
        <v>45730</v>
      </c>
      <c r="D223" t="inlineStr">
        <is>
          <t>STOCKHOLMS LÄN</t>
        </is>
      </c>
      <c r="E223" t="inlineStr">
        <is>
          <t>NORRTÄLJE</t>
        </is>
      </c>
      <c r="G223" t="n">
        <v>2.6</v>
      </c>
      <c r="H223" t="n">
        <v>0</v>
      </c>
      <c r="I223" t="n">
        <v>0</v>
      </c>
      <c r="J223" t="n">
        <v>0</v>
      </c>
      <c r="K223" t="n">
        <v>0</v>
      </c>
      <c r="L223" t="n">
        <v>0</v>
      </c>
      <c r="M223" t="n">
        <v>0</v>
      </c>
      <c r="N223" t="n">
        <v>0</v>
      </c>
      <c r="O223" t="n">
        <v>0</v>
      </c>
      <c r="P223" t="n">
        <v>0</v>
      </c>
      <c r="Q223" t="n">
        <v>0</v>
      </c>
      <c r="R223" s="2" t="inlineStr"/>
    </row>
    <row r="224" ht="15" customHeight="1">
      <c r="A224" t="inlineStr">
        <is>
          <t>A 19302-2019</t>
        </is>
      </c>
      <c r="B224" s="1" t="n">
        <v>43565</v>
      </c>
      <c r="C224" s="1" t="n">
        <v>45730</v>
      </c>
      <c r="D224" t="inlineStr">
        <is>
          <t>STOCKHOLMS LÄN</t>
        </is>
      </c>
      <c r="E224" t="inlineStr">
        <is>
          <t>NORRTÄLJE</t>
        </is>
      </c>
      <c r="F224" t="inlineStr">
        <is>
          <t>Kommuner</t>
        </is>
      </c>
      <c r="G224" t="n">
        <v>4.2</v>
      </c>
      <c r="H224" t="n">
        <v>0</v>
      </c>
      <c r="I224" t="n">
        <v>0</v>
      </c>
      <c r="J224" t="n">
        <v>0</v>
      </c>
      <c r="K224" t="n">
        <v>0</v>
      </c>
      <c r="L224" t="n">
        <v>0</v>
      </c>
      <c r="M224" t="n">
        <v>0</v>
      </c>
      <c r="N224" t="n">
        <v>0</v>
      </c>
      <c r="O224" t="n">
        <v>0</v>
      </c>
      <c r="P224" t="n">
        <v>0</v>
      </c>
      <c r="Q224" t="n">
        <v>0</v>
      </c>
      <c r="R224" s="2" t="inlineStr"/>
    </row>
    <row r="225" ht="15" customHeight="1">
      <c r="A225" t="inlineStr">
        <is>
          <t>A 19301-2019</t>
        </is>
      </c>
      <c r="B225" s="1" t="n">
        <v>43565</v>
      </c>
      <c r="C225" s="1" t="n">
        <v>45730</v>
      </c>
      <c r="D225" t="inlineStr">
        <is>
          <t>STOCKHOLMS LÄN</t>
        </is>
      </c>
      <c r="E225" t="inlineStr">
        <is>
          <t>NORRTÄLJE</t>
        </is>
      </c>
      <c r="F225" t="inlineStr">
        <is>
          <t>Kommuner</t>
        </is>
      </c>
      <c r="G225" t="n">
        <v>3.9</v>
      </c>
      <c r="H225" t="n">
        <v>0</v>
      </c>
      <c r="I225" t="n">
        <v>0</v>
      </c>
      <c r="J225" t="n">
        <v>0</v>
      </c>
      <c r="K225" t="n">
        <v>0</v>
      </c>
      <c r="L225" t="n">
        <v>0</v>
      </c>
      <c r="M225" t="n">
        <v>0</v>
      </c>
      <c r="N225" t="n">
        <v>0</v>
      </c>
      <c r="O225" t="n">
        <v>0</v>
      </c>
      <c r="P225" t="n">
        <v>0</v>
      </c>
      <c r="Q225" t="n">
        <v>0</v>
      </c>
      <c r="R225" s="2" t="inlineStr"/>
    </row>
    <row r="226" ht="15" customHeight="1">
      <c r="A226" t="inlineStr">
        <is>
          <t>A 19297-2019</t>
        </is>
      </c>
      <c r="B226" s="1" t="n">
        <v>43565</v>
      </c>
      <c r="C226" s="1" t="n">
        <v>45730</v>
      </c>
      <c r="D226" t="inlineStr">
        <is>
          <t>STOCKHOLMS LÄN</t>
        </is>
      </c>
      <c r="E226" t="inlineStr">
        <is>
          <t>NORRTÄLJE</t>
        </is>
      </c>
      <c r="F226" t="inlineStr">
        <is>
          <t>Kommuner</t>
        </is>
      </c>
      <c r="G226" t="n">
        <v>1.2</v>
      </c>
      <c r="H226" t="n">
        <v>0</v>
      </c>
      <c r="I226" t="n">
        <v>0</v>
      </c>
      <c r="J226" t="n">
        <v>0</v>
      </c>
      <c r="K226" t="n">
        <v>0</v>
      </c>
      <c r="L226" t="n">
        <v>0</v>
      </c>
      <c r="M226" t="n">
        <v>0</v>
      </c>
      <c r="N226" t="n">
        <v>0</v>
      </c>
      <c r="O226" t="n">
        <v>0</v>
      </c>
      <c r="P226" t="n">
        <v>0</v>
      </c>
      <c r="Q226" t="n">
        <v>0</v>
      </c>
      <c r="R226" s="2" t="inlineStr"/>
    </row>
    <row r="227" ht="15" customHeight="1">
      <c r="A227" t="inlineStr">
        <is>
          <t>A 19537-2019</t>
        </is>
      </c>
      <c r="B227" s="1" t="n">
        <v>43565</v>
      </c>
      <c r="C227" s="1" t="n">
        <v>45730</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19539-2019</t>
        </is>
      </c>
      <c r="B228" s="1" t="n">
        <v>43565</v>
      </c>
      <c r="C228" s="1" t="n">
        <v>45730</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19540-2019</t>
        </is>
      </c>
      <c r="B229" s="1" t="n">
        <v>43565</v>
      </c>
      <c r="C229" s="1" t="n">
        <v>45730</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19638-2019</t>
        </is>
      </c>
      <c r="B230" s="1" t="n">
        <v>43566</v>
      </c>
      <c r="C230" s="1" t="n">
        <v>45730</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19593-2019</t>
        </is>
      </c>
      <c r="B231" s="1" t="n">
        <v>43566</v>
      </c>
      <c r="C231" s="1" t="n">
        <v>45730</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19872-2019</t>
        </is>
      </c>
      <c r="B232" s="1" t="n">
        <v>43567</v>
      </c>
      <c r="C232" s="1" t="n">
        <v>45730</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19811-2019</t>
        </is>
      </c>
      <c r="B233" s="1" t="n">
        <v>43567</v>
      </c>
      <c r="C233" s="1" t="n">
        <v>45730</v>
      </c>
      <c r="D233" t="inlineStr">
        <is>
          <t>STOCKHOLMS LÄN</t>
        </is>
      </c>
      <c r="E233" t="inlineStr">
        <is>
          <t>NORRTÄLJE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19812-2019</t>
        </is>
      </c>
      <c r="B234" s="1" t="n">
        <v>43567</v>
      </c>
      <c r="C234" s="1" t="n">
        <v>45730</v>
      </c>
      <c r="D234" t="inlineStr">
        <is>
          <t>STOCKHOLMS LÄN</t>
        </is>
      </c>
      <c r="E234" t="inlineStr">
        <is>
          <t>NORRTÄLJE</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19931-2019</t>
        </is>
      </c>
      <c r="B235" s="1" t="n">
        <v>43568</v>
      </c>
      <c r="C235" s="1" t="n">
        <v>45730</v>
      </c>
      <c r="D235" t="inlineStr">
        <is>
          <t>STOCKHOLMS LÄN</t>
        </is>
      </c>
      <c r="E235" t="inlineStr">
        <is>
          <t>NORRTÄLJE</t>
        </is>
      </c>
      <c r="G235" t="n">
        <v>4.2</v>
      </c>
      <c r="H235" t="n">
        <v>0</v>
      </c>
      <c r="I235" t="n">
        <v>0</v>
      </c>
      <c r="J235" t="n">
        <v>0</v>
      </c>
      <c r="K235" t="n">
        <v>0</v>
      </c>
      <c r="L235" t="n">
        <v>0</v>
      </c>
      <c r="M235" t="n">
        <v>0</v>
      </c>
      <c r="N235" t="n">
        <v>0</v>
      </c>
      <c r="O235" t="n">
        <v>0</v>
      </c>
      <c r="P235" t="n">
        <v>0</v>
      </c>
      <c r="Q235" t="n">
        <v>0</v>
      </c>
      <c r="R235" s="2" t="inlineStr"/>
    </row>
    <row r="236" ht="15" customHeight="1">
      <c r="A236" t="inlineStr">
        <is>
          <t>A 20033-2019</t>
        </is>
      </c>
      <c r="B236" s="1" t="n">
        <v>43570</v>
      </c>
      <c r="C236" s="1" t="n">
        <v>45730</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20020-2019</t>
        </is>
      </c>
      <c r="B237" s="1" t="n">
        <v>43570</v>
      </c>
      <c r="C237" s="1" t="n">
        <v>45730</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20051-2019</t>
        </is>
      </c>
      <c r="B238" s="1" t="n">
        <v>43570</v>
      </c>
      <c r="C238" s="1" t="n">
        <v>45730</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20137-2019</t>
        </is>
      </c>
      <c r="B239" s="1" t="n">
        <v>43570</v>
      </c>
      <c r="C239" s="1" t="n">
        <v>45730</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20007-2019</t>
        </is>
      </c>
      <c r="B240" s="1" t="n">
        <v>43570</v>
      </c>
      <c r="C240" s="1" t="n">
        <v>45730</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20052-2019</t>
        </is>
      </c>
      <c r="B241" s="1" t="n">
        <v>43570</v>
      </c>
      <c r="C241" s="1" t="n">
        <v>45730</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20159-2019</t>
        </is>
      </c>
      <c r="B242" s="1" t="n">
        <v>43570</v>
      </c>
      <c r="C242" s="1" t="n">
        <v>45730</v>
      </c>
      <c r="D242" t="inlineStr">
        <is>
          <t>STOCKHOLMS LÄN</t>
        </is>
      </c>
      <c r="E242" t="inlineStr">
        <is>
          <t>NORRTÄLJE</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20181-2019</t>
        </is>
      </c>
      <c r="B243" s="1" t="n">
        <v>43570</v>
      </c>
      <c r="C243" s="1" t="n">
        <v>45730</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20184-2019</t>
        </is>
      </c>
      <c r="B244" s="1" t="n">
        <v>43570</v>
      </c>
      <c r="C244" s="1" t="n">
        <v>45730</v>
      </c>
      <c r="D244" t="inlineStr">
        <is>
          <t>STOCKHOLMS LÄN</t>
        </is>
      </c>
      <c r="E244" t="inlineStr">
        <is>
          <t>NORRTÄLJE</t>
        </is>
      </c>
      <c r="G244" t="n">
        <v>2.8</v>
      </c>
      <c r="H244" t="n">
        <v>0</v>
      </c>
      <c r="I244" t="n">
        <v>0</v>
      </c>
      <c r="J244" t="n">
        <v>0</v>
      </c>
      <c r="K244" t="n">
        <v>0</v>
      </c>
      <c r="L244" t="n">
        <v>0</v>
      </c>
      <c r="M244" t="n">
        <v>0</v>
      </c>
      <c r="N244" t="n">
        <v>0</v>
      </c>
      <c r="O244" t="n">
        <v>0</v>
      </c>
      <c r="P244" t="n">
        <v>0</v>
      </c>
      <c r="Q244" t="n">
        <v>0</v>
      </c>
      <c r="R244" s="2" t="inlineStr"/>
    </row>
    <row r="245" ht="15" customHeight="1">
      <c r="A245" t="inlineStr">
        <is>
          <t>A 20193-2019</t>
        </is>
      </c>
      <c r="B245" s="1" t="n">
        <v>43570</v>
      </c>
      <c r="C245" s="1" t="n">
        <v>45730</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20090-2019</t>
        </is>
      </c>
      <c r="B246" s="1" t="n">
        <v>43570</v>
      </c>
      <c r="C246" s="1" t="n">
        <v>45730</v>
      </c>
      <c r="D246" t="inlineStr">
        <is>
          <t>STOCKHOLMS LÄN</t>
        </is>
      </c>
      <c r="E246" t="inlineStr">
        <is>
          <t>NORRTÄLJE</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20165-2019</t>
        </is>
      </c>
      <c r="B247" s="1" t="n">
        <v>43570</v>
      </c>
      <c r="C247" s="1" t="n">
        <v>45730</v>
      </c>
      <c r="D247" t="inlineStr">
        <is>
          <t>STOCKHOLMS LÄN</t>
        </is>
      </c>
      <c r="E247" t="inlineStr">
        <is>
          <t>NORRTÄLJE</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20023-2019</t>
        </is>
      </c>
      <c r="B248" s="1" t="n">
        <v>43570</v>
      </c>
      <c r="C248" s="1" t="n">
        <v>45730</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20531-2019</t>
        </is>
      </c>
      <c r="B249" s="1" t="n">
        <v>43572</v>
      </c>
      <c r="C249" s="1" t="n">
        <v>45730</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20743-2019</t>
        </is>
      </c>
      <c r="B250" s="1" t="n">
        <v>43573</v>
      </c>
      <c r="C250" s="1" t="n">
        <v>45730</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20809-2019</t>
        </is>
      </c>
      <c r="B251" s="1" t="n">
        <v>43573</v>
      </c>
      <c r="C251" s="1" t="n">
        <v>45730</v>
      </c>
      <c r="D251" t="inlineStr">
        <is>
          <t>STOCKHOLMS LÄN</t>
        </is>
      </c>
      <c r="E251" t="inlineStr">
        <is>
          <t>NORRTÄLJE</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20925-2019</t>
        </is>
      </c>
      <c r="B252" s="1" t="n">
        <v>43578</v>
      </c>
      <c r="C252" s="1" t="n">
        <v>45730</v>
      </c>
      <c r="D252" t="inlineStr">
        <is>
          <t>STOCKHOLMS LÄN</t>
        </is>
      </c>
      <c r="E252" t="inlineStr">
        <is>
          <t>NORRTÄLJE</t>
        </is>
      </c>
      <c r="G252" t="n">
        <v>5</v>
      </c>
      <c r="H252" t="n">
        <v>0</v>
      </c>
      <c r="I252" t="n">
        <v>0</v>
      </c>
      <c r="J252" t="n">
        <v>0</v>
      </c>
      <c r="K252" t="n">
        <v>0</v>
      </c>
      <c r="L252" t="n">
        <v>0</v>
      </c>
      <c r="M252" t="n">
        <v>0</v>
      </c>
      <c r="N252" t="n">
        <v>0</v>
      </c>
      <c r="O252" t="n">
        <v>0</v>
      </c>
      <c r="P252" t="n">
        <v>0</v>
      </c>
      <c r="Q252" t="n">
        <v>0</v>
      </c>
      <c r="R252" s="2" t="inlineStr"/>
    </row>
    <row r="253" ht="15" customHeight="1">
      <c r="A253" t="inlineStr">
        <is>
          <t>A 21062-2019</t>
        </is>
      </c>
      <c r="B253" s="1" t="n">
        <v>43578</v>
      </c>
      <c r="C253" s="1" t="n">
        <v>45730</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21441-2019</t>
        </is>
      </c>
      <c r="B254" s="1" t="n">
        <v>43580</v>
      </c>
      <c r="C254" s="1" t="n">
        <v>45730</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21521-2019</t>
        </is>
      </c>
      <c r="B255" s="1" t="n">
        <v>43580</v>
      </c>
      <c r="C255" s="1" t="n">
        <v>45730</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21508-2019</t>
        </is>
      </c>
      <c r="B256" s="1" t="n">
        <v>43580</v>
      </c>
      <c r="C256" s="1" t="n">
        <v>45730</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21457-2019</t>
        </is>
      </c>
      <c r="B257" s="1" t="n">
        <v>43580</v>
      </c>
      <c r="C257" s="1" t="n">
        <v>45730</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21501-2019</t>
        </is>
      </c>
      <c r="B258" s="1" t="n">
        <v>43580</v>
      </c>
      <c r="C258" s="1" t="n">
        <v>45730</v>
      </c>
      <c r="D258" t="inlineStr">
        <is>
          <t>STOCKHOLMS LÄN</t>
        </is>
      </c>
      <c r="E258" t="inlineStr">
        <is>
          <t>NORRTÄLJE</t>
        </is>
      </c>
      <c r="G258" t="n">
        <v>3.6</v>
      </c>
      <c r="H258" t="n">
        <v>0</v>
      </c>
      <c r="I258" t="n">
        <v>0</v>
      </c>
      <c r="J258" t="n">
        <v>0</v>
      </c>
      <c r="K258" t="n">
        <v>0</v>
      </c>
      <c r="L258" t="n">
        <v>0</v>
      </c>
      <c r="M258" t="n">
        <v>0</v>
      </c>
      <c r="N258" t="n">
        <v>0</v>
      </c>
      <c r="O258" t="n">
        <v>0</v>
      </c>
      <c r="P258" t="n">
        <v>0</v>
      </c>
      <c r="Q258" t="n">
        <v>0</v>
      </c>
      <c r="R258" s="2" t="inlineStr"/>
    </row>
    <row r="259" ht="15" customHeight="1">
      <c r="A259" t="inlineStr">
        <is>
          <t>A 21616-2019</t>
        </is>
      </c>
      <c r="B259" s="1" t="n">
        <v>43581</v>
      </c>
      <c r="C259" s="1" t="n">
        <v>45730</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21662-2019</t>
        </is>
      </c>
      <c r="B260" s="1" t="n">
        <v>43581</v>
      </c>
      <c r="C260" s="1" t="n">
        <v>45730</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21720-2019</t>
        </is>
      </c>
      <c r="B261" s="1" t="n">
        <v>43581</v>
      </c>
      <c r="C261" s="1" t="n">
        <v>45730</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21692-2019</t>
        </is>
      </c>
      <c r="B262" s="1" t="n">
        <v>43581</v>
      </c>
      <c r="C262" s="1" t="n">
        <v>45730</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21811-2019</t>
        </is>
      </c>
      <c r="B263" s="1" t="n">
        <v>43582</v>
      </c>
      <c r="C263" s="1" t="n">
        <v>45730</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22207-2019</t>
        </is>
      </c>
      <c r="B264" s="1" t="n">
        <v>43585</v>
      </c>
      <c r="C264" s="1" t="n">
        <v>45730</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22211-2019</t>
        </is>
      </c>
      <c r="B265" s="1" t="n">
        <v>43585</v>
      </c>
      <c r="C265" s="1" t="n">
        <v>45730</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22254-2019</t>
        </is>
      </c>
      <c r="B266" s="1" t="n">
        <v>43585</v>
      </c>
      <c r="C266" s="1" t="n">
        <v>45730</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22218-2019</t>
        </is>
      </c>
      <c r="B267" s="1" t="n">
        <v>43585</v>
      </c>
      <c r="C267" s="1" t="n">
        <v>45730</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22331-2019</t>
        </is>
      </c>
      <c r="B268" s="1" t="n">
        <v>43586</v>
      </c>
      <c r="C268" s="1" t="n">
        <v>45730</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22359-2019</t>
        </is>
      </c>
      <c r="B269" s="1" t="n">
        <v>43587</v>
      </c>
      <c r="C269" s="1" t="n">
        <v>45730</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22422-2019</t>
        </is>
      </c>
      <c r="B270" s="1" t="n">
        <v>43587</v>
      </c>
      <c r="C270" s="1" t="n">
        <v>45730</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22490-2019</t>
        </is>
      </c>
      <c r="B271" s="1" t="n">
        <v>43587</v>
      </c>
      <c r="C271" s="1" t="n">
        <v>45730</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22496-2019</t>
        </is>
      </c>
      <c r="B272" s="1" t="n">
        <v>43587</v>
      </c>
      <c r="C272" s="1" t="n">
        <v>45730</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23711-2019</t>
        </is>
      </c>
      <c r="B273" s="1" t="n">
        <v>43594</v>
      </c>
      <c r="C273" s="1" t="n">
        <v>45730</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23710-2019</t>
        </is>
      </c>
      <c r="B274" s="1" t="n">
        <v>43594</v>
      </c>
      <c r="C274" s="1" t="n">
        <v>45730</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23862-2019</t>
        </is>
      </c>
      <c r="B275" s="1" t="n">
        <v>43595</v>
      </c>
      <c r="C275" s="1" t="n">
        <v>45730</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23878-2019</t>
        </is>
      </c>
      <c r="B276" s="1" t="n">
        <v>43595</v>
      </c>
      <c r="C276" s="1" t="n">
        <v>45730</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23961-2019</t>
        </is>
      </c>
      <c r="B277" s="1" t="n">
        <v>43597</v>
      </c>
      <c r="C277" s="1" t="n">
        <v>45730</v>
      </c>
      <c r="D277" t="inlineStr">
        <is>
          <t>STOCKHOLMS LÄN</t>
        </is>
      </c>
      <c r="E277" t="inlineStr">
        <is>
          <t>NORRTÄLJE</t>
        </is>
      </c>
      <c r="G277" t="n">
        <v>17.6</v>
      </c>
      <c r="H277" t="n">
        <v>0</v>
      </c>
      <c r="I277" t="n">
        <v>0</v>
      </c>
      <c r="J277" t="n">
        <v>0</v>
      </c>
      <c r="K277" t="n">
        <v>0</v>
      </c>
      <c r="L277" t="n">
        <v>0</v>
      </c>
      <c r="M277" t="n">
        <v>0</v>
      </c>
      <c r="N277" t="n">
        <v>0</v>
      </c>
      <c r="O277" t="n">
        <v>0</v>
      </c>
      <c r="P277" t="n">
        <v>0</v>
      </c>
      <c r="Q277" t="n">
        <v>0</v>
      </c>
      <c r="R277" s="2" t="inlineStr"/>
    </row>
    <row r="278" ht="15" customHeight="1">
      <c r="A278" t="inlineStr">
        <is>
          <t>A 23965-2019</t>
        </is>
      </c>
      <c r="B278" s="1" t="n">
        <v>43597</v>
      </c>
      <c r="C278" s="1" t="n">
        <v>45730</v>
      </c>
      <c r="D278" t="inlineStr">
        <is>
          <t>STOCKHOLMS LÄN</t>
        </is>
      </c>
      <c r="E278" t="inlineStr">
        <is>
          <t>NORRTÄLJE</t>
        </is>
      </c>
      <c r="G278" t="n">
        <v>6.1</v>
      </c>
      <c r="H278" t="n">
        <v>0</v>
      </c>
      <c r="I278" t="n">
        <v>0</v>
      </c>
      <c r="J278" t="n">
        <v>0</v>
      </c>
      <c r="K278" t="n">
        <v>0</v>
      </c>
      <c r="L278" t="n">
        <v>0</v>
      </c>
      <c r="M278" t="n">
        <v>0</v>
      </c>
      <c r="N278" t="n">
        <v>0</v>
      </c>
      <c r="O278" t="n">
        <v>0</v>
      </c>
      <c r="P278" t="n">
        <v>0</v>
      </c>
      <c r="Q278" t="n">
        <v>0</v>
      </c>
      <c r="R278" s="2" t="inlineStr"/>
    </row>
    <row r="279" ht="15" customHeight="1">
      <c r="A279" t="inlineStr">
        <is>
          <t>A 23963-2019</t>
        </is>
      </c>
      <c r="B279" s="1" t="n">
        <v>43597</v>
      </c>
      <c r="C279" s="1" t="n">
        <v>45730</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24124-2019</t>
        </is>
      </c>
      <c r="B280" s="1" t="n">
        <v>43598</v>
      </c>
      <c r="C280" s="1" t="n">
        <v>45730</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24058-2019</t>
        </is>
      </c>
      <c r="B281" s="1" t="n">
        <v>43598</v>
      </c>
      <c r="C281" s="1" t="n">
        <v>45730</v>
      </c>
      <c r="D281" t="inlineStr">
        <is>
          <t>STOCKHOLMS LÄN</t>
        </is>
      </c>
      <c r="E281" t="inlineStr">
        <is>
          <t>NORRTÄLJE</t>
        </is>
      </c>
      <c r="G281" t="n">
        <v>2.5</v>
      </c>
      <c r="H281" t="n">
        <v>0</v>
      </c>
      <c r="I281" t="n">
        <v>0</v>
      </c>
      <c r="J281" t="n">
        <v>0</v>
      </c>
      <c r="K281" t="n">
        <v>0</v>
      </c>
      <c r="L281" t="n">
        <v>0</v>
      </c>
      <c r="M281" t="n">
        <v>0</v>
      </c>
      <c r="N281" t="n">
        <v>0</v>
      </c>
      <c r="O281" t="n">
        <v>0</v>
      </c>
      <c r="P281" t="n">
        <v>0</v>
      </c>
      <c r="Q281" t="n">
        <v>0</v>
      </c>
      <c r="R281" s="2" t="inlineStr"/>
    </row>
    <row r="282" ht="15" customHeight="1">
      <c r="A282" t="inlineStr">
        <is>
          <t>A 24562-2019</t>
        </is>
      </c>
      <c r="B282" s="1" t="n">
        <v>43600</v>
      </c>
      <c r="C282" s="1" t="n">
        <v>45730</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24721-2019</t>
        </is>
      </c>
      <c r="B283" s="1" t="n">
        <v>43601</v>
      </c>
      <c r="C283" s="1" t="n">
        <v>45730</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25284-2019</t>
        </is>
      </c>
      <c r="B284" s="1" t="n">
        <v>43605</v>
      </c>
      <c r="C284" s="1" t="n">
        <v>45730</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25535-2019</t>
        </is>
      </c>
      <c r="B285" s="1" t="n">
        <v>43606</v>
      </c>
      <c r="C285" s="1" t="n">
        <v>45730</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25316-2019</t>
        </is>
      </c>
      <c r="B286" s="1" t="n">
        <v>43606</v>
      </c>
      <c r="C286" s="1" t="n">
        <v>45730</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26374-2019</t>
        </is>
      </c>
      <c r="B287" s="1" t="n">
        <v>43606</v>
      </c>
      <c r="C287" s="1" t="n">
        <v>45730</v>
      </c>
      <c r="D287" t="inlineStr">
        <is>
          <t>STOCKHOLMS LÄN</t>
        </is>
      </c>
      <c r="E287" t="inlineStr">
        <is>
          <t>NORRTÄLJE</t>
        </is>
      </c>
      <c r="G287" t="n">
        <v>11.6</v>
      </c>
      <c r="H287" t="n">
        <v>0</v>
      </c>
      <c r="I287" t="n">
        <v>0</v>
      </c>
      <c r="J287" t="n">
        <v>0</v>
      </c>
      <c r="K287" t="n">
        <v>0</v>
      </c>
      <c r="L287" t="n">
        <v>0</v>
      </c>
      <c r="M287" t="n">
        <v>0</v>
      </c>
      <c r="N287" t="n">
        <v>0</v>
      </c>
      <c r="O287" t="n">
        <v>0</v>
      </c>
      <c r="P287" t="n">
        <v>0</v>
      </c>
      <c r="Q287" t="n">
        <v>0</v>
      </c>
      <c r="R287" s="2" t="inlineStr"/>
    </row>
    <row r="288" ht="15" customHeight="1">
      <c r="A288" t="inlineStr">
        <is>
          <t>A 25315-2019</t>
        </is>
      </c>
      <c r="B288" s="1" t="n">
        <v>43606</v>
      </c>
      <c r="C288" s="1" t="n">
        <v>45730</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25625-2019</t>
        </is>
      </c>
      <c r="B289" s="1" t="n">
        <v>43607</v>
      </c>
      <c r="C289" s="1" t="n">
        <v>45730</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26272-2019</t>
        </is>
      </c>
      <c r="B290" s="1" t="n">
        <v>43611</v>
      </c>
      <c r="C290" s="1" t="n">
        <v>45730</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26620-2019</t>
        </is>
      </c>
      <c r="B291" s="1" t="n">
        <v>43612</v>
      </c>
      <c r="C291" s="1" t="n">
        <v>45730</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26391-2019</t>
        </is>
      </c>
      <c r="B292" s="1" t="n">
        <v>43612</v>
      </c>
      <c r="C292" s="1" t="n">
        <v>45730</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26933-2019</t>
        </is>
      </c>
      <c r="B293" s="1" t="n">
        <v>43613</v>
      </c>
      <c r="C293" s="1" t="n">
        <v>45730</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26830-2019</t>
        </is>
      </c>
      <c r="B294" s="1" t="n">
        <v>43613</v>
      </c>
      <c r="C294" s="1" t="n">
        <v>45730</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27095-2019</t>
        </is>
      </c>
      <c r="B295" s="1" t="n">
        <v>43614</v>
      </c>
      <c r="C295" s="1" t="n">
        <v>45730</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28157-2019</t>
        </is>
      </c>
      <c r="B296" s="1" t="n">
        <v>43614</v>
      </c>
      <c r="C296" s="1" t="n">
        <v>45730</v>
      </c>
      <c r="D296" t="inlineStr">
        <is>
          <t>STOCKHOLMS LÄN</t>
        </is>
      </c>
      <c r="E296" t="inlineStr">
        <is>
          <t>NORRTÄLJE</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27264-2019</t>
        </is>
      </c>
      <c r="B297" s="1" t="n">
        <v>43615</v>
      </c>
      <c r="C297" s="1" t="n">
        <v>45730</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27971-2019</t>
        </is>
      </c>
      <c r="B298" s="1" t="n">
        <v>43620</v>
      </c>
      <c r="C298" s="1" t="n">
        <v>45730</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27967-2019</t>
        </is>
      </c>
      <c r="B299" s="1" t="n">
        <v>43620</v>
      </c>
      <c r="C299" s="1" t="n">
        <v>45730</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28121-2019</t>
        </is>
      </c>
      <c r="B300" s="1" t="n">
        <v>43621</v>
      </c>
      <c r="C300" s="1" t="n">
        <v>45730</v>
      </c>
      <c r="D300" t="inlineStr">
        <is>
          <t>STOCKHOLMS LÄN</t>
        </is>
      </c>
      <c r="E300" t="inlineStr">
        <is>
          <t>NORRTÄLJE</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28289-2019</t>
        </is>
      </c>
      <c r="B301" s="1" t="n">
        <v>43623</v>
      </c>
      <c r="C301" s="1" t="n">
        <v>45730</v>
      </c>
      <c r="D301" t="inlineStr">
        <is>
          <t>STOCKHOLMS LÄN</t>
        </is>
      </c>
      <c r="E301" t="inlineStr">
        <is>
          <t>NORRTÄLJE</t>
        </is>
      </c>
      <c r="G301" t="n">
        <v>7.7</v>
      </c>
      <c r="H301" t="n">
        <v>0</v>
      </c>
      <c r="I301" t="n">
        <v>0</v>
      </c>
      <c r="J301" t="n">
        <v>0</v>
      </c>
      <c r="K301" t="n">
        <v>0</v>
      </c>
      <c r="L301" t="n">
        <v>0</v>
      </c>
      <c r="M301" t="n">
        <v>0</v>
      </c>
      <c r="N301" t="n">
        <v>0</v>
      </c>
      <c r="O301" t="n">
        <v>0</v>
      </c>
      <c r="P301" t="n">
        <v>0</v>
      </c>
      <c r="Q301" t="n">
        <v>0</v>
      </c>
      <c r="R301" s="2" t="inlineStr"/>
    </row>
    <row r="302" ht="15" customHeight="1">
      <c r="A302" t="inlineStr">
        <is>
          <t>A 28519-2019</t>
        </is>
      </c>
      <c r="B302" s="1" t="n">
        <v>43626</v>
      </c>
      <c r="C302" s="1" t="n">
        <v>45730</v>
      </c>
      <c r="D302" t="inlineStr">
        <is>
          <t>STOCKHOLMS LÄN</t>
        </is>
      </c>
      <c r="E302" t="inlineStr">
        <is>
          <t>NORRTÄLJE</t>
        </is>
      </c>
      <c r="G302" t="n">
        <v>3</v>
      </c>
      <c r="H302" t="n">
        <v>0</v>
      </c>
      <c r="I302" t="n">
        <v>0</v>
      </c>
      <c r="J302" t="n">
        <v>0</v>
      </c>
      <c r="K302" t="n">
        <v>0</v>
      </c>
      <c r="L302" t="n">
        <v>0</v>
      </c>
      <c r="M302" t="n">
        <v>0</v>
      </c>
      <c r="N302" t="n">
        <v>0</v>
      </c>
      <c r="O302" t="n">
        <v>0</v>
      </c>
      <c r="P302" t="n">
        <v>0</v>
      </c>
      <c r="Q302" t="n">
        <v>0</v>
      </c>
      <c r="R302" s="2" t="inlineStr"/>
    </row>
    <row r="303" ht="15" customHeight="1">
      <c r="A303" t="inlineStr">
        <is>
          <t>A 28495-2019</t>
        </is>
      </c>
      <c r="B303" s="1" t="n">
        <v>43626</v>
      </c>
      <c r="C303" s="1" t="n">
        <v>45730</v>
      </c>
      <c r="D303" t="inlineStr">
        <is>
          <t>STOCKHOLMS LÄN</t>
        </is>
      </c>
      <c r="E303" t="inlineStr">
        <is>
          <t>NORRTÄLJE</t>
        </is>
      </c>
      <c r="G303" t="n">
        <v>14.7</v>
      </c>
      <c r="H303" t="n">
        <v>0</v>
      </c>
      <c r="I303" t="n">
        <v>0</v>
      </c>
      <c r="J303" t="n">
        <v>0</v>
      </c>
      <c r="K303" t="n">
        <v>0</v>
      </c>
      <c r="L303" t="n">
        <v>0</v>
      </c>
      <c r="M303" t="n">
        <v>0</v>
      </c>
      <c r="N303" t="n">
        <v>0</v>
      </c>
      <c r="O303" t="n">
        <v>0</v>
      </c>
      <c r="P303" t="n">
        <v>0</v>
      </c>
      <c r="Q303" t="n">
        <v>0</v>
      </c>
      <c r="R303" s="2" t="inlineStr"/>
    </row>
    <row r="304" ht="15" customHeight="1">
      <c r="A304" t="inlineStr">
        <is>
          <t>A 28394-2019</t>
        </is>
      </c>
      <c r="B304" s="1" t="n">
        <v>43626</v>
      </c>
      <c r="C304" s="1" t="n">
        <v>45730</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29260-2019</t>
        </is>
      </c>
      <c r="B305" s="1" t="n">
        <v>43629</v>
      </c>
      <c r="C305" s="1" t="n">
        <v>45730</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29312-2019</t>
        </is>
      </c>
      <c r="B306" s="1" t="n">
        <v>43629</v>
      </c>
      <c r="C306" s="1" t="n">
        <v>45730</v>
      </c>
      <c r="D306" t="inlineStr">
        <is>
          <t>STOCKHOLMS LÄN</t>
        </is>
      </c>
      <c r="E306" t="inlineStr">
        <is>
          <t>NORRTÄLJE</t>
        </is>
      </c>
      <c r="G306" t="n">
        <v>7.1</v>
      </c>
      <c r="H306" t="n">
        <v>0</v>
      </c>
      <c r="I306" t="n">
        <v>0</v>
      </c>
      <c r="J306" t="n">
        <v>0</v>
      </c>
      <c r="K306" t="n">
        <v>0</v>
      </c>
      <c r="L306" t="n">
        <v>0</v>
      </c>
      <c r="M306" t="n">
        <v>0</v>
      </c>
      <c r="N306" t="n">
        <v>0</v>
      </c>
      <c r="O306" t="n">
        <v>0</v>
      </c>
      <c r="P306" t="n">
        <v>0</v>
      </c>
      <c r="Q306" t="n">
        <v>0</v>
      </c>
      <c r="R306" s="2" t="inlineStr"/>
    </row>
    <row r="307" ht="15" customHeight="1">
      <c r="A307" t="inlineStr">
        <is>
          <t>A 29759-2019</t>
        </is>
      </c>
      <c r="B307" s="1" t="n">
        <v>43631</v>
      </c>
      <c r="C307" s="1" t="n">
        <v>45730</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30000-2019</t>
        </is>
      </c>
      <c r="B308" s="1" t="n">
        <v>43633</v>
      </c>
      <c r="C308" s="1" t="n">
        <v>45730</v>
      </c>
      <c r="D308" t="inlineStr">
        <is>
          <t>STOCKHOLMS LÄN</t>
        </is>
      </c>
      <c r="E308" t="inlineStr">
        <is>
          <t>NORRTÄLJE</t>
        </is>
      </c>
      <c r="G308" t="n">
        <v>5.4</v>
      </c>
      <c r="H308" t="n">
        <v>0</v>
      </c>
      <c r="I308" t="n">
        <v>0</v>
      </c>
      <c r="J308" t="n">
        <v>0</v>
      </c>
      <c r="K308" t="n">
        <v>0</v>
      </c>
      <c r="L308" t="n">
        <v>0</v>
      </c>
      <c r="M308" t="n">
        <v>0</v>
      </c>
      <c r="N308" t="n">
        <v>0</v>
      </c>
      <c r="O308" t="n">
        <v>0</v>
      </c>
      <c r="P308" t="n">
        <v>0</v>
      </c>
      <c r="Q308" t="n">
        <v>0</v>
      </c>
      <c r="R308" s="2" t="inlineStr"/>
    </row>
    <row r="309" ht="15" customHeight="1">
      <c r="A309" t="inlineStr">
        <is>
          <t>A 30833-2019</t>
        </is>
      </c>
      <c r="B309" s="1" t="n">
        <v>43636</v>
      </c>
      <c r="C309" s="1" t="n">
        <v>45730</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31215-2019</t>
        </is>
      </c>
      <c r="B310" s="1" t="n">
        <v>43640</v>
      </c>
      <c r="C310" s="1" t="n">
        <v>45730</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31017-2019</t>
        </is>
      </c>
      <c r="B311" s="1" t="n">
        <v>43640</v>
      </c>
      <c r="C311" s="1" t="n">
        <v>45730</v>
      </c>
      <c r="D311" t="inlineStr">
        <is>
          <t>STOCKHOLMS LÄN</t>
        </is>
      </c>
      <c r="E311" t="inlineStr">
        <is>
          <t>NORRTÄLJE</t>
        </is>
      </c>
      <c r="G311" t="n">
        <v>3.4</v>
      </c>
      <c r="H311" t="n">
        <v>0</v>
      </c>
      <c r="I311" t="n">
        <v>0</v>
      </c>
      <c r="J311" t="n">
        <v>0</v>
      </c>
      <c r="K311" t="n">
        <v>0</v>
      </c>
      <c r="L311" t="n">
        <v>0</v>
      </c>
      <c r="M311" t="n">
        <v>0</v>
      </c>
      <c r="N311" t="n">
        <v>0</v>
      </c>
      <c r="O311" t="n">
        <v>0</v>
      </c>
      <c r="P311" t="n">
        <v>0</v>
      </c>
      <c r="Q311" t="n">
        <v>0</v>
      </c>
      <c r="R311" s="2" t="inlineStr"/>
    </row>
    <row r="312" ht="15" customHeight="1">
      <c r="A312" t="inlineStr">
        <is>
          <t>A 31966-2019</t>
        </is>
      </c>
      <c r="B312" s="1" t="n">
        <v>43643</v>
      </c>
      <c r="C312" s="1" t="n">
        <v>45730</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32725-2019</t>
        </is>
      </c>
      <c r="B313" s="1" t="n">
        <v>43647</v>
      </c>
      <c r="C313" s="1" t="n">
        <v>45730</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32726-2019</t>
        </is>
      </c>
      <c r="B314" s="1" t="n">
        <v>43647</v>
      </c>
      <c r="C314" s="1" t="n">
        <v>45730</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33207-2019</t>
        </is>
      </c>
      <c r="B315" s="1" t="n">
        <v>43649</v>
      </c>
      <c r="C315" s="1" t="n">
        <v>45730</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33955-2019</t>
        </is>
      </c>
      <c r="B316" s="1" t="n">
        <v>43654</v>
      </c>
      <c r="C316" s="1" t="n">
        <v>45730</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33966-2019</t>
        </is>
      </c>
      <c r="B317" s="1" t="n">
        <v>43654</v>
      </c>
      <c r="C317" s="1" t="n">
        <v>45730</v>
      </c>
      <c r="D317" t="inlineStr">
        <is>
          <t>STOCKHOLMS LÄN</t>
        </is>
      </c>
      <c r="E317" t="inlineStr">
        <is>
          <t>NORRTÄLJE</t>
        </is>
      </c>
      <c r="G317" t="n">
        <v>3.2</v>
      </c>
      <c r="H317" t="n">
        <v>0</v>
      </c>
      <c r="I317" t="n">
        <v>0</v>
      </c>
      <c r="J317" t="n">
        <v>0</v>
      </c>
      <c r="K317" t="n">
        <v>0</v>
      </c>
      <c r="L317" t="n">
        <v>0</v>
      </c>
      <c r="M317" t="n">
        <v>0</v>
      </c>
      <c r="N317" t="n">
        <v>0</v>
      </c>
      <c r="O317" t="n">
        <v>0</v>
      </c>
      <c r="P317" t="n">
        <v>0</v>
      </c>
      <c r="Q317" t="n">
        <v>0</v>
      </c>
      <c r="R317" s="2" t="inlineStr"/>
    </row>
    <row r="318" ht="15" customHeight="1">
      <c r="A318" t="inlineStr">
        <is>
          <t>A 35247-2019</t>
        </is>
      </c>
      <c r="B318" s="1" t="n">
        <v>43656</v>
      </c>
      <c r="C318" s="1" t="n">
        <v>45730</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35244-2019</t>
        </is>
      </c>
      <c r="B319" s="1" t="n">
        <v>43656</v>
      </c>
      <c r="C319" s="1" t="n">
        <v>45730</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35249-2019</t>
        </is>
      </c>
      <c r="B320" s="1" t="n">
        <v>43656</v>
      </c>
      <c r="C320" s="1" t="n">
        <v>45730</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35251-2019</t>
        </is>
      </c>
      <c r="B321" s="1" t="n">
        <v>43656</v>
      </c>
      <c r="C321" s="1" t="n">
        <v>45730</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35492-2019</t>
        </is>
      </c>
      <c r="B322" s="1" t="n">
        <v>43663</v>
      </c>
      <c r="C322" s="1" t="n">
        <v>45730</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35770-2019</t>
        </is>
      </c>
      <c r="B323" s="1" t="n">
        <v>43665</v>
      </c>
      <c r="C323" s="1" t="n">
        <v>45730</v>
      </c>
      <c r="D323" t="inlineStr">
        <is>
          <t>STOCKHOLMS LÄN</t>
        </is>
      </c>
      <c r="E323" t="inlineStr">
        <is>
          <t>NORRTÄLJE</t>
        </is>
      </c>
      <c r="G323" t="n">
        <v>6.3</v>
      </c>
      <c r="H323" t="n">
        <v>0</v>
      </c>
      <c r="I323" t="n">
        <v>0</v>
      </c>
      <c r="J323" t="n">
        <v>0</v>
      </c>
      <c r="K323" t="n">
        <v>0</v>
      </c>
      <c r="L323" t="n">
        <v>0</v>
      </c>
      <c r="M323" t="n">
        <v>0</v>
      </c>
      <c r="N323" t="n">
        <v>0</v>
      </c>
      <c r="O323" t="n">
        <v>0</v>
      </c>
      <c r="P323" t="n">
        <v>0</v>
      </c>
      <c r="Q323" t="n">
        <v>0</v>
      </c>
      <c r="R323" s="2" t="inlineStr"/>
    </row>
    <row r="324" ht="15" customHeight="1">
      <c r="A324" t="inlineStr">
        <is>
          <t>A 35766-2019</t>
        </is>
      </c>
      <c r="B324" s="1" t="n">
        <v>43665</v>
      </c>
      <c r="C324" s="1" t="n">
        <v>45730</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36418-2019</t>
        </is>
      </c>
      <c r="B325" s="1" t="n">
        <v>43670</v>
      </c>
      <c r="C325" s="1" t="n">
        <v>45730</v>
      </c>
      <c r="D325" t="inlineStr">
        <is>
          <t>STOCKHOLMS LÄN</t>
        </is>
      </c>
      <c r="E325" t="inlineStr">
        <is>
          <t>NORRTÄLJE</t>
        </is>
      </c>
      <c r="G325" t="n">
        <v>16.8</v>
      </c>
      <c r="H325" t="n">
        <v>0</v>
      </c>
      <c r="I325" t="n">
        <v>0</v>
      </c>
      <c r="J325" t="n">
        <v>0</v>
      </c>
      <c r="K325" t="n">
        <v>0</v>
      </c>
      <c r="L325" t="n">
        <v>0</v>
      </c>
      <c r="M325" t="n">
        <v>0</v>
      </c>
      <c r="N325" t="n">
        <v>0</v>
      </c>
      <c r="O325" t="n">
        <v>0</v>
      </c>
      <c r="P325" t="n">
        <v>0</v>
      </c>
      <c r="Q325" t="n">
        <v>0</v>
      </c>
      <c r="R325" s="2" t="inlineStr"/>
    </row>
    <row r="326" ht="15" customHeight="1">
      <c r="A326" t="inlineStr">
        <is>
          <t>A 37401-2019</t>
        </is>
      </c>
      <c r="B326" s="1" t="n">
        <v>43678</v>
      </c>
      <c r="C326" s="1" t="n">
        <v>45730</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37662-2019</t>
        </is>
      </c>
      <c r="B327" s="1" t="n">
        <v>43682</v>
      </c>
      <c r="C327" s="1" t="n">
        <v>45730</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38144-2019</t>
        </is>
      </c>
      <c r="B328" s="1" t="n">
        <v>43684</v>
      </c>
      <c r="C328" s="1" t="n">
        <v>45730</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38139-2019</t>
        </is>
      </c>
      <c r="B329" s="1" t="n">
        <v>43684</v>
      </c>
      <c r="C329" s="1" t="n">
        <v>45730</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38145-2019</t>
        </is>
      </c>
      <c r="B330" s="1" t="n">
        <v>43684</v>
      </c>
      <c r="C330" s="1" t="n">
        <v>45730</v>
      </c>
      <c r="D330" t="inlineStr">
        <is>
          <t>STOCKHOLMS LÄN</t>
        </is>
      </c>
      <c r="E330" t="inlineStr">
        <is>
          <t>NORRTÄLJE</t>
        </is>
      </c>
      <c r="G330" t="n">
        <v>9.9</v>
      </c>
      <c r="H330" t="n">
        <v>0</v>
      </c>
      <c r="I330" t="n">
        <v>0</v>
      </c>
      <c r="J330" t="n">
        <v>0</v>
      </c>
      <c r="K330" t="n">
        <v>0</v>
      </c>
      <c r="L330" t="n">
        <v>0</v>
      </c>
      <c r="M330" t="n">
        <v>0</v>
      </c>
      <c r="N330" t="n">
        <v>0</v>
      </c>
      <c r="O330" t="n">
        <v>0</v>
      </c>
      <c r="P330" t="n">
        <v>0</v>
      </c>
      <c r="Q330" t="n">
        <v>0</v>
      </c>
      <c r="R330" s="2" t="inlineStr"/>
    </row>
    <row r="331" ht="15" customHeight="1">
      <c r="A331" t="inlineStr">
        <is>
          <t>A 38140-2019</t>
        </is>
      </c>
      <c r="B331" s="1" t="n">
        <v>43684</v>
      </c>
      <c r="C331" s="1" t="n">
        <v>45730</v>
      </c>
      <c r="D331" t="inlineStr">
        <is>
          <t>STOCKHOLMS LÄN</t>
        </is>
      </c>
      <c r="E331" t="inlineStr">
        <is>
          <t>NORRTÄLJE</t>
        </is>
      </c>
      <c r="G331" t="n">
        <v>3.4</v>
      </c>
      <c r="H331" t="n">
        <v>0</v>
      </c>
      <c r="I331" t="n">
        <v>0</v>
      </c>
      <c r="J331" t="n">
        <v>0</v>
      </c>
      <c r="K331" t="n">
        <v>0</v>
      </c>
      <c r="L331" t="n">
        <v>0</v>
      </c>
      <c r="M331" t="n">
        <v>0</v>
      </c>
      <c r="N331" t="n">
        <v>0</v>
      </c>
      <c r="O331" t="n">
        <v>0</v>
      </c>
      <c r="P331" t="n">
        <v>0</v>
      </c>
      <c r="Q331" t="n">
        <v>0</v>
      </c>
      <c r="R331" s="2" t="inlineStr"/>
    </row>
    <row r="332" ht="15" customHeight="1">
      <c r="A332" t="inlineStr">
        <is>
          <t>A 38143-2019</t>
        </is>
      </c>
      <c r="B332" s="1" t="n">
        <v>43684</v>
      </c>
      <c r="C332" s="1" t="n">
        <v>45730</v>
      </c>
      <c r="D332" t="inlineStr">
        <is>
          <t>STOCKHOLMS LÄN</t>
        </is>
      </c>
      <c r="E332" t="inlineStr">
        <is>
          <t>NORRTÄLJE</t>
        </is>
      </c>
      <c r="G332" t="n">
        <v>12.7</v>
      </c>
      <c r="H332" t="n">
        <v>0</v>
      </c>
      <c r="I332" t="n">
        <v>0</v>
      </c>
      <c r="J332" t="n">
        <v>0</v>
      </c>
      <c r="K332" t="n">
        <v>0</v>
      </c>
      <c r="L332" t="n">
        <v>0</v>
      </c>
      <c r="M332" t="n">
        <v>0</v>
      </c>
      <c r="N332" t="n">
        <v>0</v>
      </c>
      <c r="O332" t="n">
        <v>0</v>
      </c>
      <c r="P332" t="n">
        <v>0</v>
      </c>
      <c r="Q332" t="n">
        <v>0</v>
      </c>
      <c r="R332" s="2" t="inlineStr"/>
    </row>
    <row r="333" ht="15" customHeight="1">
      <c r="A333" t="inlineStr">
        <is>
          <t>A 38506-2019</t>
        </is>
      </c>
      <c r="B333" s="1" t="n">
        <v>43685</v>
      </c>
      <c r="C333" s="1" t="n">
        <v>45730</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38605-2019</t>
        </is>
      </c>
      <c r="B334" s="1" t="n">
        <v>43686</v>
      </c>
      <c r="C334" s="1" t="n">
        <v>45730</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38737-2019</t>
        </is>
      </c>
      <c r="B335" s="1" t="n">
        <v>43686</v>
      </c>
      <c r="C335" s="1" t="n">
        <v>45730</v>
      </c>
      <c r="D335" t="inlineStr">
        <is>
          <t>STOCKHOLMS LÄN</t>
        </is>
      </c>
      <c r="E335" t="inlineStr">
        <is>
          <t>NORRTÄLJE</t>
        </is>
      </c>
      <c r="G335" t="n">
        <v>4.7</v>
      </c>
      <c r="H335" t="n">
        <v>0</v>
      </c>
      <c r="I335" t="n">
        <v>0</v>
      </c>
      <c r="J335" t="n">
        <v>0</v>
      </c>
      <c r="K335" t="n">
        <v>0</v>
      </c>
      <c r="L335" t="n">
        <v>0</v>
      </c>
      <c r="M335" t="n">
        <v>0</v>
      </c>
      <c r="N335" t="n">
        <v>0</v>
      </c>
      <c r="O335" t="n">
        <v>0</v>
      </c>
      <c r="P335" t="n">
        <v>0</v>
      </c>
      <c r="Q335" t="n">
        <v>0</v>
      </c>
      <c r="R335" s="2" t="inlineStr"/>
    </row>
    <row r="336" ht="15" customHeight="1">
      <c r="A336" t="inlineStr">
        <is>
          <t>A 40571-2019</t>
        </is>
      </c>
      <c r="B336" s="1" t="n">
        <v>43696</v>
      </c>
      <c r="C336" s="1" t="n">
        <v>45730</v>
      </c>
      <c r="D336" t="inlineStr">
        <is>
          <t>STOCKHOLMS LÄN</t>
        </is>
      </c>
      <c r="E336" t="inlineStr">
        <is>
          <t>NORRTÄLJE</t>
        </is>
      </c>
      <c r="G336" t="n">
        <v>2.8</v>
      </c>
      <c r="H336" t="n">
        <v>0</v>
      </c>
      <c r="I336" t="n">
        <v>0</v>
      </c>
      <c r="J336" t="n">
        <v>0</v>
      </c>
      <c r="K336" t="n">
        <v>0</v>
      </c>
      <c r="L336" t="n">
        <v>0</v>
      </c>
      <c r="M336" t="n">
        <v>0</v>
      </c>
      <c r="N336" t="n">
        <v>0</v>
      </c>
      <c r="O336" t="n">
        <v>0</v>
      </c>
      <c r="P336" t="n">
        <v>0</v>
      </c>
      <c r="Q336" t="n">
        <v>0</v>
      </c>
      <c r="R336" s="2" t="inlineStr"/>
    </row>
    <row r="337" ht="15" customHeight="1">
      <c r="A337" t="inlineStr">
        <is>
          <t>A 42330-2019</t>
        </is>
      </c>
      <c r="B337" s="1" t="n">
        <v>43703</v>
      </c>
      <c r="C337" s="1" t="n">
        <v>45730</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43379-2019</t>
        </is>
      </c>
      <c r="B338" s="1" t="n">
        <v>43703</v>
      </c>
      <c r="C338" s="1" t="n">
        <v>45730</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43296-2019</t>
        </is>
      </c>
      <c r="B339" s="1" t="n">
        <v>43706</v>
      </c>
      <c r="C339" s="1" t="n">
        <v>45730</v>
      </c>
      <c r="D339" t="inlineStr">
        <is>
          <t>STOCKHOLMS LÄN</t>
        </is>
      </c>
      <c r="E339" t="inlineStr">
        <is>
          <t>NORRTÄLJE</t>
        </is>
      </c>
      <c r="F339" t="inlineStr">
        <is>
          <t>Kommuner</t>
        </is>
      </c>
      <c r="G339" t="n">
        <v>1.7</v>
      </c>
      <c r="H339" t="n">
        <v>0</v>
      </c>
      <c r="I339" t="n">
        <v>0</v>
      </c>
      <c r="J339" t="n">
        <v>0</v>
      </c>
      <c r="K339" t="n">
        <v>0</v>
      </c>
      <c r="L339" t="n">
        <v>0</v>
      </c>
      <c r="M339" t="n">
        <v>0</v>
      </c>
      <c r="N339" t="n">
        <v>0</v>
      </c>
      <c r="O339" t="n">
        <v>0</v>
      </c>
      <c r="P339" t="n">
        <v>0</v>
      </c>
      <c r="Q339" t="n">
        <v>0</v>
      </c>
      <c r="R339" s="2" t="inlineStr"/>
    </row>
    <row r="340" ht="15" customHeight="1">
      <c r="A340" t="inlineStr">
        <is>
          <t>A 44643-2019</t>
        </is>
      </c>
      <c r="B340" s="1" t="n">
        <v>43712</v>
      </c>
      <c r="C340" s="1" t="n">
        <v>45730</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45463-2019</t>
        </is>
      </c>
      <c r="B341" s="1" t="n">
        <v>43714</v>
      </c>
      <c r="C341" s="1" t="n">
        <v>45730</v>
      </c>
      <c r="D341" t="inlineStr">
        <is>
          <t>STOCKHOLMS LÄN</t>
        </is>
      </c>
      <c r="E341" t="inlineStr">
        <is>
          <t>NORRTÄLJE</t>
        </is>
      </c>
      <c r="F341" t="inlineStr">
        <is>
          <t>Övriga statliga verk och myndigheter</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45477-2019</t>
        </is>
      </c>
      <c r="B342" s="1" t="n">
        <v>43714</v>
      </c>
      <c r="C342" s="1" t="n">
        <v>45730</v>
      </c>
      <c r="D342" t="inlineStr">
        <is>
          <t>STOCKHOLMS LÄN</t>
        </is>
      </c>
      <c r="E342" t="inlineStr">
        <is>
          <t>NORRTÄLJE</t>
        </is>
      </c>
      <c r="F342" t="inlineStr">
        <is>
          <t>Övriga statliga verk och myndigheter</t>
        </is>
      </c>
      <c r="G342" t="n">
        <v>8.9</v>
      </c>
      <c r="H342" t="n">
        <v>0</v>
      </c>
      <c r="I342" t="n">
        <v>0</v>
      </c>
      <c r="J342" t="n">
        <v>0</v>
      </c>
      <c r="K342" t="n">
        <v>0</v>
      </c>
      <c r="L342" t="n">
        <v>0</v>
      </c>
      <c r="M342" t="n">
        <v>0</v>
      </c>
      <c r="N342" t="n">
        <v>0</v>
      </c>
      <c r="O342" t="n">
        <v>0</v>
      </c>
      <c r="P342" t="n">
        <v>0</v>
      </c>
      <c r="Q342" t="n">
        <v>0</v>
      </c>
      <c r="R342" s="2" t="inlineStr"/>
    </row>
    <row r="343" ht="15" customHeight="1">
      <c r="A343" t="inlineStr">
        <is>
          <t>A 46327-2019</t>
        </is>
      </c>
      <c r="B343" s="1" t="n">
        <v>43718</v>
      </c>
      <c r="C343" s="1" t="n">
        <v>45730</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47876-2019</t>
        </is>
      </c>
      <c r="B344" s="1" t="n">
        <v>43725</v>
      </c>
      <c r="C344" s="1" t="n">
        <v>45730</v>
      </c>
      <c r="D344" t="inlineStr">
        <is>
          <t>STOCKHOLMS LÄN</t>
        </is>
      </c>
      <c r="E344" t="inlineStr">
        <is>
          <t>NORRTÄLJE</t>
        </is>
      </c>
      <c r="G344" t="n">
        <v>11.4</v>
      </c>
      <c r="H344" t="n">
        <v>0</v>
      </c>
      <c r="I344" t="n">
        <v>0</v>
      </c>
      <c r="J344" t="n">
        <v>0</v>
      </c>
      <c r="K344" t="n">
        <v>0</v>
      </c>
      <c r="L344" t="n">
        <v>0</v>
      </c>
      <c r="M344" t="n">
        <v>0</v>
      </c>
      <c r="N344" t="n">
        <v>0</v>
      </c>
      <c r="O344" t="n">
        <v>0</v>
      </c>
      <c r="P344" t="n">
        <v>0</v>
      </c>
      <c r="Q344" t="n">
        <v>0</v>
      </c>
      <c r="R344" s="2" t="inlineStr"/>
    </row>
    <row r="345" ht="15" customHeight="1">
      <c r="A345" t="inlineStr">
        <is>
          <t>A 47877-2019</t>
        </is>
      </c>
      <c r="B345" s="1" t="n">
        <v>43725</v>
      </c>
      <c r="C345" s="1" t="n">
        <v>45730</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47903-2019</t>
        </is>
      </c>
      <c r="B346" s="1" t="n">
        <v>43725</v>
      </c>
      <c r="C346" s="1" t="n">
        <v>45730</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47901-2019</t>
        </is>
      </c>
      <c r="B347" s="1" t="n">
        <v>43725</v>
      </c>
      <c r="C347" s="1" t="n">
        <v>45730</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47939-2019</t>
        </is>
      </c>
      <c r="B348" s="1" t="n">
        <v>43725</v>
      </c>
      <c r="C348" s="1" t="n">
        <v>45730</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47941-2019</t>
        </is>
      </c>
      <c r="B349" s="1" t="n">
        <v>43725</v>
      </c>
      <c r="C349" s="1" t="n">
        <v>45730</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47879-2019</t>
        </is>
      </c>
      <c r="B350" s="1" t="n">
        <v>43725</v>
      </c>
      <c r="C350" s="1" t="n">
        <v>45730</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48730-2019</t>
        </is>
      </c>
      <c r="B351" s="1" t="n">
        <v>43728</v>
      </c>
      <c r="C351" s="1" t="n">
        <v>45730</v>
      </c>
      <c r="D351" t="inlineStr">
        <is>
          <t>STOCKHOLMS LÄN</t>
        </is>
      </c>
      <c r="E351" t="inlineStr">
        <is>
          <t>NORRTÄLJE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49252-2019</t>
        </is>
      </c>
      <c r="B352" s="1" t="n">
        <v>43731</v>
      </c>
      <c r="C352" s="1" t="n">
        <v>45730</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51940-2019</t>
        </is>
      </c>
      <c r="B353" s="1" t="n">
        <v>43741</v>
      </c>
      <c r="C353" s="1" t="n">
        <v>45730</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51942-2019</t>
        </is>
      </c>
      <c r="B354" s="1" t="n">
        <v>43741</v>
      </c>
      <c r="C354" s="1" t="n">
        <v>45730</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55481-2019</t>
        </is>
      </c>
      <c r="B355" s="1" t="n">
        <v>43759</v>
      </c>
      <c r="C355" s="1" t="n">
        <v>45730</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55891-2019</t>
        </is>
      </c>
      <c r="B356" s="1" t="n">
        <v>43761</v>
      </c>
      <c r="C356" s="1" t="n">
        <v>45730</v>
      </c>
      <c r="D356" t="inlineStr">
        <is>
          <t>STOCKHOLMS LÄN</t>
        </is>
      </c>
      <c r="E356" t="inlineStr">
        <is>
          <t>NORRTÄLJE</t>
        </is>
      </c>
      <c r="G356" t="n">
        <v>7.6</v>
      </c>
      <c r="H356" t="n">
        <v>0</v>
      </c>
      <c r="I356" t="n">
        <v>0</v>
      </c>
      <c r="J356" t="n">
        <v>0</v>
      </c>
      <c r="K356" t="n">
        <v>0</v>
      </c>
      <c r="L356" t="n">
        <v>0</v>
      </c>
      <c r="M356" t="n">
        <v>0</v>
      </c>
      <c r="N356" t="n">
        <v>0</v>
      </c>
      <c r="O356" t="n">
        <v>0</v>
      </c>
      <c r="P356" t="n">
        <v>0</v>
      </c>
      <c r="Q356" t="n">
        <v>0</v>
      </c>
      <c r="R356" s="2" t="inlineStr"/>
    </row>
    <row r="357" ht="15" customHeight="1">
      <c r="A357" t="inlineStr">
        <is>
          <t>A 56349-2019</t>
        </is>
      </c>
      <c r="B357" s="1" t="n">
        <v>43762</v>
      </c>
      <c r="C357" s="1" t="n">
        <v>45730</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57759-2019</t>
        </is>
      </c>
      <c r="B358" s="1" t="n">
        <v>43763</v>
      </c>
      <c r="C358" s="1" t="n">
        <v>45730</v>
      </c>
      <c r="D358" t="inlineStr">
        <is>
          <t>STOCKHOLMS LÄN</t>
        </is>
      </c>
      <c r="E358" t="inlineStr">
        <is>
          <t>NORRTÄLJE</t>
        </is>
      </c>
      <c r="F358" t="inlineStr">
        <is>
          <t>Övriga Aktiebolag</t>
        </is>
      </c>
      <c r="G358" t="n">
        <v>7.3</v>
      </c>
      <c r="H358" t="n">
        <v>0</v>
      </c>
      <c r="I358" t="n">
        <v>0</v>
      </c>
      <c r="J358" t="n">
        <v>0</v>
      </c>
      <c r="K358" t="n">
        <v>0</v>
      </c>
      <c r="L358" t="n">
        <v>0</v>
      </c>
      <c r="M358" t="n">
        <v>0</v>
      </c>
      <c r="N358" t="n">
        <v>0</v>
      </c>
      <c r="O358" t="n">
        <v>0</v>
      </c>
      <c r="P358" t="n">
        <v>0</v>
      </c>
      <c r="Q358" t="n">
        <v>0</v>
      </c>
      <c r="R358" s="2" t="inlineStr"/>
    </row>
    <row r="359" ht="15" customHeight="1">
      <c r="A359" t="inlineStr">
        <is>
          <t>A 57063-2019</t>
        </is>
      </c>
      <c r="B359" s="1" t="n">
        <v>43766</v>
      </c>
      <c r="C359" s="1" t="n">
        <v>45730</v>
      </c>
      <c r="D359" t="inlineStr">
        <is>
          <t>STOCKHOLMS LÄN</t>
        </is>
      </c>
      <c r="E359" t="inlineStr">
        <is>
          <t>NORRTÄLJE</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56950-2019</t>
        </is>
      </c>
      <c r="B360" s="1" t="n">
        <v>43766</v>
      </c>
      <c r="C360" s="1" t="n">
        <v>45730</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57605-2019</t>
        </is>
      </c>
      <c r="B361" s="1" t="n">
        <v>43768</v>
      </c>
      <c r="C361" s="1" t="n">
        <v>45730</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58064-2019</t>
        </is>
      </c>
      <c r="B362" s="1" t="n">
        <v>43769</v>
      </c>
      <c r="C362" s="1" t="n">
        <v>45730</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58631-2019</t>
        </is>
      </c>
      <c r="B363" s="1" t="n">
        <v>43773</v>
      </c>
      <c r="C363" s="1" t="n">
        <v>45730</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60214-2019</t>
        </is>
      </c>
      <c r="B364" s="1" t="n">
        <v>43780</v>
      </c>
      <c r="C364" s="1" t="n">
        <v>45730</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60208-2019</t>
        </is>
      </c>
      <c r="B365" s="1" t="n">
        <v>43780</v>
      </c>
      <c r="C365" s="1" t="n">
        <v>45730</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60842-2019</t>
        </is>
      </c>
      <c r="B366" s="1" t="n">
        <v>43781</v>
      </c>
      <c r="C366" s="1" t="n">
        <v>45730</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60844-2019</t>
        </is>
      </c>
      <c r="B367" s="1" t="n">
        <v>43781</v>
      </c>
      <c r="C367" s="1" t="n">
        <v>45730</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61657-2019</t>
        </is>
      </c>
      <c r="B368" s="1" t="n">
        <v>43784</v>
      </c>
      <c r="C368" s="1" t="n">
        <v>45730</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62980-2019</t>
        </is>
      </c>
      <c r="B369" s="1" t="n">
        <v>43790</v>
      </c>
      <c r="C369" s="1" t="n">
        <v>45730</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63513-2019</t>
        </is>
      </c>
      <c r="B370" s="1" t="n">
        <v>43794</v>
      </c>
      <c r="C370" s="1" t="n">
        <v>45730</v>
      </c>
      <c r="D370" t="inlineStr">
        <is>
          <t>STOCKHOLMS LÄN</t>
        </is>
      </c>
      <c r="E370" t="inlineStr">
        <is>
          <t>NORRTÄLJE</t>
        </is>
      </c>
      <c r="G370" t="n">
        <v>9</v>
      </c>
      <c r="H370" t="n">
        <v>0</v>
      </c>
      <c r="I370" t="n">
        <v>0</v>
      </c>
      <c r="J370" t="n">
        <v>0</v>
      </c>
      <c r="K370" t="n">
        <v>0</v>
      </c>
      <c r="L370" t="n">
        <v>0</v>
      </c>
      <c r="M370" t="n">
        <v>0</v>
      </c>
      <c r="N370" t="n">
        <v>0</v>
      </c>
      <c r="O370" t="n">
        <v>0</v>
      </c>
      <c r="P370" t="n">
        <v>0</v>
      </c>
      <c r="Q370" t="n">
        <v>0</v>
      </c>
      <c r="R370" s="2" t="inlineStr"/>
    </row>
    <row r="371" ht="15" customHeight="1">
      <c r="A371" t="inlineStr">
        <is>
          <t>A 63529-2019</t>
        </is>
      </c>
      <c r="B371" s="1" t="n">
        <v>43794</v>
      </c>
      <c r="C371" s="1" t="n">
        <v>45730</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63495-2019</t>
        </is>
      </c>
      <c r="B372" s="1" t="n">
        <v>43794</v>
      </c>
      <c r="C372" s="1" t="n">
        <v>45730</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63504-2019</t>
        </is>
      </c>
      <c r="B373" s="1" t="n">
        <v>43794</v>
      </c>
      <c r="C373" s="1" t="n">
        <v>45730</v>
      </c>
      <c r="D373" t="inlineStr">
        <is>
          <t>STOCKHOLMS LÄN</t>
        </is>
      </c>
      <c r="E373" t="inlineStr">
        <is>
          <t>NORRTÄLJE</t>
        </is>
      </c>
      <c r="G373" t="n">
        <v>2.3</v>
      </c>
      <c r="H373" t="n">
        <v>0</v>
      </c>
      <c r="I373" t="n">
        <v>0</v>
      </c>
      <c r="J373" t="n">
        <v>0</v>
      </c>
      <c r="K373" t="n">
        <v>0</v>
      </c>
      <c r="L373" t="n">
        <v>0</v>
      </c>
      <c r="M373" t="n">
        <v>0</v>
      </c>
      <c r="N373" t="n">
        <v>0</v>
      </c>
      <c r="O373" t="n">
        <v>0</v>
      </c>
      <c r="P373" t="n">
        <v>0</v>
      </c>
      <c r="Q373" t="n">
        <v>0</v>
      </c>
      <c r="R373" s="2" t="inlineStr"/>
    </row>
    <row r="374" ht="15" customHeight="1">
      <c r="A374" t="inlineStr">
        <is>
          <t>A 63528-2019</t>
        </is>
      </c>
      <c r="B374" s="1" t="n">
        <v>43794</v>
      </c>
      <c r="C374" s="1" t="n">
        <v>45730</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63515-2019</t>
        </is>
      </c>
      <c r="B375" s="1" t="n">
        <v>43794</v>
      </c>
      <c r="C375" s="1" t="n">
        <v>45730</v>
      </c>
      <c r="D375" t="inlineStr">
        <is>
          <t>STOCKHOLMS LÄN</t>
        </is>
      </c>
      <c r="E375" t="inlineStr">
        <is>
          <t>NORRTÄLJE</t>
        </is>
      </c>
      <c r="G375" t="n">
        <v>7.1</v>
      </c>
      <c r="H375" t="n">
        <v>0</v>
      </c>
      <c r="I375" t="n">
        <v>0</v>
      </c>
      <c r="J375" t="n">
        <v>0</v>
      </c>
      <c r="K375" t="n">
        <v>0</v>
      </c>
      <c r="L375" t="n">
        <v>0</v>
      </c>
      <c r="M375" t="n">
        <v>0</v>
      </c>
      <c r="N375" t="n">
        <v>0</v>
      </c>
      <c r="O375" t="n">
        <v>0</v>
      </c>
      <c r="P375" t="n">
        <v>0</v>
      </c>
      <c r="Q375" t="n">
        <v>0</v>
      </c>
      <c r="R375" s="2" t="inlineStr"/>
    </row>
    <row r="376" ht="15" customHeight="1">
      <c r="A376" t="inlineStr">
        <is>
          <t>A 64293-2019</t>
        </is>
      </c>
      <c r="B376" s="1" t="n">
        <v>43797</v>
      </c>
      <c r="C376" s="1" t="n">
        <v>45730</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65640-2019</t>
        </is>
      </c>
      <c r="B377" s="1" t="n">
        <v>43804</v>
      </c>
      <c r="C377" s="1" t="n">
        <v>45730</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65998-2019</t>
        </is>
      </c>
      <c r="B378" s="1" t="n">
        <v>43805</v>
      </c>
      <c r="C378" s="1" t="n">
        <v>45730</v>
      </c>
      <c r="D378" t="inlineStr">
        <is>
          <t>STOCKHOLMS LÄN</t>
        </is>
      </c>
      <c r="E378" t="inlineStr">
        <is>
          <t>NORRTÄLJE</t>
        </is>
      </c>
      <c r="G378" t="n">
        <v>6.5</v>
      </c>
      <c r="H378" t="n">
        <v>0</v>
      </c>
      <c r="I378" t="n">
        <v>0</v>
      </c>
      <c r="J378" t="n">
        <v>0</v>
      </c>
      <c r="K378" t="n">
        <v>0</v>
      </c>
      <c r="L378" t="n">
        <v>0</v>
      </c>
      <c r="M378" t="n">
        <v>0</v>
      </c>
      <c r="N378" t="n">
        <v>0</v>
      </c>
      <c r="O378" t="n">
        <v>0</v>
      </c>
      <c r="P378" t="n">
        <v>0</v>
      </c>
      <c r="Q378" t="n">
        <v>0</v>
      </c>
      <c r="R378" s="2" t="inlineStr"/>
    </row>
    <row r="379" ht="15" customHeight="1">
      <c r="A379" t="inlineStr">
        <is>
          <t>A 66604-2019</t>
        </is>
      </c>
      <c r="B379" s="1" t="n">
        <v>43809</v>
      </c>
      <c r="C379" s="1" t="n">
        <v>45730</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67158-2019</t>
        </is>
      </c>
      <c r="B380" s="1" t="n">
        <v>43811</v>
      </c>
      <c r="C380" s="1" t="n">
        <v>45730</v>
      </c>
      <c r="D380" t="inlineStr">
        <is>
          <t>STOCKHOLMS LÄN</t>
        </is>
      </c>
      <c r="E380" t="inlineStr">
        <is>
          <t>NORRTÄLJE</t>
        </is>
      </c>
      <c r="G380" t="n">
        <v>4.4</v>
      </c>
      <c r="H380" t="n">
        <v>0</v>
      </c>
      <c r="I380" t="n">
        <v>0</v>
      </c>
      <c r="J380" t="n">
        <v>0</v>
      </c>
      <c r="K380" t="n">
        <v>0</v>
      </c>
      <c r="L380" t="n">
        <v>0</v>
      </c>
      <c r="M380" t="n">
        <v>0</v>
      </c>
      <c r="N380" t="n">
        <v>0</v>
      </c>
      <c r="O380" t="n">
        <v>0</v>
      </c>
      <c r="P380" t="n">
        <v>0</v>
      </c>
      <c r="Q380" t="n">
        <v>0</v>
      </c>
      <c r="R380" s="2" t="inlineStr"/>
    </row>
    <row r="381" ht="15" customHeight="1">
      <c r="A381" t="inlineStr">
        <is>
          <t>A 67324-2019</t>
        </is>
      </c>
      <c r="B381" s="1" t="n">
        <v>43812</v>
      </c>
      <c r="C381" s="1" t="n">
        <v>45730</v>
      </c>
      <c r="D381" t="inlineStr">
        <is>
          <t>STOCKHOLMS LÄN</t>
        </is>
      </c>
      <c r="E381" t="inlineStr">
        <is>
          <t>NORRTÄLJE</t>
        </is>
      </c>
      <c r="G381" t="n">
        <v>7.7</v>
      </c>
      <c r="H381" t="n">
        <v>0</v>
      </c>
      <c r="I381" t="n">
        <v>0</v>
      </c>
      <c r="J381" t="n">
        <v>0</v>
      </c>
      <c r="K381" t="n">
        <v>0</v>
      </c>
      <c r="L381" t="n">
        <v>0</v>
      </c>
      <c r="M381" t="n">
        <v>0</v>
      </c>
      <c r="N381" t="n">
        <v>0</v>
      </c>
      <c r="O381" t="n">
        <v>0</v>
      </c>
      <c r="P381" t="n">
        <v>0</v>
      </c>
      <c r="Q381" t="n">
        <v>0</v>
      </c>
      <c r="R381" s="2" t="inlineStr"/>
    </row>
    <row r="382" ht="15" customHeight="1">
      <c r="A382" t="inlineStr">
        <is>
          <t>A 68865-2019</t>
        </is>
      </c>
      <c r="B382" s="1" t="n">
        <v>43821</v>
      </c>
      <c r="C382" s="1" t="n">
        <v>45730</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1099-2020</t>
        </is>
      </c>
      <c r="B383" s="1" t="n">
        <v>43822</v>
      </c>
      <c r="C383" s="1" t="n">
        <v>45730</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4475-2020</t>
        </is>
      </c>
      <c r="B384" s="1" t="n">
        <v>43849</v>
      </c>
      <c r="C384" s="1" t="n">
        <v>45730</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3882-2020</t>
        </is>
      </c>
      <c r="B385" s="1" t="n">
        <v>43854</v>
      </c>
      <c r="C385" s="1" t="n">
        <v>45730</v>
      </c>
      <c r="D385" t="inlineStr">
        <is>
          <t>STOCKHOLMS LÄN</t>
        </is>
      </c>
      <c r="E385" t="inlineStr">
        <is>
          <t>NORRTÄLJE</t>
        </is>
      </c>
      <c r="G385" t="n">
        <v>5.9</v>
      </c>
      <c r="H385" t="n">
        <v>0</v>
      </c>
      <c r="I385" t="n">
        <v>0</v>
      </c>
      <c r="J385" t="n">
        <v>0</v>
      </c>
      <c r="K385" t="n">
        <v>0</v>
      </c>
      <c r="L385" t="n">
        <v>0</v>
      </c>
      <c r="M385" t="n">
        <v>0</v>
      </c>
      <c r="N385" t="n">
        <v>0</v>
      </c>
      <c r="O385" t="n">
        <v>0</v>
      </c>
      <c r="P385" t="n">
        <v>0</v>
      </c>
      <c r="Q385" t="n">
        <v>0</v>
      </c>
      <c r="R385" s="2" t="inlineStr"/>
    </row>
    <row r="386" ht="15" customHeight="1">
      <c r="A386" t="inlineStr">
        <is>
          <t>A 4094-2020</t>
        </is>
      </c>
      <c r="B386" s="1" t="n">
        <v>43857</v>
      </c>
      <c r="C386" s="1" t="n">
        <v>45730</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4950-2020</t>
        </is>
      </c>
      <c r="B387" s="1" t="n">
        <v>43859</v>
      </c>
      <c r="C387" s="1" t="n">
        <v>45730</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5084-2020</t>
        </is>
      </c>
      <c r="B388" s="1" t="n">
        <v>43859</v>
      </c>
      <c r="C388" s="1" t="n">
        <v>45730</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4952-2020</t>
        </is>
      </c>
      <c r="B389" s="1" t="n">
        <v>43859</v>
      </c>
      <c r="C389" s="1" t="n">
        <v>45730</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5735-2020</t>
        </is>
      </c>
      <c r="B390" s="1" t="n">
        <v>43863</v>
      </c>
      <c r="C390" s="1" t="n">
        <v>45730</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5733-2020</t>
        </is>
      </c>
      <c r="B391" s="1" t="n">
        <v>43863</v>
      </c>
      <c r="C391" s="1" t="n">
        <v>45730</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5739-2020</t>
        </is>
      </c>
      <c r="B392" s="1" t="n">
        <v>43863</v>
      </c>
      <c r="C392" s="1" t="n">
        <v>45730</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7471-2020</t>
        </is>
      </c>
      <c r="B393" s="1" t="n">
        <v>43871</v>
      </c>
      <c r="C393" s="1" t="n">
        <v>45730</v>
      </c>
      <c r="D393" t="inlineStr">
        <is>
          <t>STOCKHOLMS LÄN</t>
        </is>
      </c>
      <c r="E393" t="inlineStr">
        <is>
          <t>NORRTÄLJE</t>
        </is>
      </c>
      <c r="G393" t="n">
        <v>7.8</v>
      </c>
      <c r="H393" t="n">
        <v>0</v>
      </c>
      <c r="I393" t="n">
        <v>0</v>
      </c>
      <c r="J393" t="n">
        <v>0</v>
      </c>
      <c r="K393" t="n">
        <v>0</v>
      </c>
      <c r="L393" t="n">
        <v>0</v>
      </c>
      <c r="M393" t="n">
        <v>0</v>
      </c>
      <c r="N393" t="n">
        <v>0</v>
      </c>
      <c r="O393" t="n">
        <v>0</v>
      </c>
      <c r="P393" t="n">
        <v>0</v>
      </c>
      <c r="Q393" t="n">
        <v>0</v>
      </c>
      <c r="R393" s="2" t="inlineStr"/>
    </row>
    <row r="394" ht="15" customHeight="1">
      <c r="A394" t="inlineStr">
        <is>
          <t>A 9845-2020</t>
        </is>
      </c>
      <c r="B394" s="1" t="n">
        <v>43881</v>
      </c>
      <c r="C394" s="1" t="n">
        <v>45730</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10618-2020</t>
        </is>
      </c>
      <c r="B395" s="1" t="n">
        <v>43887</v>
      </c>
      <c r="C395" s="1" t="n">
        <v>45730</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11184-2020</t>
        </is>
      </c>
      <c r="B396" s="1" t="n">
        <v>43892</v>
      </c>
      <c r="C396" s="1" t="n">
        <v>45730</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11576-2020</t>
        </is>
      </c>
      <c r="B397" s="1" t="n">
        <v>43893</v>
      </c>
      <c r="C397" s="1" t="n">
        <v>45730</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12113-2020</t>
        </is>
      </c>
      <c r="B398" s="1" t="n">
        <v>43895</v>
      </c>
      <c r="C398" s="1" t="n">
        <v>45730</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12970-2020</t>
        </is>
      </c>
      <c r="B399" s="1" t="n">
        <v>43900</v>
      </c>
      <c r="C399" s="1" t="n">
        <v>45730</v>
      </c>
      <c r="D399" t="inlineStr">
        <is>
          <t>STOCKHOLMS LÄN</t>
        </is>
      </c>
      <c r="E399" t="inlineStr">
        <is>
          <t>NORRTÄLJE</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13230-2020</t>
        </is>
      </c>
      <c r="B400" s="1" t="n">
        <v>43901</v>
      </c>
      <c r="C400" s="1" t="n">
        <v>45730</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13287-2020</t>
        </is>
      </c>
      <c r="B401" s="1" t="n">
        <v>43901</v>
      </c>
      <c r="C401" s="1" t="n">
        <v>45730</v>
      </c>
      <c r="D401" t="inlineStr">
        <is>
          <t>STOCKHOLMS LÄN</t>
        </is>
      </c>
      <c r="E401" t="inlineStr">
        <is>
          <t>NORRTÄLJE</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13281-2020</t>
        </is>
      </c>
      <c r="B402" s="1" t="n">
        <v>43901</v>
      </c>
      <c r="C402" s="1" t="n">
        <v>45730</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13501-2020</t>
        </is>
      </c>
      <c r="B403" s="1" t="n">
        <v>43902</v>
      </c>
      <c r="C403" s="1" t="n">
        <v>45730</v>
      </c>
      <c r="D403" t="inlineStr">
        <is>
          <t>STOCKHOLMS LÄN</t>
        </is>
      </c>
      <c r="E403" t="inlineStr">
        <is>
          <t>NORRTÄLJE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13506-2020</t>
        </is>
      </c>
      <c r="B404" s="1" t="n">
        <v>43902</v>
      </c>
      <c r="C404" s="1" t="n">
        <v>45730</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14525-2020</t>
        </is>
      </c>
      <c r="B405" s="1" t="n">
        <v>43908</v>
      </c>
      <c r="C405" s="1" t="n">
        <v>45730</v>
      </c>
      <c r="D405" t="inlineStr">
        <is>
          <t>STOCKHOLMS LÄN</t>
        </is>
      </c>
      <c r="E405" t="inlineStr">
        <is>
          <t>NORRTÄLJE</t>
        </is>
      </c>
      <c r="G405" t="n">
        <v>10.2</v>
      </c>
      <c r="H405" t="n">
        <v>0</v>
      </c>
      <c r="I405" t="n">
        <v>0</v>
      </c>
      <c r="J405" t="n">
        <v>0</v>
      </c>
      <c r="K405" t="n">
        <v>0</v>
      </c>
      <c r="L405" t="n">
        <v>0</v>
      </c>
      <c r="M405" t="n">
        <v>0</v>
      </c>
      <c r="N405" t="n">
        <v>0</v>
      </c>
      <c r="O405" t="n">
        <v>0</v>
      </c>
      <c r="P405" t="n">
        <v>0</v>
      </c>
      <c r="Q405" t="n">
        <v>0</v>
      </c>
      <c r="R405" s="2" t="inlineStr"/>
    </row>
    <row r="406" ht="15" customHeight="1">
      <c r="A406" t="inlineStr">
        <is>
          <t>A 14831-2020</t>
        </is>
      </c>
      <c r="B406" s="1" t="n">
        <v>43909</v>
      </c>
      <c r="C406" s="1" t="n">
        <v>45730</v>
      </c>
      <c r="D406" t="inlineStr">
        <is>
          <t>STOCKHOLMS LÄN</t>
        </is>
      </c>
      <c r="E406" t="inlineStr">
        <is>
          <t>NORRTÄLJE</t>
        </is>
      </c>
      <c r="G406" t="n">
        <v>11.4</v>
      </c>
      <c r="H406" t="n">
        <v>0</v>
      </c>
      <c r="I406" t="n">
        <v>0</v>
      </c>
      <c r="J406" t="n">
        <v>0</v>
      </c>
      <c r="K406" t="n">
        <v>0</v>
      </c>
      <c r="L406" t="n">
        <v>0</v>
      </c>
      <c r="M406" t="n">
        <v>0</v>
      </c>
      <c r="N406" t="n">
        <v>0</v>
      </c>
      <c r="O406" t="n">
        <v>0</v>
      </c>
      <c r="P406" t="n">
        <v>0</v>
      </c>
      <c r="Q406" t="n">
        <v>0</v>
      </c>
      <c r="R406" s="2" t="inlineStr"/>
    </row>
    <row r="407" ht="15" customHeight="1">
      <c r="A407" t="inlineStr">
        <is>
          <t>A 15663-2020</t>
        </is>
      </c>
      <c r="B407" s="1" t="n">
        <v>43915</v>
      </c>
      <c r="C407" s="1" t="n">
        <v>45730</v>
      </c>
      <c r="D407" t="inlineStr">
        <is>
          <t>STOCKHOLMS LÄN</t>
        </is>
      </c>
      <c r="E407" t="inlineStr">
        <is>
          <t>NORRTÄLJE</t>
        </is>
      </c>
      <c r="G407" t="n">
        <v>11.1</v>
      </c>
      <c r="H407" t="n">
        <v>0</v>
      </c>
      <c r="I407" t="n">
        <v>0</v>
      </c>
      <c r="J407" t="n">
        <v>0</v>
      </c>
      <c r="K407" t="n">
        <v>0</v>
      </c>
      <c r="L407" t="n">
        <v>0</v>
      </c>
      <c r="M407" t="n">
        <v>0</v>
      </c>
      <c r="N407" t="n">
        <v>0</v>
      </c>
      <c r="O407" t="n">
        <v>0</v>
      </c>
      <c r="P407" t="n">
        <v>0</v>
      </c>
      <c r="Q407" t="n">
        <v>0</v>
      </c>
      <c r="R407" s="2" t="inlineStr"/>
    </row>
    <row r="408" ht="15" customHeight="1">
      <c r="A408" t="inlineStr">
        <is>
          <t>A 16273-2020</t>
        </is>
      </c>
      <c r="B408" s="1" t="n">
        <v>43917</v>
      </c>
      <c r="C408" s="1" t="n">
        <v>45730</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17965-2020</t>
        </is>
      </c>
      <c r="B409" s="1" t="n">
        <v>43925</v>
      </c>
      <c r="C409" s="1" t="n">
        <v>45730</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19258-2020</t>
        </is>
      </c>
      <c r="B410" s="1" t="n">
        <v>43937</v>
      </c>
      <c r="C410" s="1" t="n">
        <v>45730</v>
      </c>
      <c r="D410" t="inlineStr">
        <is>
          <t>STOCKHOLMS LÄN</t>
        </is>
      </c>
      <c r="E410" t="inlineStr">
        <is>
          <t>NORRTÄLJE</t>
        </is>
      </c>
      <c r="F410" t="inlineStr">
        <is>
          <t>Övriga statliga verk och myndigheter</t>
        </is>
      </c>
      <c r="G410" t="n">
        <v>2.9</v>
      </c>
      <c r="H410" t="n">
        <v>0</v>
      </c>
      <c r="I410" t="n">
        <v>0</v>
      </c>
      <c r="J410" t="n">
        <v>0</v>
      </c>
      <c r="K410" t="n">
        <v>0</v>
      </c>
      <c r="L410" t="n">
        <v>0</v>
      </c>
      <c r="M410" t="n">
        <v>0</v>
      </c>
      <c r="N410" t="n">
        <v>0</v>
      </c>
      <c r="O410" t="n">
        <v>0</v>
      </c>
      <c r="P410" t="n">
        <v>0</v>
      </c>
      <c r="Q410" t="n">
        <v>0</v>
      </c>
      <c r="R410" s="2" t="inlineStr"/>
    </row>
    <row r="411" ht="15" customHeight="1">
      <c r="A411" t="inlineStr">
        <is>
          <t>A 20257-2020</t>
        </is>
      </c>
      <c r="B411" s="1" t="n">
        <v>43944</v>
      </c>
      <c r="C411" s="1" t="n">
        <v>45730</v>
      </c>
      <c r="D411" t="inlineStr">
        <is>
          <t>STOCKHOLMS LÄN</t>
        </is>
      </c>
      <c r="E411" t="inlineStr">
        <is>
          <t>NORRTÄLJE</t>
        </is>
      </c>
      <c r="G411" t="n">
        <v>80.09999999999999</v>
      </c>
      <c r="H411" t="n">
        <v>0</v>
      </c>
      <c r="I411" t="n">
        <v>0</v>
      </c>
      <c r="J411" t="n">
        <v>0</v>
      </c>
      <c r="K411" t="n">
        <v>0</v>
      </c>
      <c r="L411" t="n">
        <v>0</v>
      </c>
      <c r="M411" t="n">
        <v>0</v>
      </c>
      <c r="N411" t="n">
        <v>0</v>
      </c>
      <c r="O411" t="n">
        <v>0</v>
      </c>
      <c r="P411" t="n">
        <v>0</v>
      </c>
      <c r="Q411" t="n">
        <v>0</v>
      </c>
      <c r="R411" s="2" t="inlineStr"/>
    </row>
    <row r="412" ht="15" customHeight="1">
      <c r="A412" t="inlineStr">
        <is>
          <t>A 21849-2020</t>
        </is>
      </c>
      <c r="B412" s="1" t="n">
        <v>43958</v>
      </c>
      <c r="C412" s="1" t="n">
        <v>45730</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21875-2020</t>
        </is>
      </c>
      <c r="B413" s="1" t="n">
        <v>43958</v>
      </c>
      <c r="C413" s="1" t="n">
        <v>45730</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23751-2020</t>
        </is>
      </c>
      <c r="B414" s="1" t="n">
        <v>43970</v>
      </c>
      <c r="C414" s="1" t="n">
        <v>45730</v>
      </c>
      <c r="D414" t="inlineStr">
        <is>
          <t>STOCKHOLMS LÄN</t>
        </is>
      </c>
      <c r="E414" t="inlineStr">
        <is>
          <t>NORRTÄLJE</t>
        </is>
      </c>
      <c r="G414" t="n">
        <v>5.6</v>
      </c>
      <c r="H414" t="n">
        <v>0</v>
      </c>
      <c r="I414" t="n">
        <v>0</v>
      </c>
      <c r="J414" t="n">
        <v>0</v>
      </c>
      <c r="K414" t="n">
        <v>0</v>
      </c>
      <c r="L414" t="n">
        <v>0</v>
      </c>
      <c r="M414" t="n">
        <v>0</v>
      </c>
      <c r="N414" t="n">
        <v>0</v>
      </c>
      <c r="O414" t="n">
        <v>0</v>
      </c>
      <c r="P414" t="n">
        <v>0</v>
      </c>
      <c r="Q414" t="n">
        <v>0</v>
      </c>
      <c r="R414" s="2" t="inlineStr"/>
    </row>
    <row r="415" ht="15" customHeight="1">
      <c r="A415" t="inlineStr">
        <is>
          <t>A 24136-2020</t>
        </is>
      </c>
      <c r="B415" s="1" t="n">
        <v>43973</v>
      </c>
      <c r="C415" s="1" t="n">
        <v>45730</v>
      </c>
      <c r="D415" t="inlineStr">
        <is>
          <t>STOCKHOLMS LÄN</t>
        </is>
      </c>
      <c r="E415" t="inlineStr">
        <is>
          <t>NORRTÄLJE</t>
        </is>
      </c>
      <c r="G415" t="n">
        <v>4.1</v>
      </c>
      <c r="H415" t="n">
        <v>0</v>
      </c>
      <c r="I415" t="n">
        <v>0</v>
      </c>
      <c r="J415" t="n">
        <v>0</v>
      </c>
      <c r="K415" t="n">
        <v>0</v>
      </c>
      <c r="L415" t="n">
        <v>0</v>
      </c>
      <c r="M415" t="n">
        <v>0</v>
      </c>
      <c r="N415" t="n">
        <v>0</v>
      </c>
      <c r="O415" t="n">
        <v>0</v>
      </c>
      <c r="P415" t="n">
        <v>0</v>
      </c>
      <c r="Q415" t="n">
        <v>0</v>
      </c>
      <c r="R415" s="2" t="inlineStr"/>
    </row>
    <row r="416" ht="15" customHeight="1">
      <c r="A416" t="inlineStr">
        <is>
          <t>A 25584-2020</t>
        </is>
      </c>
      <c r="B416" s="1" t="n">
        <v>43983</v>
      </c>
      <c r="C416" s="1" t="n">
        <v>45730</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25589-2020</t>
        </is>
      </c>
      <c r="B417" s="1" t="n">
        <v>43983</v>
      </c>
      <c r="C417" s="1" t="n">
        <v>45730</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25897-2020</t>
        </is>
      </c>
      <c r="B418" s="1" t="n">
        <v>43984</v>
      </c>
      <c r="C418" s="1" t="n">
        <v>45730</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30600-2020</t>
        </is>
      </c>
      <c r="B419" s="1" t="n">
        <v>44008</v>
      </c>
      <c r="C419" s="1" t="n">
        <v>45730</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31783-2020</t>
        </is>
      </c>
      <c r="B420" s="1" t="n">
        <v>44014</v>
      </c>
      <c r="C420" s="1" t="n">
        <v>45730</v>
      </c>
      <c r="D420" t="inlineStr">
        <is>
          <t>STOCKHOLMS LÄN</t>
        </is>
      </c>
      <c r="E420" t="inlineStr">
        <is>
          <t>NORRTÄLJE</t>
        </is>
      </c>
      <c r="G420" t="n">
        <v>4.8</v>
      </c>
      <c r="H420" t="n">
        <v>0</v>
      </c>
      <c r="I420" t="n">
        <v>0</v>
      </c>
      <c r="J420" t="n">
        <v>0</v>
      </c>
      <c r="K420" t="n">
        <v>0</v>
      </c>
      <c r="L420" t="n">
        <v>0</v>
      </c>
      <c r="M420" t="n">
        <v>0</v>
      </c>
      <c r="N420" t="n">
        <v>0</v>
      </c>
      <c r="O420" t="n">
        <v>0</v>
      </c>
      <c r="P420" t="n">
        <v>0</v>
      </c>
      <c r="Q420" t="n">
        <v>0</v>
      </c>
      <c r="R420" s="2" t="inlineStr"/>
    </row>
    <row r="421" ht="15" customHeight="1">
      <c r="A421" t="inlineStr">
        <is>
          <t>A 33749-2020</t>
        </is>
      </c>
      <c r="B421" s="1" t="n">
        <v>44026</v>
      </c>
      <c r="C421" s="1" t="n">
        <v>45730</v>
      </c>
      <c r="D421" t="inlineStr">
        <is>
          <t>STOCKHOLMS LÄN</t>
        </is>
      </c>
      <c r="E421" t="inlineStr">
        <is>
          <t>NORRTÄLJE</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34651-2020</t>
        </is>
      </c>
      <c r="B422" s="1" t="n">
        <v>44034</v>
      </c>
      <c r="C422" s="1" t="n">
        <v>45730</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34650-2020</t>
        </is>
      </c>
      <c r="B423" s="1" t="n">
        <v>44034</v>
      </c>
      <c r="C423" s="1" t="n">
        <v>45730</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36314-2020</t>
        </is>
      </c>
      <c r="B424" s="1" t="n">
        <v>44049</v>
      </c>
      <c r="C424" s="1" t="n">
        <v>45730</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36359-2020</t>
        </is>
      </c>
      <c r="B425" s="1" t="n">
        <v>44049</v>
      </c>
      <c r="C425" s="1" t="n">
        <v>45730</v>
      </c>
      <c r="D425" t="inlineStr">
        <is>
          <t>STOCKHOLMS LÄN</t>
        </is>
      </c>
      <c r="E425" t="inlineStr">
        <is>
          <t>NORRTÄLJE</t>
        </is>
      </c>
      <c r="G425" t="n">
        <v>6.5</v>
      </c>
      <c r="H425" t="n">
        <v>0</v>
      </c>
      <c r="I425" t="n">
        <v>0</v>
      </c>
      <c r="J425" t="n">
        <v>0</v>
      </c>
      <c r="K425" t="n">
        <v>0</v>
      </c>
      <c r="L425" t="n">
        <v>0</v>
      </c>
      <c r="M425" t="n">
        <v>0</v>
      </c>
      <c r="N425" t="n">
        <v>0</v>
      </c>
      <c r="O425" t="n">
        <v>0</v>
      </c>
      <c r="P425" t="n">
        <v>0</v>
      </c>
      <c r="Q425" t="n">
        <v>0</v>
      </c>
      <c r="R425" s="2" t="inlineStr"/>
    </row>
    <row r="426" ht="15" customHeight="1">
      <c r="A426" t="inlineStr">
        <is>
          <t>A 40837-2020</t>
        </is>
      </c>
      <c r="B426" s="1" t="n">
        <v>44067</v>
      </c>
      <c r="C426" s="1" t="n">
        <v>45730</v>
      </c>
      <c r="D426" t="inlineStr">
        <is>
          <t>STOCKHOLMS LÄN</t>
        </is>
      </c>
      <c r="E426" t="inlineStr">
        <is>
          <t>NORRTÄLJE</t>
        </is>
      </c>
      <c r="G426" t="n">
        <v>20.6</v>
      </c>
      <c r="H426" t="n">
        <v>0</v>
      </c>
      <c r="I426" t="n">
        <v>0</v>
      </c>
      <c r="J426" t="n">
        <v>0</v>
      </c>
      <c r="K426" t="n">
        <v>0</v>
      </c>
      <c r="L426" t="n">
        <v>0</v>
      </c>
      <c r="M426" t="n">
        <v>0</v>
      </c>
      <c r="N426" t="n">
        <v>0</v>
      </c>
      <c r="O426" t="n">
        <v>0</v>
      </c>
      <c r="P426" t="n">
        <v>0</v>
      </c>
      <c r="Q426" t="n">
        <v>0</v>
      </c>
      <c r="R426" s="2" t="inlineStr"/>
    </row>
    <row r="427" ht="15" customHeight="1">
      <c r="A427" t="inlineStr">
        <is>
          <t>A 40661-2020</t>
        </is>
      </c>
      <c r="B427" s="1" t="n">
        <v>44069</v>
      </c>
      <c r="C427" s="1" t="n">
        <v>45730</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42247-2020</t>
        </is>
      </c>
      <c r="B428" s="1" t="n">
        <v>44074</v>
      </c>
      <c r="C428" s="1" t="n">
        <v>45730</v>
      </c>
      <c r="D428" t="inlineStr">
        <is>
          <t>STOCKHOLMS LÄN</t>
        </is>
      </c>
      <c r="E428" t="inlineStr">
        <is>
          <t>NORRTÄLJE</t>
        </is>
      </c>
      <c r="G428" t="n">
        <v>1.4</v>
      </c>
      <c r="H428" t="n">
        <v>0</v>
      </c>
      <c r="I428" t="n">
        <v>0</v>
      </c>
      <c r="J428" t="n">
        <v>0</v>
      </c>
      <c r="K428" t="n">
        <v>0</v>
      </c>
      <c r="L428" t="n">
        <v>0</v>
      </c>
      <c r="M428" t="n">
        <v>0</v>
      </c>
      <c r="N428" t="n">
        <v>0</v>
      </c>
      <c r="O428" t="n">
        <v>0</v>
      </c>
      <c r="P428" t="n">
        <v>0</v>
      </c>
      <c r="Q428" t="n">
        <v>0</v>
      </c>
      <c r="R428" s="2" t="inlineStr"/>
    </row>
    <row r="429" ht="15" customHeight="1">
      <c r="A429" t="inlineStr">
        <is>
          <t>A 42256-2020</t>
        </is>
      </c>
      <c r="B429" s="1" t="n">
        <v>44074</v>
      </c>
      <c r="C429" s="1" t="n">
        <v>45730</v>
      </c>
      <c r="D429" t="inlineStr">
        <is>
          <t>STOCKHOLMS LÄN</t>
        </is>
      </c>
      <c r="E429" t="inlineStr">
        <is>
          <t>NORRTÄLJE</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41694-2020</t>
        </is>
      </c>
      <c r="B430" s="1" t="n">
        <v>44074</v>
      </c>
      <c r="C430" s="1" t="n">
        <v>45730</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42365-2020</t>
        </is>
      </c>
      <c r="B431" s="1" t="n">
        <v>44076</v>
      </c>
      <c r="C431" s="1" t="n">
        <v>45730</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45730</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42455-2020</t>
        </is>
      </c>
      <c r="B433" s="1" t="n">
        <v>44076</v>
      </c>
      <c r="C433" s="1" t="n">
        <v>45730</v>
      </c>
      <c r="D433" t="inlineStr">
        <is>
          <t>STOCKHOLMS LÄN</t>
        </is>
      </c>
      <c r="E433" t="inlineStr">
        <is>
          <t>NORRTÄLJE</t>
        </is>
      </c>
      <c r="G433" t="n">
        <v>1.9</v>
      </c>
      <c r="H433" t="n">
        <v>0</v>
      </c>
      <c r="I433" t="n">
        <v>0</v>
      </c>
      <c r="J433" t="n">
        <v>0</v>
      </c>
      <c r="K433" t="n">
        <v>0</v>
      </c>
      <c r="L433" t="n">
        <v>0</v>
      </c>
      <c r="M433" t="n">
        <v>0</v>
      </c>
      <c r="N433" t="n">
        <v>0</v>
      </c>
      <c r="O433" t="n">
        <v>0</v>
      </c>
      <c r="P433" t="n">
        <v>0</v>
      </c>
      <c r="Q433" t="n">
        <v>0</v>
      </c>
      <c r="R433" s="2" t="inlineStr"/>
    </row>
    <row r="434" ht="15" customHeight="1">
      <c r="A434" t="inlineStr">
        <is>
          <t>A 43751-2020</t>
        </is>
      </c>
      <c r="B434" s="1" t="n">
        <v>44082</v>
      </c>
      <c r="C434" s="1" t="n">
        <v>45730</v>
      </c>
      <c r="D434" t="inlineStr">
        <is>
          <t>STOCKHOLMS LÄN</t>
        </is>
      </c>
      <c r="E434" t="inlineStr">
        <is>
          <t>NORRTÄLJE</t>
        </is>
      </c>
      <c r="G434" t="n">
        <v>8</v>
      </c>
      <c r="H434" t="n">
        <v>0</v>
      </c>
      <c r="I434" t="n">
        <v>0</v>
      </c>
      <c r="J434" t="n">
        <v>0</v>
      </c>
      <c r="K434" t="n">
        <v>0</v>
      </c>
      <c r="L434" t="n">
        <v>0</v>
      </c>
      <c r="M434" t="n">
        <v>0</v>
      </c>
      <c r="N434" t="n">
        <v>0</v>
      </c>
      <c r="O434" t="n">
        <v>0</v>
      </c>
      <c r="P434" t="n">
        <v>0</v>
      </c>
      <c r="Q434" t="n">
        <v>0</v>
      </c>
      <c r="R434" s="2" t="inlineStr"/>
    </row>
    <row r="435" ht="15" customHeight="1">
      <c r="A435" t="inlineStr">
        <is>
          <t>A 44096-2020</t>
        </is>
      </c>
      <c r="B435" s="1" t="n">
        <v>44083</v>
      </c>
      <c r="C435" s="1" t="n">
        <v>45730</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44071-2020</t>
        </is>
      </c>
      <c r="B436" s="1" t="n">
        <v>44083</v>
      </c>
      <c r="C436" s="1" t="n">
        <v>45730</v>
      </c>
      <c r="D436" t="inlineStr">
        <is>
          <t>STOCKHOLMS LÄN</t>
        </is>
      </c>
      <c r="E436" t="inlineStr">
        <is>
          <t>NORRTÄLJE</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44183-2020</t>
        </is>
      </c>
      <c r="B437" s="1" t="n">
        <v>44083</v>
      </c>
      <c r="C437" s="1" t="n">
        <v>45730</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44792-2020</t>
        </is>
      </c>
      <c r="B438" s="1" t="n">
        <v>44085</v>
      </c>
      <c r="C438" s="1" t="n">
        <v>45730</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45988-2020</t>
        </is>
      </c>
      <c r="B439" s="1" t="n">
        <v>44091</v>
      </c>
      <c r="C439" s="1" t="n">
        <v>45730</v>
      </c>
      <c r="D439" t="inlineStr">
        <is>
          <t>STOCKHOLMS LÄN</t>
        </is>
      </c>
      <c r="E439" t="inlineStr">
        <is>
          <t>NORRTÄLJE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46556-2020</t>
        </is>
      </c>
      <c r="B440" s="1" t="n">
        <v>44095</v>
      </c>
      <c r="C440" s="1" t="n">
        <v>45730</v>
      </c>
      <c r="D440" t="inlineStr">
        <is>
          <t>STOCKHOLMS LÄN</t>
        </is>
      </c>
      <c r="E440" t="inlineStr">
        <is>
          <t>NORRTÄLJE</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47291-2020</t>
        </is>
      </c>
      <c r="B441" s="1" t="n">
        <v>44097</v>
      </c>
      <c r="C441" s="1" t="n">
        <v>45730</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48392-2020</t>
        </is>
      </c>
      <c r="B442" s="1" t="n">
        <v>44097</v>
      </c>
      <c r="C442" s="1" t="n">
        <v>45730</v>
      </c>
      <c r="D442" t="inlineStr">
        <is>
          <t>STOCKHOLMS LÄN</t>
        </is>
      </c>
      <c r="E442" t="inlineStr">
        <is>
          <t>NORRTÄLJE</t>
        </is>
      </c>
      <c r="G442" t="n">
        <v>12.5</v>
      </c>
      <c r="H442" t="n">
        <v>0</v>
      </c>
      <c r="I442" t="n">
        <v>0</v>
      </c>
      <c r="J442" t="n">
        <v>0</v>
      </c>
      <c r="K442" t="n">
        <v>0</v>
      </c>
      <c r="L442" t="n">
        <v>0</v>
      </c>
      <c r="M442" t="n">
        <v>0</v>
      </c>
      <c r="N442" t="n">
        <v>0</v>
      </c>
      <c r="O442" t="n">
        <v>0</v>
      </c>
      <c r="P442" t="n">
        <v>0</v>
      </c>
      <c r="Q442" t="n">
        <v>0</v>
      </c>
      <c r="R442" s="2" t="inlineStr"/>
    </row>
    <row r="443" ht="15" customHeight="1">
      <c r="A443" t="inlineStr">
        <is>
          <t>A 47869-2020</t>
        </is>
      </c>
      <c r="B443" s="1" t="n">
        <v>44098</v>
      </c>
      <c r="C443" s="1" t="n">
        <v>45730</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47868-2020</t>
        </is>
      </c>
      <c r="B444" s="1" t="n">
        <v>44098</v>
      </c>
      <c r="C444" s="1" t="n">
        <v>45730</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48066-2020</t>
        </is>
      </c>
      <c r="B445" s="1" t="n">
        <v>44100</v>
      </c>
      <c r="C445" s="1" t="n">
        <v>45730</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48071-2020</t>
        </is>
      </c>
      <c r="B446" s="1" t="n">
        <v>44100</v>
      </c>
      <c r="C446" s="1" t="n">
        <v>45730</v>
      </c>
      <c r="D446" t="inlineStr">
        <is>
          <t>STOCKHOLMS LÄN</t>
        </is>
      </c>
      <c r="E446" t="inlineStr">
        <is>
          <t>NORRTÄLJE</t>
        </is>
      </c>
      <c r="G446" t="n">
        <v>6.8</v>
      </c>
      <c r="H446" t="n">
        <v>0</v>
      </c>
      <c r="I446" t="n">
        <v>0</v>
      </c>
      <c r="J446" t="n">
        <v>0</v>
      </c>
      <c r="K446" t="n">
        <v>0</v>
      </c>
      <c r="L446" t="n">
        <v>0</v>
      </c>
      <c r="M446" t="n">
        <v>0</v>
      </c>
      <c r="N446" t="n">
        <v>0</v>
      </c>
      <c r="O446" t="n">
        <v>0</v>
      </c>
      <c r="P446" t="n">
        <v>0</v>
      </c>
      <c r="Q446" t="n">
        <v>0</v>
      </c>
      <c r="R446" s="2" t="inlineStr"/>
    </row>
    <row r="447" ht="15" customHeight="1">
      <c r="A447" t="inlineStr">
        <is>
          <t>A 48496-2020</t>
        </is>
      </c>
      <c r="B447" s="1" t="n">
        <v>44103</v>
      </c>
      <c r="C447" s="1" t="n">
        <v>45730</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48522-2020</t>
        </is>
      </c>
      <c r="B448" s="1" t="n">
        <v>44103</v>
      </c>
      <c r="C448" s="1" t="n">
        <v>45730</v>
      </c>
      <c r="D448" t="inlineStr">
        <is>
          <t>STOCKHOLMS LÄN</t>
        </is>
      </c>
      <c r="E448" t="inlineStr">
        <is>
          <t>NORRTÄLJE</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49334-2020</t>
        </is>
      </c>
      <c r="B449" s="1" t="n">
        <v>44105</v>
      </c>
      <c r="C449" s="1" t="n">
        <v>45730</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49327-2020</t>
        </is>
      </c>
      <c r="B450" s="1" t="n">
        <v>44105</v>
      </c>
      <c r="C450" s="1" t="n">
        <v>45730</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49898-2020</t>
        </is>
      </c>
      <c r="B451" s="1" t="n">
        <v>44108</v>
      </c>
      <c r="C451" s="1" t="n">
        <v>45730</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50497-2020</t>
        </is>
      </c>
      <c r="B452" s="1" t="n">
        <v>44110</v>
      </c>
      <c r="C452" s="1" t="n">
        <v>45730</v>
      </c>
      <c r="D452" t="inlineStr">
        <is>
          <t>STOCKHOLMS LÄN</t>
        </is>
      </c>
      <c r="E452" t="inlineStr">
        <is>
          <t>NORRTÄLJE</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50738-2020</t>
        </is>
      </c>
      <c r="B453" s="1" t="n">
        <v>44111</v>
      </c>
      <c r="C453" s="1" t="n">
        <v>45730</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50746-2020</t>
        </is>
      </c>
      <c r="B454" s="1" t="n">
        <v>44111</v>
      </c>
      <c r="C454" s="1" t="n">
        <v>45730</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50742-2020</t>
        </is>
      </c>
      <c r="B455" s="1" t="n">
        <v>44111</v>
      </c>
      <c r="C455" s="1" t="n">
        <v>45730</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51720-2020</t>
        </is>
      </c>
      <c r="B456" s="1" t="n">
        <v>44113</v>
      </c>
      <c r="C456" s="1" t="n">
        <v>45730</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51787-2020</t>
        </is>
      </c>
      <c r="B457" s="1" t="n">
        <v>44116</v>
      </c>
      <c r="C457" s="1" t="n">
        <v>45730</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51798-2020</t>
        </is>
      </c>
      <c r="B458" s="1" t="n">
        <v>44116</v>
      </c>
      <c r="C458" s="1" t="n">
        <v>45730</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53768-2020</t>
        </is>
      </c>
      <c r="B459" s="1" t="n">
        <v>44123</v>
      </c>
      <c r="C459" s="1" t="n">
        <v>45730</v>
      </c>
      <c r="D459" t="inlineStr">
        <is>
          <t>STOCKHOLMS LÄN</t>
        </is>
      </c>
      <c r="E459" t="inlineStr">
        <is>
          <t>NORRTÄLJE</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53652-2020</t>
        </is>
      </c>
      <c r="B460" s="1" t="n">
        <v>44124</v>
      </c>
      <c r="C460" s="1" t="n">
        <v>45730</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53690-2020</t>
        </is>
      </c>
      <c r="B461" s="1" t="n">
        <v>44124</v>
      </c>
      <c r="C461" s="1" t="n">
        <v>45730</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53607-2020</t>
        </is>
      </c>
      <c r="B462" s="1" t="n">
        <v>44124</v>
      </c>
      <c r="C462" s="1" t="n">
        <v>45730</v>
      </c>
      <c r="D462" t="inlineStr">
        <is>
          <t>STOCKHOLMS LÄN</t>
        </is>
      </c>
      <c r="E462" t="inlineStr">
        <is>
          <t>NORRTÄLJE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55089-2020</t>
        </is>
      </c>
      <c r="B463" s="1" t="n">
        <v>44130</v>
      </c>
      <c r="C463" s="1" t="n">
        <v>45730</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55895-2020</t>
        </is>
      </c>
      <c r="B464" s="1" t="n">
        <v>44132</v>
      </c>
      <c r="C464" s="1" t="n">
        <v>45730</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55890-2020</t>
        </is>
      </c>
      <c r="B465" s="1" t="n">
        <v>44132</v>
      </c>
      <c r="C465" s="1" t="n">
        <v>45730</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55982-2020</t>
        </is>
      </c>
      <c r="B466" s="1" t="n">
        <v>44132</v>
      </c>
      <c r="C466" s="1" t="n">
        <v>45730</v>
      </c>
      <c r="D466" t="inlineStr">
        <is>
          <t>STOCKHOLMS LÄN</t>
        </is>
      </c>
      <c r="E466" t="inlineStr">
        <is>
          <t>NORRTÄLJE</t>
        </is>
      </c>
      <c r="G466" t="n">
        <v>11.3</v>
      </c>
      <c r="H466" t="n">
        <v>0</v>
      </c>
      <c r="I466" t="n">
        <v>0</v>
      </c>
      <c r="J466" t="n">
        <v>0</v>
      </c>
      <c r="K466" t="n">
        <v>0</v>
      </c>
      <c r="L466" t="n">
        <v>0</v>
      </c>
      <c r="M466" t="n">
        <v>0</v>
      </c>
      <c r="N466" t="n">
        <v>0</v>
      </c>
      <c r="O466" t="n">
        <v>0</v>
      </c>
      <c r="P466" t="n">
        <v>0</v>
      </c>
      <c r="Q466" t="n">
        <v>0</v>
      </c>
      <c r="R466" s="2" t="inlineStr"/>
    </row>
    <row r="467" ht="15" customHeight="1">
      <c r="A467" t="inlineStr">
        <is>
          <t>A 56166-2020</t>
        </is>
      </c>
      <c r="B467" s="1" t="n">
        <v>44133</v>
      </c>
      <c r="C467" s="1" t="n">
        <v>45730</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56323-2020</t>
        </is>
      </c>
      <c r="B468" s="1" t="n">
        <v>44134</v>
      </c>
      <c r="C468" s="1" t="n">
        <v>45730</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57216-2020</t>
        </is>
      </c>
      <c r="B469" s="1" t="n">
        <v>44139</v>
      </c>
      <c r="C469" s="1" t="n">
        <v>45730</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57957-2020</t>
        </is>
      </c>
      <c r="B470" s="1" t="n">
        <v>44143</v>
      </c>
      <c r="C470" s="1" t="n">
        <v>45730</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57987-2020</t>
        </is>
      </c>
      <c r="B471" s="1" t="n">
        <v>44143</v>
      </c>
      <c r="C471" s="1" t="n">
        <v>45730</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58493-2020</t>
        </is>
      </c>
      <c r="B472" s="1" t="n">
        <v>44145</v>
      </c>
      <c r="C472" s="1" t="n">
        <v>45730</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58661-2020</t>
        </is>
      </c>
      <c r="B473" s="1" t="n">
        <v>44145</v>
      </c>
      <c r="C473" s="1" t="n">
        <v>45730</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58665-2020</t>
        </is>
      </c>
      <c r="B474" s="1" t="n">
        <v>44145</v>
      </c>
      <c r="C474" s="1" t="n">
        <v>45730</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58888-2020</t>
        </is>
      </c>
      <c r="B475" s="1" t="n">
        <v>44146</v>
      </c>
      <c r="C475" s="1" t="n">
        <v>45730</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60321-2020</t>
        </is>
      </c>
      <c r="B476" s="1" t="n">
        <v>44152</v>
      </c>
      <c r="C476" s="1" t="n">
        <v>45730</v>
      </c>
      <c r="D476" t="inlineStr">
        <is>
          <t>STOCKHOLMS LÄN</t>
        </is>
      </c>
      <c r="E476" t="inlineStr">
        <is>
          <t>NORRTÄLJE</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60542-2020</t>
        </is>
      </c>
      <c r="B477" s="1" t="n">
        <v>44153</v>
      </c>
      <c r="C477" s="1" t="n">
        <v>45730</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60977-2020</t>
        </is>
      </c>
      <c r="B478" s="1" t="n">
        <v>44154</v>
      </c>
      <c r="C478" s="1" t="n">
        <v>45730</v>
      </c>
      <c r="D478" t="inlineStr">
        <is>
          <t>STOCKHOLMS LÄN</t>
        </is>
      </c>
      <c r="E478" t="inlineStr">
        <is>
          <t>NORRTÄLJE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60891-2020</t>
        </is>
      </c>
      <c r="B479" s="1" t="n">
        <v>44154</v>
      </c>
      <c r="C479" s="1" t="n">
        <v>45730</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60961-2020</t>
        </is>
      </c>
      <c r="B480" s="1" t="n">
        <v>44154</v>
      </c>
      <c r="C480" s="1" t="n">
        <v>45730</v>
      </c>
      <c r="D480" t="inlineStr">
        <is>
          <t>STOCKHOLMS LÄN</t>
        </is>
      </c>
      <c r="E480" t="inlineStr">
        <is>
          <t>NORRTÄLJE</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61195-2020</t>
        </is>
      </c>
      <c r="B481" s="1" t="n">
        <v>44155</v>
      </c>
      <c r="C481" s="1" t="n">
        <v>45730</v>
      </c>
      <c r="D481" t="inlineStr">
        <is>
          <t>STOCKHOLMS LÄN</t>
        </is>
      </c>
      <c r="E481" t="inlineStr">
        <is>
          <t>NORRTÄLJE</t>
        </is>
      </c>
      <c r="G481" t="n">
        <v>7.8</v>
      </c>
      <c r="H481" t="n">
        <v>0</v>
      </c>
      <c r="I481" t="n">
        <v>0</v>
      </c>
      <c r="J481" t="n">
        <v>0</v>
      </c>
      <c r="K481" t="n">
        <v>0</v>
      </c>
      <c r="L481" t="n">
        <v>0</v>
      </c>
      <c r="M481" t="n">
        <v>0</v>
      </c>
      <c r="N481" t="n">
        <v>0</v>
      </c>
      <c r="O481" t="n">
        <v>0</v>
      </c>
      <c r="P481" t="n">
        <v>0</v>
      </c>
      <c r="Q481" t="n">
        <v>0</v>
      </c>
      <c r="R481" s="2" t="inlineStr"/>
    </row>
    <row r="482" ht="15" customHeight="1">
      <c r="A482" t="inlineStr">
        <is>
          <t>A 61221-2020</t>
        </is>
      </c>
      <c r="B482" s="1" t="n">
        <v>44155</v>
      </c>
      <c r="C482" s="1" t="n">
        <v>45730</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61363-2020</t>
        </is>
      </c>
      <c r="B483" s="1" t="n">
        <v>44155</v>
      </c>
      <c r="C483" s="1" t="n">
        <v>45730</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61469-2020</t>
        </is>
      </c>
      <c r="B484" s="1" t="n">
        <v>44155</v>
      </c>
      <c r="C484" s="1" t="n">
        <v>45730</v>
      </c>
      <c r="D484" t="inlineStr">
        <is>
          <t>STOCKHOLMS LÄN</t>
        </is>
      </c>
      <c r="E484" t="inlineStr">
        <is>
          <t>NORRTÄLJE</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61192-2020</t>
        </is>
      </c>
      <c r="B485" s="1" t="n">
        <v>44155</v>
      </c>
      <c r="C485" s="1" t="n">
        <v>45730</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62460-2020</t>
        </is>
      </c>
      <c r="B486" s="1" t="n">
        <v>44160</v>
      </c>
      <c r="C486" s="1" t="n">
        <v>45730</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62854-2020</t>
        </is>
      </c>
      <c r="B487" s="1" t="n">
        <v>44161</v>
      </c>
      <c r="C487" s="1" t="n">
        <v>45730</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63824-2020</t>
        </is>
      </c>
      <c r="B488" s="1" t="n">
        <v>44162</v>
      </c>
      <c r="C488" s="1" t="n">
        <v>45730</v>
      </c>
      <c r="D488" t="inlineStr">
        <is>
          <t>STOCKHOLMS LÄN</t>
        </is>
      </c>
      <c r="E488" t="inlineStr">
        <is>
          <t>NORRTÄLJE</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66372-2020</t>
        </is>
      </c>
      <c r="B489" s="1" t="n">
        <v>44176</v>
      </c>
      <c r="C489" s="1" t="n">
        <v>45730</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45730</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67393-2020</t>
        </is>
      </c>
      <c r="B491" s="1" t="n">
        <v>44181</v>
      </c>
      <c r="C491" s="1" t="n">
        <v>45730</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68081-2020</t>
        </is>
      </c>
      <c r="B492" s="1" t="n">
        <v>44183</v>
      </c>
      <c r="C492" s="1" t="n">
        <v>45730</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367-2021</t>
        </is>
      </c>
      <c r="B493" s="1" t="n">
        <v>44201</v>
      </c>
      <c r="C493" s="1" t="n">
        <v>45730</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348-2021</t>
        </is>
      </c>
      <c r="B494" s="1" t="n">
        <v>44201</v>
      </c>
      <c r="C494" s="1" t="n">
        <v>45730</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1637-2021</t>
        </is>
      </c>
      <c r="B495" s="1" t="n">
        <v>44209</v>
      </c>
      <c r="C495" s="1" t="n">
        <v>45730</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1970-2021</t>
        </is>
      </c>
      <c r="B496" s="1" t="n">
        <v>44210</v>
      </c>
      <c r="C496" s="1" t="n">
        <v>45730</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45730</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2976-2021</t>
        </is>
      </c>
      <c r="B498" s="1" t="n">
        <v>44216</v>
      </c>
      <c r="C498" s="1" t="n">
        <v>45730</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3143-2021</t>
        </is>
      </c>
      <c r="B499" s="1" t="n">
        <v>44217</v>
      </c>
      <c r="C499" s="1" t="n">
        <v>45730</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45730</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45730</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4632-2021</t>
        </is>
      </c>
      <c r="B502" s="1" t="n">
        <v>44224</v>
      </c>
      <c r="C502" s="1" t="n">
        <v>45730</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5037-2021</t>
        </is>
      </c>
      <c r="B503" s="1" t="n">
        <v>44228</v>
      </c>
      <c r="C503" s="1" t="n">
        <v>45730</v>
      </c>
      <c r="D503" t="inlineStr">
        <is>
          <t>STOCKHOLMS LÄN</t>
        </is>
      </c>
      <c r="E503" t="inlineStr">
        <is>
          <t>NORRTÄLJE</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5562-2021</t>
        </is>
      </c>
      <c r="B504" s="1" t="n">
        <v>44230</v>
      </c>
      <c r="C504" s="1" t="n">
        <v>45730</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5566-2021</t>
        </is>
      </c>
      <c r="B505" s="1" t="n">
        <v>44230</v>
      </c>
      <c r="C505" s="1" t="n">
        <v>45730</v>
      </c>
      <c r="D505" t="inlineStr">
        <is>
          <t>STOCKHOLMS LÄN</t>
        </is>
      </c>
      <c r="E505" t="inlineStr">
        <is>
          <t>NORRTÄLJE</t>
        </is>
      </c>
      <c r="G505" t="n">
        <v>3.1</v>
      </c>
      <c r="H505" t="n">
        <v>0</v>
      </c>
      <c r="I505" t="n">
        <v>0</v>
      </c>
      <c r="J505" t="n">
        <v>0</v>
      </c>
      <c r="K505" t="n">
        <v>0</v>
      </c>
      <c r="L505" t="n">
        <v>0</v>
      </c>
      <c r="M505" t="n">
        <v>0</v>
      </c>
      <c r="N505" t="n">
        <v>0</v>
      </c>
      <c r="O505" t="n">
        <v>0</v>
      </c>
      <c r="P505" t="n">
        <v>0</v>
      </c>
      <c r="Q505" t="n">
        <v>0</v>
      </c>
      <c r="R505" s="2" t="inlineStr"/>
    </row>
    <row r="506" ht="15" customHeight="1">
      <c r="A506" t="inlineStr">
        <is>
          <t>A 5950-2021</t>
        </is>
      </c>
      <c r="B506" s="1" t="n">
        <v>44231</v>
      </c>
      <c r="C506" s="1" t="n">
        <v>45730</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6049-2021</t>
        </is>
      </c>
      <c r="B507" s="1" t="n">
        <v>44231</v>
      </c>
      <c r="C507" s="1" t="n">
        <v>45730</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v>
      </c>
      <c r="C508" s="1" t="n">
        <v>45730</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7999-2021</t>
        </is>
      </c>
      <c r="B509" s="1" t="n">
        <v>44243</v>
      </c>
      <c r="C509" s="1" t="n">
        <v>45730</v>
      </c>
      <c r="D509" t="inlineStr">
        <is>
          <t>STOCKHOLMS LÄN</t>
        </is>
      </c>
      <c r="E509" t="inlineStr">
        <is>
          <t>NORRTÄLJE</t>
        </is>
      </c>
      <c r="G509" t="n">
        <v>6.8</v>
      </c>
      <c r="H509" t="n">
        <v>0</v>
      </c>
      <c r="I509" t="n">
        <v>0</v>
      </c>
      <c r="J509" t="n">
        <v>0</v>
      </c>
      <c r="K509" t="n">
        <v>0</v>
      </c>
      <c r="L509" t="n">
        <v>0</v>
      </c>
      <c r="M509" t="n">
        <v>0</v>
      </c>
      <c r="N509" t="n">
        <v>0</v>
      </c>
      <c r="O509" t="n">
        <v>0</v>
      </c>
      <c r="P509" t="n">
        <v>0</v>
      </c>
      <c r="Q509" t="n">
        <v>0</v>
      </c>
      <c r="R509" s="2" t="inlineStr"/>
    </row>
    <row r="510" ht="15" customHeight="1">
      <c r="A510" t="inlineStr">
        <is>
          <t>A 8338-2021</t>
        </is>
      </c>
      <c r="B510" s="1" t="n">
        <v>44244</v>
      </c>
      <c r="C510" s="1" t="n">
        <v>45730</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9467-2021</t>
        </is>
      </c>
      <c r="B511" s="1" t="n">
        <v>44251</v>
      </c>
      <c r="C511" s="1" t="n">
        <v>45730</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9469-2021</t>
        </is>
      </c>
      <c r="B512" s="1" t="n">
        <v>44251</v>
      </c>
      <c r="C512" s="1" t="n">
        <v>45730</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9446-2021</t>
        </is>
      </c>
      <c r="B513" s="1" t="n">
        <v>44251</v>
      </c>
      <c r="C513" s="1" t="n">
        <v>45730</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9719-2021</t>
        </is>
      </c>
      <c r="B514" s="1" t="n">
        <v>44252</v>
      </c>
      <c r="C514" s="1" t="n">
        <v>45730</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45730</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10687-2021</t>
        </is>
      </c>
      <c r="B516" s="1" t="n">
        <v>44258</v>
      </c>
      <c r="C516" s="1" t="n">
        <v>45730</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10684-2021</t>
        </is>
      </c>
      <c r="B517" s="1" t="n">
        <v>44258</v>
      </c>
      <c r="C517" s="1" t="n">
        <v>45730</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11122-2021</t>
        </is>
      </c>
      <c r="B518" s="1" t="n">
        <v>44260</v>
      </c>
      <c r="C518" s="1" t="n">
        <v>45730</v>
      </c>
      <c r="D518" t="inlineStr">
        <is>
          <t>STOCKHOLMS LÄN</t>
        </is>
      </c>
      <c r="E518" t="inlineStr">
        <is>
          <t>NORRTÄLJE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11438-2021</t>
        </is>
      </c>
      <c r="B519" s="1" t="n">
        <v>44263</v>
      </c>
      <c r="C519" s="1" t="n">
        <v>45730</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11988-2021</t>
        </is>
      </c>
      <c r="B520" s="1" t="n">
        <v>44266</v>
      </c>
      <c r="C520" s="1" t="n">
        <v>45730</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12031-2021</t>
        </is>
      </c>
      <c r="B521" s="1" t="n">
        <v>44266</v>
      </c>
      <c r="C521" s="1" t="n">
        <v>45730</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12111-2021</t>
        </is>
      </c>
      <c r="B522" s="1" t="n">
        <v>44266</v>
      </c>
      <c r="C522" s="1" t="n">
        <v>45730</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12132-2021</t>
        </is>
      </c>
      <c r="B523" s="1" t="n">
        <v>44266</v>
      </c>
      <c r="C523" s="1" t="n">
        <v>45730</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12564-2021</t>
        </is>
      </c>
      <c r="B524" s="1" t="n">
        <v>44270</v>
      </c>
      <c r="C524" s="1" t="n">
        <v>45730</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12779-2021</t>
        </is>
      </c>
      <c r="B525" s="1" t="n">
        <v>44270</v>
      </c>
      <c r="C525" s="1" t="n">
        <v>45730</v>
      </c>
      <c r="D525" t="inlineStr">
        <is>
          <t>STOCKHOLMS LÄN</t>
        </is>
      </c>
      <c r="E525" t="inlineStr">
        <is>
          <t>NORRTÄLJE</t>
        </is>
      </c>
      <c r="G525" t="n">
        <v>10.8</v>
      </c>
      <c r="H525" t="n">
        <v>0</v>
      </c>
      <c r="I525" t="n">
        <v>0</v>
      </c>
      <c r="J525" t="n">
        <v>0</v>
      </c>
      <c r="K525" t="n">
        <v>0</v>
      </c>
      <c r="L525" t="n">
        <v>0</v>
      </c>
      <c r="M525" t="n">
        <v>0</v>
      </c>
      <c r="N525" t="n">
        <v>0</v>
      </c>
      <c r="O525" t="n">
        <v>0</v>
      </c>
      <c r="P525" t="n">
        <v>0</v>
      </c>
      <c r="Q525" t="n">
        <v>0</v>
      </c>
      <c r="R525" s="2" t="inlineStr"/>
    </row>
    <row r="526" ht="15" customHeight="1">
      <c r="A526" t="inlineStr">
        <is>
          <t>A 12782-2021</t>
        </is>
      </c>
      <c r="B526" s="1" t="n">
        <v>44270</v>
      </c>
      <c r="C526" s="1" t="n">
        <v>45730</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13051-2021</t>
        </is>
      </c>
      <c r="B527" s="1" t="n">
        <v>44272</v>
      </c>
      <c r="C527" s="1" t="n">
        <v>45730</v>
      </c>
      <c r="D527" t="inlineStr">
        <is>
          <t>STOCKHOLMS LÄN</t>
        </is>
      </c>
      <c r="E527" t="inlineStr">
        <is>
          <t>NORRTÄLJE</t>
        </is>
      </c>
      <c r="G527" t="n">
        <v>9.1</v>
      </c>
      <c r="H527" t="n">
        <v>0</v>
      </c>
      <c r="I527" t="n">
        <v>0</v>
      </c>
      <c r="J527" t="n">
        <v>0</v>
      </c>
      <c r="K527" t="n">
        <v>0</v>
      </c>
      <c r="L527" t="n">
        <v>0</v>
      </c>
      <c r="M527" t="n">
        <v>0</v>
      </c>
      <c r="N527" t="n">
        <v>0</v>
      </c>
      <c r="O527" t="n">
        <v>0</v>
      </c>
      <c r="P527" t="n">
        <v>0</v>
      </c>
      <c r="Q527" t="n">
        <v>0</v>
      </c>
      <c r="R527" s="2" t="inlineStr"/>
    </row>
    <row r="528" ht="15" customHeight="1">
      <c r="A528" t="inlineStr">
        <is>
          <t>A 13148-2021</t>
        </is>
      </c>
      <c r="B528" s="1" t="n">
        <v>44272</v>
      </c>
      <c r="C528" s="1" t="n">
        <v>45730</v>
      </c>
      <c r="D528" t="inlineStr">
        <is>
          <t>STOCKHOLMS LÄN</t>
        </is>
      </c>
      <c r="E528" t="inlineStr">
        <is>
          <t>NORRTÄLJE</t>
        </is>
      </c>
      <c r="G528" t="n">
        <v>12.4</v>
      </c>
      <c r="H528" t="n">
        <v>0</v>
      </c>
      <c r="I528" t="n">
        <v>0</v>
      </c>
      <c r="J528" t="n">
        <v>0</v>
      </c>
      <c r="K528" t="n">
        <v>0</v>
      </c>
      <c r="L528" t="n">
        <v>0</v>
      </c>
      <c r="M528" t="n">
        <v>0</v>
      </c>
      <c r="N528" t="n">
        <v>0</v>
      </c>
      <c r="O528" t="n">
        <v>0</v>
      </c>
      <c r="P528" t="n">
        <v>0</v>
      </c>
      <c r="Q528" t="n">
        <v>0</v>
      </c>
      <c r="R528" s="2" t="inlineStr"/>
    </row>
    <row r="529" ht="15" customHeight="1">
      <c r="A529" t="inlineStr">
        <is>
          <t>A 13736-2021</t>
        </is>
      </c>
      <c r="B529" s="1" t="n">
        <v>44274</v>
      </c>
      <c r="C529" s="1" t="n">
        <v>45730</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13752-2021</t>
        </is>
      </c>
      <c r="B530" s="1" t="n">
        <v>44274</v>
      </c>
      <c r="C530" s="1" t="n">
        <v>45730</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45730</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14922-2021</t>
        </is>
      </c>
      <c r="B532" s="1" t="n">
        <v>44281</v>
      </c>
      <c r="C532" s="1" t="n">
        <v>45730</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14933-2021</t>
        </is>
      </c>
      <c r="B533" s="1" t="n">
        <v>44281</v>
      </c>
      <c r="C533" s="1" t="n">
        <v>45730</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15289-2021</t>
        </is>
      </c>
      <c r="B534" s="1" t="n">
        <v>44284</v>
      </c>
      <c r="C534" s="1" t="n">
        <v>45730</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15441-2021</t>
        </is>
      </c>
      <c r="B535" s="1" t="n">
        <v>44284</v>
      </c>
      <c r="C535" s="1" t="n">
        <v>45730</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15552-2021</t>
        </is>
      </c>
      <c r="B536" s="1" t="n">
        <v>44285</v>
      </c>
      <c r="C536" s="1" t="n">
        <v>45730</v>
      </c>
      <c r="D536" t="inlineStr">
        <is>
          <t>STOCKHOLMS LÄN</t>
        </is>
      </c>
      <c r="E536" t="inlineStr">
        <is>
          <t>NORRTÄLJE</t>
        </is>
      </c>
      <c r="G536" t="n">
        <v>10</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45730</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17460-2021</t>
        </is>
      </c>
      <c r="B538" s="1" t="n">
        <v>44299</v>
      </c>
      <c r="C538" s="1" t="n">
        <v>45730</v>
      </c>
      <c r="D538" t="inlineStr">
        <is>
          <t>STOCKHOLMS LÄN</t>
        </is>
      </c>
      <c r="E538" t="inlineStr">
        <is>
          <t>NORRTÄLJE</t>
        </is>
      </c>
      <c r="G538" t="n">
        <v>3.2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45730</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18580-2021</t>
        </is>
      </c>
      <c r="B540" s="1" t="n">
        <v>44306</v>
      </c>
      <c r="C540" s="1" t="n">
        <v>45730</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18609-2021</t>
        </is>
      </c>
      <c r="B541" s="1" t="n">
        <v>44306</v>
      </c>
      <c r="C541" s="1" t="n">
        <v>45730</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18539-2021</t>
        </is>
      </c>
      <c r="B542" s="1" t="n">
        <v>44306</v>
      </c>
      <c r="C542" s="1" t="n">
        <v>45730</v>
      </c>
      <c r="D542" t="inlineStr">
        <is>
          <t>STOCKHOLMS LÄN</t>
        </is>
      </c>
      <c r="E542" t="inlineStr">
        <is>
          <t>NORRTÄLJE</t>
        </is>
      </c>
      <c r="F542" t="inlineStr">
        <is>
          <t>Holmen skog AB</t>
        </is>
      </c>
      <c r="G542" t="n">
        <v>5.5</v>
      </c>
      <c r="H542" t="n">
        <v>0</v>
      </c>
      <c r="I542" t="n">
        <v>0</v>
      </c>
      <c r="J542" t="n">
        <v>0</v>
      </c>
      <c r="K542" t="n">
        <v>0</v>
      </c>
      <c r="L542" t="n">
        <v>0</v>
      </c>
      <c r="M542" t="n">
        <v>0</v>
      </c>
      <c r="N542" t="n">
        <v>0</v>
      </c>
      <c r="O542" t="n">
        <v>0</v>
      </c>
      <c r="P542" t="n">
        <v>0</v>
      </c>
      <c r="Q542" t="n">
        <v>0</v>
      </c>
      <c r="R542" s="2" t="inlineStr"/>
    </row>
    <row r="543" ht="15" customHeight="1">
      <c r="A543" t="inlineStr">
        <is>
          <t>A 18570-2021</t>
        </is>
      </c>
      <c r="B543" s="1" t="n">
        <v>44306</v>
      </c>
      <c r="C543" s="1" t="n">
        <v>45730</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19283-2021</t>
        </is>
      </c>
      <c r="B544" s="1" t="n">
        <v>44309</v>
      </c>
      <c r="C544" s="1" t="n">
        <v>45730</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19400-2021</t>
        </is>
      </c>
      <c r="B545" s="1" t="n">
        <v>44309</v>
      </c>
      <c r="C545" s="1" t="n">
        <v>45730</v>
      </c>
      <c r="D545" t="inlineStr">
        <is>
          <t>STOCKHOLMS LÄN</t>
        </is>
      </c>
      <c r="E545" t="inlineStr">
        <is>
          <t>NORRTÄLJE</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19307-2021</t>
        </is>
      </c>
      <c r="B546" s="1" t="n">
        <v>44309</v>
      </c>
      <c r="C546" s="1" t="n">
        <v>45730</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19398-2021</t>
        </is>
      </c>
      <c r="B547" s="1" t="n">
        <v>44309</v>
      </c>
      <c r="C547" s="1" t="n">
        <v>45730</v>
      </c>
      <c r="D547" t="inlineStr">
        <is>
          <t>STOCKHOLMS LÄN</t>
        </is>
      </c>
      <c r="E547" t="inlineStr">
        <is>
          <t>NORRTÄLJE</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45730</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20473-2021</t>
        </is>
      </c>
      <c r="B549" s="1" t="n">
        <v>44315</v>
      </c>
      <c r="C549" s="1" t="n">
        <v>45730</v>
      </c>
      <c r="D549" t="inlineStr">
        <is>
          <t>STOCKHOLMS LÄN</t>
        </is>
      </c>
      <c r="E549" t="inlineStr">
        <is>
          <t>NORRTÄLJE</t>
        </is>
      </c>
      <c r="F549" t="inlineStr">
        <is>
          <t>Övriga Aktiebolag</t>
        </is>
      </c>
      <c r="G549" t="n">
        <v>3.6</v>
      </c>
      <c r="H549" t="n">
        <v>0</v>
      </c>
      <c r="I549" t="n">
        <v>0</v>
      </c>
      <c r="J549" t="n">
        <v>0</v>
      </c>
      <c r="K549" t="n">
        <v>0</v>
      </c>
      <c r="L549" t="n">
        <v>0</v>
      </c>
      <c r="M549" t="n">
        <v>0</v>
      </c>
      <c r="N549" t="n">
        <v>0</v>
      </c>
      <c r="O549" t="n">
        <v>0</v>
      </c>
      <c r="P549" t="n">
        <v>0</v>
      </c>
      <c r="Q549" t="n">
        <v>0</v>
      </c>
      <c r="R549" s="2" t="inlineStr"/>
    </row>
    <row r="550" ht="15" customHeight="1">
      <c r="A550" t="inlineStr">
        <is>
          <t>A 21291-2021</t>
        </is>
      </c>
      <c r="B550" s="1" t="n">
        <v>44319</v>
      </c>
      <c r="C550" s="1" t="n">
        <v>45730</v>
      </c>
      <c r="D550" t="inlineStr">
        <is>
          <t>STOCKHOLMS LÄN</t>
        </is>
      </c>
      <c r="E550" t="inlineStr">
        <is>
          <t>NORRTÄLJE</t>
        </is>
      </c>
      <c r="G550" t="n">
        <v>12.7</v>
      </c>
      <c r="H550" t="n">
        <v>0</v>
      </c>
      <c r="I550" t="n">
        <v>0</v>
      </c>
      <c r="J550" t="n">
        <v>0</v>
      </c>
      <c r="K550" t="n">
        <v>0</v>
      </c>
      <c r="L550" t="n">
        <v>0</v>
      </c>
      <c r="M550" t="n">
        <v>0</v>
      </c>
      <c r="N550" t="n">
        <v>0</v>
      </c>
      <c r="O550" t="n">
        <v>0</v>
      </c>
      <c r="P550" t="n">
        <v>0</v>
      </c>
      <c r="Q550" t="n">
        <v>0</v>
      </c>
      <c r="R550" s="2" t="inlineStr"/>
    </row>
    <row r="551" ht="15" customHeight="1">
      <c r="A551" t="inlineStr">
        <is>
          <t>A 21529-2021</t>
        </is>
      </c>
      <c r="B551" s="1" t="n">
        <v>44321</v>
      </c>
      <c r="C551" s="1" t="n">
        <v>45730</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45730</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22816-2021</t>
        </is>
      </c>
      <c r="B553" s="1" t="n">
        <v>44325</v>
      </c>
      <c r="C553" s="1" t="n">
        <v>45730</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22369-2021</t>
        </is>
      </c>
      <c r="B554" s="1" t="n">
        <v>44326</v>
      </c>
      <c r="C554" s="1" t="n">
        <v>45730</v>
      </c>
      <c r="D554" t="inlineStr">
        <is>
          <t>STOCKHOLMS LÄN</t>
        </is>
      </c>
      <c r="E554" t="inlineStr">
        <is>
          <t>NORRTÄLJE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22421-2021</t>
        </is>
      </c>
      <c r="B555" s="1" t="n">
        <v>44326</v>
      </c>
      <c r="C555" s="1" t="n">
        <v>45730</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22412-2021</t>
        </is>
      </c>
      <c r="B556" s="1" t="n">
        <v>44326</v>
      </c>
      <c r="C556" s="1" t="n">
        <v>45730</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45730</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23096-2021</t>
        </is>
      </c>
      <c r="B558" s="1" t="n">
        <v>44330</v>
      </c>
      <c r="C558" s="1" t="n">
        <v>45730</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45730</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23453-2021</t>
        </is>
      </c>
      <c r="B560" s="1" t="n">
        <v>44333</v>
      </c>
      <c r="C560" s="1" t="n">
        <v>45730</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24082-2021</t>
        </is>
      </c>
      <c r="B561" s="1" t="n">
        <v>44336</v>
      </c>
      <c r="C561" s="1" t="n">
        <v>45730</v>
      </c>
      <c r="D561" t="inlineStr">
        <is>
          <t>STOCKHOLMS LÄN</t>
        </is>
      </c>
      <c r="E561" t="inlineStr">
        <is>
          <t>NORRTÄLJE</t>
        </is>
      </c>
      <c r="G561" t="n">
        <v>6.8</v>
      </c>
      <c r="H561" t="n">
        <v>0</v>
      </c>
      <c r="I561" t="n">
        <v>0</v>
      </c>
      <c r="J561" t="n">
        <v>0</v>
      </c>
      <c r="K561" t="n">
        <v>0</v>
      </c>
      <c r="L561" t="n">
        <v>0</v>
      </c>
      <c r="M561" t="n">
        <v>0</v>
      </c>
      <c r="N561" t="n">
        <v>0</v>
      </c>
      <c r="O561" t="n">
        <v>0</v>
      </c>
      <c r="P561" t="n">
        <v>0</v>
      </c>
      <c r="Q561" t="n">
        <v>0</v>
      </c>
      <c r="R561" s="2" t="inlineStr"/>
    </row>
    <row r="562" ht="15" customHeight="1">
      <c r="A562" t="inlineStr">
        <is>
          <t>A 25463-2021</t>
        </is>
      </c>
      <c r="B562" s="1" t="n">
        <v>44342</v>
      </c>
      <c r="C562" s="1" t="n">
        <v>45730</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27217-2021</t>
        </is>
      </c>
      <c r="B563" s="1" t="n">
        <v>44350</v>
      </c>
      <c r="C563" s="1" t="n">
        <v>45730</v>
      </c>
      <c r="D563" t="inlineStr">
        <is>
          <t>STOCKHOLMS LÄN</t>
        </is>
      </c>
      <c r="E563" t="inlineStr">
        <is>
          <t>NORRTÄLJE</t>
        </is>
      </c>
      <c r="G563" t="n">
        <v>5.5</v>
      </c>
      <c r="H563" t="n">
        <v>0</v>
      </c>
      <c r="I563" t="n">
        <v>0</v>
      </c>
      <c r="J563" t="n">
        <v>0</v>
      </c>
      <c r="K563" t="n">
        <v>0</v>
      </c>
      <c r="L563" t="n">
        <v>0</v>
      </c>
      <c r="M563" t="n">
        <v>0</v>
      </c>
      <c r="N563" t="n">
        <v>0</v>
      </c>
      <c r="O563" t="n">
        <v>0</v>
      </c>
      <c r="P563" t="n">
        <v>0</v>
      </c>
      <c r="Q563" t="n">
        <v>0</v>
      </c>
      <c r="R563" s="2" t="inlineStr"/>
    </row>
    <row r="564" ht="15" customHeight="1">
      <c r="A564" t="inlineStr">
        <is>
          <t>A 27214-2021</t>
        </is>
      </c>
      <c r="B564" s="1" t="n">
        <v>44350</v>
      </c>
      <c r="C564" s="1" t="n">
        <v>45730</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29357-2021</t>
        </is>
      </c>
      <c r="B565" s="1" t="n">
        <v>44361</v>
      </c>
      <c r="C565" s="1" t="n">
        <v>45730</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29680-2021</t>
        </is>
      </c>
      <c r="B566" s="1" t="n">
        <v>44362</v>
      </c>
      <c r="C566" s="1" t="n">
        <v>45730</v>
      </c>
      <c r="D566" t="inlineStr">
        <is>
          <t>STOCKHOLMS LÄN</t>
        </is>
      </c>
      <c r="E566" t="inlineStr">
        <is>
          <t>NORRTÄLJE</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29684-2021</t>
        </is>
      </c>
      <c r="B567" s="1" t="n">
        <v>44362</v>
      </c>
      <c r="C567" s="1" t="n">
        <v>45730</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30129-2021</t>
        </is>
      </c>
      <c r="B568" s="1" t="n">
        <v>44363</v>
      </c>
      <c r="C568" s="1" t="n">
        <v>45730</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31688-2021</t>
        </is>
      </c>
      <c r="B569" s="1" t="n">
        <v>44369</v>
      </c>
      <c r="C569" s="1" t="n">
        <v>45730</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32002-2021</t>
        </is>
      </c>
      <c r="B570" s="1" t="n">
        <v>44370</v>
      </c>
      <c r="C570" s="1" t="n">
        <v>45730</v>
      </c>
      <c r="D570" t="inlineStr">
        <is>
          <t>STOCKHOLMS LÄN</t>
        </is>
      </c>
      <c r="E570" t="inlineStr">
        <is>
          <t>NORRTÄLJE</t>
        </is>
      </c>
      <c r="F570" t="inlineStr">
        <is>
          <t>Övriga Aktiebolag</t>
        </is>
      </c>
      <c r="G570" t="n">
        <v>4</v>
      </c>
      <c r="H570" t="n">
        <v>0</v>
      </c>
      <c r="I570" t="n">
        <v>0</v>
      </c>
      <c r="J570" t="n">
        <v>0</v>
      </c>
      <c r="K570" t="n">
        <v>0</v>
      </c>
      <c r="L570" t="n">
        <v>0</v>
      </c>
      <c r="M570" t="n">
        <v>0</v>
      </c>
      <c r="N570" t="n">
        <v>0</v>
      </c>
      <c r="O570" t="n">
        <v>0</v>
      </c>
      <c r="P570" t="n">
        <v>0</v>
      </c>
      <c r="Q570" t="n">
        <v>0</v>
      </c>
      <c r="R570" s="2" t="inlineStr"/>
    </row>
    <row r="571" ht="15" customHeight="1">
      <c r="A571" t="inlineStr">
        <is>
          <t>A 32051-2021</t>
        </is>
      </c>
      <c r="B571" s="1" t="n">
        <v>44370</v>
      </c>
      <c r="C571" s="1" t="n">
        <v>45730</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32055-2021</t>
        </is>
      </c>
      <c r="B572" s="1" t="n">
        <v>44370</v>
      </c>
      <c r="C572" s="1" t="n">
        <v>45730</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45730</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32857-2021</t>
        </is>
      </c>
      <c r="B574" s="1" t="n">
        <v>44375</v>
      </c>
      <c r="C574" s="1" t="n">
        <v>45730</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33053-2021</t>
        </is>
      </c>
      <c r="B575" s="1" t="n">
        <v>44376</v>
      </c>
      <c r="C575" s="1" t="n">
        <v>45730</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33046-2021</t>
        </is>
      </c>
      <c r="B576" s="1" t="n">
        <v>44376</v>
      </c>
      <c r="C576" s="1" t="n">
        <v>45730</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33040-2021</t>
        </is>
      </c>
      <c r="B577" s="1" t="n">
        <v>44376</v>
      </c>
      <c r="C577" s="1" t="n">
        <v>45730</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45730</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34432-2021</t>
        </is>
      </c>
      <c r="B579" s="1" t="n">
        <v>44380</v>
      </c>
      <c r="C579" s="1" t="n">
        <v>45730</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45730</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34436-2021</t>
        </is>
      </c>
      <c r="B581" s="1" t="n">
        <v>44380</v>
      </c>
      <c r="C581" s="1" t="n">
        <v>45730</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34731-2021</t>
        </is>
      </c>
      <c r="B582" s="1" t="n">
        <v>44382</v>
      </c>
      <c r="C582" s="1" t="n">
        <v>45730</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34792-2021</t>
        </is>
      </c>
      <c r="B583" s="1" t="n">
        <v>44383</v>
      </c>
      <c r="C583" s="1" t="n">
        <v>45730</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36246-2021</t>
        </is>
      </c>
      <c r="B584" s="1" t="n">
        <v>44390</v>
      </c>
      <c r="C584" s="1" t="n">
        <v>45730</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v>
      </c>
      <c r="C585" s="1" t="n">
        <v>45730</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45730</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37344-2021</t>
        </is>
      </c>
      <c r="B587" s="1" t="n">
        <v>44397</v>
      </c>
      <c r="C587" s="1" t="n">
        <v>45730</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37415-2021</t>
        </is>
      </c>
      <c r="B588" s="1" t="n">
        <v>44397</v>
      </c>
      <c r="C588" s="1" t="n">
        <v>45730</v>
      </c>
      <c r="D588" t="inlineStr">
        <is>
          <t>STOCKHOLMS LÄN</t>
        </is>
      </c>
      <c r="E588" t="inlineStr">
        <is>
          <t>NORRTÄLJE</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37444-2021</t>
        </is>
      </c>
      <c r="B589" s="1" t="n">
        <v>44398</v>
      </c>
      <c r="C589" s="1" t="n">
        <v>45730</v>
      </c>
      <c r="D589" t="inlineStr">
        <is>
          <t>STOCKHOLMS LÄN</t>
        </is>
      </c>
      <c r="E589" t="inlineStr">
        <is>
          <t>NORRTÄLJE</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37462-2021</t>
        </is>
      </c>
      <c r="B590" s="1" t="n">
        <v>44398</v>
      </c>
      <c r="C590" s="1" t="n">
        <v>45730</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37530-2021</t>
        </is>
      </c>
      <c r="B591" s="1" t="n">
        <v>44399</v>
      </c>
      <c r="C591" s="1" t="n">
        <v>45730</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37522-2021</t>
        </is>
      </c>
      <c r="B592" s="1" t="n">
        <v>44399</v>
      </c>
      <c r="C592" s="1" t="n">
        <v>45730</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37525-2021</t>
        </is>
      </c>
      <c r="B593" s="1" t="n">
        <v>44399</v>
      </c>
      <c r="C593" s="1" t="n">
        <v>45730</v>
      </c>
      <c r="D593" t="inlineStr">
        <is>
          <t>STOCKHOLMS LÄN</t>
        </is>
      </c>
      <c r="E593" t="inlineStr">
        <is>
          <t>NORRTÄLJE</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37712-2021</t>
        </is>
      </c>
      <c r="B594" s="1" t="n">
        <v>44400</v>
      </c>
      <c r="C594" s="1" t="n">
        <v>45730</v>
      </c>
      <c r="D594" t="inlineStr">
        <is>
          <t>STOCKHOLMS LÄN</t>
        </is>
      </c>
      <c r="E594" t="inlineStr">
        <is>
          <t>NORRTÄLJE</t>
        </is>
      </c>
      <c r="G594" t="n">
        <v>22.9</v>
      </c>
      <c r="H594" t="n">
        <v>0</v>
      </c>
      <c r="I594" t="n">
        <v>0</v>
      </c>
      <c r="J594" t="n">
        <v>0</v>
      </c>
      <c r="K594" t="n">
        <v>0</v>
      </c>
      <c r="L594" t="n">
        <v>0</v>
      </c>
      <c r="M594" t="n">
        <v>0</v>
      </c>
      <c r="N594" t="n">
        <v>0</v>
      </c>
      <c r="O594" t="n">
        <v>0</v>
      </c>
      <c r="P594" t="n">
        <v>0</v>
      </c>
      <c r="Q594" t="n">
        <v>0</v>
      </c>
      <c r="R594" s="2" t="inlineStr"/>
    </row>
    <row r="595" ht="15" customHeight="1">
      <c r="A595" t="inlineStr">
        <is>
          <t>A 37859-2021</t>
        </is>
      </c>
      <c r="B595" s="1" t="n">
        <v>44403</v>
      </c>
      <c r="C595" s="1" t="n">
        <v>45730</v>
      </c>
      <c r="D595" t="inlineStr">
        <is>
          <t>STOCKHOLMS LÄN</t>
        </is>
      </c>
      <c r="E595" t="inlineStr">
        <is>
          <t>NORRTÄLJE</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39157-2021</t>
        </is>
      </c>
      <c r="B596" s="1" t="n">
        <v>44412</v>
      </c>
      <c r="C596" s="1" t="n">
        <v>45730</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39496-2021</t>
        </is>
      </c>
      <c r="B597" s="1" t="n">
        <v>44414</v>
      </c>
      <c r="C597" s="1" t="n">
        <v>45730</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v>
      </c>
      <c r="C598" s="1" t="n">
        <v>45730</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40425-2021</t>
        </is>
      </c>
      <c r="B599" s="1" t="n">
        <v>44419</v>
      </c>
      <c r="C599" s="1" t="n">
        <v>45730</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40542-2021</t>
        </is>
      </c>
      <c r="B600" s="1" t="n">
        <v>44420</v>
      </c>
      <c r="C600" s="1" t="n">
        <v>45730</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40546-2021</t>
        </is>
      </c>
      <c r="B601" s="1" t="n">
        <v>44420</v>
      </c>
      <c r="C601" s="1" t="n">
        <v>45730</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41595-2021</t>
        </is>
      </c>
      <c r="B602" s="1" t="n">
        <v>44425</v>
      </c>
      <c r="C602" s="1" t="n">
        <v>45730</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41823-2021</t>
        </is>
      </c>
      <c r="B603" s="1" t="n">
        <v>44425</v>
      </c>
      <c r="C603" s="1" t="n">
        <v>45730</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41822-2021</t>
        </is>
      </c>
      <c r="B604" s="1" t="n">
        <v>44425</v>
      </c>
      <c r="C604" s="1" t="n">
        <v>45730</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45730</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43478-2021</t>
        </is>
      </c>
      <c r="B606" s="1" t="n">
        <v>44432</v>
      </c>
      <c r="C606" s="1" t="n">
        <v>45730</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44274-2021</t>
        </is>
      </c>
      <c r="B607" s="1" t="n">
        <v>44435</v>
      </c>
      <c r="C607" s="1" t="n">
        <v>45730</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47344-2021</t>
        </is>
      </c>
      <c r="B608" s="1" t="n">
        <v>44447</v>
      </c>
      <c r="C608" s="1" t="n">
        <v>45730</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47349-2021</t>
        </is>
      </c>
      <c r="B609" s="1" t="n">
        <v>44447</v>
      </c>
      <c r="C609" s="1" t="n">
        <v>45730</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47691-2021</t>
        </is>
      </c>
      <c r="B610" s="1" t="n">
        <v>44448</v>
      </c>
      <c r="C610" s="1" t="n">
        <v>45730</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48384-2021</t>
        </is>
      </c>
      <c r="B611" s="1" t="n">
        <v>44451</v>
      </c>
      <c r="C611" s="1" t="n">
        <v>45730</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45730</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48932-2021</t>
        </is>
      </c>
      <c r="B613" s="1" t="n">
        <v>44453</v>
      </c>
      <c r="C613" s="1" t="n">
        <v>45730</v>
      </c>
      <c r="D613" t="inlineStr">
        <is>
          <t>STOCKHOLMS LÄN</t>
        </is>
      </c>
      <c r="E613" t="inlineStr">
        <is>
          <t>NORRTÄLJE</t>
        </is>
      </c>
      <c r="G613" t="n">
        <v>11.2</v>
      </c>
      <c r="H613" t="n">
        <v>0</v>
      </c>
      <c r="I613" t="n">
        <v>0</v>
      </c>
      <c r="J613" t="n">
        <v>0</v>
      </c>
      <c r="K613" t="n">
        <v>0</v>
      </c>
      <c r="L613" t="n">
        <v>0</v>
      </c>
      <c r="M613" t="n">
        <v>0</v>
      </c>
      <c r="N613" t="n">
        <v>0</v>
      </c>
      <c r="O613" t="n">
        <v>0</v>
      </c>
      <c r="P613" t="n">
        <v>0</v>
      </c>
      <c r="Q613" t="n">
        <v>0</v>
      </c>
      <c r="R613" s="2" t="inlineStr"/>
    </row>
    <row r="614" ht="15" customHeight="1">
      <c r="A614" t="inlineStr">
        <is>
          <t>A 49113-2021</t>
        </is>
      </c>
      <c r="B614" s="1" t="n">
        <v>44453</v>
      </c>
      <c r="C614" s="1" t="n">
        <v>45730</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50038-2021</t>
        </is>
      </c>
      <c r="B615" s="1" t="n">
        <v>44456</v>
      </c>
      <c r="C615" s="1" t="n">
        <v>45730</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50108-2021</t>
        </is>
      </c>
      <c r="B616" s="1" t="n">
        <v>44456</v>
      </c>
      <c r="C616" s="1" t="n">
        <v>45730</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50252-2021</t>
        </is>
      </c>
      <c r="B617" s="1" t="n">
        <v>44458</v>
      </c>
      <c r="C617" s="1" t="n">
        <v>45730</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50602-2021</t>
        </is>
      </c>
      <c r="B618" s="1" t="n">
        <v>44459</v>
      </c>
      <c r="C618" s="1" t="n">
        <v>45730</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51279-2021</t>
        </is>
      </c>
      <c r="B619" s="1" t="n">
        <v>44461</v>
      </c>
      <c r="C619" s="1" t="n">
        <v>45730</v>
      </c>
      <c r="D619" t="inlineStr">
        <is>
          <t>STOCKHOLMS LÄN</t>
        </is>
      </c>
      <c r="E619" t="inlineStr">
        <is>
          <t>NORRTÄLJE</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51315-2021</t>
        </is>
      </c>
      <c r="B620" s="1" t="n">
        <v>44461</v>
      </c>
      <c r="C620" s="1" t="n">
        <v>45730</v>
      </c>
      <c r="D620" t="inlineStr">
        <is>
          <t>STOCKHOLMS LÄN</t>
        </is>
      </c>
      <c r="E620" t="inlineStr">
        <is>
          <t>NORRTÄLJE</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52090-2021</t>
        </is>
      </c>
      <c r="B621" s="1" t="n">
        <v>44463</v>
      </c>
      <c r="C621" s="1" t="n">
        <v>45730</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v>
      </c>
      <c r="C622" s="1" t="n">
        <v>45730</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54276-2021</t>
        </is>
      </c>
      <c r="B623" s="1" t="n">
        <v>44470</v>
      </c>
      <c r="C623" s="1" t="n">
        <v>45730</v>
      </c>
      <c r="D623" t="inlineStr">
        <is>
          <t>STOCKHOLMS LÄN</t>
        </is>
      </c>
      <c r="E623" t="inlineStr">
        <is>
          <t>NORRTÄLJE</t>
        </is>
      </c>
      <c r="G623" t="n">
        <v>7.3</v>
      </c>
      <c r="H623" t="n">
        <v>0</v>
      </c>
      <c r="I623" t="n">
        <v>0</v>
      </c>
      <c r="J623" t="n">
        <v>0</v>
      </c>
      <c r="K623" t="n">
        <v>0</v>
      </c>
      <c r="L623" t="n">
        <v>0</v>
      </c>
      <c r="M623" t="n">
        <v>0</v>
      </c>
      <c r="N623" t="n">
        <v>0</v>
      </c>
      <c r="O623" t="n">
        <v>0</v>
      </c>
      <c r="P623" t="n">
        <v>0</v>
      </c>
      <c r="Q623" t="n">
        <v>0</v>
      </c>
      <c r="R623" s="2" t="inlineStr"/>
    </row>
    <row r="624" ht="15" customHeight="1">
      <c r="A624" t="inlineStr">
        <is>
          <t>A 54273-2021</t>
        </is>
      </c>
      <c r="B624" s="1" t="n">
        <v>44470</v>
      </c>
      <c r="C624" s="1" t="n">
        <v>45730</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54272-2021</t>
        </is>
      </c>
      <c r="B625" s="1" t="n">
        <v>44470</v>
      </c>
      <c r="C625" s="1" t="n">
        <v>45730</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54396-2021</t>
        </is>
      </c>
      <c r="B626" s="1" t="n">
        <v>44472</v>
      </c>
      <c r="C626" s="1" t="n">
        <v>45730</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55058-2021</t>
        </is>
      </c>
      <c r="B627" s="1" t="n">
        <v>44474</v>
      </c>
      <c r="C627" s="1" t="n">
        <v>45730</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56219-2021</t>
        </is>
      </c>
      <c r="B628" s="1" t="n">
        <v>44477</v>
      </c>
      <c r="C628" s="1" t="n">
        <v>45730</v>
      </c>
      <c r="D628" t="inlineStr">
        <is>
          <t>STOCKHOLMS LÄN</t>
        </is>
      </c>
      <c r="E628" t="inlineStr">
        <is>
          <t>NORRTÄLJE</t>
        </is>
      </c>
      <c r="F628" t="inlineStr">
        <is>
          <t>Kommuner</t>
        </is>
      </c>
      <c r="G628" t="n">
        <v>2.3</v>
      </c>
      <c r="H628" t="n">
        <v>0</v>
      </c>
      <c r="I628" t="n">
        <v>0</v>
      </c>
      <c r="J628" t="n">
        <v>0</v>
      </c>
      <c r="K628" t="n">
        <v>0</v>
      </c>
      <c r="L628" t="n">
        <v>0</v>
      </c>
      <c r="M628" t="n">
        <v>0</v>
      </c>
      <c r="N628" t="n">
        <v>0</v>
      </c>
      <c r="O628" t="n">
        <v>0</v>
      </c>
      <c r="P628" t="n">
        <v>0</v>
      </c>
      <c r="Q628" t="n">
        <v>0</v>
      </c>
      <c r="R628" s="2" t="inlineStr"/>
    </row>
    <row r="629" ht="15" customHeight="1">
      <c r="A629" t="inlineStr">
        <is>
          <t>A 56225-2021</t>
        </is>
      </c>
      <c r="B629" s="1" t="n">
        <v>44478</v>
      </c>
      <c r="C629" s="1" t="n">
        <v>45730</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56878-2021</t>
        </is>
      </c>
      <c r="B630" s="1" t="n">
        <v>44481</v>
      </c>
      <c r="C630" s="1" t="n">
        <v>45730</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57442-2021</t>
        </is>
      </c>
      <c r="B631" s="1" t="n">
        <v>44483</v>
      </c>
      <c r="C631" s="1" t="n">
        <v>45730</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57507-2021</t>
        </is>
      </c>
      <c r="B632" s="1" t="n">
        <v>44483</v>
      </c>
      <c r="C632" s="1" t="n">
        <v>45730</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58989-2021</t>
        </is>
      </c>
      <c r="B633" s="1" t="n">
        <v>44490</v>
      </c>
      <c r="C633" s="1" t="n">
        <v>45730</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58990-2021</t>
        </is>
      </c>
      <c r="B634" s="1" t="n">
        <v>44490</v>
      </c>
      <c r="C634" s="1" t="n">
        <v>45730</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60217-2021</t>
        </is>
      </c>
      <c r="B635" s="1" t="n">
        <v>44495</v>
      </c>
      <c r="C635" s="1" t="n">
        <v>45730</v>
      </c>
      <c r="D635" t="inlineStr">
        <is>
          <t>STOCKHOLMS LÄN</t>
        </is>
      </c>
      <c r="E635" t="inlineStr">
        <is>
          <t>NORRTÄLJE</t>
        </is>
      </c>
      <c r="G635" t="n">
        <v>4.3</v>
      </c>
      <c r="H635" t="n">
        <v>0</v>
      </c>
      <c r="I635" t="n">
        <v>0</v>
      </c>
      <c r="J635" t="n">
        <v>0</v>
      </c>
      <c r="K635" t="n">
        <v>0</v>
      </c>
      <c r="L635" t="n">
        <v>0</v>
      </c>
      <c r="M635" t="n">
        <v>0</v>
      </c>
      <c r="N635" t="n">
        <v>0</v>
      </c>
      <c r="O635" t="n">
        <v>0</v>
      </c>
      <c r="P635" t="n">
        <v>0</v>
      </c>
      <c r="Q635" t="n">
        <v>0</v>
      </c>
      <c r="R635" s="2" t="inlineStr"/>
    </row>
    <row r="636" ht="15" customHeight="1">
      <c r="A636" t="inlineStr">
        <is>
          <t>A 60184-2021</t>
        </is>
      </c>
      <c r="B636" s="1" t="n">
        <v>44495</v>
      </c>
      <c r="C636" s="1" t="n">
        <v>45730</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60186-2021</t>
        </is>
      </c>
      <c r="B637" s="1" t="n">
        <v>44495</v>
      </c>
      <c r="C637" s="1" t="n">
        <v>45730</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60209-2021</t>
        </is>
      </c>
      <c r="B638" s="1" t="n">
        <v>44495</v>
      </c>
      <c r="C638" s="1" t="n">
        <v>45730</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60671-2021</t>
        </is>
      </c>
      <c r="B639" s="1" t="n">
        <v>44496</v>
      </c>
      <c r="C639" s="1" t="n">
        <v>45730</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v>
      </c>
      <c r="C640" s="1" t="n">
        <v>45730</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60813-2021</t>
        </is>
      </c>
      <c r="B641" s="1" t="n">
        <v>44496</v>
      </c>
      <c r="C641" s="1" t="n">
        <v>45730</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60822-2021</t>
        </is>
      </c>
      <c r="B642" s="1" t="n">
        <v>44496</v>
      </c>
      <c r="C642" s="1" t="n">
        <v>45730</v>
      </c>
      <c r="D642" t="inlineStr">
        <is>
          <t>STOCKHOLMS LÄN</t>
        </is>
      </c>
      <c r="E642" t="inlineStr">
        <is>
          <t>NORRTÄLJE</t>
        </is>
      </c>
      <c r="G642" t="n">
        <v>7.6</v>
      </c>
      <c r="H642" t="n">
        <v>0</v>
      </c>
      <c r="I642" t="n">
        <v>0</v>
      </c>
      <c r="J642" t="n">
        <v>0</v>
      </c>
      <c r="K642" t="n">
        <v>0</v>
      </c>
      <c r="L642" t="n">
        <v>0</v>
      </c>
      <c r="M642" t="n">
        <v>0</v>
      </c>
      <c r="N642" t="n">
        <v>0</v>
      </c>
      <c r="O642" t="n">
        <v>0</v>
      </c>
      <c r="P642" t="n">
        <v>0</v>
      </c>
      <c r="Q642" t="n">
        <v>0</v>
      </c>
      <c r="R642" s="2" t="inlineStr"/>
    </row>
    <row r="643" ht="15" customHeight="1">
      <c r="A643" t="inlineStr">
        <is>
          <t>A 62030-2021</t>
        </is>
      </c>
      <c r="B643" s="1" t="n">
        <v>44502</v>
      </c>
      <c r="C643" s="1" t="n">
        <v>45730</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63530-2021</t>
        </is>
      </c>
      <c r="B644" s="1" t="n">
        <v>44508</v>
      </c>
      <c r="C644" s="1" t="n">
        <v>45730</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64137-2021</t>
        </is>
      </c>
      <c r="B645" s="1" t="n">
        <v>44510</v>
      </c>
      <c r="C645" s="1" t="n">
        <v>45730</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64212-2021</t>
        </is>
      </c>
      <c r="B646" s="1" t="n">
        <v>44510</v>
      </c>
      <c r="C646" s="1" t="n">
        <v>45730</v>
      </c>
      <c r="D646" t="inlineStr">
        <is>
          <t>STOCKHOLMS LÄN</t>
        </is>
      </c>
      <c r="E646" t="inlineStr">
        <is>
          <t>NORRTÄLJE</t>
        </is>
      </c>
      <c r="G646" t="n">
        <v>28.7</v>
      </c>
      <c r="H646" t="n">
        <v>0</v>
      </c>
      <c r="I646" t="n">
        <v>0</v>
      </c>
      <c r="J646" t="n">
        <v>0</v>
      </c>
      <c r="K646" t="n">
        <v>0</v>
      </c>
      <c r="L646" t="n">
        <v>0</v>
      </c>
      <c r="M646" t="n">
        <v>0</v>
      </c>
      <c r="N646" t="n">
        <v>0</v>
      </c>
      <c r="O646" t="n">
        <v>0</v>
      </c>
      <c r="P646" t="n">
        <v>0</v>
      </c>
      <c r="Q646" t="n">
        <v>0</v>
      </c>
      <c r="R646" s="2" t="inlineStr"/>
    </row>
    <row r="647" ht="15" customHeight="1">
      <c r="A647" t="inlineStr">
        <is>
          <t>A 64074-2021</t>
        </is>
      </c>
      <c r="B647" s="1" t="n">
        <v>44510</v>
      </c>
      <c r="C647" s="1" t="n">
        <v>45730</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64145-2021</t>
        </is>
      </c>
      <c r="B648" s="1" t="n">
        <v>44510</v>
      </c>
      <c r="C648" s="1" t="n">
        <v>45730</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64600-2021</t>
        </is>
      </c>
      <c r="B649" s="1" t="n">
        <v>44511</v>
      </c>
      <c r="C649" s="1" t="n">
        <v>45730</v>
      </c>
      <c r="D649" t="inlineStr">
        <is>
          <t>STOCKHOLMS LÄN</t>
        </is>
      </c>
      <c r="E649" t="inlineStr">
        <is>
          <t>NORRTÄLJE</t>
        </is>
      </c>
      <c r="G649" t="n">
        <v>6.2</v>
      </c>
      <c r="H649" t="n">
        <v>0</v>
      </c>
      <c r="I649" t="n">
        <v>0</v>
      </c>
      <c r="J649" t="n">
        <v>0</v>
      </c>
      <c r="K649" t="n">
        <v>0</v>
      </c>
      <c r="L649" t="n">
        <v>0</v>
      </c>
      <c r="M649" t="n">
        <v>0</v>
      </c>
      <c r="N649" t="n">
        <v>0</v>
      </c>
      <c r="O649" t="n">
        <v>0</v>
      </c>
      <c r="P649" t="n">
        <v>0</v>
      </c>
      <c r="Q649" t="n">
        <v>0</v>
      </c>
      <c r="R649" s="2" t="inlineStr"/>
    </row>
    <row r="650" ht="15" customHeight="1">
      <c r="A650" t="inlineStr">
        <is>
          <t>A 64599-2021</t>
        </is>
      </c>
      <c r="B650" s="1" t="n">
        <v>44511</v>
      </c>
      <c r="C650" s="1" t="n">
        <v>45730</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64628-2021</t>
        </is>
      </c>
      <c r="B651" s="1" t="n">
        <v>44511</v>
      </c>
      <c r="C651" s="1" t="n">
        <v>45730</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64915-2021</t>
        </is>
      </c>
      <c r="B652" s="1" t="n">
        <v>44512</v>
      </c>
      <c r="C652" s="1" t="n">
        <v>45730</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65359-2021</t>
        </is>
      </c>
      <c r="B653" s="1" t="n">
        <v>44515</v>
      </c>
      <c r="C653" s="1" t="n">
        <v>45730</v>
      </c>
      <c r="D653" t="inlineStr">
        <is>
          <t>STOCKHOLMS LÄN</t>
        </is>
      </c>
      <c r="E653" t="inlineStr">
        <is>
          <t>NORRTÄLJE</t>
        </is>
      </c>
      <c r="F653" t="inlineStr">
        <is>
          <t>Kyrkan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45730</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65513-2021</t>
        </is>
      </c>
      <c r="B655" s="1" t="n">
        <v>44516</v>
      </c>
      <c r="C655" s="1" t="n">
        <v>45730</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65511-2021</t>
        </is>
      </c>
      <c r="B656" s="1" t="n">
        <v>44516</v>
      </c>
      <c r="C656" s="1" t="n">
        <v>45730</v>
      </c>
      <c r="D656" t="inlineStr">
        <is>
          <t>STOCKHOLMS LÄN</t>
        </is>
      </c>
      <c r="E656" t="inlineStr">
        <is>
          <t>NORRTÄLJE</t>
        </is>
      </c>
      <c r="F656" t="inlineStr">
        <is>
          <t>Kommuner</t>
        </is>
      </c>
      <c r="G656" t="n">
        <v>2.8</v>
      </c>
      <c r="H656" t="n">
        <v>0</v>
      </c>
      <c r="I656" t="n">
        <v>0</v>
      </c>
      <c r="J656" t="n">
        <v>0</v>
      </c>
      <c r="K656" t="n">
        <v>0</v>
      </c>
      <c r="L656" t="n">
        <v>0</v>
      </c>
      <c r="M656" t="n">
        <v>0</v>
      </c>
      <c r="N656" t="n">
        <v>0</v>
      </c>
      <c r="O656" t="n">
        <v>0</v>
      </c>
      <c r="P656" t="n">
        <v>0</v>
      </c>
      <c r="Q656" t="n">
        <v>0</v>
      </c>
      <c r="R656" s="2" t="inlineStr"/>
    </row>
    <row r="657" ht="15" customHeight="1">
      <c r="A657" t="inlineStr">
        <is>
          <t>A 65501-2021</t>
        </is>
      </c>
      <c r="B657" s="1" t="n">
        <v>44516</v>
      </c>
      <c r="C657" s="1" t="n">
        <v>45730</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65509-2021</t>
        </is>
      </c>
      <c r="B658" s="1" t="n">
        <v>44516</v>
      </c>
      <c r="C658" s="1" t="n">
        <v>45730</v>
      </c>
      <c r="D658" t="inlineStr">
        <is>
          <t>STOCKHOLMS LÄN</t>
        </is>
      </c>
      <c r="E658" t="inlineStr">
        <is>
          <t>NORRTÄLJE</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v>
      </c>
      <c r="C659" s="1" t="n">
        <v>45730</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65737-2021</t>
        </is>
      </c>
      <c r="B660" s="1" t="n">
        <v>44516</v>
      </c>
      <c r="C660" s="1" t="n">
        <v>45730</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66450-2021</t>
        </is>
      </c>
      <c r="B661" s="1" t="n">
        <v>44518</v>
      </c>
      <c r="C661" s="1" t="n">
        <v>45730</v>
      </c>
      <c r="D661" t="inlineStr">
        <is>
          <t>STOCKHOLMS LÄN</t>
        </is>
      </c>
      <c r="E661" t="inlineStr">
        <is>
          <t>NORRTÄLJE</t>
        </is>
      </c>
      <c r="G661" t="n">
        <v>9.1</v>
      </c>
      <c r="H661" t="n">
        <v>0</v>
      </c>
      <c r="I661" t="n">
        <v>0</v>
      </c>
      <c r="J661" t="n">
        <v>0</v>
      </c>
      <c r="K661" t="n">
        <v>0</v>
      </c>
      <c r="L661" t="n">
        <v>0</v>
      </c>
      <c r="M661" t="n">
        <v>0</v>
      </c>
      <c r="N661" t="n">
        <v>0</v>
      </c>
      <c r="O661" t="n">
        <v>0</v>
      </c>
      <c r="P661" t="n">
        <v>0</v>
      </c>
      <c r="Q661" t="n">
        <v>0</v>
      </c>
      <c r="R661" s="2" t="inlineStr"/>
    </row>
    <row r="662" ht="15" customHeight="1">
      <c r="A662" t="inlineStr">
        <is>
          <t>A 66608-2021</t>
        </is>
      </c>
      <c r="B662" s="1" t="n">
        <v>44519</v>
      </c>
      <c r="C662" s="1" t="n">
        <v>45730</v>
      </c>
      <c r="D662" t="inlineStr">
        <is>
          <t>STOCKHOLMS LÄN</t>
        </is>
      </c>
      <c r="E662" t="inlineStr">
        <is>
          <t>NORRTÄLJE</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66592-2021</t>
        </is>
      </c>
      <c r="B663" s="1" t="n">
        <v>44519</v>
      </c>
      <c r="C663" s="1" t="n">
        <v>45730</v>
      </c>
      <c r="D663" t="inlineStr">
        <is>
          <t>STOCKHOLMS LÄN</t>
        </is>
      </c>
      <c r="E663" t="inlineStr">
        <is>
          <t>NORRTÄLJE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66769-2021</t>
        </is>
      </c>
      <c r="B664" s="1" t="n">
        <v>44521</v>
      </c>
      <c r="C664" s="1" t="n">
        <v>45730</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v>
      </c>
      <c r="C665" s="1" t="n">
        <v>45730</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67525-2021</t>
        </is>
      </c>
      <c r="B666" s="1" t="n">
        <v>44524</v>
      </c>
      <c r="C666" s="1" t="n">
        <v>45730</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67598-2021</t>
        </is>
      </c>
      <c r="B667" s="1" t="n">
        <v>44524</v>
      </c>
      <c r="C667" s="1" t="n">
        <v>45730</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45730</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67990-2021</t>
        </is>
      </c>
      <c r="B669" s="1" t="n">
        <v>44525</v>
      </c>
      <c r="C669" s="1" t="n">
        <v>45730</v>
      </c>
      <c r="D669" t="inlineStr">
        <is>
          <t>STOCKHOLMS LÄN</t>
        </is>
      </c>
      <c r="E669" t="inlineStr">
        <is>
          <t>NORRTÄLJE</t>
        </is>
      </c>
      <c r="F669" t="inlineStr">
        <is>
          <t>Sveaskog</t>
        </is>
      </c>
      <c r="G669" t="n">
        <v>7.8</v>
      </c>
      <c r="H669" t="n">
        <v>0</v>
      </c>
      <c r="I669" t="n">
        <v>0</v>
      </c>
      <c r="J669" t="n">
        <v>0</v>
      </c>
      <c r="K669" t="n">
        <v>0</v>
      </c>
      <c r="L669" t="n">
        <v>0</v>
      </c>
      <c r="M669" t="n">
        <v>0</v>
      </c>
      <c r="N669" t="n">
        <v>0</v>
      </c>
      <c r="O669" t="n">
        <v>0</v>
      </c>
      <c r="P669" t="n">
        <v>0</v>
      </c>
      <c r="Q669" t="n">
        <v>0</v>
      </c>
      <c r="R669" s="2" t="inlineStr"/>
    </row>
    <row r="670" ht="15" customHeight="1">
      <c r="A670" t="inlineStr">
        <is>
          <t>A 67992-2021</t>
        </is>
      </c>
      <c r="B670" s="1" t="n">
        <v>44525</v>
      </c>
      <c r="C670" s="1" t="n">
        <v>45730</v>
      </c>
      <c r="D670" t="inlineStr">
        <is>
          <t>STOCKHOLMS LÄN</t>
        </is>
      </c>
      <c r="E670" t="inlineStr">
        <is>
          <t>NORRTÄLJE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67993-2021</t>
        </is>
      </c>
      <c r="B671" s="1" t="n">
        <v>44525</v>
      </c>
      <c r="C671" s="1" t="n">
        <v>45730</v>
      </c>
      <c r="D671" t="inlineStr">
        <is>
          <t>STOCKHOLMS LÄN</t>
        </is>
      </c>
      <c r="E671" t="inlineStr">
        <is>
          <t>NORRTÄLJE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45730</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68361-2021</t>
        </is>
      </c>
      <c r="B673" s="1" t="n">
        <v>44528</v>
      </c>
      <c r="C673" s="1" t="n">
        <v>45730</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69034-2021</t>
        </is>
      </c>
      <c r="B674" s="1" t="n">
        <v>44529</v>
      </c>
      <c r="C674" s="1" t="n">
        <v>45730</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69539-2021</t>
        </is>
      </c>
      <c r="B675" s="1" t="n">
        <v>44531</v>
      </c>
      <c r="C675" s="1" t="n">
        <v>45730</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69723-2021</t>
        </is>
      </c>
      <c r="B676" s="1" t="n">
        <v>44532</v>
      </c>
      <c r="C676" s="1" t="n">
        <v>45730</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69816-2021</t>
        </is>
      </c>
      <c r="B677" s="1" t="n">
        <v>44532</v>
      </c>
      <c r="C677" s="1" t="n">
        <v>45730</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70170-2021</t>
        </is>
      </c>
      <c r="B678" s="1" t="n">
        <v>44533</v>
      </c>
      <c r="C678" s="1" t="n">
        <v>45730</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69988-2021</t>
        </is>
      </c>
      <c r="B679" s="1" t="n">
        <v>44533</v>
      </c>
      <c r="C679" s="1" t="n">
        <v>45730</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70469-2021</t>
        </is>
      </c>
      <c r="B680" s="1" t="n">
        <v>44536</v>
      </c>
      <c r="C680" s="1" t="n">
        <v>45730</v>
      </c>
      <c r="D680" t="inlineStr">
        <is>
          <t>STOCKHOLMS LÄN</t>
        </is>
      </c>
      <c r="E680" t="inlineStr">
        <is>
          <t>NORRTÄLJE</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71325-2021</t>
        </is>
      </c>
      <c r="B681" s="1" t="n">
        <v>44539</v>
      </c>
      <c r="C681" s="1" t="n">
        <v>45730</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71552-2021</t>
        </is>
      </c>
      <c r="B682" s="1" t="n">
        <v>44540</v>
      </c>
      <c r="C682" s="1" t="n">
        <v>45730</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71479-2021</t>
        </is>
      </c>
      <c r="B683" s="1" t="n">
        <v>44540</v>
      </c>
      <c r="C683" s="1" t="n">
        <v>45730</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71543-2021</t>
        </is>
      </c>
      <c r="B684" s="1" t="n">
        <v>44540</v>
      </c>
      <c r="C684" s="1" t="n">
        <v>45730</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71873-2021</t>
        </is>
      </c>
      <c r="B685" s="1" t="n">
        <v>44543</v>
      </c>
      <c r="C685" s="1" t="n">
        <v>45730</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71876-2021</t>
        </is>
      </c>
      <c r="B686" s="1" t="n">
        <v>44543</v>
      </c>
      <c r="C686" s="1" t="n">
        <v>45730</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71880-2021</t>
        </is>
      </c>
      <c r="B687" s="1" t="n">
        <v>44543</v>
      </c>
      <c r="C687" s="1" t="n">
        <v>45730</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71871-2021</t>
        </is>
      </c>
      <c r="B688" s="1" t="n">
        <v>44543</v>
      </c>
      <c r="C688" s="1" t="n">
        <v>45730</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71878-2021</t>
        </is>
      </c>
      <c r="B689" s="1" t="n">
        <v>44543</v>
      </c>
      <c r="C689" s="1" t="n">
        <v>45730</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72085-2021</t>
        </is>
      </c>
      <c r="B690" s="1" t="n">
        <v>44544</v>
      </c>
      <c r="C690" s="1" t="n">
        <v>45730</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72202-2021</t>
        </is>
      </c>
      <c r="B691" s="1" t="n">
        <v>44544</v>
      </c>
      <c r="C691" s="1" t="n">
        <v>45730</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72308-2021</t>
        </is>
      </c>
      <c r="B692" s="1" t="n">
        <v>44545</v>
      </c>
      <c r="C692" s="1" t="n">
        <v>45730</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72343-2021</t>
        </is>
      </c>
      <c r="B693" s="1" t="n">
        <v>44545</v>
      </c>
      <c r="C693" s="1" t="n">
        <v>45730</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45730</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72355-2021</t>
        </is>
      </c>
      <c r="B695" s="1" t="n">
        <v>44545</v>
      </c>
      <c r="C695" s="1" t="n">
        <v>45730</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72353-2021</t>
        </is>
      </c>
      <c r="B696" s="1" t="n">
        <v>44545</v>
      </c>
      <c r="C696" s="1" t="n">
        <v>45730</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72747-2021</t>
        </is>
      </c>
      <c r="B697" s="1" t="n">
        <v>44546</v>
      </c>
      <c r="C697" s="1" t="n">
        <v>45730</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72704-2021</t>
        </is>
      </c>
      <c r="B698" s="1" t="n">
        <v>44546</v>
      </c>
      <c r="C698" s="1" t="n">
        <v>45730</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72890-2021</t>
        </is>
      </c>
      <c r="B699" s="1" t="n">
        <v>44547</v>
      </c>
      <c r="C699" s="1" t="n">
        <v>45730</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73311-2021</t>
        </is>
      </c>
      <c r="B700" s="1" t="n">
        <v>44549</v>
      </c>
      <c r="C700" s="1" t="n">
        <v>45730</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73307-2021</t>
        </is>
      </c>
      <c r="B701" s="1" t="n">
        <v>44549</v>
      </c>
      <c r="C701" s="1" t="n">
        <v>45730</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73271-2021</t>
        </is>
      </c>
      <c r="B702" s="1" t="n">
        <v>44550</v>
      </c>
      <c r="C702" s="1" t="n">
        <v>45730</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73504-2021</t>
        </is>
      </c>
      <c r="B703" s="1" t="n">
        <v>44551</v>
      </c>
      <c r="C703" s="1" t="n">
        <v>45730</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73855-2021</t>
        </is>
      </c>
      <c r="B704" s="1" t="n">
        <v>44552</v>
      </c>
      <c r="C704" s="1" t="n">
        <v>45730</v>
      </c>
      <c r="D704" t="inlineStr">
        <is>
          <t>STOCKHOLMS LÄN</t>
        </is>
      </c>
      <c r="E704" t="inlineStr">
        <is>
          <t>NORRTÄLJE</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73992-2021</t>
        </is>
      </c>
      <c r="B705" s="1" t="n">
        <v>44556</v>
      </c>
      <c r="C705" s="1" t="n">
        <v>45730</v>
      </c>
      <c r="D705" t="inlineStr">
        <is>
          <t>STOCKHOLMS LÄN</t>
        </is>
      </c>
      <c r="E705" t="inlineStr">
        <is>
          <t>NORRTÄLJE</t>
        </is>
      </c>
      <c r="G705" t="n">
        <v>12.5</v>
      </c>
      <c r="H705" t="n">
        <v>0</v>
      </c>
      <c r="I705" t="n">
        <v>0</v>
      </c>
      <c r="J705" t="n">
        <v>0</v>
      </c>
      <c r="K705" t="n">
        <v>0</v>
      </c>
      <c r="L705" t="n">
        <v>0</v>
      </c>
      <c r="M705" t="n">
        <v>0</v>
      </c>
      <c r="N705" t="n">
        <v>0</v>
      </c>
      <c r="O705" t="n">
        <v>0</v>
      </c>
      <c r="P705" t="n">
        <v>0</v>
      </c>
      <c r="Q705" t="n">
        <v>0</v>
      </c>
      <c r="R705" s="2" t="inlineStr"/>
    </row>
    <row r="706" ht="15" customHeight="1">
      <c r="A706" t="inlineStr">
        <is>
          <t>A 73993-2021</t>
        </is>
      </c>
      <c r="B706" s="1" t="n">
        <v>44556</v>
      </c>
      <c r="C706" s="1" t="n">
        <v>45730</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74468-2021</t>
        </is>
      </c>
      <c r="B707" s="1" t="n">
        <v>44560</v>
      </c>
      <c r="C707" s="1" t="n">
        <v>45730</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185-2022</t>
        </is>
      </c>
      <c r="B708" s="1" t="n">
        <v>44564</v>
      </c>
      <c r="C708" s="1" t="n">
        <v>45730</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190-2022</t>
        </is>
      </c>
      <c r="B709" s="1" t="n">
        <v>44564</v>
      </c>
      <c r="C709" s="1" t="n">
        <v>45730</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187-2022</t>
        </is>
      </c>
      <c r="B710" s="1" t="n">
        <v>44564</v>
      </c>
      <c r="C710" s="1" t="n">
        <v>45730</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77-2022</t>
        </is>
      </c>
      <c r="B711" s="1" t="n">
        <v>44564</v>
      </c>
      <c r="C711" s="1" t="n">
        <v>45730</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1058-2022</t>
        </is>
      </c>
      <c r="B712" s="1" t="n">
        <v>44571</v>
      </c>
      <c r="C712" s="1" t="n">
        <v>45730</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1051-2022</t>
        </is>
      </c>
      <c r="B713" s="1" t="n">
        <v>44571</v>
      </c>
      <c r="C713" s="1" t="n">
        <v>45730</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1054-2022</t>
        </is>
      </c>
      <c r="B714" s="1" t="n">
        <v>44571</v>
      </c>
      <c r="C714" s="1" t="n">
        <v>45730</v>
      </c>
      <c r="D714" t="inlineStr">
        <is>
          <t>STOCKHOLMS LÄN</t>
        </is>
      </c>
      <c r="E714" t="inlineStr">
        <is>
          <t>NORRTÄLJE</t>
        </is>
      </c>
      <c r="G714" t="n">
        <v>5</v>
      </c>
      <c r="H714" t="n">
        <v>0</v>
      </c>
      <c r="I714" t="n">
        <v>0</v>
      </c>
      <c r="J714" t="n">
        <v>0</v>
      </c>
      <c r="K714" t="n">
        <v>0</v>
      </c>
      <c r="L714" t="n">
        <v>0</v>
      </c>
      <c r="M714" t="n">
        <v>0</v>
      </c>
      <c r="N714" t="n">
        <v>0</v>
      </c>
      <c r="O714" t="n">
        <v>0</v>
      </c>
      <c r="P714" t="n">
        <v>0</v>
      </c>
      <c r="Q714" t="n">
        <v>0</v>
      </c>
      <c r="R714" s="2" t="inlineStr"/>
    </row>
    <row r="715" ht="15" customHeight="1">
      <c r="A715" t="inlineStr">
        <is>
          <t>A 1229-2022</t>
        </is>
      </c>
      <c r="B715" s="1" t="n">
        <v>44572</v>
      </c>
      <c r="C715" s="1" t="n">
        <v>45730</v>
      </c>
      <c r="D715" t="inlineStr">
        <is>
          <t>STOCKHOLMS LÄN</t>
        </is>
      </c>
      <c r="E715" t="inlineStr">
        <is>
          <t>NORRTÄLJE</t>
        </is>
      </c>
      <c r="G715" t="n">
        <v>11.5</v>
      </c>
      <c r="H715" t="n">
        <v>0</v>
      </c>
      <c r="I715" t="n">
        <v>0</v>
      </c>
      <c r="J715" t="n">
        <v>0</v>
      </c>
      <c r="K715" t="n">
        <v>0</v>
      </c>
      <c r="L715" t="n">
        <v>0</v>
      </c>
      <c r="M715" t="n">
        <v>0</v>
      </c>
      <c r="N715" t="n">
        <v>0</v>
      </c>
      <c r="O715" t="n">
        <v>0</v>
      </c>
      <c r="P715" t="n">
        <v>0</v>
      </c>
      <c r="Q715" t="n">
        <v>0</v>
      </c>
      <c r="R715" s="2" t="inlineStr"/>
    </row>
    <row r="716" ht="15" customHeight="1">
      <c r="A716" t="inlineStr">
        <is>
          <t>A 1704-2022</t>
        </is>
      </c>
      <c r="B716" s="1" t="n">
        <v>44574</v>
      </c>
      <c r="C716" s="1" t="n">
        <v>45730</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1968-2022</t>
        </is>
      </c>
      <c r="B717" s="1" t="n">
        <v>44575</v>
      </c>
      <c r="C717" s="1" t="n">
        <v>45730</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2182-2022</t>
        </is>
      </c>
      <c r="B718" s="1" t="n">
        <v>44578</v>
      </c>
      <c r="C718" s="1" t="n">
        <v>45730</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45730</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45730</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2888-2022</t>
        </is>
      </c>
      <c r="B721" s="1" t="n">
        <v>44581</v>
      </c>
      <c r="C721" s="1" t="n">
        <v>45730</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2977-2022</t>
        </is>
      </c>
      <c r="B722" s="1" t="n">
        <v>44581</v>
      </c>
      <c r="C722" s="1" t="n">
        <v>45730</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v>
      </c>
      <c r="C723" s="1" t="n">
        <v>45730</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3310-2022</t>
        </is>
      </c>
      <c r="B724" s="1" t="n">
        <v>44584</v>
      </c>
      <c r="C724" s="1" t="n">
        <v>45730</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3396-2022</t>
        </is>
      </c>
      <c r="B725" s="1" t="n">
        <v>44585</v>
      </c>
      <c r="C725" s="1" t="n">
        <v>45730</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3509-2022</t>
        </is>
      </c>
      <c r="B726" s="1" t="n">
        <v>44585</v>
      </c>
      <c r="C726" s="1" t="n">
        <v>45730</v>
      </c>
      <c r="D726" t="inlineStr">
        <is>
          <t>STOCKHOLMS LÄN</t>
        </is>
      </c>
      <c r="E726" t="inlineStr">
        <is>
          <t>NORRTÄLJE</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4860-2022</t>
        </is>
      </c>
      <c r="B727" s="1" t="n">
        <v>44592</v>
      </c>
      <c r="C727" s="1" t="n">
        <v>45730</v>
      </c>
      <c r="D727" t="inlineStr">
        <is>
          <t>STOCKHOLMS LÄN</t>
        </is>
      </c>
      <c r="E727" t="inlineStr">
        <is>
          <t>NORRTÄLJE</t>
        </is>
      </c>
      <c r="G727" t="n">
        <v>22.3</v>
      </c>
      <c r="H727" t="n">
        <v>0</v>
      </c>
      <c r="I727" t="n">
        <v>0</v>
      </c>
      <c r="J727" t="n">
        <v>0</v>
      </c>
      <c r="K727" t="n">
        <v>0</v>
      </c>
      <c r="L727" t="n">
        <v>0</v>
      </c>
      <c r="M727" t="n">
        <v>0</v>
      </c>
      <c r="N727" t="n">
        <v>0</v>
      </c>
      <c r="O727" t="n">
        <v>0</v>
      </c>
      <c r="P727" t="n">
        <v>0</v>
      </c>
      <c r="Q727" t="n">
        <v>0</v>
      </c>
      <c r="R727" s="2" t="inlineStr"/>
    </row>
    <row r="728" ht="15" customHeight="1">
      <c r="A728" t="inlineStr">
        <is>
          <t>A 5351-2022</t>
        </is>
      </c>
      <c r="B728" s="1" t="n">
        <v>44594</v>
      </c>
      <c r="C728" s="1" t="n">
        <v>45730</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5513-2022</t>
        </is>
      </c>
      <c r="B729" s="1" t="n">
        <v>44595</v>
      </c>
      <c r="C729" s="1" t="n">
        <v>45730</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45730</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5831-2022</t>
        </is>
      </c>
      <c r="B731" s="1" t="n">
        <v>44596</v>
      </c>
      <c r="C731" s="1" t="n">
        <v>45730</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5867-2022</t>
        </is>
      </c>
      <c r="B732" s="1" t="n">
        <v>44596</v>
      </c>
      <c r="C732" s="1" t="n">
        <v>45730</v>
      </c>
      <c r="D732" t="inlineStr">
        <is>
          <t>STOCKHOLMS LÄN</t>
        </is>
      </c>
      <c r="E732" t="inlineStr">
        <is>
          <t>NORRTÄLJE</t>
        </is>
      </c>
      <c r="F732" t="inlineStr">
        <is>
          <t>Naturvårdsverket</t>
        </is>
      </c>
      <c r="G732" t="n">
        <v>1.6</v>
      </c>
      <c r="H732" t="n">
        <v>0</v>
      </c>
      <c r="I732" t="n">
        <v>0</v>
      </c>
      <c r="J732" t="n">
        <v>0</v>
      </c>
      <c r="K732" t="n">
        <v>0</v>
      </c>
      <c r="L732" t="n">
        <v>0</v>
      </c>
      <c r="M732" t="n">
        <v>0</v>
      </c>
      <c r="N732" t="n">
        <v>0</v>
      </c>
      <c r="O732" t="n">
        <v>0</v>
      </c>
      <c r="P732" t="n">
        <v>0</v>
      </c>
      <c r="Q732" t="n">
        <v>0</v>
      </c>
      <c r="R732" s="2" t="inlineStr"/>
    </row>
    <row r="733" ht="15" customHeight="1">
      <c r="A733" t="inlineStr">
        <is>
          <t>A 6070-2022</t>
        </is>
      </c>
      <c r="B733" s="1" t="n">
        <v>44599</v>
      </c>
      <c r="C733" s="1" t="n">
        <v>45730</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6332-2022</t>
        </is>
      </c>
      <c r="B734" s="1" t="n">
        <v>44600</v>
      </c>
      <c r="C734" s="1" t="n">
        <v>45730</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7301-2022</t>
        </is>
      </c>
      <c r="B735" s="1" t="n">
        <v>44606</v>
      </c>
      <c r="C735" s="1" t="n">
        <v>45730</v>
      </c>
      <c r="D735" t="inlineStr">
        <is>
          <t>STOCKHOLMS LÄN</t>
        </is>
      </c>
      <c r="E735" t="inlineStr">
        <is>
          <t>NORRTÄLJE</t>
        </is>
      </c>
      <c r="G735" t="n">
        <v>6.1</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45730</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8049-2022</t>
        </is>
      </c>
      <c r="B737" s="1" t="n">
        <v>44609</v>
      </c>
      <c r="C737" s="1" t="n">
        <v>45730</v>
      </c>
      <c r="D737" t="inlineStr">
        <is>
          <t>STOCKHOLMS LÄN</t>
        </is>
      </c>
      <c r="E737" t="inlineStr">
        <is>
          <t>NORRTÄLJE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45730</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8433-2022</t>
        </is>
      </c>
      <c r="B739" s="1" t="n">
        <v>44611</v>
      </c>
      <c r="C739" s="1" t="n">
        <v>45730</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9668-2022</t>
        </is>
      </c>
      <c r="B740" s="1" t="n">
        <v>44617</v>
      </c>
      <c r="C740" s="1" t="n">
        <v>45730</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45730</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9749-2022</t>
        </is>
      </c>
      <c r="B742" s="1" t="n">
        <v>44618</v>
      </c>
      <c r="C742" s="1" t="n">
        <v>45730</v>
      </c>
      <c r="D742" t="inlineStr">
        <is>
          <t>STOCKHOLMS LÄN</t>
        </is>
      </c>
      <c r="E742" t="inlineStr">
        <is>
          <t>NORRTÄLJE</t>
        </is>
      </c>
      <c r="G742" t="n">
        <v>7.2</v>
      </c>
      <c r="H742" t="n">
        <v>0</v>
      </c>
      <c r="I742" t="n">
        <v>0</v>
      </c>
      <c r="J742" t="n">
        <v>0</v>
      </c>
      <c r="K742" t="n">
        <v>0</v>
      </c>
      <c r="L742" t="n">
        <v>0</v>
      </c>
      <c r="M742" t="n">
        <v>0</v>
      </c>
      <c r="N742" t="n">
        <v>0</v>
      </c>
      <c r="O742" t="n">
        <v>0</v>
      </c>
      <c r="P742" t="n">
        <v>0</v>
      </c>
      <c r="Q742" t="n">
        <v>0</v>
      </c>
      <c r="R742" s="2" t="inlineStr"/>
    </row>
    <row r="743" ht="15" customHeight="1">
      <c r="A743" t="inlineStr">
        <is>
          <t>A 9988-2022</t>
        </is>
      </c>
      <c r="B743" s="1" t="n">
        <v>44621</v>
      </c>
      <c r="C743" s="1" t="n">
        <v>45730</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45730</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10098-2022</t>
        </is>
      </c>
      <c r="B745" s="1" t="n">
        <v>44621</v>
      </c>
      <c r="C745" s="1" t="n">
        <v>45730</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45730</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45730</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10710-2022</t>
        </is>
      </c>
      <c r="B748" s="1" t="n">
        <v>44626</v>
      </c>
      <c r="C748" s="1" t="n">
        <v>45730</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10711-2022</t>
        </is>
      </c>
      <c r="B749" s="1" t="n">
        <v>44626</v>
      </c>
      <c r="C749" s="1" t="n">
        <v>45730</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11150-2022</t>
        </is>
      </c>
      <c r="B750" s="1" t="n">
        <v>44629</v>
      </c>
      <c r="C750" s="1" t="n">
        <v>45730</v>
      </c>
      <c r="D750" t="inlineStr">
        <is>
          <t>STOCKHOLMS LÄN</t>
        </is>
      </c>
      <c r="E750" t="inlineStr">
        <is>
          <t>NORRTÄLJE</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11229-2022</t>
        </is>
      </c>
      <c r="B751" s="1" t="n">
        <v>44629</v>
      </c>
      <c r="C751" s="1" t="n">
        <v>45730</v>
      </c>
      <c r="D751" t="inlineStr">
        <is>
          <t>STOCKHOLMS LÄN</t>
        </is>
      </c>
      <c r="E751" t="inlineStr">
        <is>
          <t>NORRTÄLJE</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11533-2022</t>
        </is>
      </c>
      <c r="B752" s="1" t="n">
        <v>44631</v>
      </c>
      <c r="C752" s="1" t="n">
        <v>45730</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11821-2022</t>
        </is>
      </c>
      <c r="B753" s="1" t="n">
        <v>44634</v>
      </c>
      <c r="C753" s="1" t="n">
        <v>45730</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11900-2022</t>
        </is>
      </c>
      <c r="B754" s="1" t="n">
        <v>44635</v>
      </c>
      <c r="C754" s="1" t="n">
        <v>45730</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12355-2022</t>
        </is>
      </c>
      <c r="B755" s="1" t="n">
        <v>44637</v>
      </c>
      <c r="C755" s="1" t="n">
        <v>45730</v>
      </c>
      <c r="D755" t="inlineStr">
        <is>
          <t>STOCKHOLMS LÄN</t>
        </is>
      </c>
      <c r="E755" t="inlineStr">
        <is>
          <t>NORRTÄLJE</t>
        </is>
      </c>
      <c r="G755" t="n">
        <v>10.4</v>
      </c>
      <c r="H755" t="n">
        <v>0</v>
      </c>
      <c r="I755" t="n">
        <v>0</v>
      </c>
      <c r="J755" t="n">
        <v>0</v>
      </c>
      <c r="K755" t="n">
        <v>0</v>
      </c>
      <c r="L755" t="n">
        <v>0</v>
      </c>
      <c r="M755" t="n">
        <v>0</v>
      </c>
      <c r="N755" t="n">
        <v>0</v>
      </c>
      <c r="O755" t="n">
        <v>0</v>
      </c>
      <c r="P755" t="n">
        <v>0</v>
      </c>
      <c r="Q755" t="n">
        <v>0</v>
      </c>
      <c r="R755" s="2" t="inlineStr"/>
    </row>
    <row r="756" ht="15" customHeight="1">
      <c r="A756" t="inlineStr">
        <is>
          <t>A 12270-2022</t>
        </is>
      </c>
      <c r="B756" s="1" t="n">
        <v>44637</v>
      </c>
      <c r="C756" s="1" t="n">
        <v>45730</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12314-2022</t>
        </is>
      </c>
      <c r="B757" s="1" t="n">
        <v>44637</v>
      </c>
      <c r="C757" s="1" t="n">
        <v>45730</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45730</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12357-2022</t>
        </is>
      </c>
      <c r="B759" s="1" t="n">
        <v>44637</v>
      </c>
      <c r="C759" s="1" t="n">
        <v>45730</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62765-2022</t>
        </is>
      </c>
      <c r="B760" s="1" t="n">
        <v>44637</v>
      </c>
      <c r="C760" s="1" t="n">
        <v>45730</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12874-2022</t>
        </is>
      </c>
      <c r="B761" s="1" t="n">
        <v>44642</v>
      </c>
      <c r="C761" s="1" t="n">
        <v>45730</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12816-2022</t>
        </is>
      </c>
      <c r="B762" s="1" t="n">
        <v>44642</v>
      </c>
      <c r="C762" s="1" t="n">
        <v>45730</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12877-2022</t>
        </is>
      </c>
      <c r="B763" s="1" t="n">
        <v>44642</v>
      </c>
      <c r="C763" s="1" t="n">
        <v>45730</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12875-2022</t>
        </is>
      </c>
      <c r="B764" s="1" t="n">
        <v>44642</v>
      </c>
      <c r="C764" s="1" t="n">
        <v>45730</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13077-2022</t>
        </is>
      </c>
      <c r="B765" s="1" t="n">
        <v>44643</v>
      </c>
      <c r="C765" s="1" t="n">
        <v>45730</v>
      </c>
      <c r="D765" t="inlineStr">
        <is>
          <t>STOCKHOLMS LÄN</t>
        </is>
      </c>
      <c r="E765" t="inlineStr">
        <is>
          <t>NORRTÄLJE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13053-2022</t>
        </is>
      </c>
      <c r="B766" s="1" t="n">
        <v>44643</v>
      </c>
      <c r="C766" s="1" t="n">
        <v>45730</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13089-2022</t>
        </is>
      </c>
      <c r="B767" s="1" t="n">
        <v>44643</v>
      </c>
      <c r="C767" s="1" t="n">
        <v>45730</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13106-2022</t>
        </is>
      </c>
      <c r="B768" s="1" t="n">
        <v>44644</v>
      </c>
      <c r="C768" s="1" t="n">
        <v>45730</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13278-2022</t>
        </is>
      </c>
      <c r="B769" s="1" t="n">
        <v>44644</v>
      </c>
      <c r="C769" s="1" t="n">
        <v>45730</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13276-2022</t>
        </is>
      </c>
      <c r="B770" s="1" t="n">
        <v>44644</v>
      </c>
      <c r="C770" s="1" t="n">
        <v>45730</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13395-2022</t>
        </is>
      </c>
      <c r="B771" s="1" t="n">
        <v>44645</v>
      </c>
      <c r="C771" s="1" t="n">
        <v>45730</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13696-2022</t>
        </is>
      </c>
      <c r="B772" s="1" t="n">
        <v>44648</v>
      </c>
      <c r="C772" s="1" t="n">
        <v>45730</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45730</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13718-2022</t>
        </is>
      </c>
      <c r="B774" s="1" t="n">
        <v>44649</v>
      </c>
      <c r="C774" s="1" t="n">
        <v>45730</v>
      </c>
      <c r="D774" t="inlineStr">
        <is>
          <t>STOCKHOLMS LÄN</t>
        </is>
      </c>
      <c r="E774" t="inlineStr">
        <is>
          <t>NORRTÄLJE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14036-2022</t>
        </is>
      </c>
      <c r="B775" s="1" t="n">
        <v>44650</v>
      </c>
      <c r="C775" s="1" t="n">
        <v>45730</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14033-2022</t>
        </is>
      </c>
      <c r="B776" s="1" t="n">
        <v>44650</v>
      </c>
      <c r="C776" s="1" t="n">
        <v>45730</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14034-2022</t>
        </is>
      </c>
      <c r="B777" s="1" t="n">
        <v>44650</v>
      </c>
      <c r="C777" s="1" t="n">
        <v>45730</v>
      </c>
      <c r="D777" t="inlineStr">
        <is>
          <t>STOCKHOLMS LÄN</t>
        </is>
      </c>
      <c r="E777" t="inlineStr">
        <is>
          <t>NORRTÄLJE</t>
        </is>
      </c>
      <c r="G777" t="n">
        <v>6.1</v>
      </c>
      <c r="H777" t="n">
        <v>0</v>
      </c>
      <c r="I777" t="n">
        <v>0</v>
      </c>
      <c r="J777" t="n">
        <v>0</v>
      </c>
      <c r="K777" t="n">
        <v>0</v>
      </c>
      <c r="L777" t="n">
        <v>0</v>
      </c>
      <c r="M777" t="n">
        <v>0</v>
      </c>
      <c r="N777" t="n">
        <v>0</v>
      </c>
      <c r="O777" t="n">
        <v>0</v>
      </c>
      <c r="P777" t="n">
        <v>0</v>
      </c>
      <c r="Q777" t="n">
        <v>0</v>
      </c>
      <c r="R777" s="2" t="inlineStr"/>
    </row>
    <row r="778" ht="15" customHeight="1">
      <c r="A778" t="inlineStr">
        <is>
          <t>A 14051-2022</t>
        </is>
      </c>
      <c r="B778" s="1" t="n">
        <v>44651</v>
      </c>
      <c r="C778" s="1" t="n">
        <v>45730</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14166-2022</t>
        </is>
      </c>
      <c r="B779" s="1" t="n">
        <v>44651</v>
      </c>
      <c r="C779" s="1" t="n">
        <v>45730</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v>
      </c>
      <c r="C780" s="1" t="n">
        <v>45730</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14724-2022</t>
        </is>
      </c>
      <c r="B781" s="1" t="n">
        <v>44656</v>
      </c>
      <c r="C781" s="1" t="n">
        <v>45730</v>
      </c>
      <c r="D781" t="inlineStr">
        <is>
          <t>STOCKHOLMS LÄN</t>
        </is>
      </c>
      <c r="E781" t="inlineStr">
        <is>
          <t>NORRTÄLJE</t>
        </is>
      </c>
      <c r="F781" t="inlineStr">
        <is>
          <t>Sveaskog</t>
        </is>
      </c>
      <c r="G781" t="n">
        <v>9</v>
      </c>
      <c r="H781" t="n">
        <v>0</v>
      </c>
      <c r="I781" t="n">
        <v>0</v>
      </c>
      <c r="J781" t="n">
        <v>0</v>
      </c>
      <c r="K781" t="n">
        <v>0</v>
      </c>
      <c r="L781" t="n">
        <v>0</v>
      </c>
      <c r="M781" t="n">
        <v>0</v>
      </c>
      <c r="N781" t="n">
        <v>0</v>
      </c>
      <c r="O781" t="n">
        <v>0</v>
      </c>
      <c r="P781" t="n">
        <v>0</v>
      </c>
      <c r="Q781" t="n">
        <v>0</v>
      </c>
      <c r="R781" s="2" t="inlineStr"/>
    </row>
    <row r="782" ht="15" customHeight="1">
      <c r="A782" t="inlineStr">
        <is>
          <t>A 14716-2022</t>
        </is>
      </c>
      <c r="B782" s="1" t="n">
        <v>44656</v>
      </c>
      <c r="C782" s="1" t="n">
        <v>45730</v>
      </c>
      <c r="D782" t="inlineStr">
        <is>
          <t>STOCKHOLMS LÄN</t>
        </is>
      </c>
      <c r="E782" t="inlineStr">
        <is>
          <t>NORRTÄLJE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14869-2022</t>
        </is>
      </c>
      <c r="B783" s="1" t="n">
        <v>44656</v>
      </c>
      <c r="C783" s="1" t="n">
        <v>45730</v>
      </c>
      <c r="D783" t="inlineStr">
        <is>
          <t>STOCKHOLMS LÄN</t>
        </is>
      </c>
      <c r="E783" t="inlineStr">
        <is>
          <t>NORRTÄLJE</t>
        </is>
      </c>
      <c r="F783" t="inlineStr">
        <is>
          <t>Holmen skog AB</t>
        </is>
      </c>
      <c r="G783" t="n">
        <v>9.1</v>
      </c>
      <c r="H783" t="n">
        <v>0</v>
      </c>
      <c r="I783" t="n">
        <v>0</v>
      </c>
      <c r="J783" t="n">
        <v>0</v>
      </c>
      <c r="K783" t="n">
        <v>0</v>
      </c>
      <c r="L783" t="n">
        <v>0</v>
      </c>
      <c r="M783" t="n">
        <v>0</v>
      </c>
      <c r="N783" t="n">
        <v>0</v>
      </c>
      <c r="O783" t="n">
        <v>0</v>
      </c>
      <c r="P783" t="n">
        <v>0</v>
      </c>
      <c r="Q783" t="n">
        <v>0</v>
      </c>
      <c r="R783" s="2" t="inlineStr"/>
    </row>
    <row r="784" ht="15" customHeight="1">
      <c r="A784" t="inlineStr">
        <is>
          <t>A 15225-2022</t>
        </is>
      </c>
      <c r="B784" s="1" t="n">
        <v>44658</v>
      </c>
      <c r="C784" s="1" t="n">
        <v>45730</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15226-2022</t>
        </is>
      </c>
      <c r="B785" s="1" t="n">
        <v>44658</v>
      </c>
      <c r="C785" s="1" t="n">
        <v>45730</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15861-2022</t>
        </is>
      </c>
      <c r="B786" s="1" t="n">
        <v>44664</v>
      </c>
      <c r="C786" s="1" t="n">
        <v>45730</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16117-2022</t>
        </is>
      </c>
      <c r="B787" s="1" t="n">
        <v>44665</v>
      </c>
      <c r="C787" s="1" t="n">
        <v>45730</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16119-2022</t>
        </is>
      </c>
      <c r="B788" s="1" t="n">
        <v>44665</v>
      </c>
      <c r="C788" s="1" t="n">
        <v>45730</v>
      </c>
      <c r="D788" t="inlineStr">
        <is>
          <t>STOCKHOLMS LÄN</t>
        </is>
      </c>
      <c r="E788" t="inlineStr">
        <is>
          <t>NORRTÄLJE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16132-2022</t>
        </is>
      </c>
      <c r="B789" s="1" t="n">
        <v>44665</v>
      </c>
      <c r="C789" s="1" t="n">
        <v>45730</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16224-2022</t>
        </is>
      </c>
      <c r="B790" s="1" t="n">
        <v>44670</v>
      </c>
      <c r="C790" s="1" t="n">
        <v>45730</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16202-2022</t>
        </is>
      </c>
      <c r="B791" s="1" t="n">
        <v>44670</v>
      </c>
      <c r="C791" s="1" t="n">
        <v>45730</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16229-2022</t>
        </is>
      </c>
      <c r="B792" s="1" t="n">
        <v>44670</v>
      </c>
      <c r="C792" s="1" t="n">
        <v>45730</v>
      </c>
      <c r="D792" t="inlineStr">
        <is>
          <t>STOCKHOLMS LÄN</t>
        </is>
      </c>
      <c r="E792" t="inlineStr">
        <is>
          <t>NORRTÄLJE</t>
        </is>
      </c>
      <c r="G792" t="n">
        <v>7.4</v>
      </c>
      <c r="H792" t="n">
        <v>0</v>
      </c>
      <c r="I792" t="n">
        <v>0</v>
      </c>
      <c r="J792" t="n">
        <v>0</v>
      </c>
      <c r="K792" t="n">
        <v>0</v>
      </c>
      <c r="L792" t="n">
        <v>0</v>
      </c>
      <c r="M792" t="n">
        <v>0</v>
      </c>
      <c r="N792" t="n">
        <v>0</v>
      </c>
      <c r="O792" t="n">
        <v>0</v>
      </c>
      <c r="P792" t="n">
        <v>0</v>
      </c>
      <c r="Q792" t="n">
        <v>0</v>
      </c>
      <c r="R792" s="2" t="inlineStr"/>
    </row>
    <row r="793" ht="15" customHeight="1">
      <c r="A793" t="inlineStr">
        <is>
          <t>A 16442-2022</t>
        </is>
      </c>
      <c r="B793" s="1" t="n">
        <v>44671</v>
      </c>
      <c r="C793" s="1" t="n">
        <v>45730</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16534-2022</t>
        </is>
      </c>
      <c r="B794" s="1" t="n">
        <v>44672</v>
      </c>
      <c r="C794" s="1" t="n">
        <v>45730</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16835-2022</t>
        </is>
      </c>
      <c r="B795" s="1" t="n">
        <v>44673</v>
      </c>
      <c r="C795" s="1" t="n">
        <v>45730</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17391-2022</t>
        </is>
      </c>
      <c r="B796" s="1" t="n">
        <v>44678</v>
      </c>
      <c r="C796" s="1" t="n">
        <v>45730</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17388-2022</t>
        </is>
      </c>
      <c r="B797" s="1" t="n">
        <v>44678</v>
      </c>
      <c r="C797" s="1" t="n">
        <v>45730</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17390-2022</t>
        </is>
      </c>
      <c r="B798" s="1" t="n">
        <v>44678</v>
      </c>
      <c r="C798" s="1" t="n">
        <v>45730</v>
      </c>
      <c r="D798" t="inlineStr">
        <is>
          <t>STOCKHOLMS LÄN</t>
        </is>
      </c>
      <c r="E798" t="inlineStr">
        <is>
          <t>NORRTÄLJE</t>
        </is>
      </c>
      <c r="G798" t="n">
        <v>4.9</v>
      </c>
      <c r="H798" t="n">
        <v>0</v>
      </c>
      <c r="I798" t="n">
        <v>0</v>
      </c>
      <c r="J798" t="n">
        <v>0</v>
      </c>
      <c r="K798" t="n">
        <v>0</v>
      </c>
      <c r="L798" t="n">
        <v>0</v>
      </c>
      <c r="M798" t="n">
        <v>0</v>
      </c>
      <c r="N798" t="n">
        <v>0</v>
      </c>
      <c r="O798" t="n">
        <v>0</v>
      </c>
      <c r="P798" t="n">
        <v>0</v>
      </c>
      <c r="Q798" t="n">
        <v>0</v>
      </c>
      <c r="R798" s="2" t="inlineStr"/>
    </row>
    <row r="799" ht="15" customHeight="1">
      <c r="A799" t="inlineStr">
        <is>
          <t>A 17612-2022</t>
        </is>
      </c>
      <c r="B799" s="1" t="n">
        <v>44680</v>
      </c>
      <c r="C799" s="1" t="n">
        <v>45730</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17629-2022</t>
        </is>
      </c>
      <c r="B800" s="1" t="n">
        <v>44680</v>
      </c>
      <c r="C800" s="1" t="n">
        <v>45730</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17771-2022</t>
        </is>
      </c>
      <c r="B801" s="1" t="n">
        <v>44682</v>
      </c>
      <c r="C801" s="1" t="n">
        <v>45730</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17775-2022</t>
        </is>
      </c>
      <c r="B802" s="1" t="n">
        <v>44682</v>
      </c>
      <c r="C802" s="1" t="n">
        <v>45730</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17773-2022</t>
        </is>
      </c>
      <c r="B803" s="1" t="n">
        <v>44682</v>
      </c>
      <c r="C803" s="1" t="n">
        <v>45730</v>
      </c>
      <c r="D803" t="inlineStr">
        <is>
          <t>STOCKHOLMS LÄN</t>
        </is>
      </c>
      <c r="E803" t="inlineStr">
        <is>
          <t>NORRTÄLJE</t>
        </is>
      </c>
      <c r="G803" t="n">
        <v>10.8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v>
      </c>
      <c r="C804" s="1" t="n">
        <v>45730</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17777-2022</t>
        </is>
      </c>
      <c r="B805" s="1" t="n">
        <v>44682</v>
      </c>
      <c r="C805" s="1" t="n">
        <v>45730</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17803-2022</t>
        </is>
      </c>
      <c r="B806" s="1" t="n">
        <v>44683</v>
      </c>
      <c r="C806" s="1" t="n">
        <v>45730</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17952-2022</t>
        </is>
      </c>
      <c r="B807" s="1" t="n">
        <v>44683</v>
      </c>
      <c r="C807" s="1" t="n">
        <v>45730</v>
      </c>
      <c r="D807" t="inlineStr">
        <is>
          <t>STOCKHOLMS LÄN</t>
        </is>
      </c>
      <c r="E807" t="inlineStr">
        <is>
          <t>NORRTÄLJE</t>
        </is>
      </c>
      <c r="G807" t="n">
        <v>51.1</v>
      </c>
      <c r="H807" t="n">
        <v>0</v>
      </c>
      <c r="I807" t="n">
        <v>0</v>
      </c>
      <c r="J807" t="n">
        <v>0</v>
      </c>
      <c r="K807" t="n">
        <v>0</v>
      </c>
      <c r="L807" t="n">
        <v>0</v>
      </c>
      <c r="M807" t="n">
        <v>0</v>
      </c>
      <c r="N807" t="n">
        <v>0</v>
      </c>
      <c r="O807" t="n">
        <v>0</v>
      </c>
      <c r="P807" t="n">
        <v>0</v>
      </c>
      <c r="Q807" t="n">
        <v>0</v>
      </c>
      <c r="R807" s="2" t="inlineStr"/>
    </row>
    <row r="808" ht="15" customHeight="1">
      <c r="A808" t="inlineStr">
        <is>
          <t>A 18092-2022</t>
        </is>
      </c>
      <c r="B808" s="1" t="n">
        <v>44684</v>
      </c>
      <c r="C808" s="1" t="n">
        <v>45730</v>
      </c>
      <c r="D808" t="inlineStr">
        <is>
          <t>STOCKHOLMS LÄN</t>
        </is>
      </c>
      <c r="E808" t="inlineStr">
        <is>
          <t>NORRTÄLJE</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18103-2022</t>
        </is>
      </c>
      <c r="B809" s="1" t="n">
        <v>44684</v>
      </c>
      <c r="C809" s="1" t="n">
        <v>45730</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18350-2022</t>
        </is>
      </c>
      <c r="B810" s="1" t="n">
        <v>44685</v>
      </c>
      <c r="C810" s="1" t="n">
        <v>45730</v>
      </c>
      <c r="D810" t="inlineStr">
        <is>
          <t>STOCKHOLMS LÄN</t>
        </is>
      </c>
      <c r="E810" t="inlineStr">
        <is>
          <t>NORRTÄLJE</t>
        </is>
      </c>
      <c r="F810" t="inlineStr">
        <is>
          <t>Holmen skog AB</t>
        </is>
      </c>
      <c r="G810" t="n">
        <v>7.1</v>
      </c>
      <c r="H810" t="n">
        <v>0</v>
      </c>
      <c r="I810" t="n">
        <v>0</v>
      </c>
      <c r="J810" t="n">
        <v>0</v>
      </c>
      <c r="K810" t="n">
        <v>0</v>
      </c>
      <c r="L810" t="n">
        <v>0</v>
      </c>
      <c r="M810" t="n">
        <v>0</v>
      </c>
      <c r="N810" t="n">
        <v>0</v>
      </c>
      <c r="O810" t="n">
        <v>0</v>
      </c>
      <c r="P810" t="n">
        <v>0</v>
      </c>
      <c r="Q810" t="n">
        <v>0</v>
      </c>
      <c r="R810" s="2" t="inlineStr"/>
    </row>
    <row r="811" ht="15" customHeight="1">
      <c r="A811" t="inlineStr">
        <is>
          <t>A 18546-2022</t>
        </is>
      </c>
      <c r="B811" s="1" t="n">
        <v>44686</v>
      </c>
      <c r="C811" s="1" t="n">
        <v>45730</v>
      </c>
      <c r="D811" t="inlineStr">
        <is>
          <t>STOCKHOLMS LÄN</t>
        </is>
      </c>
      <c r="E811" t="inlineStr">
        <is>
          <t>NORRTÄLJE</t>
        </is>
      </c>
      <c r="G811" t="n">
        <v>15.2</v>
      </c>
      <c r="H811" t="n">
        <v>0</v>
      </c>
      <c r="I811" t="n">
        <v>0</v>
      </c>
      <c r="J811" t="n">
        <v>0</v>
      </c>
      <c r="K811" t="n">
        <v>0</v>
      </c>
      <c r="L811" t="n">
        <v>0</v>
      </c>
      <c r="M811" t="n">
        <v>0</v>
      </c>
      <c r="N811" t="n">
        <v>0</v>
      </c>
      <c r="O811" t="n">
        <v>0</v>
      </c>
      <c r="P811" t="n">
        <v>0</v>
      </c>
      <c r="Q811" t="n">
        <v>0</v>
      </c>
      <c r="R811" s="2" t="inlineStr"/>
    </row>
    <row r="812" ht="15" customHeight="1">
      <c r="A812" t="inlineStr">
        <is>
          <t>A 18665-2022</t>
        </is>
      </c>
      <c r="B812" s="1" t="n">
        <v>44687</v>
      </c>
      <c r="C812" s="1" t="n">
        <v>45730</v>
      </c>
      <c r="D812" t="inlineStr">
        <is>
          <t>STOCKHOLMS LÄN</t>
        </is>
      </c>
      <c r="E812" t="inlineStr">
        <is>
          <t>NORRTÄLJE</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18787-2022</t>
        </is>
      </c>
      <c r="B813" s="1" t="n">
        <v>44687</v>
      </c>
      <c r="C813" s="1" t="n">
        <v>45730</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18846-2022</t>
        </is>
      </c>
      <c r="B814" s="1" t="n">
        <v>44690</v>
      </c>
      <c r="C814" s="1" t="n">
        <v>45730</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18905-2022</t>
        </is>
      </c>
      <c r="B815" s="1" t="n">
        <v>44690</v>
      </c>
      <c r="C815" s="1" t="n">
        <v>45730</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18894-2022</t>
        </is>
      </c>
      <c r="B816" s="1" t="n">
        <v>44690</v>
      </c>
      <c r="C816" s="1" t="n">
        <v>45730</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19116-2022</t>
        </is>
      </c>
      <c r="B817" s="1" t="n">
        <v>44691</v>
      </c>
      <c r="C817" s="1" t="n">
        <v>45730</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19118-2022</t>
        </is>
      </c>
      <c r="B818" s="1" t="n">
        <v>44691</v>
      </c>
      <c r="C818" s="1" t="n">
        <v>45730</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19580-2022</t>
        </is>
      </c>
      <c r="B819" s="1" t="n">
        <v>44693</v>
      </c>
      <c r="C819" s="1" t="n">
        <v>45730</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19729-2022</t>
        </is>
      </c>
      <c r="B820" s="1" t="n">
        <v>44694</v>
      </c>
      <c r="C820" s="1" t="n">
        <v>45730</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19728-2022</t>
        </is>
      </c>
      <c r="B821" s="1" t="n">
        <v>44694</v>
      </c>
      <c r="C821" s="1" t="n">
        <v>45730</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45730</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19983-2022</t>
        </is>
      </c>
      <c r="B823" s="1" t="n">
        <v>44697</v>
      </c>
      <c r="C823" s="1" t="n">
        <v>45730</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20121-2022</t>
        </is>
      </c>
      <c r="B824" s="1" t="n">
        <v>44698</v>
      </c>
      <c r="C824" s="1" t="n">
        <v>45730</v>
      </c>
      <c r="D824" t="inlineStr">
        <is>
          <t>STOCKHOLMS LÄN</t>
        </is>
      </c>
      <c r="E824" t="inlineStr">
        <is>
          <t>NORRTÄLJE</t>
        </is>
      </c>
      <c r="G824" t="n">
        <v>4.2</v>
      </c>
      <c r="H824" t="n">
        <v>0</v>
      </c>
      <c r="I824" t="n">
        <v>0</v>
      </c>
      <c r="J824" t="n">
        <v>0</v>
      </c>
      <c r="K824" t="n">
        <v>0</v>
      </c>
      <c r="L824" t="n">
        <v>0</v>
      </c>
      <c r="M824" t="n">
        <v>0</v>
      </c>
      <c r="N824" t="n">
        <v>0</v>
      </c>
      <c r="O824" t="n">
        <v>0</v>
      </c>
      <c r="P824" t="n">
        <v>0</v>
      </c>
      <c r="Q824" t="n">
        <v>0</v>
      </c>
      <c r="R824" s="2" t="inlineStr"/>
    </row>
    <row r="825" ht="15" customHeight="1">
      <c r="A825" t="inlineStr">
        <is>
          <t>A 20129-2022</t>
        </is>
      </c>
      <c r="B825" s="1" t="n">
        <v>44698</v>
      </c>
      <c r="C825" s="1" t="n">
        <v>45730</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20291-2022</t>
        </is>
      </c>
      <c r="B826" s="1" t="n">
        <v>44698</v>
      </c>
      <c r="C826" s="1" t="n">
        <v>45730</v>
      </c>
      <c r="D826" t="inlineStr">
        <is>
          <t>STOCKHOLMS LÄN</t>
        </is>
      </c>
      <c r="E826" t="inlineStr">
        <is>
          <t>NORRTÄLJE</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20294-2022</t>
        </is>
      </c>
      <c r="B827" s="1" t="n">
        <v>44698</v>
      </c>
      <c r="C827" s="1" t="n">
        <v>45730</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20295-2022</t>
        </is>
      </c>
      <c r="B828" s="1" t="n">
        <v>44698</v>
      </c>
      <c r="C828" s="1" t="n">
        <v>45730</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20618-2022</t>
        </is>
      </c>
      <c r="B829" s="1" t="n">
        <v>44700</v>
      </c>
      <c r="C829" s="1" t="n">
        <v>45730</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21102-2022</t>
        </is>
      </c>
      <c r="B830" s="1" t="n">
        <v>44704</v>
      </c>
      <c r="C830" s="1" t="n">
        <v>45730</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45730</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21174-2022</t>
        </is>
      </c>
      <c r="B832" s="1" t="n">
        <v>44704</v>
      </c>
      <c r="C832" s="1" t="n">
        <v>45730</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21480-2022</t>
        </is>
      </c>
      <c r="B833" s="1" t="n">
        <v>44704</v>
      </c>
      <c r="C833" s="1" t="n">
        <v>45730</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21178-2022</t>
        </is>
      </c>
      <c r="B834" s="1" t="n">
        <v>44704</v>
      </c>
      <c r="C834" s="1" t="n">
        <v>45730</v>
      </c>
      <c r="D834" t="inlineStr">
        <is>
          <t>STOCKHOLMS LÄN</t>
        </is>
      </c>
      <c r="E834" t="inlineStr">
        <is>
          <t>NORRTÄLJE</t>
        </is>
      </c>
      <c r="G834" t="n">
        <v>6</v>
      </c>
      <c r="H834" t="n">
        <v>0</v>
      </c>
      <c r="I834" t="n">
        <v>0</v>
      </c>
      <c r="J834" t="n">
        <v>0</v>
      </c>
      <c r="K834" t="n">
        <v>0</v>
      </c>
      <c r="L834" t="n">
        <v>0</v>
      </c>
      <c r="M834" t="n">
        <v>0</v>
      </c>
      <c r="N834" t="n">
        <v>0</v>
      </c>
      <c r="O834" t="n">
        <v>0</v>
      </c>
      <c r="P834" t="n">
        <v>0</v>
      </c>
      <c r="Q834" t="n">
        <v>0</v>
      </c>
      <c r="R834" s="2" t="inlineStr"/>
    </row>
    <row r="835" ht="15" customHeight="1">
      <c r="A835" t="inlineStr">
        <is>
          <t>A 21329-2022</t>
        </is>
      </c>
      <c r="B835" s="1" t="n">
        <v>44705</v>
      </c>
      <c r="C835" s="1" t="n">
        <v>45730</v>
      </c>
      <c r="D835" t="inlineStr">
        <is>
          <t>STOCKHOLMS LÄN</t>
        </is>
      </c>
      <c r="E835" t="inlineStr">
        <is>
          <t>NORRTÄLJE</t>
        </is>
      </c>
      <c r="G835" t="n">
        <v>4.1</v>
      </c>
      <c r="H835" t="n">
        <v>0</v>
      </c>
      <c r="I835" t="n">
        <v>0</v>
      </c>
      <c r="J835" t="n">
        <v>0</v>
      </c>
      <c r="K835" t="n">
        <v>0</v>
      </c>
      <c r="L835" t="n">
        <v>0</v>
      </c>
      <c r="M835" t="n">
        <v>0</v>
      </c>
      <c r="N835" t="n">
        <v>0</v>
      </c>
      <c r="O835" t="n">
        <v>0</v>
      </c>
      <c r="P835" t="n">
        <v>0</v>
      </c>
      <c r="Q835" t="n">
        <v>0</v>
      </c>
      <c r="R835" s="2" t="inlineStr"/>
    </row>
    <row r="836" ht="15" customHeight="1">
      <c r="A836" t="inlineStr">
        <is>
          <t>A 21739-2022</t>
        </is>
      </c>
      <c r="B836" s="1" t="n">
        <v>44708</v>
      </c>
      <c r="C836" s="1" t="n">
        <v>45730</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21723-2022</t>
        </is>
      </c>
      <c r="B837" s="1" t="n">
        <v>44708</v>
      </c>
      <c r="C837" s="1" t="n">
        <v>45730</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21726-2022</t>
        </is>
      </c>
      <c r="B838" s="1" t="n">
        <v>44708</v>
      </c>
      <c r="C838" s="1" t="n">
        <v>45730</v>
      </c>
      <c r="D838" t="inlineStr">
        <is>
          <t>STOCKHOLMS LÄN</t>
        </is>
      </c>
      <c r="E838" t="inlineStr">
        <is>
          <t>NORRTÄLJE</t>
        </is>
      </c>
      <c r="G838" t="n">
        <v>0.2</v>
      </c>
      <c r="H838" t="n">
        <v>0</v>
      </c>
      <c r="I838" t="n">
        <v>0</v>
      </c>
      <c r="J838" t="n">
        <v>0</v>
      </c>
      <c r="K838" t="n">
        <v>0</v>
      </c>
      <c r="L838" t="n">
        <v>0</v>
      </c>
      <c r="M838" t="n">
        <v>0</v>
      </c>
      <c r="N838" t="n">
        <v>0</v>
      </c>
      <c r="O838" t="n">
        <v>0</v>
      </c>
      <c r="P838" t="n">
        <v>0</v>
      </c>
      <c r="Q838" t="n">
        <v>0</v>
      </c>
      <c r="R838" s="2" t="inlineStr"/>
    </row>
    <row r="839" ht="15" customHeight="1">
      <c r="A839" t="inlineStr">
        <is>
          <t>A 21803-2022</t>
        </is>
      </c>
      <c r="B839" s="1" t="n">
        <v>44708</v>
      </c>
      <c r="C839" s="1" t="n">
        <v>45730</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21970-2022</t>
        </is>
      </c>
      <c r="B840" s="1" t="n">
        <v>44711</v>
      </c>
      <c r="C840" s="1" t="n">
        <v>45730</v>
      </c>
      <c r="D840" t="inlineStr">
        <is>
          <t>STOCKHOLMS LÄN</t>
        </is>
      </c>
      <c r="E840" t="inlineStr">
        <is>
          <t>NORRTÄLJE</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22072-2022</t>
        </is>
      </c>
      <c r="B841" s="1" t="n">
        <v>44711</v>
      </c>
      <c r="C841" s="1" t="n">
        <v>45730</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22071-2022</t>
        </is>
      </c>
      <c r="B842" s="1" t="n">
        <v>44711</v>
      </c>
      <c r="C842" s="1" t="n">
        <v>45730</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22269-2022</t>
        </is>
      </c>
      <c r="B843" s="1" t="n">
        <v>44712</v>
      </c>
      <c r="C843" s="1" t="n">
        <v>45730</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22316-2022</t>
        </is>
      </c>
      <c r="B844" s="1" t="n">
        <v>44712</v>
      </c>
      <c r="C844" s="1" t="n">
        <v>45730</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22503-2022</t>
        </is>
      </c>
      <c r="B845" s="1" t="n">
        <v>44713</v>
      </c>
      <c r="C845" s="1" t="n">
        <v>45730</v>
      </c>
      <c r="D845" t="inlineStr">
        <is>
          <t>STOCKHOLMS LÄN</t>
        </is>
      </c>
      <c r="E845" t="inlineStr">
        <is>
          <t>NORRTÄLJE</t>
        </is>
      </c>
      <c r="G845" t="n">
        <v>5.1</v>
      </c>
      <c r="H845" t="n">
        <v>0</v>
      </c>
      <c r="I845" t="n">
        <v>0</v>
      </c>
      <c r="J845" t="n">
        <v>0</v>
      </c>
      <c r="K845" t="n">
        <v>0</v>
      </c>
      <c r="L845" t="n">
        <v>0</v>
      </c>
      <c r="M845" t="n">
        <v>0</v>
      </c>
      <c r="N845" t="n">
        <v>0</v>
      </c>
      <c r="O845" t="n">
        <v>0</v>
      </c>
      <c r="P845" t="n">
        <v>0</v>
      </c>
      <c r="Q845" t="n">
        <v>0</v>
      </c>
      <c r="R845" s="2" t="inlineStr"/>
    </row>
    <row r="846" ht="15" customHeight="1">
      <c r="A846" t="inlineStr">
        <is>
          <t>A 22697-2022</t>
        </is>
      </c>
      <c r="B846" s="1" t="n">
        <v>44714</v>
      </c>
      <c r="C846" s="1" t="n">
        <v>45730</v>
      </c>
      <c r="D846" t="inlineStr">
        <is>
          <t>STOCKHOLMS LÄN</t>
        </is>
      </c>
      <c r="E846" t="inlineStr">
        <is>
          <t>NORRTÄLJE</t>
        </is>
      </c>
      <c r="G846" t="n">
        <v>5.6</v>
      </c>
      <c r="H846" t="n">
        <v>0</v>
      </c>
      <c r="I846" t="n">
        <v>0</v>
      </c>
      <c r="J846" t="n">
        <v>0</v>
      </c>
      <c r="K846" t="n">
        <v>0</v>
      </c>
      <c r="L846" t="n">
        <v>0</v>
      </c>
      <c r="M846" t="n">
        <v>0</v>
      </c>
      <c r="N846" t="n">
        <v>0</v>
      </c>
      <c r="O846" t="n">
        <v>0</v>
      </c>
      <c r="P846" t="n">
        <v>0</v>
      </c>
      <c r="Q846" t="n">
        <v>0</v>
      </c>
      <c r="R846" s="2" t="inlineStr"/>
    </row>
    <row r="847" ht="15" customHeight="1">
      <c r="A847" t="inlineStr">
        <is>
          <t>A 22628-2022</t>
        </is>
      </c>
      <c r="B847" s="1" t="n">
        <v>44714</v>
      </c>
      <c r="C847" s="1" t="n">
        <v>45730</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22636-2022</t>
        </is>
      </c>
      <c r="B848" s="1" t="n">
        <v>44714</v>
      </c>
      <c r="C848" s="1" t="n">
        <v>45730</v>
      </c>
      <c r="D848" t="inlineStr">
        <is>
          <t>STOCKHOLMS LÄN</t>
        </is>
      </c>
      <c r="E848" t="inlineStr">
        <is>
          <t>NORRTÄLJE</t>
        </is>
      </c>
      <c r="G848" t="n">
        <v>16.6</v>
      </c>
      <c r="H848" t="n">
        <v>0</v>
      </c>
      <c r="I848" t="n">
        <v>0</v>
      </c>
      <c r="J848" t="n">
        <v>0</v>
      </c>
      <c r="K848" t="n">
        <v>0</v>
      </c>
      <c r="L848" t="n">
        <v>0</v>
      </c>
      <c r="M848" t="n">
        <v>0</v>
      </c>
      <c r="N848" t="n">
        <v>0</v>
      </c>
      <c r="O848" t="n">
        <v>0</v>
      </c>
      <c r="P848" t="n">
        <v>0</v>
      </c>
      <c r="Q848" t="n">
        <v>0</v>
      </c>
      <c r="R848" s="2" t="inlineStr"/>
    </row>
    <row r="849" ht="15" customHeight="1">
      <c r="A849" t="inlineStr">
        <is>
          <t>A 22716-2022</t>
        </is>
      </c>
      <c r="B849" s="1" t="n">
        <v>44714</v>
      </c>
      <c r="C849" s="1" t="n">
        <v>45730</v>
      </c>
      <c r="D849" t="inlineStr">
        <is>
          <t>STOCKHOLMS LÄN</t>
        </is>
      </c>
      <c r="E849" t="inlineStr">
        <is>
          <t>NORRTÄLJE</t>
        </is>
      </c>
      <c r="G849" t="n">
        <v>13.5</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44715</v>
      </c>
      <c r="C850" s="1" t="n">
        <v>45730</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23125-2022</t>
        </is>
      </c>
      <c r="B851" s="1" t="n">
        <v>44719</v>
      </c>
      <c r="C851" s="1" t="n">
        <v>45730</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23770-2022</t>
        </is>
      </c>
      <c r="B852" s="1" t="n">
        <v>44722</v>
      </c>
      <c r="C852" s="1" t="n">
        <v>45730</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45730</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24101-2022</t>
        </is>
      </c>
      <c r="B854" s="1" t="n">
        <v>44725</v>
      </c>
      <c r="C854" s="1" t="n">
        <v>45730</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24162-2022</t>
        </is>
      </c>
      <c r="B855" s="1" t="n">
        <v>44725</v>
      </c>
      <c r="C855" s="1" t="n">
        <v>45730</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24167-2022</t>
        </is>
      </c>
      <c r="B856" s="1" t="n">
        <v>44725</v>
      </c>
      <c r="C856" s="1" t="n">
        <v>45730</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24152-2022</t>
        </is>
      </c>
      <c r="B857" s="1" t="n">
        <v>44725</v>
      </c>
      <c r="C857" s="1" t="n">
        <v>45730</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24534-2022</t>
        </is>
      </c>
      <c r="B858" s="1" t="n">
        <v>44727</v>
      </c>
      <c r="C858" s="1" t="n">
        <v>45730</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24977-2022</t>
        </is>
      </c>
      <c r="B859" s="1" t="n">
        <v>44728</v>
      </c>
      <c r="C859" s="1" t="n">
        <v>45730</v>
      </c>
      <c r="D859" t="inlineStr">
        <is>
          <t>STOCKHOLMS LÄN</t>
        </is>
      </c>
      <c r="E859" t="inlineStr">
        <is>
          <t>NORRTÄLJE</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25525-2022</t>
        </is>
      </c>
      <c r="B860" s="1" t="n">
        <v>44732</v>
      </c>
      <c r="C860" s="1" t="n">
        <v>45730</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25621-2022</t>
        </is>
      </c>
      <c r="B861" s="1" t="n">
        <v>44732</v>
      </c>
      <c r="C861" s="1" t="n">
        <v>45730</v>
      </c>
      <c r="D861" t="inlineStr">
        <is>
          <t>STOCKHOLMS LÄN</t>
        </is>
      </c>
      <c r="E861" t="inlineStr">
        <is>
          <t>NORRTÄLJE</t>
        </is>
      </c>
      <c r="G861" t="n">
        <v>3.1</v>
      </c>
      <c r="H861" t="n">
        <v>0</v>
      </c>
      <c r="I861" t="n">
        <v>0</v>
      </c>
      <c r="J861" t="n">
        <v>0</v>
      </c>
      <c r="K861" t="n">
        <v>0</v>
      </c>
      <c r="L861" t="n">
        <v>0</v>
      </c>
      <c r="M861" t="n">
        <v>0</v>
      </c>
      <c r="N861" t="n">
        <v>0</v>
      </c>
      <c r="O861" t="n">
        <v>0</v>
      </c>
      <c r="P861" t="n">
        <v>0</v>
      </c>
      <c r="Q861" t="n">
        <v>0</v>
      </c>
      <c r="R861" s="2" t="inlineStr"/>
    </row>
    <row r="862" ht="15" customHeight="1">
      <c r="A862" t="inlineStr">
        <is>
          <t>A 25619-2022</t>
        </is>
      </c>
      <c r="B862" s="1" t="n">
        <v>44732</v>
      </c>
      <c r="C862" s="1" t="n">
        <v>45730</v>
      </c>
      <c r="D862" t="inlineStr">
        <is>
          <t>STOCKHOLMS LÄN</t>
        </is>
      </c>
      <c r="E862" t="inlineStr">
        <is>
          <t>NORRTÄLJE</t>
        </is>
      </c>
      <c r="G862" t="n">
        <v>3.9</v>
      </c>
      <c r="H862" t="n">
        <v>0</v>
      </c>
      <c r="I862" t="n">
        <v>0</v>
      </c>
      <c r="J862" t="n">
        <v>0</v>
      </c>
      <c r="K862" t="n">
        <v>0</v>
      </c>
      <c r="L862" t="n">
        <v>0</v>
      </c>
      <c r="M862" t="n">
        <v>0</v>
      </c>
      <c r="N862" t="n">
        <v>0</v>
      </c>
      <c r="O862" t="n">
        <v>0</v>
      </c>
      <c r="P862" t="n">
        <v>0</v>
      </c>
      <c r="Q862" t="n">
        <v>0</v>
      </c>
      <c r="R862" s="2" t="inlineStr"/>
    </row>
    <row r="863" ht="15" customHeight="1">
      <c r="A863" t="inlineStr">
        <is>
          <t>A 26328-2022</t>
        </is>
      </c>
      <c r="B863" s="1" t="n">
        <v>44735</v>
      </c>
      <c r="C863" s="1" t="n">
        <v>45730</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26335-2022</t>
        </is>
      </c>
      <c r="B864" s="1" t="n">
        <v>44735</v>
      </c>
      <c r="C864" s="1" t="n">
        <v>45730</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27538-2022</t>
        </is>
      </c>
      <c r="B865" s="1" t="n">
        <v>44742</v>
      </c>
      <c r="C865" s="1" t="n">
        <v>45730</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27715-2022</t>
        </is>
      </c>
      <c r="B866" s="1" t="n">
        <v>44743</v>
      </c>
      <c r="C866" s="1" t="n">
        <v>45730</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27827-2022</t>
        </is>
      </c>
      <c r="B867" s="1" t="n">
        <v>44743</v>
      </c>
      <c r="C867" s="1" t="n">
        <v>45730</v>
      </c>
      <c r="D867" t="inlineStr">
        <is>
          <t>STOCKHOLMS LÄN</t>
        </is>
      </c>
      <c r="E867" t="inlineStr">
        <is>
          <t>NORRTÄLJE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27870-2022</t>
        </is>
      </c>
      <c r="B868" s="1" t="n">
        <v>44743</v>
      </c>
      <c r="C868" s="1" t="n">
        <v>45730</v>
      </c>
      <c r="D868" t="inlineStr">
        <is>
          <t>STOCKHOLMS LÄN</t>
        </is>
      </c>
      <c r="E868" t="inlineStr">
        <is>
          <t>NORRTÄLJE</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27828-2022</t>
        </is>
      </c>
      <c r="B869" s="1" t="n">
        <v>44743</v>
      </c>
      <c r="C869" s="1" t="n">
        <v>45730</v>
      </c>
      <c r="D869" t="inlineStr">
        <is>
          <t>STOCKHOLMS LÄN</t>
        </is>
      </c>
      <c r="E869" t="inlineStr">
        <is>
          <t>NORRTÄLJE</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27824-2022</t>
        </is>
      </c>
      <c r="B870" s="1" t="n">
        <v>44743</v>
      </c>
      <c r="C870" s="1" t="n">
        <v>45730</v>
      </c>
      <c r="D870" t="inlineStr">
        <is>
          <t>STOCKHOLMS LÄN</t>
        </is>
      </c>
      <c r="E870" t="inlineStr">
        <is>
          <t>NORRTÄLJE</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27831-2022</t>
        </is>
      </c>
      <c r="B871" s="1" t="n">
        <v>44743</v>
      </c>
      <c r="C871" s="1" t="n">
        <v>45730</v>
      </c>
      <c r="D871" t="inlineStr">
        <is>
          <t>STOCKHOLMS LÄN</t>
        </is>
      </c>
      <c r="E871" t="inlineStr">
        <is>
          <t>NORRTÄLJE</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27885-2022</t>
        </is>
      </c>
      <c r="B872" s="1" t="n">
        <v>44743</v>
      </c>
      <c r="C872" s="1" t="n">
        <v>45730</v>
      </c>
      <c r="D872" t="inlineStr">
        <is>
          <t>STOCKHOLMS LÄN</t>
        </is>
      </c>
      <c r="E872" t="inlineStr">
        <is>
          <t>NORRTÄLJE</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27867-2022</t>
        </is>
      </c>
      <c r="B873" s="1" t="n">
        <v>44743</v>
      </c>
      <c r="C873" s="1" t="n">
        <v>45730</v>
      </c>
      <c r="D873" t="inlineStr">
        <is>
          <t>STOCKHOLMS LÄN</t>
        </is>
      </c>
      <c r="E873" t="inlineStr">
        <is>
          <t>NORRTÄLJE</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28042-2022</t>
        </is>
      </c>
      <c r="B874" s="1" t="n">
        <v>44744</v>
      </c>
      <c r="C874" s="1" t="n">
        <v>45730</v>
      </c>
      <c r="D874" t="inlineStr">
        <is>
          <t>STOCKHOLMS LÄN</t>
        </is>
      </c>
      <c r="E874" t="inlineStr">
        <is>
          <t>NORRTÄLJE</t>
        </is>
      </c>
      <c r="G874" t="n">
        <v>0.2</v>
      </c>
      <c r="H874" t="n">
        <v>0</v>
      </c>
      <c r="I874" t="n">
        <v>0</v>
      </c>
      <c r="J874" t="n">
        <v>0</v>
      </c>
      <c r="K874" t="n">
        <v>0</v>
      </c>
      <c r="L874" t="n">
        <v>0</v>
      </c>
      <c r="M874" t="n">
        <v>0</v>
      </c>
      <c r="N874" t="n">
        <v>0</v>
      </c>
      <c r="O874" t="n">
        <v>0</v>
      </c>
      <c r="P874" t="n">
        <v>0</v>
      </c>
      <c r="Q874" t="n">
        <v>0</v>
      </c>
      <c r="R874" s="2" t="inlineStr"/>
    </row>
    <row r="875" ht="15" customHeight="1">
      <c r="A875" t="inlineStr">
        <is>
          <t>A 28100-2022</t>
        </is>
      </c>
      <c r="B875" s="1" t="n">
        <v>44746</v>
      </c>
      <c r="C875" s="1" t="n">
        <v>45730</v>
      </c>
      <c r="D875" t="inlineStr">
        <is>
          <t>STOCKHOLMS LÄN</t>
        </is>
      </c>
      <c r="E875" t="inlineStr">
        <is>
          <t>NORRTÄLJE</t>
        </is>
      </c>
      <c r="F875" t="inlineStr">
        <is>
          <t>Holmen skog AB</t>
        </is>
      </c>
      <c r="G875" t="n">
        <v>5.8</v>
      </c>
      <c r="H875" t="n">
        <v>0</v>
      </c>
      <c r="I875" t="n">
        <v>0</v>
      </c>
      <c r="J875" t="n">
        <v>0</v>
      </c>
      <c r="K875" t="n">
        <v>0</v>
      </c>
      <c r="L875" t="n">
        <v>0</v>
      </c>
      <c r="M875" t="n">
        <v>0</v>
      </c>
      <c r="N875" t="n">
        <v>0</v>
      </c>
      <c r="O875" t="n">
        <v>0</v>
      </c>
      <c r="P875" t="n">
        <v>0</v>
      </c>
      <c r="Q875" t="n">
        <v>0</v>
      </c>
      <c r="R875" s="2" t="inlineStr"/>
    </row>
    <row r="876" ht="15" customHeight="1">
      <c r="A876" t="inlineStr">
        <is>
          <t>A 28182-2022</t>
        </is>
      </c>
      <c r="B876" s="1" t="n">
        <v>44746</v>
      </c>
      <c r="C876" s="1" t="n">
        <v>45730</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28209-2022</t>
        </is>
      </c>
      <c r="B877" s="1" t="n">
        <v>44746</v>
      </c>
      <c r="C877" s="1" t="n">
        <v>45730</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28365-2022</t>
        </is>
      </c>
      <c r="B878" s="1" t="n">
        <v>44747</v>
      </c>
      <c r="C878" s="1" t="n">
        <v>45730</v>
      </c>
      <c r="D878" t="inlineStr">
        <is>
          <t>STOCKHOLMS LÄN</t>
        </is>
      </c>
      <c r="E878" t="inlineStr">
        <is>
          <t>NORRTÄLJE</t>
        </is>
      </c>
      <c r="G878" t="n">
        <v>5.1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v>
      </c>
      <c r="C879" s="1" t="n">
        <v>45730</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28959-2022</t>
        </is>
      </c>
      <c r="B880" s="1" t="n">
        <v>44749</v>
      </c>
      <c r="C880" s="1" t="n">
        <v>45730</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29070-2022</t>
        </is>
      </c>
      <c r="B881" s="1" t="n">
        <v>44750</v>
      </c>
      <c r="C881" s="1" t="n">
        <v>45730</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v>
      </c>
      <c r="C882" s="1" t="n">
        <v>45730</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45730</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29362-2022</t>
        </is>
      </c>
      <c r="B884" s="1" t="n">
        <v>44753</v>
      </c>
      <c r="C884" s="1" t="n">
        <v>45730</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29395-2022</t>
        </is>
      </c>
      <c r="B885" s="1" t="n">
        <v>44753</v>
      </c>
      <c r="C885" s="1" t="n">
        <v>45730</v>
      </c>
      <c r="D885" t="inlineStr">
        <is>
          <t>STOCKHOLMS LÄN</t>
        </is>
      </c>
      <c r="E885" t="inlineStr">
        <is>
          <t>NORRTÄLJE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29868-2022</t>
        </is>
      </c>
      <c r="B886" s="1" t="n">
        <v>44756</v>
      </c>
      <c r="C886" s="1" t="n">
        <v>45730</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30151-2022</t>
        </is>
      </c>
      <c r="B887" s="1" t="n">
        <v>44757</v>
      </c>
      <c r="C887" s="1" t="n">
        <v>45730</v>
      </c>
      <c r="D887" t="inlineStr">
        <is>
          <t>STOCKHOLMS LÄN</t>
        </is>
      </c>
      <c r="E887" t="inlineStr">
        <is>
          <t>NORRTÄLJE</t>
        </is>
      </c>
      <c r="G887" t="n">
        <v>12.6</v>
      </c>
      <c r="H887" t="n">
        <v>0</v>
      </c>
      <c r="I887" t="n">
        <v>0</v>
      </c>
      <c r="J887" t="n">
        <v>0</v>
      </c>
      <c r="K887" t="n">
        <v>0</v>
      </c>
      <c r="L887" t="n">
        <v>0</v>
      </c>
      <c r="M887" t="n">
        <v>0</v>
      </c>
      <c r="N887" t="n">
        <v>0</v>
      </c>
      <c r="O887" t="n">
        <v>0</v>
      </c>
      <c r="P887" t="n">
        <v>0</v>
      </c>
      <c r="Q887" t="n">
        <v>0</v>
      </c>
      <c r="R887" s="2" t="inlineStr"/>
    </row>
    <row r="888" ht="15" customHeight="1">
      <c r="A888" t="inlineStr">
        <is>
          <t>A 30164-2022</t>
        </is>
      </c>
      <c r="B888" s="1" t="n">
        <v>44757</v>
      </c>
      <c r="C888" s="1" t="n">
        <v>45730</v>
      </c>
      <c r="D888" t="inlineStr">
        <is>
          <t>STOCKHOLMS LÄN</t>
        </is>
      </c>
      <c r="E888" t="inlineStr">
        <is>
          <t>NORRTÄLJE</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30171-2022</t>
        </is>
      </c>
      <c r="B889" s="1" t="n">
        <v>44757</v>
      </c>
      <c r="C889" s="1" t="n">
        <v>45730</v>
      </c>
      <c r="D889" t="inlineStr">
        <is>
          <t>STOCKHOLMS LÄN</t>
        </is>
      </c>
      <c r="E889" t="inlineStr">
        <is>
          <t>NORRTÄLJE</t>
        </is>
      </c>
      <c r="F889" t="inlineStr">
        <is>
          <t>Holmen skog AB</t>
        </is>
      </c>
      <c r="G889" t="n">
        <v>6.3</v>
      </c>
      <c r="H889" t="n">
        <v>0</v>
      </c>
      <c r="I889" t="n">
        <v>0</v>
      </c>
      <c r="J889" t="n">
        <v>0</v>
      </c>
      <c r="K889" t="n">
        <v>0</v>
      </c>
      <c r="L889" t="n">
        <v>0</v>
      </c>
      <c r="M889" t="n">
        <v>0</v>
      </c>
      <c r="N889" t="n">
        <v>0</v>
      </c>
      <c r="O889" t="n">
        <v>0</v>
      </c>
      <c r="P889" t="n">
        <v>0</v>
      </c>
      <c r="Q889" t="n">
        <v>0</v>
      </c>
      <c r="R889" s="2" t="inlineStr"/>
    </row>
    <row r="890" ht="15" customHeight="1">
      <c r="A890" t="inlineStr">
        <is>
          <t>A 30283-2022</t>
        </is>
      </c>
      <c r="B890" s="1" t="n">
        <v>44760</v>
      </c>
      <c r="C890" s="1" t="n">
        <v>45730</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30338-2022</t>
        </is>
      </c>
      <c r="B891" s="1" t="n">
        <v>44760</v>
      </c>
      <c r="C891" s="1" t="n">
        <v>45730</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30286-2022</t>
        </is>
      </c>
      <c r="B892" s="1" t="n">
        <v>44760</v>
      </c>
      <c r="C892" s="1" t="n">
        <v>45730</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30290-2022</t>
        </is>
      </c>
      <c r="B893" s="1" t="n">
        <v>44760</v>
      </c>
      <c r="C893" s="1" t="n">
        <v>45730</v>
      </c>
      <c r="D893" t="inlineStr">
        <is>
          <t>STOCKHOLMS LÄN</t>
        </is>
      </c>
      <c r="E893" t="inlineStr">
        <is>
          <t>NORRTÄLJE</t>
        </is>
      </c>
      <c r="G893" t="n">
        <v>4.8</v>
      </c>
      <c r="H893" t="n">
        <v>0</v>
      </c>
      <c r="I893" t="n">
        <v>0</v>
      </c>
      <c r="J893" t="n">
        <v>0</v>
      </c>
      <c r="K893" t="n">
        <v>0</v>
      </c>
      <c r="L893" t="n">
        <v>0</v>
      </c>
      <c r="M893" t="n">
        <v>0</v>
      </c>
      <c r="N893" t="n">
        <v>0</v>
      </c>
      <c r="O893" t="n">
        <v>0</v>
      </c>
      <c r="P893" t="n">
        <v>0</v>
      </c>
      <c r="Q893" t="n">
        <v>0</v>
      </c>
      <c r="R893" s="2" t="inlineStr"/>
    </row>
    <row r="894" ht="15" customHeight="1">
      <c r="A894" t="inlineStr">
        <is>
          <t>A 30620-2022</t>
        </is>
      </c>
      <c r="B894" s="1" t="n">
        <v>44763</v>
      </c>
      <c r="C894" s="1" t="n">
        <v>45730</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30624-2022</t>
        </is>
      </c>
      <c r="B895" s="1" t="n">
        <v>44763</v>
      </c>
      <c r="C895" s="1" t="n">
        <v>45730</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30758-2022</t>
        </is>
      </c>
      <c r="B896" s="1" t="n">
        <v>44764</v>
      </c>
      <c r="C896" s="1" t="n">
        <v>45730</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30740-2022</t>
        </is>
      </c>
      <c r="B897" s="1" t="n">
        <v>44764</v>
      </c>
      <c r="C897" s="1" t="n">
        <v>45730</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30750-2022</t>
        </is>
      </c>
      <c r="B898" s="1" t="n">
        <v>44764</v>
      </c>
      <c r="C898" s="1" t="n">
        <v>45730</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30802-2022</t>
        </is>
      </c>
      <c r="B899" s="1" t="n">
        <v>44764</v>
      </c>
      <c r="C899" s="1" t="n">
        <v>45730</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30886-2022</t>
        </is>
      </c>
      <c r="B900" s="1" t="n">
        <v>44767</v>
      </c>
      <c r="C900" s="1" t="n">
        <v>45730</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31102-2022</t>
        </is>
      </c>
      <c r="B901" s="1" t="n">
        <v>44769</v>
      </c>
      <c r="C901" s="1" t="n">
        <v>45730</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31092-2022</t>
        </is>
      </c>
      <c r="B902" s="1" t="n">
        <v>44769</v>
      </c>
      <c r="C902" s="1" t="n">
        <v>45730</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31052-2022</t>
        </is>
      </c>
      <c r="B903" s="1" t="n">
        <v>44769</v>
      </c>
      <c r="C903" s="1" t="n">
        <v>45730</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v>
      </c>
      <c r="C904" s="1" t="n">
        <v>45730</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31107-2022</t>
        </is>
      </c>
      <c r="B905" s="1" t="n">
        <v>44769</v>
      </c>
      <c r="C905" s="1" t="n">
        <v>45730</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45730</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31236-2022</t>
        </is>
      </c>
      <c r="B907" s="1" t="n">
        <v>44771</v>
      </c>
      <c r="C907" s="1" t="n">
        <v>45730</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31281-2022</t>
        </is>
      </c>
      <c r="B908" s="1" t="n">
        <v>44771</v>
      </c>
      <c r="C908" s="1" t="n">
        <v>45730</v>
      </c>
      <c r="D908" t="inlineStr">
        <is>
          <t>STOCKHOLMS LÄN</t>
        </is>
      </c>
      <c r="E908" t="inlineStr">
        <is>
          <t>NORRTÄLJE</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31283-2022</t>
        </is>
      </c>
      <c r="B909" s="1" t="n">
        <v>44771</v>
      </c>
      <c r="C909" s="1" t="n">
        <v>45730</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31559-2022</t>
        </is>
      </c>
      <c r="B910" s="1" t="n">
        <v>44775</v>
      </c>
      <c r="C910" s="1" t="n">
        <v>45730</v>
      </c>
      <c r="D910" t="inlineStr">
        <is>
          <t>STOCKHOLMS LÄN</t>
        </is>
      </c>
      <c r="E910" t="inlineStr">
        <is>
          <t>NORRTÄLJE</t>
        </is>
      </c>
      <c r="G910" t="n">
        <v>5.6</v>
      </c>
      <c r="H910" t="n">
        <v>0</v>
      </c>
      <c r="I910" t="n">
        <v>0</v>
      </c>
      <c r="J910" t="n">
        <v>0</v>
      </c>
      <c r="K910" t="n">
        <v>0</v>
      </c>
      <c r="L910" t="n">
        <v>0</v>
      </c>
      <c r="M910" t="n">
        <v>0</v>
      </c>
      <c r="N910" t="n">
        <v>0</v>
      </c>
      <c r="O910" t="n">
        <v>0</v>
      </c>
      <c r="P910" t="n">
        <v>0</v>
      </c>
      <c r="Q910" t="n">
        <v>0</v>
      </c>
      <c r="R910" s="2" t="inlineStr"/>
    </row>
    <row r="911" ht="15" customHeight="1">
      <c r="A911" t="inlineStr">
        <is>
          <t>A 31807-2022</t>
        </is>
      </c>
      <c r="B911" s="1" t="n">
        <v>44776</v>
      </c>
      <c r="C911" s="1" t="n">
        <v>45730</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31938-2022</t>
        </is>
      </c>
      <c r="B912" s="1" t="n">
        <v>44777</v>
      </c>
      <c r="C912" s="1" t="n">
        <v>45730</v>
      </c>
      <c r="D912" t="inlineStr">
        <is>
          <t>STOCKHOLMS LÄN</t>
        </is>
      </c>
      <c r="E912" t="inlineStr">
        <is>
          <t>NORRTÄLJE</t>
        </is>
      </c>
      <c r="G912" t="n">
        <v>7.8</v>
      </c>
      <c r="H912" t="n">
        <v>0</v>
      </c>
      <c r="I912" t="n">
        <v>0</v>
      </c>
      <c r="J912" t="n">
        <v>0</v>
      </c>
      <c r="K912" t="n">
        <v>0</v>
      </c>
      <c r="L912" t="n">
        <v>0</v>
      </c>
      <c r="M912" t="n">
        <v>0</v>
      </c>
      <c r="N912" t="n">
        <v>0</v>
      </c>
      <c r="O912" t="n">
        <v>0</v>
      </c>
      <c r="P912" t="n">
        <v>0</v>
      </c>
      <c r="Q912" t="n">
        <v>0</v>
      </c>
      <c r="R912" s="2" t="inlineStr"/>
    </row>
    <row r="913" ht="15" customHeight="1">
      <c r="A913" t="inlineStr">
        <is>
          <t>A 31936-2022</t>
        </is>
      </c>
      <c r="B913" s="1" t="n">
        <v>44777</v>
      </c>
      <c r="C913" s="1" t="n">
        <v>45730</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31924-2022</t>
        </is>
      </c>
      <c r="B914" s="1" t="n">
        <v>44777</v>
      </c>
      <c r="C914" s="1" t="n">
        <v>45730</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31939-2022</t>
        </is>
      </c>
      <c r="B915" s="1" t="n">
        <v>44777</v>
      </c>
      <c r="C915" s="1" t="n">
        <v>45730</v>
      </c>
      <c r="D915" t="inlineStr">
        <is>
          <t>STOCKHOLMS LÄN</t>
        </is>
      </c>
      <c r="E915" t="inlineStr">
        <is>
          <t>NORRTÄLJE</t>
        </is>
      </c>
      <c r="G915" t="n">
        <v>13.5</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45730</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31934-2022</t>
        </is>
      </c>
      <c r="B917" s="1" t="n">
        <v>44777</v>
      </c>
      <c r="C917" s="1" t="n">
        <v>45730</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45730</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32111-2022</t>
        </is>
      </c>
      <c r="B919" s="1" t="n">
        <v>44779</v>
      </c>
      <c r="C919" s="1" t="n">
        <v>45730</v>
      </c>
      <c r="D919" t="inlineStr">
        <is>
          <t>STOCKHOLMS LÄN</t>
        </is>
      </c>
      <c r="E919" t="inlineStr">
        <is>
          <t>NORRTÄLJE</t>
        </is>
      </c>
      <c r="G919" t="n">
        <v>3.1</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v>
      </c>
      <c r="C920" s="1" t="n">
        <v>45730</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32100-2022</t>
        </is>
      </c>
      <c r="B921" s="1" t="n">
        <v>44778</v>
      </c>
      <c r="C921" s="1" t="n">
        <v>45730</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32102-2022</t>
        </is>
      </c>
      <c r="B922" s="1" t="n">
        <v>44778</v>
      </c>
      <c r="C922" s="1" t="n">
        <v>45730</v>
      </c>
      <c r="D922" t="inlineStr">
        <is>
          <t>STOCKHOLMS LÄN</t>
        </is>
      </c>
      <c r="E922" t="inlineStr">
        <is>
          <t>NORRTÄLJE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32514-2022</t>
        </is>
      </c>
      <c r="B923" s="1" t="n">
        <v>44782</v>
      </c>
      <c r="C923" s="1" t="n">
        <v>45730</v>
      </c>
      <c r="D923" t="inlineStr">
        <is>
          <t>STOCKHOLMS LÄN</t>
        </is>
      </c>
      <c r="E923" t="inlineStr">
        <is>
          <t>NORRTÄLJE</t>
        </is>
      </c>
      <c r="G923" t="n">
        <v>5.1</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45730</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33055-2022</t>
        </is>
      </c>
      <c r="B925" s="1" t="n">
        <v>44785</v>
      </c>
      <c r="C925" s="1" t="n">
        <v>45730</v>
      </c>
      <c r="D925" t="inlineStr">
        <is>
          <t>STOCKHOLMS LÄN</t>
        </is>
      </c>
      <c r="E925" t="inlineStr">
        <is>
          <t>NORRTÄLJE</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33149-2022</t>
        </is>
      </c>
      <c r="B926" s="1" t="n">
        <v>44785</v>
      </c>
      <c r="C926" s="1" t="n">
        <v>45730</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33445-2022</t>
        </is>
      </c>
      <c r="B927" s="1" t="n">
        <v>44788</v>
      </c>
      <c r="C927" s="1" t="n">
        <v>45730</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33793-2022</t>
        </is>
      </c>
      <c r="B928" s="1" t="n">
        <v>44790</v>
      </c>
      <c r="C928" s="1" t="n">
        <v>45730</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33895-2022</t>
        </is>
      </c>
      <c r="B929" s="1" t="n">
        <v>44790</v>
      </c>
      <c r="C929" s="1" t="n">
        <v>45730</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34773-2022</t>
        </is>
      </c>
      <c r="B930" s="1" t="n">
        <v>44795</v>
      </c>
      <c r="C930" s="1" t="n">
        <v>45730</v>
      </c>
      <c r="D930" t="inlineStr">
        <is>
          <t>STOCKHOLMS LÄN</t>
        </is>
      </c>
      <c r="E930" t="inlineStr">
        <is>
          <t>NORRTÄLJE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35121-2022</t>
        </is>
      </c>
      <c r="B931" s="1" t="n">
        <v>44797</v>
      </c>
      <c r="C931" s="1" t="n">
        <v>45730</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45730</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35156-2022</t>
        </is>
      </c>
      <c r="B933" s="1" t="n">
        <v>44797</v>
      </c>
      <c r="C933" s="1" t="n">
        <v>45730</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35708-2022</t>
        </is>
      </c>
      <c r="B934" s="1" t="n">
        <v>44799</v>
      </c>
      <c r="C934" s="1" t="n">
        <v>45730</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36269-2022</t>
        </is>
      </c>
      <c r="B935" s="1" t="n">
        <v>44803</v>
      </c>
      <c r="C935" s="1" t="n">
        <v>45730</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36308-2022</t>
        </is>
      </c>
      <c r="B936" s="1" t="n">
        <v>44803</v>
      </c>
      <c r="C936" s="1" t="n">
        <v>45730</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36975-2022</t>
        </is>
      </c>
      <c r="B937" s="1" t="n">
        <v>44806</v>
      </c>
      <c r="C937" s="1" t="n">
        <v>45730</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37550-2022</t>
        </is>
      </c>
      <c r="B938" s="1" t="n">
        <v>44809</v>
      </c>
      <c r="C938" s="1" t="n">
        <v>45730</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37679-2022</t>
        </is>
      </c>
      <c r="B939" s="1" t="n">
        <v>44810</v>
      </c>
      <c r="C939" s="1" t="n">
        <v>45730</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37815-2022</t>
        </is>
      </c>
      <c r="B940" s="1" t="n">
        <v>44810</v>
      </c>
      <c r="C940" s="1" t="n">
        <v>45730</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38449-2022</t>
        </is>
      </c>
      <c r="B941" s="1" t="n">
        <v>44813</v>
      </c>
      <c r="C941" s="1" t="n">
        <v>45730</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45730</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38590-2022</t>
        </is>
      </c>
      <c r="B943" s="1" t="n">
        <v>44813</v>
      </c>
      <c r="C943" s="1" t="n">
        <v>45730</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38610-2022</t>
        </is>
      </c>
      <c r="B944" s="1" t="n">
        <v>44813</v>
      </c>
      <c r="C944" s="1" t="n">
        <v>45730</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38720-2022</t>
        </is>
      </c>
      <c r="B945" s="1" t="n">
        <v>44815</v>
      </c>
      <c r="C945" s="1" t="n">
        <v>45730</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38721-2022</t>
        </is>
      </c>
      <c r="B946" s="1" t="n">
        <v>44815</v>
      </c>
      <c r="C946" s="1" t="n">
        <v>45730</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38927-2022</t>
        </is>
      </c>
      <c r="B947" s="1" t="n">
        <v>44816</v>
      </c>
      <c r="C947" s="1" t="n">
        <v>45730</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45730</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45730</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38991-2022</t>
        </is>
      </c>
      <c r="B950" s="1" t="n">
        <v>44816</v>
      </c>
      <c r="C950" s="1" t="n">
        <v>45730</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38985-2022</t>
        </is>
      </c>
      <c r="B951" s="1" t="n">
        <v>44816</v>
      </c>
      <c r="C951" s="1" t="n">
        <v>45730</v>
      </c>
      <c r="D951" t="inlineStr">
        <is>
          <t>STOCKHOLMS LÄN</t>
        </is>
      </c>
      <c r="E951" t="inlineStr">
        <is>
          <t>NORRTÄLJE</t>
        </is>
      </c>
      <c r="G951" t="n">
        <v>10.1</v>
      </c>
      <c r="H951" t="n">
        <v>0</v>
      </c>
      <c r="I951" t="n">
        <v>0</v>
      </c>
      <c r="J951" t="n">
        <v>0</v>
      </c>
      <c r="K951" t="n">
        <v>0</v>
      </c>
      <c r="L951" t="n">
        <v>0</v>
      </c>
      <c r="M951" t="n">
        <v>0</v>
      </c>
      <c r="N951" t="n">
        <v>0</v>
      </c>
      <c r="O951" t="n">
        <v>0</v>
      </c>
      <c r="P951" t="n">
        <v>0</v>
      </c>
      <c r="Q951" t="n">
        <v>0</v>
      </c>
      <c r="R951" s="2" t="inlineStr"/>
    </row>
    <row r="952" ht="15" customHeight="1">
      <c r="A952" t="inlineStr">
        <is>
          <t>A 38992-2022</t>
        </is>
      </c>
      <c r="B952" s="1" t="n">
        <v>44817</v>
      </c>
      <c r="C952" s="1" t="n">
        <v>45730</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39213-2022</t>
        </is>
      </c>
      <c r="B953" s="1" t="n">
        <v>44817</v>
      </c>
      <c r="C953" s="1" t="n">
        <v>45730</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39319-2022</t>
        </is>
      </c>
      <c r="B954" s="1" t="n">
        <v>44817</v>
      </c>
      <c r="C954" s="1" t="n">
        <v>45730</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39854-2022</t>
        </is>
      </c>
      <c r="B955" s="1" t="n">
        <v>44819</v>
      </c>
      <c r="C955" s="1" t="n">
        <v>45730</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39869-2022</t>
        </is>
      </c>
      <c r="B956" s="1" t="n">
        <v>44819</v>
      </c>
      <c r="C956" s="1" t="n">
        <v>45730</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39867-2022</t>
        </is>
      </c>
      <c r="B957" s="1" t="n">
        <v>44819</v>
      </c>
      <c r="C957" s="1" t="n">
        <v>45730</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40504-2022</t>
        </is>
      </c>
      <c r="B958" s="1" t="n">
        <v>44823</v>
      </c>
      <c r="C958" s="1" t="n">
        <v>45730</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40503-2022</t>
        </is>
      </c>
      <c r="B959" s="1" t="n">
        <v>44823</v>
      </c>
      <c r="C959" s="1" t="n">
        <v>45730</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40656-2022</t>
        </is>
      </c>
      <c r="B960" s="1" t="n">
        <v>44824</v>
      </c>
      <c r="C960" s="1" t="n">
        <v>45730</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40751-2022</t>
        </is>
      </c>
      <c r="B961" s="1" t="n">
        <v>44824</v>
      </c>
      <c r="C961" s="1" t="n">
        <v>45730</v>
      </c>
      <c r="D961" t="inlineStr">
        <is>
          <t>STOCKHOLMS LÄN</t>
        </is>
      </c>
      <c r="E961" t="inlineStr">
        <is>
          <t>NORRTÄLJE</t>
        </is>
      </c>
      <c r="G961" t="n">
        <v>6.1</v>
      </c>
      <c r="H961" t="n">
        <v>0</v>
      </c>
      <c r="I961" t="n">
        <v>0</v>
      </c>
      <c r="J961" t="n">
        <v>0</v>
      </c>
      <c r="K961" t="n">
        <v>0</v>
      </c>
      <c r="L961" t="n">
        <v>0</v>
      </c>
      <c r="M961" t="n">
        <v>0</v>
      </c>
      <c r="N961" t="n">
        <v>0</v>
      </c>
      <c r="O961" t="n">
        <v>0</v>
      </c>
      <c r="P961" t="n">
        <v>0</v>
      </c>
      <c r="Q961" t="n">
        <v>0</v>
      </c>
      <c r="R961" s="2" t="inlineStr"/>
    </row>
    <row r="962" ht="15" customHeight="1">
      <c r="A962" t="inlineStr">
        <is>
          <t>A 41398-2022</t>
        </is>
      </c>
      <c r="B962" s="1" t="n">
        <v>44826</v>
      </c>
      <c r="C962" s="1" t="n">
        <v>45730</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41320-2022</t>
        </is>
      </c>
      <c r="B963" s="1" t="n">
        <v>44826</v>
      </c>
      <c r="C963" s="1" t="n">
        <v>45730</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42087-2022</t>
        </is>
      </c>
      <c r="B964" s="1" t="n">
        <v>44830</v>
      </c>
      <c r="C964" s="1" t="n">
        <v>45730</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42112-2022</t>
        </is>
      </c>
      <c r="B965" s="1" t="n">
        <v>44830</v>
      </c>
      <c r="C965" s="1" t="n">
        <v>45730</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42126-2022</t>
        </is>
      </c>
      <c r="B966" s="1" t="n">
        <v>44830</v>
      </c>
      <c r="C966" s="1" t="n">
        <v>45730</v>
      </c>
      <c r="D966" t="inlineStr">
        <is>
          <t>STOCKHOLMS LÄN</t>
        </is>
      </c>
      <c r="E966" t="inlineStr">
        <is>
          <t>NORRTÄLJE</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45730</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42955-2022</t>
        </is>
      </c>
      <c r="B968" s="1" t="n">
        <v>44833</v>
      </c>
      <c r="C968" s="1" t="n">
        <v>45730</v>
      </c>
      <c r="D968" t="inlineStr">
        <is>
          <t>STOCKHOLMS LÄN</t>
        </is>
      </c>
      <c r="E968" t="inlineStr">
        <is>
          <t>NORRTÄLJE</t>
        </is>
      </c>
      <c r="G968" t="n">
        <v>13.1</v>
      </c>
      <c r="H968" t="n">
        <v>0</v>
      </c>
      <c r="I968" t="n">
        <v>0</v>
      </c>
      <c r="J968" t="n">
        <v>0</v>
      </c>
      <c r="K968" t="n">
        <v>0</v>
      </c>
      <c r="L968" t="n">
        <v>0</v>
      </c>
      <c r="M968" t="n">
        <v>0</v>
      </c>
      <c r="N968" t="n">
        <v>0</v>
      </c>
      <c r="O968" t="n">
        <v>0</v>
      </c>
      <c r="P968" t="n">
        <v>0</v>
      </c>
      <c r="Q968" t="n">
        <v>0</v>
      </c>
      <c r="R968" s="2" t="inlineStr"/>
    </row>
    <row r="969" ht="15" customHeight="1">
      <c r="A969" t="inlineStr">
        <is>
          <t>A 43036-2022</t>
        </is>
      </c>
      <c r="B969" s="1" t="n">
        <v>44833</v>
      </c>
      <c r="C969" s="1" t="n">
        <v>45730</v>
      </c>
      <c r="D969" t="inlineStr">
        <is>
          <t>STOCKHOLMS LÄN</t>
        </is>
      </c>
      <c r="E969" t="inlineStr">
        <is>
          <t>NORRTÄLJE</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v>
      </c>
      <c r="C970" s="1" t="n">
        <v>45730</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43374-2022</t>
        </is>
      </c>
      <c r="B971" s="1" t="n">
        <v>44834</v>
      </c>
      <c r="C971" s="1" t="n">
        <v>45730</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43972-2022</t>
        </is>
      </c>
      <c r="B972" s="1" t="n">
        <v>44838</v>
      </c>
      <c r="C972" s="1" t="n">
        <v>45730</v>
      </c>
      <c r="D972" t="inlineStr">
        <is>
          <t>STOCKHOLMS LÄN</t>
        </is>
      </c>
      <c r="E972" t="inlineStr">
        <is>
          <t>NORRTÄLJE</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44349-2022</t>
        </is>
      </c>
      <c r="B973" s="1" t="n">
        <v>44839</v>
      </c>
      <c r="C973" s="1" t="n">
        <v>45730</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45730</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44917-2022</t>
        </is>
      </c>
      <c r="B975" s="1" t="n">
        <v>44841</v>
      </c>
      <c r="C975" s="1" t="n">
        <v>45730</v>
      </c>
      <c r="D975" t="inlineStr">
        <is>
          <t>STOCKHOLMS LÄN</t>
        </is>
      </c>
      <c r="E975" t="inlineStr">
        <is>
          <t>NORRTÄLJE</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45541-2022</t>
        </is>
      </c>
      <c r="B976" s="1" t="n">
        <v>44845</v>
      </c>
      <c r="C976" s="1" t="n">
        <v>45730</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45539-2022</t>
        </is>
      </c>
      <c r="B977" s="1" t="n">
        <v>44845</v>
      </c>
      <c r="C977" s="1" t="n">
        <v>45730</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45549-2022</t>
        </is>
      </c>
      <c r="B978" s="1" t="n">
        <v>44845</v>
      </c>
      <c r="C978" s="1" t="n">
        <v>45730</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46914-2022</t>
        </is>
      </c>
      <c r="B979" s="1" t="n">
        <v>44851</v>
      </c>
      <c r="C979" s="1" t="n">
        <v>45730</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47076-2022</t>
        </is>
      </c>
      <c r="B980" s="1" t="n">
        <v>44852</v>
      </c>
      <c r="C980" s="1" t="n">
        <v>45730</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47079-2022</t>
        </is>
      </c>
      <c r="B981" s="1" t="n">
        <v>44852</v>
      </c>
      <c r="C981" s="1" t="n">
        <v>45730</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45730</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48316-2022</t>
        </is>
      </c>
      <c r="B983" s="1" t="n">
        <v>44854</v>
      </c>
      <c r="C983" s="1" t="n">
        <v>45730</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47929-2022</t>
        </is>
      </c>
      <c r="B984" s="1" t="n">
        <v>44855</v>
      </c>
      <c r="C984" s="1" t="n">
        <v>45730</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48161-2022</t>
        </is>
      </c>
      <c r="B985" s="1" t="n">
        <v>44858</v>
      </c>
      <c r="C985" s="1" t="n">
        <v>45730</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48453-2022</t>
        </is>
      </c>
      <c r="B986" s="1" t="n">
        <v>44858</v>
      </c>
      <c r="C986" s="1" t="n">
        <v>45730</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48492-2022</t>
        </is>
      </c>
      <c r="B987" s="1" t="n">
        <v>44858</v>
      </c>
      <c r="C987" s="1" t="n">
        <v>45730</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50065-2022</t>
        </is>
      </c>
      <c r="B988" s="1" t="n">
        <v>44865</v>
      </c>
      <c r="C988" s="1" t="n">
        <v>45730</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50469-2022</t>
        </is>
      </c>
      <c r="B989" s="1" t="n">
        <v>44866</v>
      </c>
      <c r="C989" s="1" t="n">
        <v>45730</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50481-2022</t>
        </is>
      </c>
      <c r="B990" s="1" t="n">
        <v>44866</v>
      </c>
      <c r="C990" s="1" t="n">
        <v>45730</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50465-2022</t>
        </is>
      </c>
      <c r="B991" s="1" t="n">
        <v>44866</v>
      </c>
      <c r="C991" s="1" t="n">
        <v>45730</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50488-2022</t>
        </is>
      </c>
      <c r="B992" s="1" t="n">
        <v>44866</v>
      </c>
      <c r="C992" s="1" t="n">
        <v>45730</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50563-2022</t>
        </is>
      </c>
      <c r="B993" s="1" t="n">
        <v>44866</v>
      </c>
      <c r="C993" s="1" t="n">
        <v>45730</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v>
      </c>
      <c r="C994" s="1" t="n">
        <v>45730</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50484-2022</t>
        </is>
      </c>
      <c r="B995" s="1" t="n">
        <v>44866</v>
      </c>
      <c r="C995" s="1" t="n">
        <v>45730</v>
      </c>
      <c r="D995" t="inlineStr">
        <is>
          <t>STOCKHOLMS LÄN</t>
        </is>
      </c>
      <c r="E995" t="inlineStr">
        <is>
          <t>NORRTÄLJE</t>
        </is>
      </c>
      <c r="G995" t="n">
        <v>6.7</v>
      </c>
      <c r="H995" t="n">
        <v>0</v>
      </c>
      <c r="I995" t="n">
        <v>0</v>
      </c>
      <c r="J995" t="n">
        <v>0</v>
      </c>
      <c r="K995" t="n">
        <v>0</v>
      </c>
      <c r="L995" t="n">
        <v>0</v>
      </c>
      <c r="M995" t="n">
        <v>0</v>
      </c>
      <c r="N995" t="n">
        <v>0</v>
      </c>
      <c r="O995" t="n">
        <v>0</v>
      </c>
      <c r="P995" t="n">
        <v>0</v>
      </c>
      <c r="Q995" t="n">
        <v>0</v>
      </c>
      <c r="R995" s="2" t="inlineStr"/>
    </row>
    <row r="996" ht="15" customHeight="1">
      <c r="A996" t="inlineStr">
        <is>
          <t>A 50970-2022</t>
        </is>
      </c>
      <c r="B996" s="1" t="n">
        <v>44867</v>
      </c>
      <c r="C996" s="1" t="n">
        <v>45730</v>
      </c>
      <c r="D996" t="inlineStr">
        <is>
          <t>STOCKHOLMS LÄN</t>
        </is>
      </c>
      <c r="E996" t="inlineStr">
        <is>
          <t>NORRTÄLJE</t>
        </is>
      </c>
      <c r="G996" t="n">
        <v>9</v>
      </c>
      <c r="H996" t="n">
        <v>0</v>
      </c>
      <c r="I996" t="n">
        <v>0</v>
      </c>
      <c r="J996" t="n">
        <v>0</v>
      </c>
      <c r="K996" t="n">
        <v>0</v>
      </c>
      <c r="L996" t="n">
        <v>0</v>
      </c>
      <c r="M996" t="n">
        <v>0</v>
      </c>
      <c r="N996" t="n">
        <v>0</v>
      </c>
      <c r="O996" t="n">
        <v>0</v>
      </c>
      <c r="P996" t="n">
        <v>0</v>
      </c>
      <c r="Q996" t="n">
        <v>0</v>
      </c>
      <c r="R996" s="2" t="inlineStr"/>
    </row>
    <row r="997" ht="15" customHeight="1">
      <c r="A997" t="inlineStr">
        <is>
          <t>A 50983-2022</t>
        </is>
      </c>
      <c r="B997" s="1" t="n">
        <v>44867</v>
      </c>
      <c r="C997" s="1" t="n">
        <v>45730</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v>
      </c>
      <c r="C998" s="1" t="n">
        <v>45730</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51653-2022</t>
        </is>
      </c>
      <c r="B999" s="1" t="n">
        <v>44867</v>
      </c>
      <c r="C999" s="1" t="n">
        <v>45730</v>
      </c>
      <c r="D999" t="inlineStr">
        <is>
          <t>STOCKHOLMS LÄN</t>
        </is>
      </c>
      <c r="E999" t="inlineStr">
        <is>
          <t>NORRTÄLJE</t>
        </is>
      </c>
      <c r="G999" t="n">
        <v>6.6</v>
      </c>
      <c r="H999" t="n">
        <v>0</v>
      </c>
      <c r="I999" t="n">
        <v>0</v>
      </c>
      <c r="J999" t="n">
        <v>0</v>
      </c>
      <c r="K999" t="n">
        <v>0</v>
      </c>
      <c r="L999" t="n">
        <v>0</v>
      </c>
      <c r="M999" t="n">
        <v>0</v>
      </c>
      <c r="N999" t="n">
        <v>0</v>
      </c>
      <c r="O999" t="n">
        <v>0</v>
      </c>
      <c r="P999" t="n">
        <v>0</v>
      </c>
      <c r="Q999" t="n">
        <v>0</v>
      </c>
      <c r="R999" s="2" t="inlineStr"/>
    </row>
    <row r="1000" ht="15" customHeight="1">
      <c r="A1000" t="inlineStr">
        <is>
          <t>A 51116-2022</t>
        </is>
      </c>
      <c r="B1000" s="1" t="n">
        <v>44868</v>
      </c>
      <c r="C1000" s="1" t="n">
        <v>45730</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51265-2022</t>
        </is>
      </c>
      <c r="B1001" s="1" t="n">
        <v>44868</v>
      </c>
      <c r="C1001" s="1" t="n">
        <v>45730</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52139-2022</t>
        </is>
      </c>
      <c r="B1002" s="1" t="n">
        <v>44868</v>
      </c>
      <c r="C1002" s="1" t="n">
        <v>45730</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52133-2022</t>
        </is>
      </c>
      <c r="B1003" s="1" t="n">
        <v>44868</v>
      </c>
      <c r="C1003" s="1" t="n">
        <v>45730</v>
      </c>
      <c r="D1003" t="inlineStr">
        <is>
          <t>STOCKHOLMS LÄN</t>
        </is>
      </c>
      <c r="E1003" t="inlineStr">
        <is>
          <t>NORRTÄLJE</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52260-2022</t>
        </is>
      </c>
      <c r="B1004" s="1" t="n">
        <v>44869</v>
      </c>
      <c r="C1004" s="1" t="n">
        <v>45730</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51984-2022</t>
        </is>
      </c>
      <c r="B1005" s="1" t="n">
        <v>44872</v>
      </c>
      <c r="C1005" s="1" t="n">
        <v>45730</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52322-2022</t>
        </is>
      </c>
      <c r="B1006" s="1" t="n">
        <v>44873</v>
      </c>
      <c r="C1006" s="1" t="n">
        <v>45730</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53461-2022</t>
        </is>
      </c>
      <c r="B1007" s="1" t="n">
        <v>44879</v>
      </c>
      <c r="C1007" s="1" t="n">
        <v>45730</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53600-2022</t>
        </is>
      </c>
      <c r="B1008" s="1" t="n">
        <v>44879</v>
      </c>
      <c r="C1008" s="1" t="n">
        <v>45730</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53459-2022</t>
        </is>
      </c>
      <c r="B1009" s="1" t="n">
        <v>44879</v>
      </c>
      <c r="C1009" s="1" t="n">
        <v>45730</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53884-2022</t>
        </is>
      </c>
      <c r="B1010" s="1" t="n">
        <v>44880</v>
      </c>
      <c r="C1010" s="1" t="n">
        <v>45730</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54169-2022</t>
        </is>
      </c>
      <c r="B1011" s="1" t="n">
        <v>44881</v>
      </c>
      <c r="C1011" s="1" t="n">
        <v>45730</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54175-2022</t>
        </is>
      </c>
      <c r="B1012" s="1" t="n">
        <v>44881</v>
      </c>
      <c r="C1012" s="1" t="n">
        <v>45730</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54355-2022</t>
        </is>
      </c>
      <c r="B1013" s="1" t="n">
        <v>44882</v>
      </c>
      <c r="C1013" s="1" t="n">
        <v>45730</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54427-2022</t>
        </is>
      </c>
      <c r="B1014" s="1" t="n">
        <v>44882</v>
      </c>
      <c r="C1014" s="1" t="n">
        <v>45730</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54340-2022</t>
        </is>
      </c>
      <c r="B1015" s="1" t="n">
        <v>44882</v>
      </c>
      <c r="C1015" s="1" t="n">
        <v>45730</v>
      </c>
      <c r="D1015" t="inlineStr">
        <is>
          <t>STOCKHOLMS LÄN</t>
        </is>
      </c>
      <c r="E1015" t="inlineStr">
        <is>
          <t>NORRTÄLJE</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54358-2022</t>
        </is>
      </c>
      <c r="B1016" s="1" t="n">
        <v>44882</v>
      </c>
      <c r="C1016" s="1" t="n">
        <v>45730</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54354-2022</t>
        </is>
      </c>
      <c r="B1017" s="1" t="n">
        <v>44882</v>
      </c>
      <c r="C1017" s="1" t="n">
        <v>45730</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55047-2022</t>
        </is>
      </c>
      <c r="B1018" s="1" t="n">
        <v>44886</v>
      </c>
      <c r="C1018" s="1" t="n">
        <v>45730</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55696-2022</t>
        </is>
      </c>
      <c r="B1019" s="1" t="n">
        <v>44888</v>
      </c>
      <c r="C1019" s="1" t="n">
        <v>45730</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57037-2022</t>
        </is>
      </c>
      <c r="B1020" s="1" t="n">
        <v>44895</v>
      </c>
      <c r="C1020" s="1" t="n">
        <v>45730</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45730</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58302-2022</t>
        </is>
      </c>
      <c r="B1022" s="1" t="n">
        <v>44901</v>
      </c>
      <c r="C1022" s="1" t="n">
        <v>45730</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58492-2022</t>
        </is>
      </c>
      <c r="B1023" s="1" t="n">
        <v>44902</v>
      </c>
      <c r="C1023" s="1" t="n">
        <v>45730</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58543-2022</t>
        </is>
      </c>
      <c r="B1024" s="1" t="n">
        <v>44902</v>
      </c>
      <c r="C1024" s="1" t="n">
        <v>45730</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58993-2022</t>
        </is>
      </c>
      <c r="B1025" s="1" t="n">
        <v>44903</v>
      </c>
      <c r="C1025" s="1" t="n">
        <v>45730</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45730</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59717-2022</t>
        </is>
      </c>
      <c r="B1027" s="1" t="n">
        <v>44908</v>
      </c>
      <c r="C1027" s="1" t="n">
        <v>45730</v>
      </c>
      <c r="D1027" t="inlineStr">
        <is>
          <t>STOCKHOLMS LÄN</t>
        </is>
      </c>
      <c r="E1027" t="inlineStr">
        <is>
          <t>NORRTÄLJE</t>
        </is>
      </c>
      <c r="F1027" t="inlineStr">
        <is>
          <t>Holmen skog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59893-2022</t>
        </is>
      </c>
      <c r="B1028" s="1" t="n">
        <v>44908</v>
      </c>
      <c r="C1028" s="1" t="n">
        <v>45730</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59892-2022</t>
        </is>
      </c>
      <c r="B1029" s="1" t="n">
        <v>44908</v>
      </c>
      <c r="C1029" s="1" t="n">
        <v>45730</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60840-2022</t>
        </is>
      </c>
      <c r="B1030" s="1" t="n">
        <v>44914</v>
      </c>
      <c r="C1030" s="1" t="n">
        <v>45730</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61016-2022</t>
        </is>
      </c>
      <c r="B1031" s="1" t="n">
        <v>44914</v>
      </c>
      <c r="C1031" s="1" t="n">
        <v>45730</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62206-2022</t>
        </is>
      </c>
      <c r="B1032" s="1" t="n">
        <v>44922</v>
      </c>
      <c r="C1032" s="1" t="n">
        <v>45730</v>
      </c>
      <c r="D1032" t="inlineStr">
        <is>
          <t>STOCKHOLMS LÄN</t>
        </is>
      </c>
      <c r="E1032" t="inlineStr">
        <is>
          <t>NORRTÄLJE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62398-2022</t>
        </is>
      </c>
      <c r="B1033" s="1" t="n">
        <v>44923</v>
      </c>
      <c r="C1033" s="1" t="n">
        <v>45730</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62593-2022</t>
        </is>
      </c>
      <c r="B1034" s="1" t="n">
        <v>44925</v>
      </c>
      <c r="C1034" s="1" t="n">
        <v>45730</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576-2023</t>
        </is>
      </c>
      <c r="B1035" s="1" t="n">
        <v>44925</v>
      </c>
      <c r="C1035" s="1" t="n">
        <v>45730</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45730</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755-2023</t>
        </is>
      </c>
      <c r="B1037" s="1" t="n">
        <v>44931</v>
      </c>
      <c r="C1037" s="1" t="n">
        <v>45730</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875-2023</t>
        </is>
      </c>
      <c r="B1038" s="1" t="n">
        <v>44931</v>
      </c>
      <c r="C1038" s="1" t="n">
        <v>45730</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45730</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1183-2023</t>
        </is>
      </c>
      <c r="B1040" s="1" t="n">
        <v>44935</v>
      </c>
      <c r="C1040" s="1" t="n">
        <v>45730</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1335-2023</t>
        </is>
      </c>
      <c r="B1041" s="1" t="n">
        <v>44936</v>
      </c>
      <c r="C1041" s="1" t="n">
        <v>45730</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1373-2023</t>
        </is>
      </c>
      <c r="B1042" s="1" t="n">
        <v>44936</v>
      </c>
      <c r="C1042" s="1" t="n">
        <v>45730</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45730</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1740-2023</t>
        </is>
      </c>
      <c r="B1044" s="1" t="n">
        <v>44938</v>
      </c>
      <c r="C1044" s="1" t="n">
        <v>45730</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1847-2023</t>
        </is>
      </c>
      <c r="B1045" s="1" t="n">
        <v>44938</v>
      </c>
      <c r="C1045" s="1" t="n">
        <v>45730</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2103-2023</t>
        </is>
      </c>
      <c r="B1046" s="1" t="n">
        <v>44939</v>
      </c>
      <c r="C1046" s="1" t="n">
        <v>45730</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2976-2023</t>
        </is>
      </c>
      <c r="B1047" s="1" t="n">
        <v>44945</v>
      </c>
      <c r="C1047" s="1" t="n">
        <v>45730</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2890-2023</t>
        </is>
      </c>
      <c r="B1048" s="1" t="n">
        <v>44945</v>
      </c>
      <c r="C1048" s="1" t="n">
        <v>45730</v>
      </c>
      <c r="D1048" t="inlineStr">
        <is>
          <t>STOCKHOLMS LÄN</t>
        </is>
      </c>
      <c r="E1048" t="inlineStr">
        <is>
          <t>NORRTÄLJE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2982-2023</t>
        </is>
      </c>
      <c r="B1049" s="1" t="n">
        <v>44945</v>
      </c>
      <c r="C1049" s="1" t="n">
        <v>45730</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3383-2023</t>
        </is>
      </c>
      <c r="B1050" s="1" t="n">
        <v>44949</v>
      </c>
      <c r="C1050" s="1" t="n">
        <v>45730</v>
      </c>
      <c r="D1050" t="inlineStr">
        <is>
          <t>STOCKHOLMS LÄN</t>
        </is>
      </c>
      <c r="E1050" t="inlineStr">
        <is>
          <t>NORRTÄLJE</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3444-2023</t>
        </is>
      </c>
      <c r="B1051" s="1" t="n">
        <v>44949</v>
      </c>
      <c r="C1051" s="1" t="n">
        <v>45730</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4035-2023</t>
        </is>
      </c>
      <c r="B1052" s="1" t="n">
        <v>44952</v>
      </c>
      <c r="C1052" s="1" t="n">
        <v>45730</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4058-2023</t>
        </is>
      </c>
      <c r="B1053" s="1" t="n">
        <v>44952</v>
      </c>
      <c r="C1053" s="1" t="n">
        <v>45730</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4194-2023</t>
        </is>
      </c>
      <c r="B1054" s="1" t="n">
        <v>44953</v>
      </c>
      <c r="C1054" s="1" t="n">
        <v>45730</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4168-2023</t>
        </is>
      </c>
      <c r="B1055" s="1" t="n">
        <v>44953</v>
      </c>
      <c r="C1055" s="1" t="n">
        <v>45730</v>
      </c>
      <c r="D1055" t="inlineStr">
        <is>
          <t>STOCKHOLMS LÄN</t>
        </is>
      </c>
      <c r="E1055" t="inlineStr">
        <is>
          <t>NORRTÄLJE</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4316-2023</t>
        </is>
      </c>
      <c r="B1056" s="1" t="n">
        <v>44953</v>
      </c>
      <c r="C1056" s="1" t="n">
        <v>45730</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4326-2023</t>
        </is>
      </c>
      <c r="B1057" s="1" t="n">
        <v>44953</v>
      </c>
      <c r="C1057" s="1" t="n">
        <v>45730</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v>
      </c>
      <c r="C1058" s="1" t="n">
        <v>45730</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4364-2023</t>
        </is>
      </c>
      <c r="B1059" s="1" t="n">
        <v>44954</v>
      </c>
      <c r="C1059" s="1" t="n">
        <v>45730</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4395-2023</t>
        </is>
      </c>
      <c r="B1060" s="1" t="n">
        <v>44956</v>
      </c>
      <c r="C1060" s="1" t="n">
        <v>45730</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4438-2023</t>
        </is>
      </c>
      <c r="B1061" s="1" t="n">
        <v>44956</v>
      </c>
      <c r="C1061" s="1" t="n">
        <v>45730</v>
      </c>
      <c r="D1061" t="inlineStr">
        <is>
          <t>STOCKHOLMS LÄN</t>
        </is>
      </c>
      <c r="E1061" t="inlineStr">
        <is>
          <t>NORRTÄLJE</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45730</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45730</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v>
      </c>
      <c r="C1064" s="1" t="n">
        <v>45730</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5137-2023</t>
        </is>
      </c>
      <c r="B1065" s="1" t="n">
        <v>44958</v>
      </c>
      <c r="C1065" s="1" t="n">
        <v>45730</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5207-2023</t>
        </is>
      </c>
      <c r="B1066" s="1" t="n">
        <v>44959</v>
      </c>
      <c r="C1066" s="1" t="n">
        <v>45730</v>
      </c>
      <c r="D1066" t="inlineStr">
        <is>
          <t>STOCKHOLMS LÄN</t>
        </is>
      </c>
      <c r="E1066" t="inlineStr">
        <is>
          <t>NORRTÄLJE</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5422-2023</t>
        </is>
      </c>
      <c r="B1067" s="1" t="n">
        <v>44959</v>
      </c>
      <c r="C1067" s="1" t="n">
        <v>45730</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5244-2023</t>
        </is>
      </c>
      <c r="B1068" s="1" t="n">
        <v>44959</v>
      </c>
      <c r="C1068" s="1" t="n">
        <v>45730</v>
      </c>
      <c r="D1068" t="inlineStr">
        <is>
          <t>STOCKHOLMS LÄN</t>
        </is>
      </c>
      <c r="E1068" t="inlineStr">
        <is>
          <t>NORRTÄLJE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5423-2023</t>
        </is>
      </c>
      <c r="B1069" s="1" t="n">
        <v>44959</v>
      </c>
      <c r="C1069" s="1" t="n">
        <v>45730</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6312-2023</t>
        </is>
      </c>
      <c r="B1070" s="1" t="n">
        <v>44959</v>
      </c>
      <c r="C1070" s="1" t="n">
        <v>45730</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5645-2023</t>
        </is>
      </c>
      <c r="B1071" s="1" t="n">
        <v>44960</v>
      </c>
      <c r="C1071" s="1" t="n">
        <v>45730</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5501-2023</t>
        </is>
      </c>
      <c r="B1072" s="1" t="n">
        <v>44960</v>
      </c>
      <c r="C1072" s="1" t="n">
        <v>45730</v>
      </c>
      <c r="D1072" t="inlineStr">
        <is>
          <t>STOCKHOLMS LÄN</t>
        </is>
      </c>
      <c r="E1072" t="inlineStr">
        <is>
          <t>NORRTÄLJE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6496-2023</t>
        </is>
      </c>
      <c r="B1073" s="1" t="n">
        <v>44960</v>
      </c>
      <c r="C1073" s="1" t="n">
        <v>45730</v>
      </c>
      <c r="D1073" t="inlineStr">
        <is>
          <t>STOCKHOLMS LÄN</t>
        </is>
      </c>
      <c r="E1073" t="inlineStr">
        <is>
          <t>NORRTÄLJE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45730</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5823-2023</t>
        </is>
      </c>
      <c r="B1075" s="1" t="n">
        <v>44963</v>
      </c>
      <c r="C1075" s="1" t="n">
        <v>45730</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5839-2023</t>
        </is>
      </c>
      <c r="B1076" s="1" t="n">
        <v>44963</v>
      </c>
      <c r="C1076" s="1" t="n">
        <v>45730</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6433-2023</t>
        </is>
      </c>
      <c r="B1077" s="1" t="n">
        <v>44965</v>
      </c>
      <c r="C1077" s="1" t="n">
        <v>45730</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7230-2023</t>
        </is>
      </c>
      <c r="B1078" s="1" t="n">
        <v>44965</v>
      </c>
      <c r="C1078" s="1" t="n">
        <v>45730</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6437-2023</t>
        </is>
      </c>
      <c r="B1079" s="1" t="n">
        <v>44965</v>
      </c>
      <c r="C1079" s="1" t="n">
        <v>45730</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7093-2023</t>
        </is>
      </c>
      <c r="B1080" s="1" t="n">
        <v>44970</v>
      </c>
      <c r="C1080" s="1" t="n">
        <v>45730</v>
      </c>
      <c r="D1080" t="inlineStr">
        <is>
          <t>STOCKHOLMS LÄN</t>
        </is>
      </c>
      <c r="E1080" t="inlineStr">
        <is>
          <t>NORRTÄLJE</t>
        </is>
      </c>
      <c r="F1080" t="inlineStr">
        <is>
          <t>Sveaskog</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7190-2023</t>
        </is>
      </c>
      <c r="B1081" s="1" t="n">
        <v>44970</v>
      </c>
      <c r="C1081" s="1" t="n">
        <v>45730</v>
      </c>
      <c r="D1081" t="inlineStr">
        <is>
          <t>STOCKHOLMS LÄN</t>
        </is>
      </c>
      <c r="E1081" t="inlineStr">
        <is>
          <t>NORRTÄLJE</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7120-2023</t>
        </is>
      </c>
      <c r="B1082" s="1" t="n">
        <v>44970</v>
      </c>
      <c r="C1082" s="1" t="n">
        <v>45730</v>
      </c>
      <c r="D1082" t="inlineStr">
        <is>
          <t>STOCKHOLMS LÄN</t>
        </is>
      </c>
      <c r="E1082" t="inlineStr">
        <is>
          <t>NORRTÄLJE</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7638-2023</t>
        </is>
      </c>
      <c r="B1083" s="1" t="n">
        <v>44972</v>
      </c>
      <c r="C1083" s="1" t="n">
        <v>45730</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7966-2023</t>
        </is>
      </c>
      <c r="B1084" s="1" t="n">
        <v>44973</v>
      </c>
      <c r="C1084" s="1" t="n">
        <v>45730</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7974-2023</t>
        </is>
      </c>
      <c r="B1085" s="1" t="n">
        <v>44973</v>
      </c>
      <c r="C1085" s="1" t="n">
        <v>45730</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8296-2023</t>
        </is>
      </c>
      <c r="B1086" s="1" t="n">
        <v>44974</v>
      </c>
      <c r="C1086" s="1" t="n">
        <v>45730</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8586-2023</t>
        </is>
      </c>
      <c r="B1087" s="1" t="n">
        <v>44977</v>
      </c>
      <c r="C1087" s="1" t="n">
        <v>45730</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9401-2023</t>
        </is>
      </c>
      <c r="B1088" s="1" t="n">
        <v>44977</v>
      </c>
      <c r="C1088" s="1" t="n">
        <v>45730</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8730-2023</t>
        </is>
      </c>
      <c r="B1089" s="1" t="n">
        <v>44978</v>
      </c>
      <c r="C1089" s="1" t="n">
        <v>45730</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8762-2023</t>
        </is>
      </c>
      <c r="B1090" s="1" t="n">
        <v>44978</v>
      </c>
      <c r="C1090" s="1" t="n">
        <v>45730</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8899-2023</t>
        </is>
      </c>
      <c r="B1091" s="1" t="n">
        <v>44979</v>
      </c>
      <c r="C1091" s="1" t="n">
        <v>45730</v>
      </c>
      <c r="D1091" t="inlineStr">
        <is>
          <t>STOCKHOLMS LÄN</t>
        </is>
      </c>
      <c r="E1091" t="inlineStr">
        <is>
          <t>NORRTÄLJE</t>
        </is>
      </c>
      <c r="F1091" t="inlineStr">
        <is>
          <t>Naturvårdsverket</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9189-2023</t>
        </is>
      </c>
      <c r="B1092" s="1" t="n">
        <v>44980</v>
      </c>
      <c r="C1092" s="1" t="n">
        <v>45730</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9184-2023</t>
        </is>
      </c>
      <c r="B1093" s="1" t="n">
        <v>44980</v>
      </c>
      <c r="C1093" s="1" t="n">
        <v>45730</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9255-2023</t>
        </is>
      </c>
      <c r="B1094" s="1" t="n">
        <v>44980</v>
      </c>
      <c r="C1094" s="1" t="n">
        <v>45730</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9329-2023</t>
        </is>
      </c>
      <c r="B1095" s="1" t="n">
        <v>44980</v>
      </c>
      <c r="C1095" s="1" t="n">
        <v>45730</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9793-2023</t>
        </is>
      </c>
      <c r="B1096" s="1" t="n">
        <v>44984</v>
      </c>
      <c r="C1096" s="1" t="n">
        <v>45730</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9914-2023</t>
        </is>
      </c>
      <c r="B1097" s="1" t="n">
        <v>44985</v>
      </c>
      <c r="C1097" s="1" t="n">
        <v>45730</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9965-2023</t>
        </is>
      </c>
      <c r="B1098" s="1" t="n">
        <v>44985</v>
      </c>
      <c r="C1098" s="1" t="n">
        <v>45730</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9995-2023</t>
        </is>
      </c>
      <c r="B1099" s="1" t="n">
        <v>44985</v>
      </c>
      <c r="C1099" s="1" t="n">
        <v>45730</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10036-2023</t>
        </is>
      </c>
      <c r="B1100" s="1" t="n">
        <v>44985</v>
      </c>
      <c r="C1100" s="1" t="n">
        <v>45730</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10039-2023</t>
        </is>
      </c>
      <c r="B1101" s="1" t="n">
        <v>44985</v>
      </c>
      <c r="C1101" s="1" t="n">
        <v>45730</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9945-2023</t>
        </is>
      </c>
      <c r="B1102" s="1" t="n">
        <v>44985</v>
      </c>
      <c r="C1102" s="1" t="n">
        <v>45730</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10105-2023</t>
        </is>
      </c>
      <c r="B1103" s="1" t="n">
        <v>44986</v>
      </c>
      <c r="C1103" s="1" t="n">
        <v>45730</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10215-2023</t>
        </is>
      </c>
      <c r="B1104" s="1" t="n">
        <v>44986</v>
      </c>
      <c r="C1104" s="1" t="n">
        <v>45730</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11280-2023</t>
        </is>
      </c>
      <c r="B1105" s="1" t="n">
        <v>44992</v>
      </c>
      <c r="C1105" s="1" t="n">
        <v>45730</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11499-2023</t>
        </is>
      </c>
      <c r="B1106" s="1" t="n">
        <v>44993</v>
      </c>
      <c r="C1106" s="1" t="n">
        <v>45730</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11844-2023</t>
        </is>
      </c>
      <c r="B1107" s="1" t="n">
        <v>44995</v>
      </c>
      <c r="C1107" s="1" t="n">
        <v>45730</v>
      </c>
      <c r="D1107" t="inlineStr">
        <is>
          <t>STOCKHOLMS LÄN</t>
        </is>
      </c>
      <c r="E1107" t="inlineStr">
        <is>
          <t>NORRTÄLJE</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45730</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11852-2023</t>
        </is>
      </c>
      <c r="B1109" s="1" t="n">
        <v>44995</v>
      </c>
      <c r="C1109" s="1" t="n">
        <v>45730</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12609-2023</t>
        </is>
      </c>
      <c r="B1110" s="1" t="n">
        <v>45000</v>
      </c>
      <c r="C1110" s="1" t="n">
        <v>45730</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12756-2023</t>
        </is>
      </c>
      <c r="B1111" s="1" t="n">
        <v>45000</v>
      </c>
      <c r="C1111" s="1" t="n">
        <v>45730</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13072-2023</t>
        </is>
      </c>
      <c r="B1112" s="1" t="n">
        <v>45002</v>
      </c>
      <c r="C1112" s="1" t="n">
        <v>45730</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13354-2023</t>
        </is>
      </c>
      <c r="B1113" s="1" t="n">
        <v>45005</v>
      </c>
      <c r="C1113" s="1" t="n">
        <v>45730</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13360-2023</t>
        </is>
      </c>
      <c r="B1114" s="1" t="n">
        <v>45005</v>
      </c>
      <c r="C1114" s="1" t="n">
        <v>45730</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13860-2023</t>
        </is>
      </c>
      <c r="B1115" s="1" t="n">
        <v>45007</v>
      </c>
      <c r="C1115" s="1" t="n">
        <v>45730</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13957-2023</t>
        </is>
      </c>
      <c r="B1116" s="1" t="n">
        <v>45008</v>
      </c>
      <c r="C1116" s="1" t="n">
        <v>45730</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13947-2023</t>
        </is>
      </c>
      <c r="B1117" s="1" t="n">
        <v>45008</v>
      </c>
      <c r="C1117" s="1" t="n">
        <v>45730</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13977-2023</t>
        </is>
      </c>
      <c r="B1118" s="1" t="n">
        <v>45008</v>
      </c>
      <c r="C1118" s="1" t="n">
        <v>45730</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14135-2023</t>
        </is>
      </c>
      <c r="B1119" s="1" t="n">
        <v>45009</v>
      </c>
      <c r="C1119" s="1" t="n">
        <v>45730</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15217-2023</t>
        </is>
      </c>
      <c r="B1120" s="1" t="n">
        <v>45019</v>
      </c>
      <c r="C1120" s="1" t="n">
        <v>45730</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15256-2023</t>
        </is>
      </c>
      <c r="B1121" s="1" t="n">
        <v>45019</v>
      </c>
      <c r="C1121" s="1" t="n">
        <v>45730</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15447-2023</t>
        </is>
      </c>
      <c r="B1122" s="1" t="n">
        <v>45020</v>
      </c>
      <c r="C1122" s="1" t="n">
        <v>45730</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15459-2023</t>
        </is>
      </c>
      <c r="B1123" s="1" t="n">
        <v>45020</v>
      </c>
      <c r="C1123" s="1" t="n">
        <v>45730</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15655-2023</t>
        </is>
      </c>
      <c r="B1124" s="1" t="n">
        <v>45021</v>
      </c>
      <c r="C1124" s="1" t="n">
        <v>45730</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45730</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15915-2023</t>
        </is>
      </c>
      <c r="B1126" s="1" t="n">
        <v>45022</v>
      </c>
      <c r="C1126" s="1" t="n">
        <v>45730</v>
      </c>
      <c r="D1126" t="inlineStr">
        <is>
          <t>STOCKHOLMS LÄN</t>
        </is>
      </c>
      <c r="E1126" t="inlineStr">
        <is>
          <t>NORRTÄLJE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15956-2023</t>
        </is>
      </c>
      <c r="B1127" s="1" t="n">
        <v>45022</v>
      </c>
      <c r="C1127" s="1" t="n">
        <v>45730</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15954-2023</t>
        </is>
      </c>
      <c r="B1128" s="1" t="n">
        <v>45022</v>
      </c>
      <c r="C1128" s="1" t="n">
        <v>45730</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16006-2023</t>
        </is>
      </c>
      <c r="B1129" s="1" t="n">
        <v>45025</v>
      </c>
      <c r="C1129" s="1" t="n">
        <v>45730</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16980-2023</t>
        </is>
      </c>
      <c r="B1130" s="1" t="n">
        <v>45033</v>
      </c>
      <c r="C1130" s="1" t="n">
        <v>45730</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16977-2023</t>
        </is>
      </c>
      <c r="B1131" s="1" t="n">
        <v>45033</v>
      </c>
      <c r="C1131" s="1" t="n">
        <v>45730</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17140-2023</t>
        </is>
      </c>
      <c r="B1132" s="1" t="n">
        <v>45034</v>
      </c>
      <c r="C1132" s="1" t="n">
        <v>45730</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17133-2023</t>
        </is>
      </c>
      <c r="B1133" s="1" t="n">
        <v>45034</v>
      </c>
      <c r="C1133" s="1" t="n">
        <v>45730</v>
      </c>
      <c r="D1133" t="inlineStr">
        <is>
          <t>STOCKHOLMS LÄN</t>
        </is>
      </c>
      <c r="E1133" t="inlineStr">
        <is>
          <t>NORRTÄLJE</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17919-2023</t>
        </is>
      </c>
      <c r="B1134" s="1" t="n">
        <v>45040</v>
      </c>
      <c r="C1134" s="1" t="n">
        <v>45730</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17939-2023</t>
        </is>
      </c>
      <c r="B1135" s="1" t="n">
        <v>45040</v>
      </c>
      <c r="C1135" s="1" t="n">
        <v>45730</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17930-2023</t>
        </is>
      </c>
      <c r="B1136" s="1" t="n">
        <v>45040</v>
      </c>
      <c r="C1136" s="1" t="n">
        <v>45730</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17984-2023</t>
        </is>
      </c>
      <c r="B1137" s="1" t="n">
        <v>45040</v>
      </c>
      <c r="C1137" s="1" t="n">
        <v>45730</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18023-2023</t>
        </is>
      </c>
      <c r="B1138" s="1" t="n">
        <v>45040</v>
      </c>
      <c r="C1138" s="1" t="n">
        <v>45730</v>
      </c>
      <c r="D1138" t="inlineStr">
        <is>
          <t>STOCKHOLMS LÄN</t>
        </is>
      </c>
      <c r="E1138" t="inlineStr">
        <is>
          <t>NORRTÄLJE</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18541-2023</t>
        </is>
      </c>
      <c r="B1139" s="1" t="n">
        <v>45042</v>
      </c>
      <c r="C1139" s="1" t="n">
        <v>45730</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18540-2023</t>
        </is>
      </c>
      <c r="B1140" s="1" t="n">
        <v>45042</v>
      </c>
      <c r="C1140" s="1" t="n">
        <v>45730</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18895-2023</t>
        </is>
      </c>
      <c r="B1141" s="1" t="n">
        <v>45044</v>
      </c>
      <c r="C1141" s="1" t="n">
        <v>45730</v>
      </c>
      <c r="D1141" t="inlineStr">
        <is>
          <t>STOCKHOLMS LÄN</t>
        </is>
      </c>
      <c r="E1141" t="inlineStr">
        <is>
          <t>NORRTÄLJE</t>
        </is>
      </c>
      <c r="F1141" t="inlineStr">
        <is>
          <t>Kommuner</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19074-2023</t>
        </is>
      </c>
      <c r="B1142" s="1" t="n">
        <v>45048</v>
      </c>
      <c r="C1142" s="1" t="n">
        <v>45730</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19058-2023</t>
        </is>
      </c>
      <c r="B1143" s="1" t="n">
        <v>45048</v>
      </c>
      <c r="C1143" s="1" t="n">
        <v>45730</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19702-2023</t>
        </is>
      </c>
      <c r="B1144" s="1" t="n">
        <v>45051</v>
      </c>
      <c r="C1144" s="1" t="n">
        <v>45730</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19706-2023</t>
        </is>
      </c>
      <c r="B1145" s="1" t="n">
        <v>45051</v>
      </c>
      <c r="C1145" s="1" t="n">
        <v>45730</v>
      </c>
      <c r="D1145" t="inlineStr">
        <is>
          <t>STOCKHOLMS LÄN</t>
        </is>
      </c>
      <c r="E1145" t="inlineStr">
        <is>
          <t>NORRTÄLJE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19719-2023</t>
        </is>
      </c>
      <c r="B1146" s="1" t="n">
        <v>45051</v>
      </c>
      <c r="C1146" s="1" t="n">
        <v>45730</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19951-2023</t>
        </is>
      </c>
      <c r="B1147" s="1" t="n">
        <v>45054</v>
      </c>
      <c r="C1147" s="1" t="n">
        <v>45730</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19971-2023</t>
        </is>
      </c>
      <c r="B1148" s="1" t="n">
        <v>45054</v>
      </c>
      <c r="C1148" s="1" t="n">
        <v>45730</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19994-2023</t>
        </is>
      </c>
      <c r="B1149" s="1" t="n">
        <v>45054</v>
      </c>
      <c r="C1149" s="1" t="n">
        <v>45730</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19952-2023</t>
        </is>
      </c>
      <c r="B1150" s="1" t="n">
        <v>45054</v>
      </c>
      <c r="C1150" s="1" t="n">
        <v>45730</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20004-2023</t>
        </is>
      </c>
      <c r="B1151" s="1" t="n">
        <v>45054</v>
      </c>
      <c r="C1151" s="1" t="n">
        <v>45730</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20015-2023</t>
        </is>
      </c>
      <c r="B1152" s="1" t="n">
        <v>45054</v>
      </c>
      <c r="C1152" s="1" t="n">
        <v>45730</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20144-2023</t>
        </is>
      </c>
      <c r="B1153" s="1" t="n">
        <v>45055</v>
      </c>
      <c r="C1153" s="1" t="n">
        <v>45730</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20304-2023</t>
        </is>
      </c>
      <c r="B1154" s="1" t="n">
        <v>45056</v>
      </c>
      <c r="C1154" s="1" t="n">
        <v>45730</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20535-2023</t>
        </is>
      </c>
      <c r="B1155" s="1" t="n">
        <v>45057</v>
      </c>
      <c r="C1155" s="1" t="n">
        <v>45730</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20852-2023</t>
        </is>
      </c>
      <c r="B1156" s="1" t="n">
        <v>45058</v>
      </c>
      <c r="C1156" s="1" t="n">
        <v>45730</v>
      </c>
      <c r="D1156" t="inlineStr">
        <is>
          <t>STOCKHOLMS LÄN</t>
        </is>
      </c>
      <c r="E1156" t="inlineStr">
        <is>
          <t>NORRTÄLJE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21237-2023</t>
        </is>
      </c>
      <c r="B1157" s="1" t="n">
        <v>45062</v>
      </c>
      <c r="C1157" s="1" t="n">
        <v>45730</v>
      </c>
      <c r="D1157" t="inlineStr">
        <is>
          <t>STOCKHOLMS LÄN</t>
        </is>
      </c>
      <c r="E1157" t="inlineStr">
        <is>
          <t>NORRTÄLJE</t>
        </is>
      </c>
      <c r="F1157" t="inlineStr">
        <is>
          <t>Övriga Aktiebolag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21386-2023</t>
        </is>
      </c>
      <c r="B1158" s="1" t="n">
        <v>45063</v>
      </c>
      <c r="C1158" s="1" t="n">
        <v>45730</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21435-2023</t>
        </is>
      </c>
      <c r="B1159" s="1" t="n">
        <v>45063</v>
      </c>
      <c r="C1159" s="1" t="n">
        <v>45730</v>
      </c>
      <c r="D1159" t="inlineStr">
        <is>
          <t>STOCKHOLMS LÄN</t>
        </is>
      </c>
      <c r="E1159" t="inlineStr">
        <is>
          <t>NORRTÄLJE</t>
        </is>
      </c>
      <c r="G1159" t="n">
        <v>19.1</v>
      </c>
      <c r="H1159" t="n">
        <v>0</v>
      </c>
      <c r="I1159" t="n">
        <v>0</v>
      </c>
      <c r="J1159" t="n">
        <v>0</v>
      </c>
      <c r="K1159" t="n">
        <v>0</v>
      </c>
      <c r="L1159" t="n">
        <v>0</v>
      </c>
      <c r="M1159" t="n">
        <v>0</v>
      </c>
      <c r="N1159" t="n">
        <v>0</v>
      </c>
      <c r="O1159" t="n">
        <v>0</v>
      </c>
      <c r="P1159" t="n">
        <v>0</v>
      </c>
      <c r="Q1159" t="n">
        <v>0</v>
      </c>
      <c r="R1159" s="2" t="inlineStr"/>
    </row>
    <row r="1160" ht="15" customHeight="1">
      <c r="A1160" t="inlineStr">
        <is>
          <t>A 21732-2023</t>
        </is>
      </c>
      <c r="B1160" s="1" t="n">
        <v>45063</v>
      </c>
      <c r="C1160" s="1" t="n">
        <v>45730</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21733-2023</t>
        </is>
      </c>
      <c r="B1161" s="1" t="n">
        <v>45063</v>
      </c>
      <c r="C1161" s="1" t="n">
        <v>45730</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21731-2023</t>
        </is>
      </c>
      <c r="B1162" s="1" t="n">
        <v>45063</v>
      </c>
      <c r="C1162" s="1" t="n">
        <v>45730</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21718-2023</t>
        </is>
      </c>
      <c r="B1163" s="1" t="n">
        <v>45065</v>
      </c>
      <c r="C1163" s="1" t="n">
        <v>45730</v>
      </c>
      <c r="D1163" t="inlineStr">
        <is>
          <t>STOCKHOLMS LÄN</t>
        </is>
      </c>
      <c r="E1163" t="inlineStr">
        <is>
          <t>NORRTÄLJE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21719-2023</t>
        </is>
      </c>
      <c r="B1164" s="1" t="n">
        <v>45065</v>
      </c>
      <c r="C1164" s="1" t="n">
        <v>45730</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21745-2023</t>
        </is>
      </c>
      <c r="B1165" s="1" t="n">
        <v>45065</v>
      </c>
      <c r="C1165" s="1" t="n">
        <v>45730</v>
      </c>
      <c r="D1165" t="inlineStr">
        <is>
          <t>STOCKHOLMS LÄN</t>
        </is>
      </c>
      <c r="E1165" t="inlineStr">
        <is>
          <t>NORRTÄLJE</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21720-2023</t>
        </is>
      </c>
      <c r="B1166" s="1" t="n">
        <v>45065</v>
      </c>
      <c r="C1166" s="1" t="n">
        <v>45730</v>
      </c>
      <c r="D1166" t="inlineStr">
        <is>
          <t>STOCKHOLMS LÄN</t>
        </is>
      </c>
      <c r="E1166" t="inlineStr">
        <is>
          <t>NORRTÄLJE</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21716-2023</t>
        </is>
      </c>
      <c r="B1167" s="1" t="n">
        <v>45065</v>
      </c>
      <c r="C1167" s="1" t="n">
        <v>45730</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21894-2023</t>
        </is>
      </c>
      <c r="B1168" s="1" t="n">
        <v>45068</v>
      </c>
      <c r="C1168" s="1" t="n">
        <v>45730</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21832-2023</t>
        </is>
      </c>
      <c r="B1169" s="1" t="n">
        <v>45068</v>
      </c>
      <c r="C1169" s="1" t="n">
        <v>45730</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21825-2023</t>
        </is>
      </c>
      <c r="B1170" s="1" t="n">
        <v>45068</v>
      </c>
      <c r="C1170" s="1" t="n">
        <v>45730</v>
      </c>
      <c r="D1170" t="inlineStr">
        <is>
          <t>STOCKHOLMS LÄN</t>
        </is>
      </c>
      <c r="E1170" t="inlineStr">
        <is>
          <t>NORRTÄLJE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21897-2023</t>
        </is>
      </c>
      <c r="B1171" s="1" t="n">
        <v>45068</v>
      </c>
      <c r="C1171" s="1" t="n">
        <v>45730</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21993-2023</t>
        </is>
      </c>
      <c r="B1172" s="1" t="n">
        <v>45068</v>
      </c>
      <c r="C1172" s="1" t="n">
        <v>45730</v>
      </c>
      <c r="D1172" t="inlineStr">
        <is>
          <t>STOCKHOLMS LÄN</t>
        </is>
      </c>
      <c r="E1172" t="inlineStr">
        <is>
          <t>NORRTÄLJE</t>
        </is>
      </c>
      <c r="G1172" t="n">
        <v>17.2</v>
      </c>
      <c r="H1172" t="n">
        <v>0</v>
      </c>
      <c r="I1172" t="n">
        <v>0</v>
      </c>
      <c r="J1172" t="n">
        <v>0</v>
      </c>
      <c r="K1172" t="n">
        <v>0</v>
      </c>
      <c r="L1172" t="n">
        <v>0</v>
      </c>
      <c r="M1172" t="n">
        <v>0</v>
      </c>
      <c r="N1172" t="n">
        <v>0</v>
      </c>
      <c r="O1172" t="n">
        <v>0</v>
      </c>
      <c r="P1172" t="n">
        <v>0</v>
      </c>
      <c r="Q1172" t="n">
        <v>0</v>
      </c>
      <c r="R1172" s="2" t="inlineStr"/>
    </row>
    <row r="1173" ht="15" customHeight="1">
      <c r="A1173" t="inlineStr">
        <is>
          <t>A 21961-2023</t>
        </is>
      </c>
      <c r="B1173" s="1" t="n">
        <v>45068</v>
      </c>
      <c r="C1173" s="1" t="n">
        <v>45730</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45730</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22175-2023</t>
        </is>
      </c>
      <c r="B1175" s="1" t="n">
        <v>45069</v>
      </c>
      <c r="C1175" s="1" t="n">
        <v>45730</v>
      </c>
      <c r="D1175" t="inlineStr">
        <is>
          <t>STOCKHOLMS LÄN</t>
        </is>
      </c>
      <c r="E1175" t="inlineStr">
        <is>
          <t>NORRTÄLJE</t>
        </is>
      </c>
      <c r="G1175" t="n">
        <v>32.7</v>
      </c>
      <c r="H1175" t="n">
        <v>0</v>
      </c>
      <c r="I1175" t="n">
        <v>0</v>
      </c>
      <c r="J1175" t="n">
        <v>0</v>
      </c>
      <c r="K1175" t="n">
        <v>0</v>
      </c>
      <c r="L1175" t="n">
        <v>0</v>
      </c>
      <c r="M1175" t="n">
        <v>0</v>
      </c>
      <c r="N1175" t="n">
        <v>0</v>
      </c>
      <c r="O1175" t="n">
        <v>0</v>
      </c>
      <c r="P1175" t="n">
        <v>0</v>
      </c>
      <c r="Q1175" t="n">
        <v>0</v>
      </c>
      <c r="R1175" s="2" t="inlineStr"/>
    </row>
    <row r="1176" ht="15" customHeight="1">
      <c r="A1176" t="inlineStr">
        <is>
          <t>A 22249-2023</t>
        </is>
      </c>
      <c r="B1176" s="1" t="n">
        <v>45070</v>
      </c>
      <c r="C1176" s="1" t="n">
        <v>45730</v>
      </c>
      <c r="D1176" t="inlineStr">
        <is>
          <t>STOCKHOLMS LÄN</t>
        </is>
      </c>
      <c r="E1176" t="inlineStr">
        <is>
          <t>NORRTÄLJE</t>
        </is>
      </c>
      <c r="F1176" t="inlineStr">
        <is>
          <t>Övriga Aktiebolag</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22398-2023</t>
        </is>
      </c>
      <c r="B1177" s="1" t="n">
        <v>45070</v>
      </c>
      <c r="C1177" s="1" t="n">
        <v>45730</v>
      </c>
      <c r="D1177" t="inlineStr">
        <is>
          <t>STOCKHOLMS LÄN</t>
        </is>
      </c>
      <c r="E1177" t="inlineStr">
        <is>
          <t>NORRTÄLJE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22376-2023</t>
        </is>
      </c>
      <c r="B1178" s="1" t="n">
        <v>45070</v>
      </c>
      <c r="C1178" s="1" t="n">
        <v>45730</v>
      </c>
      <c r="D1178" t="inlineStr">
        <is>
          <t>STOCKHOLMS LÄN</t>
        </is>
      </c>
      <c r="E1178" t="inlineStr">
        <is>
          <t>NORRTÄLJE</t>
        </is>
      </c>
      <c r="F1178" t="inlineStr">
        <is>
          <t>Kommuner</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22456-2023</t>
        </is>
      </c>
      <c r="B1179" s="1" t="n">
        <v>45070</v>
      </c>
      <c r="C1179" s="1" t="n">
        <v>45730</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22378-2023</t>
        </is>
      </c>
      <c r="B1180" s="1" t="n">
        <v>45070</v>
      </c>
      <c r="C1180" s="1" t="n">
        <v>45730</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22406-2023</t>
        </is>
      </c>
      <c r="B1181" s="1" t="n">
        <v>45070</v>
      </c>
      <c r="C1181" s="1" t="n">
        <v>45730</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22553-2023</t>
        </is>
      </c>
      <c r="B1182" s="1" t="n">
        <v>45071</v>
      </c>
      <c r="C1182" s="1" t="n">
        <v>45730</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22962-2023</t>
        </is>
      </c>
      <c r="B1183" s="1" t="n">
        <v>45072</v>
      </c>
      <c r="C1183" s="1" t="n">
        <v>45730</v>
      </c>
      <c r="D1183" t="inlineStr">
        <is>
          <t>STOCKHOLMS LÄN</t>
        </is>
      </c>
      <c r="E1183" t="inlineStr">
        <is>
          <t>NORRTÄLJE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23056-2023</t>
        </is>
      </c>
      <c r="B1184" s="1" t="n">
        <v>45075</v>
      </c>
      <c r="C1184" s="1" t="n">
        <v>45730</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23060-2023</t>
        </is>
      </c>
      <c r="B1185" s="1" t="n">
        <v>45075</v>
      </c>
      <c r="C1185" s="1" t="n">
        <v>45730</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23070-2023</t>
        </is>
      </c>
      <c r="B1186" s="1" t="n">
        <v>45075</v>
      </c>
      <c r="C1186" s="1" t="n">
        <v>45730</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23130-2023</t>
        </is>
      </c>
      <c r="B1187" s="1" t="n">
        <v>45075</v>
      </c>
      <c r="C1187" s="1" t="n">
        <v>45730</v>
      </c>
      <c r="D1187" t="inlineStr">
        <is>
          <t>STOCKHOLMS LÄN</t>
        </is>
      </c>
      <c r="E1187" t="inlineStr">
        <is>
          <t>NORRTÄLJE</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23265-2023</t>
        </is>
      </c>
      <c r="B1188" s="1" t="n">
        <v>45075</v>
      </c>
      <c r="C1188" s="1" t="n">
        <v>45730</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23269-2023</t>
        </is>
      </c>
      <c r="B1189" s="1" t="n">
        <v>45075</v>
      </c>
      <c r="C1189" s="1" t="n">
        <v>45730</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45076</v>
      </c>
      <c r="C1190" s="1" t="n">
        <v>45730</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23134-2023</t>
        </is>
      </c>
      <c r="B1191" s="1" t="n">
        <v>45075</v>
      </c>
      <c r="C1191" s="1" t="n">
        <v>45730</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23263-2023</t>
        </is>
      </c>
      <c r="B1192" s="1" t="n">
        <v>45075</v>
      </c>
      <c r="C1192" s="1" t="n">
        <v>45730</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23267-2023</t>
        </is>
      </c>
      <c r="B1193" s="1" t="n">
        <v>45075</v>
      </c>
      <c r="C1193" s="1" t="n">
        <v>45730</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23271-2023</t>
        </is>
      </c>
      <c r="B1194" s="1" t="n">
        <v>45075</v>
      </c>
      <c r="C1194" s="1" t="n">
        <v>45730</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23264-2023</t>
        </is>
      </c>
      <c r="B1195" s="1" t="n">
        <v>45075</v>
      </c>
      <c r="C1195" s="1" t="n">
        <v>45730</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23268-2023</t>
        </is>
      </c>
      <c r="B1196" s="1" t="n">
        <v>45075</v>
      </c>
      <c r="C1196" s="1" t="n">
        <v>45730</v>
      </c>
      <c r="D1196" t="inlineStr">
        <is>
          <t>STOCKHOLMS LÄN</t>
        </is>
      </c>
      <c r="E1196" t="inlineStr">
        <is>
          <t>NORRTÄLJE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23272-2023</t>
        </is>
      </c>
      <c r="B1197" s="1" t="n">
        <v>45075</v>
      </c>
      <c r="C1197" s="1" t="n">
        <v>45730</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23262-2023</t>
        </is>
      </c>
      <c r="B1198" s="1" t="n">
        <v>45075</v>
      </c>
      <c r="C1198" s="1" t="n">
        <v>45730</v>
      </c>
      <c r="D1198" t="inlineStr">
        <is>
          <t>STOCKHOLMS LÄN</t>
        </is>
      </c>
      <c r="E1198" t="inlineStr">
        <is>
          <t>NORRTÄLJE</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23266-2023</t>
        </is>
      </c>
      <c r="B1199" s="1" t="n">
        <v>45075</v>
      </c>
      <c r="C1199" s="1" t="n">
        <v>45730</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23270-2023</t>
        </is>
      </c>
      <c r="B1200" s="1" t="n">
        <v>45075</v>
      </c>
      <c r="C1200" s="1" t="n">
        <v>45730</v>
      </c>
      <c r="D1200" t="inlineStr">
        <is>
          <t>STOCKHOLMS LÄN</t>
        </is>
      </c>
      <c r="E1200" t="inlineStr">
        <is>
          <t>NORRTÄLJE</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23274-2023</t>
        </is>
      </c>
      <c r="B1201" s="1" t="n">
        <v>45076</v>
      </c>
      <c r="C1201" s="1" t="n">
        <v>45730</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23699-2023</t>
        </is>
      </c>
      <c r="B1202" s="1" t="n">
        <v>45077</v>
      </c>
      <c r="C1202" s="1" t="n">
        <v>45730</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24129-2023</t>
        </is>
      </c>
      <c r="B1203" s="1" t="n">
        <v>45079</v>
      </c>
      <c r="C1203" s="1" t="n">
        <v>45730</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24330-2023</t>
        </is>
      </c>
      <c r="B1204" s="1" t="n">
        <v>45081</v>
      </c>
      <c r="C1204" s="1" t="n">
        <v>45730</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24520-2023</t>
        </is>
      </c>
      <c r="B1205" s="1" t="n">
        <v>45082</v>
      </c>
      <c r="C1205" s="1" t="n">
        <v>45730</v>
      </c>
      <c r="D1205" t="inlineStr">
        <is>
          <t>STOCKHOLMS LÄN</t>
        </is>
      </c>
      <c r="E1205" t="inlineStr">
        <is>
          <t>NORRTÄLJE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24501-2023</t>
        </is>
      </c>
      <c r="B1206" s="1" t="n">
        <v>45082</v>
      </c>
      <c r="C1206" s="1" t="n">
        <v>45730</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24522-2023</t>
        </is>
      </c>
      <c r="B1207" s="1" t="n">
        <v>45082</v>
      </c>
      <c r="C1207" s="1" t="n">
        <v>45730</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24705-2023</t>
        </is>
      </c>
      <c r="B1208" s="1" t="n">
        <v>45084</v>
      </c>
      <c r="C1208" s="1" t="n">
        <v>45730</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24727-2023</t>
        </is>
      </c>
      <c r="B1209" s="1" t="n">
        <v>45084</v>
      </c>
      <c r="C1209" s="1" t="n">
        <v>45730</v>
      </c>
      <c r="D1209" t="inlineStr">
        <is>
          <t>STOCKHOLMS LÄN</t>
        </is>
      </c>
      <c r="E1209" t="inlineStr">
        <is>
          <t>NORRTÄLJE</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24788-2023</t>
        </is>
      </c>
      <c r="B1210" s="1" t="n">
        <v>45084</v>
      </c>
      <c r="C1210" s="1" t="n">
        <v>45730</v>
      </c>
      <c r="D1210" t="inlineStr">
        <is>
          <t>STOCKHOLMS LÄN</t>
        </is>
      </c>
      <c r="E1210" t="inlineStr">
        <is>
          <t>NORRTÄLJE</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24789-2023</t>
        </is>
      </c>
      <c r="B1211" s="1" t="n">
        <v>45084</v>
      </c>
      <c r="C1211" s="1" t="n">
        <v>45730</v>
      </c>
      <c r="D1211" t="inlineStr">
        <is>
          <t>STOCKHOLMS LÄN</t>
        </is>
      </c>
      <c r="E1211" t="inlineStr">
        <is>
          <t>NORRTÄLJE</t>
        </is>
      </c>
      <c r="F1211" t="inlineStr">
        <is>
          <t>Sveaskog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24887-2023</t>
        </is>
      </c>
      <c r="B1212" s="1" t="n">
        <v>45085</v>
      </c>
      <c r="C1212" s="1" t="n">
        <v>45730</v>
      </c>
      <c r="D1212" t="inlineStr">
        <is>
          <t>STOCKHOLMS LÄN</t>
        </is>
      </c>
      <c r="E1212" t="inlineStr">
        <is>
          <t>NORRTÄLJE</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v>
      </c>
      <c r="C1213" s="1" t="n">
        <v>45730</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25174-2023</t>
        </is>
      </c>
      <c r="B1214" s="1" t="n">
        <v>45086</v>
      </c>
      <c r="C1214" s="1" t="n">
        <v>45730</v>
      </c>
      <c r="D1214" t="inlineStr">
        <is>
          <t>STOCKHOLMS LÄN</t>
        </is>
      </c>
      <c r="E1214" t="inlineStr">
        <is>
          <t>NORRTÄLJE</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25094-2023</t>
        </is>
      </c>
      <c r="B1215" s="1" t="n">
        <v>45086</v>
      </c>
      <c r="C1215" s="1" t="n">
        <v>45730</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25257-2023</t>
        </is>
      </c>
      <c r="B1216" s="1" t="n">
        <v>45086</v>
      </c>
      <c r="C1216" s="1" t="n">
        <v>45730</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25614-2023</t>
        </is>
      </c>
      <c r="B1217" s="1" t="n">
        <v>45089</v>
      </c>
      <c r="C1217" s="1" t="n">
        <v>45730</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25625-2023</t>
        </is>
      </c>
      <c r="B1218" s="1" t="n">
        <v>45089</v>
      </c>
      <c r="C1218" s="1" t="n">
        <v>45730</v>
      </c>
      <c r="D1218" t="inlineStr">
        <is>
          <t>STOCKHOLMS LÄN</t>
        </is>
      </c>
      <c r="E1218" t="inlineStr">
        <is>
          <t>NORRTÄLJE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25557-2023</t>
        </is>
      </c>
      <c r="B1219" s="1" t="n">
        <v>45089</v>
      </c>
      <c r="C1219" s="1" t="n">
        <v>45730</v>
      </c>
      <c r="D1219" t="inlineStr">
        <is>
          <t>STOCKHOLMS LÄN</t>
        </is>
      </c>
      <c r="E1219" t="inlineStr">
        <is>
          <t>NORRTÄLJE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25609-2023</t>
        </is>
      </c>
      <c r="B1220" s="1" t="n">
        <v>45089</v>
      </c>
      <c r="C1220" s="1" t="n">
        <v>45730</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25618-2023</t>
        </is>
      </c>
      <c r="B1221" s="1" t="n">
        <v>45089</v>
      </c>
      <c r="C1221" s="1" t="n">
        <v>45730</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25656-2023</t>
        </is>
      </c>
      <c r="B1222" s="1" t="n">
        <v>45089</v>
      </c>
      <c r="C1222" s="1" t="n">
        <v>45730</v>
      </c>
      <c r="D1222" t="inlineStr">
        <is>
          <t>STOCKHOLMS LÄN</t>
        </is>
      </c>
      <c r="E1222" t="inlineStr">
        <is>
          <t>NORRTÄLJE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25654-2023</t>
        </is>
      </c>
      <c r="B1223" s="1" t="n">
        <v>45089</v>
      </c>
      <c r="C1223" s="1" t="n">
        <v>45730</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25831-2023</t>
        </is>
      </c>
      <c r="B1224" s="1" t="n">
        <v>45090</v>
      </c>
      <c r="C1224" s="1" t="n">
        <v>45730</v>
      </c>
      <c r="D1224" t="inlineStr">
        <is>
          <t>STOCKHOLMS LÄN</t>
        </is>
      </c>
      <c r="E1224" t="inlineStr">
        <is>
          <t>NORRTÄLJE</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25915-2023</t>
        </is>
      </c>
      <c r="B1225" s="1" t="n">
        <v>45090</v>
      </c>
      <c r="C1225" s="1" t="n">
        <v>45730</v>
      </c>
      <c r="D1225" t="inlineStr">
        <is>
          <t>STOCKHOLMS LÄN</t>
        </is>
      </c>
      <c r="E1225" t="inlineStr">
        <is>
          <t>NORRTÄLJE</t>
        </is>
      </c>
      <c r="F1225" t="inlineStr">
        <is>
          <t>Naturvårdsverket</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26065-2023</t>
        </is>
      </c>
      <c r="B1226" s="1" t="n">
        <v>45091</v>
      </c>
      <c r="C1226" s="1" t="n">
        <v>45730</v>
      </c>
      <c r="D1226" t="inlineStr">
        <is>
          <t>STOCKHOLMS LÄN</t>
        </is>
      </c>
      <c r="E1226" t="inlineStr">
        <is>
          <t>NORRTÄLJE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26315-2023</t>
        </is>
      </c>
      <c r="B1227" s="1" t="n">
        <v>45091</v>
      </c>
      <c r="C1227" s="1" t="n">
        <v>45730</v>
      </c>
      <c r="D1227" t="inlineStr">
        <is>
          <t>STOCKHOLMS LÄN</t>
        </is>
      </c>
      <c r="E1227" t="inlineStr">
        <is>
          <t>NORRTÄLJE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26570-2023</t>
        </is>
      </c>
      <c r="B1228" s="1" t="n">
        <v>45092</v>
      </c>
      <c r="C1228" s="1" t="n">
        <v>45730</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26636-2023</t>
        </is>
      </c>
      <c r="B1229" s="1" t="n">
        <v>45092</v>
      </c>
      <c r="C1229" s="1" t="n">
        <v>45730</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26640-2023</t>
        </is>
      </c>
      <c r="B1230" s="1" t="n">
        <v>45092</v>
      </c>
      <c r="C1230" s="1" t="n">
        <v>45730</v>
      </c>
      <c r="D1230" t="inlineStr">
        <is>
          <t>STOCKHOLMS LÄN</t>
        </is>
      </c>
      <c r="E1230" t="inlineStr">
        <is>
          <t>NORRTÄLJE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26637-2023</t>
        </is>
      </c>
      <c r="B1231" s="1" t="n">
        <v>45092</v>
      </c>
      <c r="C1231" s="1" t="n">
        <v>45730</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26639-2023</t>
        </is>
      </c>
      <c r="B1232" s="1" t="n">
        <v>45092</v>
      </c>
      <c r="C1232" s="1" t="n">
        <v>45730</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27651-2023</t>
        </is>
      </c>
      <c r="B1233" s="1" t="n">
        <v>45097</v>
      </c>
      <c r="C1233" s="1" t="n">
        <v>45730</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28281-2023</t>
        </is>
      </c>
      <c r="B1234" s="1" t="n">
        <v>45099</v>
      </c>
      <c r="C1234" s="1" t="n">
        <v>45730</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28820-2023</t>
        </is>
      </c>
      <c r="B1235" s="1" t="n">
        <v>45104</v>
      </c>
      <c r="C1235" s="1" t="n">
        <v>45730</v>
      </c>
      <c r="D1235" t="inlineStr">
        <is>
          <t>STOCKHOLMS LÄN</t>
        </is>
      </c>
      <c r="E1235" t="inlineStr">
        <is>
          <t>NORRTÄLJE</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28813-2023</t>
        </is>
      </c>
      <c r="B1236" s="1" t="n">
        <v>45104</v>
      </c>
      <c r="C1236" s="1" t="n">
        <v>45730</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29003-2023</t>
        </is>
      </c>
      <c r="B1237" s="1" t="n">
        <v>45104</v>
      </c>
      <c r="C1237" s="1" t="n">
        <v>45730</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28816-2023</t>
        </is>
      </c>
      <c r="B1238" s="1" t="n">
        <v>45104</v>
      </c>
      <c r="C1238" s="1" t="n">
        <v>45730</v>
      </c>
      <c r="D1238" t="inlineStr">
        <is>
          <t>STOCKHOLMS LÄN</t>
        </is>
      </c>
      <c r="E1238" t="inlineStr">
        <is>
          <t>NORRTÄLJE</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28809-2023</t>
        </is>
      </c>
      <c r="B1239" s="1" t="n">
        <v>45104</v>
      </c>
      <c r="C1239" s="1" t="n">
        <v>45730</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29254-2023</t>
        </is>
      </c>
      <c r="B1240" s="1" t="n">
        <v>45105</v>
      </c>
      <c r="C1240" s="1" t="n">
        <v>45730</v>
      </c>
      <c r="D1240" t="inlineStr">
        <is>
          <t>STOCKHOLMS LÄN</t>
        </is>
      </c>
      <c r="E1240" t="inlineStr">
        <is>
          <t>NORRTÄLJE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29433-2023</t>
        </is>
      </c>
      <c r="B1241" s="1" t="n">
        <v>45106</v>
      </c>
      <c r="C1241" s="1" t="n">
        <v>45730</v>
      </c>
      <c r="D1241" t="inlineStr">
        <is>
          <t>STOCKHOLMS LÄN</t>
        </is>
      </c>
      <c r="E1241" t="inlineStr">
        <is>
          <t>NORRTÄLJE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29681-2023</t>
        </is>
      </c>
      <c r="B1242" s="1" t="n">
        <v>45107</v>
      </c>
      <c r="C1242" s="1" t="n">
        <v>45730</v>
      </c>
      <c r="D1242" t="inlineStr">
        <is>
          <t>STOCKHOLMS LÄN</t>
        </is>
      </c>
      <c r="E1242" t="inlineStr">
        <is>
          <t>NORRTÄLJE</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29710-2023</t>
        </is>
      </c>
      <c r="B1243" s="1" t="n">
        <v>45107</v>
      </c>
      <c r="C1243" s="1" t="n">
        <v>45730</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29714-2023</t>
        </is>
      </c>
      <c r="B1244" s="1" t="n">
        <v>45107</v>
      </c>
      <c r="C1244" s="1" t="n">
        <v>45730</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30116-2023</t>
        </is>
      </c>
      <c r="B1245" s="1" t="n">
        <v>45110</v>
      </c>
      <c r="C1245" s="1" t="n">
        <v>45730</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30281-2023</t>
        </is>
      </c>
      <c r="B1246" s="1" t="n">
        <v>45110</v>
      </c>
      <c r="C1246" s="1" t="n">
        <v>45730</v>
      </c>
      <c r="D1246" t="inlineStr">
        <is>
          <t>STOCKHOLMS LÄN</t>
        </is>
      </c>
      <c r="E1246" t="inlineStr">
        <is>
          <t>NORRTÄLJE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45730</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30496-2023</t>
        </is>
      </c>
      <c r="B1248" s="1" t="n">
        <v>45111</v>
      </c>
      <c r="C1248" s="1" t="n">
        <v>45730</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30516-2023</t>
        </is>
      </c>
      <c r="B1249" s="1" t="n">
        <v>45111</v>
      </c>
      <c r="C1249" s="1" t="n">
        <v>45730</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30525-2023</t>
        </is>
      </c>
      <c r="B1250" s="1" t="n">
        <v>45111</v>
      </c>
      <c r="C1250" s="1" t="n">
        <v>45730</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30424-2023</t>
        </is>
      </c>
      <c r="B1251" s="1" t="n">
        <v>45111</v>
      </c>
      <c r="C1251" s="1" t="n">
        <v>45730</v>
      </c>
      <c r="D1251" t="inlineStr">
        <is>
          <t>STOCKHOLMS LÄN</t>
        </is>
      </c>
      <c r="E1251" t="inlineStr">
        <is>
          <t>NORRTÄLJE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30425-2023</t>
        </is>
      </c>
      <c r="B1252" s="1" t="n">
        <v>45111</v>
      </c>
      <c r="C1252" s="1" t="n">
        <v>45730</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30731-2023</t>
        </is>
      </c>
      <c r="B1253" s="1" t="n">
        <v>45112</v>
      </c>
      <c r="C1253" s="1" t="n">
        <v>45730</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30663-2023</t>
        </is>
      </c>
      <c r="B1254" s="1" t="n">
        <v>45112</v>
      </c>
      <c r="C1254" s="1" t="n">
        <v>45730</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30780-2023</t>
        </is>
      </c>
      <c r="B1255" s="1" t="n">
        <v>45112</v>
      </c>
      <c r="C1255" s="1" t="n">
        <v>45730</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30773-2023</t>
        </is>
      </c>
      <c r="B1256" s="1" t="n">
        <v>45112</v>
      </c>
      <c r="C1256" s="1" t="n">
        <v>45730</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30924-2023</t>
        </is>
      </c>
      <c r="B1257" s="1" t="n">
        <v>45113</v>
      </c>
      <c r="C1257" s="1" t="n">
        <v>45730</v>
      </c>
      <c r="D1257" t="inlineStr">
        <is>
          <t>STOCKHOLMS LÄN</t>
        </is>
      </c>
      <c r="E1257" t="inlineStr">
        <is>
          <t>NORRTÄLJE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30923-2023</t>
        </is>
      </c>
      <c r="B1258" s="1" t="n">
        <v>45113</v>
      </c>
      <c r="C1258" s="1" t="n">
        <v>45730</v>
      </c>
      <c r="D1258" t="inlineStr">
        <is>
          <t>STOCKHOLMS LÄN</t>
        </is>
      </c>
      <c r="E1258" t="inlineStr">
        <is>
          <t>NORRTÄLJE</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31140-2023</t>
        </is>
      </c>
      <c r="B1259" s="1" t="n">
        <v>45113</v>
      </c>
      <c r="C1259" s="1" t="n">
        <v>45730</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30921-2023</t>
        </is>
      </c>
      <c r="B1260" s="1" t="n">
        <v>45113</v>
      </c>
      <c r="C1260" s="1" t="n">
        <v>45730</v>
      </c>
      <c r="D1260" t="inlineStr">
        <is>
          <t>STOCKHOLMS LÄN</t>
        </is>
      </c>
      <c r="E1260" t="inlineStr">
        <is>
          <t>NORRTÄLJE</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31149-2023</t>
        </is>
      </c>
      <c r="B1261" s="1" t="n">
        <v>45113</v>
      </c>
      <c r="C1261" s="1" t="n">
        <v>45730</v>
      </c>
      <c r="D1261" t="inlineStr">
        <is>
          <t>STOCKHOLMS LÄN</t>
        </is>
      </c>
      <c r="E1261" t="inlineStr">
        <is>
          <t>NORRTÄLJE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31153-2023</t>
        </is>
      </c>
      <c r="B1262" s="1" t="n">
        <v>45113</v>
      </c>
      <c r="C1262" s="1" t="n">
        <v>45730</v>
      </c>
      <c r="D1262" t="inlineStr">
        <is>
          <t>STOCKHOLMS LÄN</t>
        </is>
      </c>
      <c r="E1262" t="inlineStr">
        <is>
          <t>NORRTÄLJE</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31827-2023</t>
        </is>
      </c>
      <c r="B1263" s="1" t="n">
        <v>45118</v>
      </c>
      <c r="C1263" s="1" t="n">
        <v>45730</v>
      </c>
      <c r="D1263" t="inlineStr">
        <is>
          <t>STOCKHOLMS LÄN</t>
        </is>
      </c>
      <c r="E1263" t="inlineStr">
        <is>
          <t>NORRTÄLJE</t>
        </is>
      </c>
      <c r="F1263" t="inlineStr">
        <is>
          <t>Kyrkan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31832-2023</t>
        </is>
      </c>
      <c r="B1264" s="1" t="n">
        <v>45118</v>
      </c>
      <c r="C1264" s="1" t="n">
        <v>45730</v>
      </c>
      <c r="D1264" t="inlineStr">
        <is>
          <t>STOCKHOLMS LÄN</t>
        </is>
      </c>
      <c r="E1264" t="inlineStr">
        <is>
          <t>NORRTÄLJE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32071-2023</t>
        </is>
      </c>
      <c r="B1265" s="1" t="n">
        <v>45119</v>
      </c>
      <c r="C1265" s="1" t="n">
        <v>45730</v>
      </c>
      <c r="D1265" t="inlineStr">
        <is>
          <t>STOCKHOLMS LÄN</t>
        </is>
      </c>
      <c r="E1265" t="inlineStr">
        <is>
          <t>NORRTÄLJE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32621-2023</t>
        </is>
      </c>
      <c r="B1266" s="1" t="n">
        <v>45121</v>
      </c>
      <c r="C1266" s="1" t="n">
        <v>45730</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45730</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32948-2023</t>
        </is>
      </c>
      <c r="B1268" s="1" t="n">
        <v>45125</v>
      </c>
      <c r="C1268" s="1" t="n">
        <v>45730</v>
      </c>
      <c r="D1268" t="inlineStr">
        <is>
          <t>STOCKHOLMS LÄN</t>
        </is>
      </c>
      <c r="E1268" t="inlineStr">
        <is>
          <t>NORRTÄLJE</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33025-2023</t>
        </is>
      </c>
      <c r="B1269" s="1" t="n">
        <v>45125</v>
      </c>
      <c r="C1269" s="1" t="n">
        <v>45730</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33130-2023</t>
        </is>
      </c>
      <c r="B1270" s="1" t="n">
        <v>45126</v>
      </c>
      <c r="C1270" s="1" t="n">
        <v>45730</v>
      </c>
      <c r="D1270" t="inlineStr">
        <is>
          <t>STOCKHOLMS LÄN</t>
        </is>
      </c>
      <c r="E1270" t="inlineStr">
        <is>
          <t>NORRTÄLJE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33295-2023</t>
        </is>
      </c>
      <c r="B1271" s="1" t="n">
        <v>45127</v>
      </c>
      <c r="C1271" s="1" t="n">
        <v>45730</v>
      </c>
      <c r="D1271" t="inlineStr">
        <is>
          <t>STOCKHOLMS LÄN</t>
        </is>
      </c>
      <c r="E1271" t="inlineStr">
        <is>
          <t>NORRTÄLJE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33270-2023</t>
        </is>
      </c>
      <c r="B1272" s="1" t="n">
        <v>45127</v>
      </c>
      <c r="C1272" s="1" t="n">
        <v>45730</v>
      </c>
      <c r="D1272" t="inlineStr">
        <is>
          <t>STOCKHOLMS LÄN</t>
        </is>
      </c>
      <c r="E1272" t="inlineStr">
        <is>
          <t>NORRTÄLJE</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33226-2023</t>
        </is>
      </c>
      <c r="B1273" s="1" t="n">
        <v>45127</v>
      </c>
      <c r="C1273" s="1" t="n">
        <v>45730</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33243-2023</t>
        </is>
      </c>
      <c r="B1274" s="1" t="n">
        <v>45127</v>
      </c>
      <c r="C1274" s="1" t="n">
        <v>45730</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33291-2023</t>
        </is>
      </c>
      <c r="B1275" s="1" t="n">
        <v>45127</v>
      </c>
      <c r="C1275" s="1" t="n">
        <v>45730</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33353-2023</t>
        </is>
      </c>
      <c r="B1276" s="1" t="n">
        <v>45128</v>
      </c>
      <c r="C1276" s="1" t="n">
        <v>45730</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33569-2023</t>
        </is>
      </c>
      <c r="B1277" s="1" t="n">
        <v>45131</v>
      </c>
      <c r="C1277" s="1" t="n">
        <v>45730</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33646-2023</t>
        </is>
      </c>
      <c r="B1278" s="1" t="n">
        <v>45132</v>
      </c>
      <c r="C1278" s="1" t="n">
        <v>45730</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33641-2023</t>
        </is>
      </c>
      <c r="B1279" s="1" t="n">
        <v>45132</v>
      </c>
      <c r="C1279" s="1" t="n">
        <v>45730</v>
      </c>
      <c r="D1279" t="inlineStr">
        <is>
          <t>STOCKHOLMS LÄN</t>
        </is>
      </c>
      <c r="E1279" t="inlineStr">
        <is>
          <t>NORRTÄLJE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34085-2023</t>
        </is>
      </c>
      <c r="B1280" s="1" t="n">
        <v>45135</v>
      </c>
      <c r="C1280" s="1" t="n">
        <v>45730</v>
      </c>
      <c r="D1280" t="inlineStr">
        <is>
          <t>STOCKHOLMS LÄN</t>
        </is>
      </c>
      <c r="E1280" t="inlineStr">
        <is>
          <t>NORRTÄLJE</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34084-2023</t>
        </is>
      </c>
      <c r="B1281" s="1" t="n">
        <v>45135</v>
      </c>
      <c r="C1281" s="1" t="n">
        <v>45730</v>
      </c>
      <c r="D1281" t="inlineStr">
        <is>
          <t>STOCKHOLMS LÄN</t>
        </is>
      </c>
      <c r="E1281" t="inlineStr">
        <is>
          <t>NORRTÄLJE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34132-2023</t>
        </is>
      </c>
      <c r="B1282" s="1" t="n">
        <v>45135</v>
      </c>
      <c r="C1282" s="1" t="n">
        <v>45730</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34391-2023</t>
        </is>
      </c>
      <c r="B1283" s="1" t="n">
        <v>45139</v>
      </c>
      <c r="C1283" s="1" t="n">
        <v>45730</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34461-2023</t>
        </is>
      </c>
      <c r="B1284" s="1" t="n">
        <v>45139</v>
      </c>
      <c r="C1284" s="1" t="n">
        <v>45730</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34462-2023</t>
        </is>
      </c>
      <c r="B1285" s="1" t="n">
        <v>45139</v>
      </c>
      <c r="C1285" s="1" t="n">
        <v>45730</v>
      </c>
      <c r="D1285" t="inlineStr">
        <is>
          <t>STOCKHOLMS LÄN</t>
        </is>
      </c>
      <c r="E1285" t="inlineStr">
        <is>
          <t>NORRTÄLJE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34825-2023</t>
        </is>
      </c>
      <c r="B1286" s="1" t="n">
        <v>45141</v>
      </c>
      <c r="C1286" s="1" t="n">
        <v>45730</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35215-2023</t>
        </is>
      </c>
      <c r="B1287" s="1" t="n">
        <v>45145</v>
      </c>
      <c r="C1287" s="1" t="n">
        <v>45730</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35219-2023</t>
        </is>
      </c>
      <c r="B1288" s="1" t="n">
        <v>45145</v>
      </c>
      <c r="C1288" s="1" t="n">
        <v>45730</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v>
      </c>
      <c r="C1289" s="1" t="n">
        <v>45730</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35131-2023</t>
        </is>
      </c>
      <c r="B1290" s="1" t="n">
        <v>45145</v>
      </c>
      <c r="C1290" s="1" t="n">
        <v>45730</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35128-2023</t>
        </is>
      </c>
      <c r="B1291" s="1" t="n">
        <v>45145</v>
      </c>
      <c r="C1291" s="1" t="n">
        <v>45730</v>
      </c>
      <c r="D1291" t="inlineStr">
        <is>
          <t>STOCKHOLMS LÄN</t>
        </is>
      </c>
      <c r="E1291" t="inlineStr">
        <is>
          <t>NORRTÄLJE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35210-2023</t>
        </is>
      </c>
      <c r="B1292" s="1" t="n">
        <v>45145</v>
      </c>
      <c r="C1292" s="1" t="n">
        <v>45730</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35438-2023</t>
        </is>
      </c>
      <c r="B1293" s="1" t="n">
        <v>45146</v>
      </c>
      <c r="C1293" s="1" t="n">
        <v>45730</v>
      </c>
      <c r="D1293" t="inlineStr">
        <is>
          <t>STOCKHOLMS LÄN</t>
        </is>
      </c>
      <c r="E1293" t="inlineStr">
        <is>
          <t>NORRTÄLJE</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35698-2023</t>
        </is>
      </c>
      <c r="B1294" s="1" t="n">
        <v>45147</v>
      </c>
      <c r="C1294" s="1" t="n">
        <v>45730</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35702-2023</t>
        </is>
      </c>
      <c r="B1295" s="1" t="n">
        <v>45147</v>
      </c>
      <c r="C1295" s="1" t="n">
        <v>45730</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35691-2023</t>
        </is>
      </c>
      <c r="B1296" s="1" t="n">
        <v>45147</v>
      </c>
      <c r="C1296" s="1" t="n">
        <v>45730</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35695-2023</t>
        </is>
      </c>
      <c r="B1297" s="1" t="n">
        <v>45147</v>
      </c>
      <c r="C1297" s="1" t="n">
        <v>45730</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35696-2023</t>
        </is>
      </c>
      <c r="B1298" s="1" t="n">
        <v>45147</v>
      </c>
      <c r="C1298" s="1" t="n">
        <v>45730</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35700-2023</t>
        </is>
      </c>
      <c r="B1299" s="1" t="n">
        <v>45147</v>
      </c>
      <c r="C1299" s="1" t="n">
        <v>45730</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35704-2023</t>
        </is>
      </c>
      <c r="B1300" s="1" t="n">
        <v>45147</v>
      </c>
      <c r="C1300" s="1" t="n">
        <v>45730</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35693-2023</t>
        </is>
      </c>
      <c r="B1301" s="1" t="n">
        <v>45147</v>
      </c>
      <c r="C1301" s="1" t="n">
        <v>45730</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35701-2023</t>
        </is>
      </c>
      <c r="B1302" s="1" t="n">
        <v>45147</v>
      </c>
      <c r="C1302" s="1" t="n">
        <v>45730</v>
      </c>
      <c r="D1302" t="inlineStr">
        <is>
          <t>STOCKHOLMS LÄN</t>
        </is>
      </c>
      <c r="E1302" t="inlineStr">
        <is>
          <t>NORRTÄLJE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35823-2023</t>
        </is>
      </c>
      <c r="B1303" s="1" t="n">
        <v>45148</v>
      </c>
      <c r="C1303" s="1" t="n">
        <v>45730</v>
      </c>
      <c r="D1303" t="inlineStr">
        <is>
          <t>STOCKHOLMS LÄN</t>
        </is>
      </c>
      <c r="E1303" t="inlineStr">
        <is>
          <t>NORRTÄLJE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36253-2023</t>
        </is>
      </c>
      <c r="B1304" s="1" t="n">
        <v>45151</v>
      </c>
      <c r="C1304" s="1" t="n">
        <v>45730</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36257-2023</t>
        </is>
      </c>
      <c r="B1305" s="1" t="n">
        <v>45151</v>
      </c>
      <c r="C1305" s="1" t="n">
        <v>45730</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36259-2023</t>
        </is>
      </c>
      <c r="B1306" s="1" t="n">
        <v>45151</v>
      </c>
      <c r="C1306" s="1" t="n">
        <v>45730</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36254-2023</t>
        </is>
      </c>
      <c r="B1307" s="1" t="n">
        <v>45151</v>
      </c>
      <c r="C1307" s="1" t="n">
        <v>45730</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36258-2023</t>
        </is>
      </c>
      <c r="B1308" s="1" t="n">
        <v>45151</v>
      </c>
      <c r="C1308" s="1" t="n">
        <v>45730</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36689-2023</t>
        </is>
      </c>
      <c r="B1309" s="1" t="n">
        <v>45152</v>
      </c>
      <c r="C1309" s="1" t="n">
        <v>45730</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36865-2023</t>
        </is>
      </c>
      <c r="B1310" s="1" t="n">
        <v>45154</v>
      </c>
      <c r="C1310" s="1" t="n">
        <v>45730</v>
      </c>
      <c r="D1310" t="inlineStr">
        <is>
          <t>STOCKHOLMS LÄN</t>
        </is>
      </c>
      <c r="E1310" t="inlineStr">
        <is>
          <t>NORRTÄLJE</t>
        </is>
      </c>
      <c r="F1310" t="inlineStr">
        <is>
          <t>Kyrkan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37139-2023</t>
        </is>
      </c>
      <c r="B1311" s="1" t="n">
        <v>45155</v>
      </c>
      <c r="C1311" s="1" t="n">
        <v>45730</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37136-2023</t>
        </is>
      </c>
      <c r="B1312" s="1" t="n">
        <v>45155</v>
      </c>
      <c r="C1312" s="1" t="n">
        <v>45730</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37147-2023</t>
        </is>
      </c>
      <c r="B1313" s="1" t="n">
        <v>45155</v>
      </c>
      <c r="C1313" s="1" t="n">
        <v>45730</v>
      </c>
      <c r="D1313" t="inlineStr">
        <is>
          <t>STOCKHOLMS LÄN</t>
        </is>
      </c>
      <c r="E1313" t="inlineStr">
        <is>
          <t>NORRTÄLJE</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37670-2023</t>
        </is>
      </c>
      <c r="B1314" s="1" t="n">
        <v>45159</v>
      </c>
      <c r="C1314" s="1" t="n">
        <v>45730</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38049-2023</t>
        </is>
      </c>
      <c r="B1315" s="1" t="n">
        <v>45159</v>
      </c>
      <c r="C1315" s="1" t="n">
        <v>45730</v>
      </c>
      <c r="D1315" t="inlineStr">
        <is>
          <t>STOCKHOLMS LÄN</t>
        </is>
      </c>
      <c r="E1315" t="inlineStr">
        <is>
          <t>NORRTÄLJE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38022-2023</t>
        </is>
      </c>
      <c r="B1316" s="1" t="n">
        <v>45160</v>
      </c>
      <c r="C1316" s="1" t="n">
        <v>45730</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38482-2023</t>
        </is>
      </c>
      <c r="B1317" s="1" t="n">
        <v>45162</v>
      </c>
      <c r="C1317" s="1" t="n">
        <v>45730</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38487-2023</t>
        </is>
      </c>
      <c r="B1318" s="1" t="n">
        <v>45162</v>
      </c>
      <c r="C1318" s="1" t="n">
        <v>45730</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38591-2023</t>
        </is>
      </c>
      <c r="B1319" s="1" t="n">
        <v>45162</v>
      </c>
      <c r="C1319" s="1" t="n">
        <v>45730</v>
      </c>
      <c r="D1319" t="inlineStr">
        <is>
          <t>STOCKHOLMS LÄN</t>
        </is>
      </c>
      <c r="E1319" t="inlineStr">
        <is>
          <t>NORRTÄLJE</t>
        </is>
      </c>
      <c r="F1319" t="inlineStr">
        <is>
          <t>Övriga Aktiebolag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39229-2023</t>
        </is>
      </c>
      <c r="B1320" s="1" t="n">
        <v>45166</v>
      </c>
      <c r="C1320" s="1" t="n">
        <v>45730</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39255-2023</t>
        </is>
      </c>
      <c r="B1321" s="1" t="n">
        <v>45166</v>
      </c>
      <c r="C1321" s="1" t="n">
        <v>45730</v>
      </c>
      <c r="D1321" t="inlineStr">
        <is>
          <t>STOCKHOLMS LÄN</t>
        </is>
      </c>
      <c r="E1321" t="inlineStr">
        <is>
          <t>NORRTÄLJE</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39879-2023</t>
        </is>
      </c>
      <c r="B1322" s="1" t="n">
        <v>45168</v>
      </c>
      <c r="C1322" s="1" t="n">
        <v>45730</v>
      </c>
      <c r="D1322" t="inlineStr">
        <is>
          <t>STOCKHOLMS LÄN</t>
        </is>
      </c>
      <c r="E1322" t="inlineStr">
        <is>
          <t>NORRTÄLJE</t>
        </is>
      </c>
      <c r="F1322" t="inlineStr">
        <is>
          <t>Holmen skog AB</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39905-2023</t>
        </is>
      </c>
      <c r="B1323" s="1" t="n">
        <v>45168</v>
      </c>
      <c r="C1323" s="1" t="n">
        <v>45730</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40139-2023</t>
        </is>
      </c>
      <c r="B1324" s="1" t="n">
        <v>45169</v>
      </c>
      <c r="C1324" s="1" t="n">
        <v>45730</v>
      </c>
      <c r="D1324" t="inlineStr">
        <is>
          <t>STOCKHOLMS LÄN</t>
        </is>
      </c>
      <c r="E1324" t="inlineStr">
        <is>
          <t>NORRTÄLJE</t>
        </is>
      </c>
      <c r="F1324" t="inlineStr">
        <is>
          <t>Kyrkan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40192-2023</t>
        </is>
      </c>
      <c r="B1325" s="1" t="n">
        <v>45169</v>
      </c>
      <c r="C1325" s="1" t="n">
        <v>45730</v>
      </c>
      <c r="D1325" t="inlineStr">
        <is>
          <t>STOCKHOLMS LÄN</t>
        </is>
      </c>
      <c r="E1325" t="inlineStr">
        <is>
          <t>NORRTÄLJE</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40161-2023</t>
        </is>
      </c>
      <c r="B1326" s="1" t="n">
        <v>45169</v>
      </c>
      <c r="C1326" s="1" t="n">
        <v>45730</v>
      </c>
      <c r="D1326" t="inlineStr">
        <is>
          <t>STOCKHOLMS LÄN</t>
        </is>
      </c>
      <c r="E1326" t="inlineStr">
        <is>
          <t>NORRTÄLJE</t>
        </is>
      </c>
      <c r="F1326" t="inlineStr">
        <is>
          <t>Kyrkan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40190-2023</t>
        </is>
      </c>
      <c r="B1327" s="1" t="n">
        <v>45169</v>
      </c>
      <c r="C1327" s="1" t="n">
        <v>45730</v>
      </c>
      <c r="D1327" t="inlineStr">
        <is>
          <t>STOCKHOLMS LÄN</t>
        </is>
      </c>
      <c r="E1327" t="inlineStr">
        <is>
          <t>NORRTÄLJE</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40379-2023</t>
        </is>
      </c>
      <c r="B1328" s="1" t="n">
        <v>45169</v>
      </c>
      <c r="C1328" s="1" t="n">
        <v>45730</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41172-2023</t>
        </is>
      </c>
      <c r="B1329" s="1" t="n">
        <v>45170</v>
      </c>
      <c r="C1329" s="1" t="n">
        <v>45730</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40995-2023</t>
        </is>
      </c>
      <c r="B1330" s="1" t="n">
        <v>45173</v>
      </c>
      <c r="C1330" s="1" t="n">
        <v>45730</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41335-2023</t>
        </is>
      </c>
      <c r="B1331" s="1" t="n">
        <v>45174</v>
      </c>
      <c r="C1331" s="1" t="n">
        <v>45730</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41587-2023</t>
        </is>
      </c>
      <c r="B1332" s="1" t="n">
        <v>45175</v>
      </c>
      <c r="C1332" s="1" t="n">
        <v>45730</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41716-2023</t>
        </is>
      </c>
      <c r="B1333" s="1" t="n">
        <v>45176</v>
      </c>
      <c r="C1333" s="1" t="n">
        <v>45730</v>
      </c>
      <c r="D1333" t="inlineStr">
        <is>
          <t>STOCKHOLMS LÄN</t>
        </is>
      </c>
      <c r="E1333" t="inlineStr">
        <is>
          <t>NORRTÄLJE</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41715-2023</t>
        </is>
      </c>
      <c r="B1334" s="1" t="n">
        <v>45176</v>
      </c>
      <c r="C1334" s="1" t="n">
        <v>45730</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41880-2023</t>
        </is>
      </c>
      <c r="B1335" s="1" t="n">
        <v>45176</v>
      </c>
      <c r="C1335" s="1" t="n">
        <v>45730</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v>
      </c>
      <c r="C1336" s="1" t="n">
        <v>45730</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42075-2023</t>
        </is>
      </c>
      <c r="B1337" s="1" t="n">
        <v>45177</v>
      </c>
      <c r="C1337" s="1" t="n">
        <v>45730</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42199-2023</t>
        </is>
      </c>
      <c r="B1338" s="1" t="n">
        <v>45179</v>
      </c>
      <c r="C1338" s="1" t="n">
        <v>45730</v>
      </c>
      <c r="D1338" t="inlineStr">
        <is>
          <t>STOCKHOLMS LÄN</t>
        </is>
      </c>
      <c r="E1338" t="inlineStr">
        <is>
          <t>NORRTÄLJE</t>
        </is>
      </c>
      <c r="F1338" t="inlineStr">
        <is>
          <t>Sveaskog</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42200-2023</t>
        </is>
      </c>
      <c r="B1339" s="1" t="n">
        <v>45179</v>
      </c>
      <c r="C1339" s="1" t="n">
        <v>45730</v>
      </c>
      <c r="D1339" t="inlineStr">
        <is>
          <t>STOCKHOLMS LÄN</t>
        </is>
      </c>
      <c r="E1339" t="inlineStr">
        <is>
          <t>NORRTÄLJE</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42765-2023</t>
        </is>
      </c>
      <c r="B1340" s="1" t="n">
        <v>45181</v>
      </c>
      <c r="C1340" s="1" t="n">
        <v>45730</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42775-2023</t>
        </is>
      </c>
      <c r="B1341" s="1" t="n">
        <v>45181</v>
      </c>
      <c r="C1341" s="1" t="n">
        <v>45730</v>
      </c>
      <c r="D1341" t="inlineStr">
        <is>
          <t>STOCKHOLMS LÄN</t>
        </is>
      </c>
      <c r="E1341" t="inlineStr">
        <is>
          <t>NORRTÄLJE</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42948-2023</t>
        </is>
      </c>
      <c r="B1342" s="1" t="n">
        <v>45182</v>
      </c>
      <c r="C1342" s="1" t="n">
        <v>45730</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42977-2023</t>
        </is>
      </c>
      <c r="B1343" s="1" t="n">
        <v>45182</v>
      </c>
      <c r="C1343" s="1" t="n">
        <v>45730</v>
      </c>
      <c r="D1343" t="inlineStr">
        <is>
          <t>STOCKHOLMS LÄN</t>
        </is>
      </c>
      <c r="E1343" t="inlineStr">
        <is>
          <t>NORRTÄLJE</t>
        </is>
      </c>
      <c r="F1343" t="inlineStr">
        <is>
          <t>Sveaskog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43140-2023</t>
        </is>
      </c>
      <c r="B1344" s="1" t="n">
        <v>45183</v>
      </c>
      <c r="C1344" s="1" t="n">
        <v>45730</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43207-2023</t>
        </is>
      </c>
      <c r="B1345" s="1" t="n">
        <v>45183</v>
      </c>
      <c r="C1345" s="1" t="n">
        <v>45730</v>
      </c>
      <c r="D1345" t="inlineStr">
        <is>
          <t>STOCKHOLMS LÄN</t>
        </is>
      </c>
      <c r="E1345" t="inlineStr">
        <is>
          <t>NORRTÄLJE</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43150-2023</t>
        </is>
      </c>
      <c r="B1346" s="1" t="n">
        <v>45183</v>
      </c>
      <c r="C1346" s="1" t="n">
        <v>45730</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43170-2023</t>
        </is>
      </c>
      <c r="B1347" s="1" t="n">
        <v>45183</v>
      </c>
      <c r="C1347" s="1" t="n">
        <v>45730</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43289-2023</t>
        </is>
      </c>
      <c r="B1348" s="1" t="n">
        <v>45183</v>
      </c>
      <c r="C1348" s="1" t="n">
        <v>45730</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43300-2023</t>
        </is>
      </c>
      <c r="B1349" s="1" t="n">
        <v>45183</v>
      </c>
      <c r="C1349" s="1" t="n">
        <v>45730</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43638-2023</t>
        </is>
      </c>
      <c r="B1350" s="1" t="n">
        <v>45186</v>
      </c>
      <c r="C1350" s="1" t="n">
        <v>45730</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43684-2023</t>
        </is>
      </c>
      <c r="B1351" s="1" t="n">
        <v>45187</v>
      </c>
      <c r="C1351" s="1" t="n">
        <v>45730</v>
      </c>
      <c r="D1351" t="inlineStr">
        <is>
          <t>STOCKHOLMS LÄN</t>
        </is>
      </c>
      <c r="E1351" t="inlineStr">
        <is>
          <t>NORRTÄLJE</t>
        </is>
      </c>
      <c r="F1351" t="inlineStr">
        <is>
          <t>Holmen skog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43836-2023</t>
        </is>
      </c>
      <c r="B1352" s="1" t="n">
        <v>45187</v>
      </c>
      <c r="C1352" s="1" t="n">
        <v>45730</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43710-2023</t>
        </is>
      </c>
      <c r="B1353" s="1" t="n">
        <v>45187</v>
      </c>
      <c r="C1353" s="1" t="n">
        <v>45730</v>
      </c>
      <c r="D1353" t="inlineStr">
        <is>
          <t>STOCKHOLMS LÄN</t>
        </is>
      </c>
      <c r="E1353" t="inlineStr">
        <is>
          <t>NORRTÄLJE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44891-2023</t>
        </is>
      </c>
      <c r="B1354" s="1" t="n">
        <v>45187</v>
      </c>
      <c r="C1354" s="1" t="n">
        <v>45730</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44885-2023</t>
        </is>
      </c>
      <c r="B1355" s="1" t="n">
        <v>45187</v>
      </c>
      <c r="C1355" s="1" t="n">
        <v>45730</v>
      </c>
      <c r="D1355" t="inlineStr">
        <is>
          <t>STOCKHOLMS LÄN</t>
        </is>
      </c>
      <c r="E1355" t="inlineStr">
        <is>
          <t>NORRTÄLJE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44075-2023</t>
        </is>
      </c>
      <c r="B1356" s="1" t="n">
        <v>45188</v>
      </c>
      <c r="C1356" s="1" t="n">
        <v>45730</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44154-2023</t>
        </is>
      </c>
      <c r="B1357" s="1" t="n">
        <v>45188</v>
      </c>
      <c r="C1357" s="1" t="n">
        <v>45730</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44571-2023</t>
        </is>
      </c>
      <c r="B1358" s="1" t="n">
        <v>45189</v>
      </c>
      <c r="C1358" s="1" t="n">
        <v>45730</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44836-2023</t>
        </is>
      </c>
      <c r="B1359" s="1" t="n">
        <v>45190</v>
      </c>
      <c r="C1359" s="1" t="n">
        <v>45730</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45173-2023</t>
        </is>
      </c>
      <c r="B1360" s="1" t="n">
        <v>45191</v>
      </c>
      <c r="C1360" s="1" t="n">
        <v>45730</v>
      </c>
      <c r="D1360" t="inlineStr">
        <is>
          <t>STOCKHOLMS LÄN</t>
        </is>
      </c>
      <c r="E1360" t="inlineStr">
        <is>
          <t>NORRTÄLJE</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45174-2023</t>
        </is>
      </c>
      <c r="B1361" s="1" t="n">
        <v>45191</v>
      </c>
      <c r="C1361" s="1" t="n">
        <v>45730</v>
      </c>
      <c r="D1361" t="inlineStr">
        <is>
          <t>STOCKHOLMS LÄN</t>
        </is>
      </c>
      <c r="E1361" t="inlineStr">
        <is>
          <t>NORRTÄLJE</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46161-2023</t>
        </is>
      </c>
      <c r="B1362" s="1" t="n">
        <v>45196</v>
      </c>
      <c r="C1362" s="1" t="n">
        <v>45730</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46155-2023</t>
        </is>
      </c>
      <c r="B1363" s="1" t="n">
        <v>45196</v>
      </c>
      <c r="C1363" s="1" t="n">
        <v>45730</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46621-2023</t>
        </is>
      </c>
      <c r="B1364" s="1" t="n">
        <v>45198</v>
      </c>
      <c r="C1364" s="1" t="n">
        <v>45730</v>
      </c>
      <c r="D1364" t="inlineStr">
        <is>
          <t>STOCKHOLMS LÄN</t>
        </is>
      </c>
      <c r="E1364" t="inlineStr">
        <is>
          <t>NORRTÄLJE</t>
        </is>
      </c>
      <c r="F1364" t="inlineStr">
        <is>
          <t>Holmen skog AB</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47419-2023</t>
        </is>
      </c>
      <c r="B1365" s="1" t="n">
        <v>45202</v>
      </c>
      <c r="C1365" s="1" t="n">
        <v>45730</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47431-2023</t>
        </is>
      </c>
      <c r="B1366" s="1" t="n">
        <v>45202</v>
      </c>
      <c r="C1366" s="1" t="n">
        <v>45730</v>
      </c>
      <c r="D1366" t="inlineStr">
        <is>
          <t>STOCKHOLMS LÄN</t>
        </is>
      </c>
      <c r="E1366" t="inlineStr">
        <is>
          <t>NORRTÄLJE</t>
        </is>
      </c>
      <c r="F1366" t="inlineStr">
        <is>
          <t>Naturvårdsverket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47325-2023</t>
        </is>
      </c>
      <c r="B1367" s="1" t="n">
        <v>45202</v>
      </c>
      <c r="C1367" s="1" t="n">
        <v>45730</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47433-2023</t>
        </is>
      </c>
      <c r="B1368" s="1" t="n">
        <v>45202</v>
      </c>
      <c r="C1368" s="1" t="n">
        <v>45730</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47388-2023</t>
        </is>
      </c>
      <c r="B1369" s="1" t="n">
        <v>45202</v>
      </c>
      <c r="C1369" s="1" t="n">
        <v>45730</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47430-2023</t>
        </is>
      </c>
      <c r="B1370" s="1" t="n">
        <v>45202</v>
      </c>
      <c r="C1370" s="1" t="n">
        <v>45730</v>
      </c>
      <c r="D1370" t="inlineStr">
        <is>
          <t>STOCKHOLMS LÄN</t>
        </is>
      </c>
      <c r="E1370" t="inlineStr">
        <is>
          <t>NORRTÄLJE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49775-2023</t>
        </is>
      </c>
      <c r="B1371" s="1" t="n">
        <v>45202</v>
      </c>
      <c r="C1371" s="1" t="n">
        <v>45730</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48578-2023</t>
        </is>
      </c>
      <c r="B1372" s="1" t="n">
        <v>45202</v>
      </c>
      <c r="C1372" s="1" t="n">
        <v>45730</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49774-2023</t>
        </is>
      </c>
      <c r="B1373" s="1" t="n">
        <v>45202</v>
      </c>
      <c r="C1373" s="1" t="n">
        <v>45730</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47672-2023</t>
        </is>
      </c>
      <c r="B1374" s="1" t="n">
        <v>45203</v>
      </c>
      <c r="C1374" s="1" t="n">
        <v>45730</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47694-2023</t>
        </is>
      </c>
      <c r="B1375" s="1" t="n">
        <v>45203</v>
      </c>
      <c r="C1375" s="1" t="n">
        <v>45730</v>
      </c>
      <c r="D1375" t="inlineStr">
        <is>
          <t>STOCKHOLMS LÄN</t>
        </is>
      </c>
      <c r="E1375" t="inlineStr">
        <is>
          <t>NORRTÄLJE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47708-2023</t>
        </is>
      </c>
      <c r="B1376" s="1" t="n">
        <v>45203</v>
      </c>
      <c r="C1376" s="1" t="n">
        <v>45730</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47758-2023</t>
        </is>
      </c>
      <c r="B1377" s="1" t="n">
        <v>45203</v>
      </c>
      <c r="C1377" s="1" t="n">
        <v>45730</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47699-2023</t>
        </is>
      </c>
      <c r="B1378" s="1" t="n">
        <v>45203</v>
      </c>
      <c r="C1378" s="1" t="n">
        <v>45730</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47735-2023</t>
        </is>
      </c>
      <c r="B1379" s="1" t="n">
        <v>45203</v>
      </c>
      <c r="C1379" s="1" t="n">
        <v>45730</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48167-2023</t>
        </is>
      </c>
      <c r="B1380" s="1" t="n">
        <v>45205</v>
      </c>
      <c r="C1380" s="1" t="n">
        <v>45730</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48180-2023</t>
        </is>
      </c>
      <c r="B1381" s="1" t="n">
        <v>45205</v>
      </c>
      <c r="C1381" s="1" t="n">
        <v>45730</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48185-2023</t>
        </is>
      </c>
      <c r="B1382" s="1" t="n">
        <v>45205</v>
      </c>
      <c r="C1382" s="1" t="n">
        <v>45730</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48302-2023</t>
        </is>
      </c>
      <c r="B1383" s="1" t="n">
        <v>45205</v>
      </c>
      <c r="C1383" s="1" t="n">
        <v>45730</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48333-2023</t>
        </is>
      </c>
      <c r="B1384" s="1" t="n">
        <v>45205</v>
      </c>
      <c r="C1384" s="1" t="n">
        <v>45730</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48541-2023</t>
        </is>
      </c>
      <c r="B1385" s="1" t="n">
        <v>45208</v>
      </c>
      <c r="C1385" s="1" t="n">
        <v>45730</v>
      </c>
      <c r="D1385" t="inlineStr">
        <is>
          <t>STOCKHOLMS LÄN</t>
        </is>
      </c>
      <c r="E1385" t="inlineStr">
        <is>
          <t>NORRTÄLJE</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48552-2023</t>
        </is>
      </c>
      <c r="B1386" s="1" t="n">
        <v>45208</v>
      </c>
      <c r="C1386" s="1" t="n">
        <v>45730</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45730</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48633-2023</t>
        </is>
      </c>
      <c r="B1388" s="1" t="n">
        <v>45208</v>
      </c>
      <c r="C1388" s="1" t="n">
        <v>45730</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48641-2023</t>
        </is>
      </c>
      <c r="B1389" s="1" t="n">
        <v>45208</v>
      </c>
      <c r="C1389" s="1" t="n">
        <v>45730</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48686-2023</t>
        </is>
      </c>
      <c r="B1390" s="1" t="n">
        <v>45208</v>
      </c>
      <c r="C1390" s="1" t="n">
        <v>45730</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48629-2023</t>
        </is>
      </c>
      <c r="B1391" s="1" t="n">
        <v>45208</v>
      </c>
      <c r="C1391" s="1" t="n">
        <v>45730</v>
      </c>
      <c r="D1391" t="inlineStr">
        <is>
          <t>STOCKHOLMS LÄN</t>
        </is>
      </c>
      <c r="E1391" t="inlineStr">
        <is>
          <t>NORRTÄLJE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48668-2023</t>
        </is>
      </c>
      <c r="B1392" s="1" t="n">
        <v>45208</v>
      </c>
      <c r="C1392" s="1" t="n">
        <v>45730</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48685-2023</t>
        </is>
      </c>
      <c r="B1393" s="1" t="n">
        <v>45208</v>
      </c>
      <c r="C1393" s="1" t="n">
        <v>45730</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48691-2023</t>
        </is>
      </c>
      <c r="B1394" s="1" t="n">
        <v>45208</v>
      </c>
      <c r="C1394" s="1" t="n">
        <v>45730</v>
      </c>
      <c r="D1394" t="inlineStr">
        <is>
          <t>STOCKHOLMS LÄN</t>
        </is>
      </c>
      <c r="E1394" t="inlineStr">
        <is>
          <t>NORRTÄLJE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48701-2023</t>
        </is>
      </c>
      <c r="B1395" s="1" t="n">
        <v>45208</v>
      </c>
      <c r="C1395" s="1" t="n">
        <v>45730</v>
      </c>
      <c r="D1395" t="inlineStr">
        <is>
          <t>STOCKHOLMS LÄN</t>
        </is>
      </c>
      <c r="E1395" t="inlineStr">
        <is>
          <t>NORRTÄLJE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48716-2023</t>
        </is>
      </c>
      <c r="B1396" s="1" t="n">
        <v>45208</v>
      </c>
      <c r="C1396" s="1" t="n">
        <v>45730</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48709-2023</t>
        </is>
      </c>
      <c r="B1397" s="1" t="n">
        <v>45208</v>
      </c>
      <c r="C1397" s="1" t="n">
        <v>45730</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v>
      </c>
      <c r="C1398" s="1" t="n">
        <v>45730</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48726-2023</t>
        </is>
      </c>
      <c r="B1399" s="1" t="n">
        <v>45208</v>
      </c>
      <c r="C1399" s="1" t="n">
        <v>45730</v>
      </c>
      <c r="D1399" t="inlineStr">
        <is>
          <t>STOCKHOLMS LÄN</t>
        </is>
      </c>
      <c r="E1399" t="inlineStr">
        <is>
          <t>NORRTÄLJE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49169-2023</t>
        </is>
      </c>
      <c r="B1400" s="1" t="n">
        <v>45210</v>
      </c>
      <c r="C1400" s="1" t="n">
        <v>45730</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49176-2023</t>
        </is>
      </c>
      <c r="B1401" s="1" t="n">
        <v>45210</v>
      </c>
      <c r="C1401" s="1" t="n">
        <v>45730</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49224-2023</t>
        </is>
      </c>
      <c r="B1402" s="1" t="n">
        <v>45210</v>
      </c>
      <c r="C1402" s="1" t="n">
        <v>45730</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49696-2023</t>
        </is>
      </c>
      <c r="B1403" s="1" t="n">
        <v>45212</v>
      </c>
      <c r="C1403" s="1" t="n">
        <v>45730</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49700-2023</t>
        </is>
      </c>
      <c r="B1404" s="1" t="n">
        <v>45212</v>
      </c>
      <c r="C1404" s="1" t="n">
        <v>45730</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49694-2023</t>
        </is>
      </c>
      <c r="B1405" s="1" t="n">
        <v>45212</v>
      </c>
      <c r="C1405" s="1" t="n">
        <v>45730</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50143-2023</t>
        </is>
      </c>
      <c r="B1406" s="1" t="n">
        <v>45215</v>
      </c>
      <c r="C1406" s="1" t="n">
        <v>45730</v>
      </c>
      <c r="D1406" t="inlineStr">
        <is>
          <t>STOCKHOLMS LÄN</t>
        </is>
      </c>
      <c r="E1406" t="inlineStr">
        <is>
          <t>NORRTÄLJE</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50107-2023</t>
        </is>
      </c>
      <c r="B1407" s="1" t="n">
        <v>45215</v>
      </c>
      <c r="C1407" s="1" t="n">
        <v>45730</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50033-2023</t>
        </is>
      </c>
      <c r="B1408" s="1" t="n">
        <v>45215</v>
      </c>
      <c r="C1408" s="1" t="n">
        <v>45730</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50136-2023</t>
        </is>
      </c>
      <c r="B1409" s="1" t="n">
        <v>45215</v>
      </c>
      <c r="C1409" s="1" t="n">
        <v>45730</v>
      </c>
      <c r="D1409" t="inlineStr">
        <is>
          <t>STOCKHOLMS LÄN</t>
        </is>
      </c>
      <c r="E1409" t="inlineStr">
        <is>
          <t>NORRTÄLJE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50150-2023</t>
        </is>
      </c>
      <c r="B1410" s="1" t="n">
        <v>45215</v>
      </c>
      <c r="C1410" s="1" t="n">
        <v>45730</v>
      </c>
      <c r="D1410" t="inlineStr">
        <is>
          <t>STOCKHOLMS LÄN</t>
        </is>
      </c>
      <c r="E1410" t="inlineStr">
        <is>
          <t>NORRTÄLJE</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50289-2023</t>
        </is>
      </c>
      <c r="B1411" s="1" t="n">
        <v>45216</v>
      </c>
      <c r="C1411" s="1" t="n">
        <v>45730</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50436-2023</t>
        </is>
      </c>
      <c r="B1412" s="1" t="n">
        <v>45216</v>
      </c>
      <c r="C1412" s="1" t="n">
        <v>45730</v>
      </c>
      <c r="D1412" t="inlineStr">
        <is>
          <t>STOCKHOLMS LÄN</t>
        </is>
      </c>
      <c r="E1412" t="inlineStr">
        <is>
          <t>NORRTÄLJE</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50690-2023</t>
        </is>
      </c>
      <c r="B1413" s="1" t="n">
        <v>45217</v>
      </c>
      <c r="C1413" s="1" t="n">
        <v>45730</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51049-2023</t>
        </is>
      </c>
      <c r="B1414" s="1" t="n">
        <v>45218</v>
      </c>
      <c r="C1414" s="1" t="n">
        <v>45730</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51063-2023</t>
        </is>
      </c>
      <c r="B1415" s="1" t="n">
        <v>45218</v>
      </c>
      <c r="C1415" s="1" t="n">
        <v>45730</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50880-2023</t>
        </is>
      </c>
      <c r="B1416" s="1" t="n">
        <v>45218</v>
      </c>
      <c r="C1416" s="1" t="n">
        <v>45730</v>
      </c>
      <c r="D1416" t="inlineStr">
        <is>
          <t>STOCKHOLMS LÄN</t>
        </is>
      </c>
      <c r="E1416" t="inlineStr">
        <is>
          <t>NORRTÄLJE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51046-2023</t>
        </is>
      </c>
      <c r="B1417" s="1" t="n">
        <v>45218</v>
      </c>
      <c r="C1417" s="1" t="n">
        <v>45730</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51043-2023</t>
        </is>
      </c>
      <c r="B1418" s="1" t="n">
        <v>45218</v>
      </c>
      <c r="C1418" s="1" t="n">
        <v>45730</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51061-2023</t>
        </is>
      </c>
      <c r="B1419" s="1" t="n">
        <v>45218</v>
      </c>
      <c r="C1419" s="1" t="n">
        <v>45730</v>
      </c>
      <c r="D1419" t="inlineStr">
        <is>
          <t>STOCKHOLMS LÄN</t>
        </is>
      </c>
      <c r="E1419" t="inlineStr">
        <is>
          <t>NORRTÄLJE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45730</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51312-2023</t>
        </is>
      </c>
      <c r="B1421" s="1" t="n">
        <v>45219</v>
      </c>
      <c r="C1421" s="1" t="n">
        <v>45730</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51597-2023</t>
        </is>
      </c>
      <c r="B1422" s="1" t="n">
        <v>45222</v>
      </c>
      <c r="C1422" s="1" t="n">
        <v>45730</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51657-2023</t>
        </is>
      </c>
      <c r="B1423" s="1" t="n">
        <v>45222</v>
      </c>
      <c r="C1423" s="1" t="n">
        <v>45730</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51903-2023</t>
        </is>
      </c>
      <c r="B1424" s="1" t="n">
        <v>45223</v>
      </c>
      <c r="C1424" s="1" t="n">
        <v>45730</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52095-2023</t>
        </is>
      </c>
      <c r="B1425" s="1" t="n">
        <v>45223</v>
      </c>
      <c r="C1425" s="1" t="n">
        <v>45730</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51978-2023</t>
        </is>
      </c>
      <c r="B1426" s="1" t="n">
        <v>45223</v>
      </c>
      <c r="C1426" s="1" t="n">
        <v>45730</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51997-2023</t>
        </is>
      </c>
      <c r="B1427" s="1" t="n">
        <v>45223</v>
      </c>
      <c r="C1427" s="1" t="n">
        <v>45730</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52001-2023</t>
        </is>
      </c>
      <c r="B1428" s="1" t="n">
        <v>45223</v>
      </c>
      <c r="C1428" s="1" t="n">
        <v>45730</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52096-2023</t>
        </is>
      </c>
      <c r="B1429" s="1" t="n">
        <v>45223</v>
      </c>
      <c r="C1429" s="1" t="n">
        <v>45730</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45730</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53372-2023</t>
        </is>
      </c>
      <c r="B1431" s="1" t="n">
        <v>45223</v>
      </c>
      <c r="C1431" s="1" t="n">
        <v>45730</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52221-2023</t>
        </is>
      </c>
      <c r="B1432" s="1" t="n">
        <v>45224</v>
      </c>
      <c r="C1432" s="1" t="n">
        <v>45730</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53561-2023</t>
        </is>
      </c>
      <c r="B1433" s="1" t="n">
        <v>45224</v>
      </c>
      <c r="C1433" s="1" t="n">
        <v>45730</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53556-2023</t>
        </is>
      </c>
      <c r="B1434" s="1" t="n">
        <v>45224</v>
      </c>
      <c r="C1434" s="1" t="n">
        <v>45730</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52570-2023</t>
        </is>
      </c>
      <c r="B1435" s="1" t="n">
        <v>45225</v>
      </c>
      <c r="C1435" s="1" t="n">
        <v>45730</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52619-2023</t>
        </is>
      </c>
      <c r="B1436" s="1" t="n">
        <v>45225</v>
      </c>
      <c r="C1436" s="1" t="n">
        <v>45730</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52875-2023</t>
        </is>
      </c>
      <c r="B1437" s="1" t="n">
        <v>45226</v>
      </c>
      <c r="C1437" s="1" t="n">
        <v>45730</v>
      </c>
      <c r="D1437" t="inlineStr">
        <is>
          <t>STOCKHOLMS LÄN</t>
        </is>
      </c>
      <c r="E1437" t="inlineStr">
        <is>
          <t>NORRTÄLJE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52899-2023</t>
        </is>
      </c>
      <c r="B1438" s="1" t="n">
        <v>45226</v>
      </c>
      <c r="C1438" s="1" t="n">
        <v>45730</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53563-2023</t>
        </is>
      </c>
      <c r="B1439" s="1" t="n">
        <v>45230</v>
      </c>
      <c r="C1439" s="1" t="n">
        <v>45730</v>
      </c>
      <c r="D1439" t="inlineStr">
        <is>
          <t>STOCKHOLMS LÄN</t>
        </is>
      </c>
      <c r="E1439" t="inlineStr">
        <is>
          <t>NORRTÄLJE</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53718-2023</t>
        </is>
      </c>
      <c r="B1440" s="1" t="n">
        <v>45230</v>
      </c>
      <c r="C1440" s="1" t="n">
        <v>45730</v>
      </c>
      <c r="D1440" t="inlineStr">
        <is>
          <t>STOCKHOLMS LÄN</t>
        </is>
      </c>
      <c r="E1440" t="inlineStr">
        <is>
          <t>NORRTÄLJE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53787-2023</t>
        </is>
      </c>
      <c r="B1441" s="1" t="n">
        <v>45231</v>
      </c>
      <c r="C1441" s="1" t="n">
        <v>45730</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53792-2023</t>
        </is>
      </c>
      <c r="B1442" s="1" t="n">
        <v>45231</v>
      </c>
      <c r="C1442" s="1" t="n">
        <v>45730</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55518-2023</t>
        </is>
      </c>
      <c r="B1443" s="1" t="n">
        <v>45231</v>
      </c>
      <c r="C1443" s="1" t="n">
        <v>45730</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55533-2023</t>
        </is>
      </c>
      <c r="B1444" s="1" t="n">
        <v>45231</v>
      </c>
      <c r="C1444" s="1" t="n">
        <v>45730</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54259-2023</t>
        </is>
      </c>
      <c r="B1445" s="1" t="n">
        <v>45232</v>
      </c>
      <c r="C1445" s="1" t="n">
        <v>45730</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54546-2023</t>
        </is>
      </c>
      <c r="B1446" s="1" t="n">
        <v>45233</v>
      </c>
      <c r="C1446" s="1" t="n">
        <v>45730</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54776-2023</t>
        </is>
      </c>
      <c r="B1447" s="1" t="n">
        <v>45236</v>
      </c>
      <c r="C1447" s="1" t="n">
        <v>45730</v>
      </c>
      <c r="D1447" t="inlineStr">
        <is>
          <t>STOCKHOLMS LÄN</t>
        </is>
      </c>
      <c r="E1447" t="inlineStr">
        <is>
          <t>NORRTÄLJE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55038-2023</t>
        </is>
      </c>
      <c r="B1448" s="1" t="n">
        <v>45237</v>
      </c>
      <c r="C1448" s="1" t="n">
        <v>45730</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55243-2023</t>
        </is>
      </c>
      <c r="B1449" s="1" t="n">
        <v>45237</v>
      </c>
      <c r="C1449" s="1" t="n">
        <v>45730</v>
      </c>
      <c r="D1449" t="inlineStr">
        <is>
          <t>STOCKHOLMS LÄN</t>
        </is>
      </c>
      <c r="E1449" t="inlineStr">
        <is>
          <t>NORRTÄLJE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55369-2023</t>
        </is>
      </c>
      <c r="B1450" s="1" t="n">
        <v>45238</v>
      </c>
      <c r="C1450" s="1" t="n">
        <v>45730</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55755-2023</t>
        </is>
      </c>
      <c r="B1451" s="1" t="n">
        <v>45239</v>
      </c>
      <c r="C1451" s="1" t="n">
        <v>45730</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56428-2023</t>
        </is>
      </c>
      <c r="B1452" s="1" t="n">
        <v>45243</v>
      </c>
      <c r="C1452" s="1" t="n">
        <v>45730</v>
      </c>
      <c r="D1452" t="inlineStr">
        <is>
          <t>STOCKHOLMS LÄN</t>
        </is>
      </c>
      <c r="E1452" t="inlineStr">
        <is>
          <t>NORRTÄLJE</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56439-2023</t>
        </is>
      </c>
      <c r="B1453" s="1" t="n">
        <v>45243</v>
      </c>
      <c r="C1453" s="1" t="n">
        <v>45730</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56445-2023</t>
        </is>
      </c>
      <c r="B1454" s="1" t="n">
        <v>45243</v>
      </c>
      <c r="C1454" s="1" t="n">
        <v>45730</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56577-2023</t>
        </is>
      </c>
      <c r="B1455" s="1" t="n">
        <v>45243</v>
      </c>
      <c r="C1455" s="1" t="n">
        <v>45730</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56593-2023</t>
        </is>
      </c>
      <c r="B1456" s="1" t="n">
        <v>45243</v>
      </c>
      <c r="C1456" s="1" t="n">
        <v>45730</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56819-2023</t>
        </is>
      </c>
      <c r="B1457" s="1" t="n">
        <v>45244</v>
      </c>
      <c r="C1457" s="1" t="n">
        <v>45730</v>
      </c>
      <c r="D1457" t="inlineStr">
        <is>
          <t>STOCKHOLMS LÄN</t>
        </is>
      </c>
      <c r="E1457" t="inlineStr">
        <is>
          <t>NORRTÄLJE</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58261-2023</t>
        </is>
      </c>
      <c r="B1458" s="1" t="n">
        <v>45245</v>
      </c>
      <c r="C1458" s="1" t="n">
        <v>45730</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58209-2023</t>
        </is>
      </c>
      <c r="B1459" s="1" t="n">
        <v>45245</v>
      </c>
      <c r="C1459" s="1" t="n">
        <v>45730</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58227-2023</t>
        </is>
      </c>
      <c r="B1460" s="1" t="n">
        <v>45245</v>
      </c>
      <c r="C1460" s="1" t="n">
        <v>45730</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58291-2023</t>
        </is>
      </c>
      <c r="B1461" s="1" t="n">
        <v>45245</v>
      </c>
      <c r="C1461" s="1" t="n">
        <v>45730</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45730</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58213-2023</t>
        </is>
      </c>
      <c r="B1463" s="1" t="n">
        <v>45245</v>
      </c>
      <c r="C1463" s="1" t="n">
        <v>45730</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58311-2023</t>
        </is>
      </c>
      <c r="B1464" s="1" t="n">
        <v>45245</v>
      </c>
      <c r="C1464" s="1" t="n">
        <v>45730</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58300-2023</t>
        </is>
      </c>
      <c r="B1465" s="1" t="n">
        <v>45245</v>
      </c>
      <c r="C1465" s="1" t="n">
        <v>45730</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58260-2023</t>
        </is>
      </c>
      <c r="B1466" s="1" t="n">
        <v>45245</v>
      </c>
      <c r="C1466" s="1" t="n">
        <v>45730</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58297-2023</t>
        </is>
      </c>
      <c r="B1467" s="1" t="n">
        <v>45245</v>
      </c>
      <c r="C1467" s="1" t="n">
        <v>45730</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58306-2023</t>
        </is>
      </c>
      <c r="B1468" s="1" t="n">
        <v>45245</v>
      </c>
      <c r="C1468" s="1" t="n">
        <v>45730</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58404-2023</t>
        </is>
      </c>
      <c r="B1469" s="1" t="n">
        <v>45245</v>
      </c>
      <c r="C1469" s="1" t="n">
        <v>45730</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58191-2023</t>
        </is>
      </c>
      <c r="B1470" s="1" t="n">
        <v>45250</v>
      </c>
      <c r="C1470" s="1" t="n">
        <v>45730</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58186-2023</t>
        </is>
      </c>
      <c r="B1471" s="1" t="n">
        <v>45250</v>
      </c>
      <c r="C1471" s="1" t="n">
        <v>45730</v>
      </c>
      <c r="D1471" t="inlineStr">
        <is>
          <t>STOCKHOLMS LÄN</t>
        </is>
      </c>
      <c r="E1471" t="inlineStr">
        <is>
          <t>NORRTÄLJE</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58981-2023</t>
        </is>
      </c>
      <c r="B1472" s="1" t="n">
        <v>45250</v>
      </c>
      <c r="C1472" s="1" t="n">
        <v>45730</v>
      </c>
      <c r="D1472" t="inlineStr">
        <is>
          <t>STOCKHOLMS LÄN</t>
        </is>
      </c>
      <c r="E1472" t="inlineStr">
        <is>
          <t>NORRTÄLJE</t>
        </is>
      </c>
      <c r="F1472" t="inlineStr">
        <is>
          <t>Övriga statliga verk och myndigheter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58601-2023</t>
        </is>
      </c>
      <c r="B1473" s="1" t="n">
        <v>45251</v>
      </c>
      <c r="C1473" s="1" t="n">
        <v>45730</v>
      </c>
      <c r="D1473" t="inlineStr">
        <is>
          <t>STOCKHOLMS LÄN</t>
        </is>
      </c>
      <c r="E1473" t="inlineStr">
        <is>
          <t>NORRTÄLJE</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59310-2023</t>
        </is>
      </c>
      <c r="B1474" s="1" t="n">
        <v>45253</v>
      </c>
      <c r="C1474" s="1" t="n">
        <v>45730</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59326-2023</t>
        </is>
      </c>
      <c r="B1475" s="1" t="n">
        <v>45253</v>
      </c>
      <c r="C1475" s="1" t="n">
        <v>45730</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59212-2023</t>
        </is>
      </c>
      <c r="B1476" s="1" t="n">
        <v>45253</v>
      </c>
      <c r="C1476" s="1" t="n">
        <v>45730</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v>
      </c>
      <c r="C1477" s="1" t="n">
        <v>45730</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59468-2023</t>
        </is>
      </c>
      <c r="B1478" s="1" t="n">
        <v>45254</v>
      </c>
      <c r="C1478" s="1" t="n">
        <v>45730</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59499-2023</t>
        </is>
      </c>
      <c r="B1479" s="1" t="n">
        <v>45254</v>
      </c>
      <c r="C1479" s="1" t="n">
        <v>45730</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59504-2023</t>
        </is>
      </c>
      <c r="B1480" s="1" t="n">
        <v>45254</v>
      </c>
      <c r="C1480" s="1" t="n">
        <v>45730</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59676-2023</t>
        </is>
      </c>
      <c r="B1481" s="1" t="n">
        <v>45255</v>
      </c>
      <c r="C1481" s="1" t="n">
        <v>45730</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59904-2023</t>
        </is>
      </c>
      <c r="B1482" s="1" t="n">
        <v>45257</v>
      </c>
      <c r="C1482" s="1" t="n">
        <v>45730</v>
      </c>
      <c r="D1482" t="inlineStr">
        <is>
          <t>STOCKHOLMS LÄN</t>
        </is>
      </c>
      <c r="E1482" t="inlineStr">
        <is>
          <t>NORRTÄLJE</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59906-2023</t>
        </is>
      </c>
      <c r="B1483" s="1" t="n">
        <v>45257</v>
      </c>
      <c r="C1483" s="1" t="n">
        <v>45730</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59992-2023</t>
        </is>
      </c>
      <c r="B1484" s="1" t="n">
        <v>45257</v>
      </c>
      <c r="C1484" s="1" t="n">
        <v>45730</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60224-2023</t>
        </is>
      </c>
      <c r="B1485" s="1" t="n">
        <v>45257</v>
      </c>
      <c r="C1485" s="1" t="n">
        <v>45730</v>
      </c>
      <c r="D1485" t="inlineStr">
        <is>
          <t>STOCKHOLMS LÄN</t>
        </is>
      </c>
      <c r="E1485" t="inlineStr">
        <is>
          <t>NORRTÄLJE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60073-2023</t>
        </is>
      </c>
      <c r="B1486" s="1" t="n">
        <v>45258</v>
      </c>
      <c r="C1486" s="1" t="n">
        <v>45730</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60492-2023</t>
        </is>
      </c>
      <c r="B1487" s="1" t="n">
        <v>45259</v>
      </c>
      <c r="C1487" s="1" t="n">
        <v>45730</v>
      </c>
      <c r="D1487" t="inlineStr">
        <is>
          <t>STOCKHOLMS LÄN</t>
        </is>
      </c>
      <c r="E1487" t="inlineStr">
        <is>
          <t>NORRTÄLJE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60529-2023</t>
        </is>
      </c>
      <c r="B1488" s="1" t="n">
        <v>45259</v>
      </c>
      <c r="C1488" s="1" t="n">
        <v>45730</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60822-2023</t>
        </is>
      </c>
      <c r="B1489" s="1" t="n">
        <v>45259</v>
      </c>
      <c r="C1489" s="1" t="n">
        <v>45730</v>
      </c>
      <c r="D1489" t="inlineStr">
        <is>
          <t>STOCKHOLMS LÄN</t>
        </is>
      </c>
      <c r="E1489" t="inlineStr">
        <is>
          <t>NORRTÄLJE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60654-2023</t>
        </is>
      </c>
      <c r="B1490" s="1" t="n">
        <v>45260</v>
      </c>
      <c r="C1490" s="1" t="n">
        <v>45730</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60640-2023</t>
        </is>
      </c>
      <c r="B1491" s="1" t="n">
        <v>45260</v>
      </c>
      <c r="C1491" s="1" t="n">
        <v>45730</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60672-2023</t>
        </is>
      </c>
      <c r="B1492" s="1" t="n">
        <v>45260</v>
      </c>
      <c r="C1492" s="1" t="n">
        <v>45730</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60823-2023</t>
        </is>
      </c>
      <c r="B1493" s="1" t="n">
        <v>45260</v>
      </c>
      <c r="C1493" s="1" t="n">
        <v>45730</v>
      </c>
      <c r="D1493" t="inlineStr">
        <is>
          <t>STOCKHOLMS LÄN</t>
        </is>
      </c>
      <c r="E1493" t="inlineStr">
        <is>
          <t>NORRTÄLJE</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60656-2023</t>
        </is>
      </c>
      <c r="B1494" s="1" t="n">
        <v>45260</v>
      </c>
      <c r="C1494" s="1" t="n">
        <v>45730</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60765-2023</t>
        </is>
      </c>
      <c r="B1495" s="1" t="n">
        <v>45260</v>
      </c>
      <c r="C1495" s="1" t="n">
        <v>45730</v>
      </c>
      <c r="D1495" t="inlineStr">
        <is>
          <t>STOCKHOLMS LÄN</t>
        </is>
      </c>
      <c r="E1495" t="inlineStr">
        <is>
          <t>NORRTÄLJE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61113-2023</t>
        </is>
      </c>
      <c r="B1496" s="1" t="n">
        <v>45261</v>
      </c>
      <c r="C1496" s="1" t="n">
        <v>45730</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62644-2023</t>
        </is>
      </c>
      <c r="B1497" s="1" t="n">
        <v>45271</v>
      </c>
      <c r="C1497" s="1" t="n">
        <v>45730</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v>
      </c>
      <c r="C1498" s="1" t="n">
        <v>45730</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45730</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62971-2023</t>
        </is>
      </c>
      <c r="B1500" s="1" t="n">
        <v>45272</v>
      </c>
      <c r="C1500" s="1" t="n">
        <v>45730</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63013-2023</t>
        </is>
      </c>
      <c r="B1501" s="1" t="n">
        <v>45272</v>
      </c>
      <c r="C1501" s="1" t="n">
        <v>45730</v>
      </c>
      <c r="D1501" t="inlineStr">
        <is>
          <t>STOCKHOLMS LÄN</t>
        </is>
      </c>
      <c r="E1501" t="inlineStr">
        <is>
          <t>NORRTÄLJE</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63161-2023</t>
        </is>
      </c>
      <c r="B1502" s="1" t="n">
        <v>45273</v>
      </c>
      <c r="C1502" s="1" t="n">
        <v>45730</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63655-2023</t>
        </is>
      </c>
      <c r="B1503" s="1" t="n">
        <v>45275</v>
      </c>
      <c r="C1503" s="1" t="n">
        <v>45730</v>
      </c>
      <c r="D1503" t="inlineStr">
        <is>
          <t>STOCKHOLMS LÄN</t>
        </is>
      </c>
      <c r="E1503" t="inlineStr">
        <is>
          <t>NORRTÄLJE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64902-2023</t>
        </is>
      </c>
      <c r="B1504" s="1" t="n">
        <v>45282</v>
      </c>
      <c r="C1504" s="1" t="n">
        <v>45730</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64899-2023</t>
        </is>
      </c>
      <c r="B1505" s="1" t="n">
        <v>45282</v>
      </c>
      <c r="C1505" s="1" t="n">
        <v>45730</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9-2024</t>
        </is>
      </c>
      <c r="B1506" s="1" t="n">
        <v>45293</v>
      </c>
      <c r="C1506" s="1" t="n">
        <v>45730</v>
      </c>
      <c r="D1506" t="inlineStr">
        <is>
          <t>STOCKHOLMS LÄN</t>
        </is>
      </c>
      <c r="E1506" t="inlineStr">
        <is>
          <t>NORRTÄLJE</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13-2024</t>
        </is>
      </c>
      <c r="B1507" s="1" t="n">
        <v>45293</v>
      </c>
      <c r="C1507" s="1" t="n">
        <v>45730</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11-2024</t>
        </is>
      </c>
      <c r="B1508" s="1" t="n">
        <v>45293</v>
      </c>
      <c r="C1508" s="1" t="n">
        <v>45730</v>
      </c>
      <c r="D1508" t="inlineStr">
        <is>
          <t>STOCKHOLMS LÄN</t>
        </is>
      </c>
      <c r="E1508" t="inlineStr">
        <is>
          <t>NORRTÄLJE</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19-2024</t>
        </is>
      </c>
      <c r="B1509" s="1" t="n">
        <v>45293</v>
      </c>
      <c r="C1509" s="1" t="n">
        <v>45730</v>
      </c>
      <c r="D1509" t="inlineStr">
        <is>
          <t>STOCKHOLMS LÄN</t>
        </is>
      </c>
      <c r="E1509" t="inlineStr">
        <is>
          <t>NORRTÄLJE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329-2024</t>
        </is>
      </c>
      <c r="B1510" s="1" t="n">
        <v>45295</v>
      </c>
      <c r="C1510" s="1" t="n">
        <v>45730</v>
      </c>
      <c r="D1510" t="inlineStr">
        <is>
          <t>STOCKHOLMS LÄN</t>
        </is>
      </c>
      <c r="E1510" t="inlineStr">
        <is>
          <t>NORRTÄLJE</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498-2024</t>
        </is>
      </c>
      <c r="B1511" s="1" t="n">
        <v>45299</v>
      </c>
      <c r="C1511" s="1" t="n">
        <v>45730</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577-2024</t>
        </is>
      </c>
      <c r="B1512" s="1" t="n">
        <v>45299</v>
      </c>
      <c r="C1512" s="1" t="n">
        <v>45730</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1372-2024</t>
        </is>
      </c>
      <c r="B1513" s="1" t="n">
        <v>45303</v>
      </c>
      <c r="C1513" s="1" t="n">
        <v>45730</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1996-2024</t>
        </is>
      </c>
      <c r="B1514" s="1" t="n">
        <v>45308</v>
      </c>
      <c r="C1514" s="1" t="n">
        <v>45730</v>
      </c>
      <c r="D1514" t="inlineStr">
        <is>
          <t>STOCKHOLMS LÄN</t>
        </is>
      </c>
      <c r="E1514" t="inlineStr">
        <is>
          <t>NORRTÄLJE</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2287-2024</t>
        </is>
      </c>
      <c r="B1515" s="1" t="n">
        <v>45310</v>
      </c>
      <c r="C1515" s="1" t="n">
        <v>45730</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2281-2024</t>
        </is>
      </c>
      <c r="B1516" s="1" t="n">
        <v>45310</v>
      </c>
      <c r="C1516" s="1" t="n">
        <v>45730</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2613-2024</t>
        </is>
      </c>
      <c r="B1517" s="1" t="n">
        <v>45313</v>
      </c>
      <c r="C1517" s="1" t="n">
        <v>45730</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2611-2024</t>
        </is>
      </c>
      <c r="B1518" s="1" t="n">
        <v>45313</v>
      </c>
      <c r="C1518" s="1" t="n">
        <v>45730</v>
      </c>
      <c r="D1518" t="inlineStr">
        <is>
          <t>STOCKHOLMS LÄN</t>
        </is>
      </c>
      <c r="E1518" t="inlineStr">
        <is>
          <t>NORRTÄLJE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3084-2024</t>
        </is>
      </c>
      <c r="B1519" s="1" t="n">
        <v>45316</v>
      </c>
      <c r="C1519" s="1" t="n">
        <v>45730</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3152-2024</t>
        </is>
      </c>
      <c r="B1520" s="1" t="n">
        <v>45316</v>
      </c>
      <c r="C1520" s="1" t="n">
        <v>45730</v>
      </c>
      <c r="D1520" t="inlineStr">
        <is>
          <t>STOCKHOLMS LÄN</t>
        </is>
      </c>
      <c r="E1520" t="inlineStr">
        <is>
          <t>NORRTÄLJE</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3381-2024</t>
        </is>
      </c>
      <c r="B1521" s="1" t="n">
        <v>45317</v>
      </c>
      <c r="C1521" s="1" t="n">
        <v>45730</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3942-2024</t>
        </is>
      </c>
      <c r="B1522" s="1" t="n">
        <v>45322</v>
      </c>
      <c r="C1522" s="1" t="n">
        <v>45730</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3966-2024</t>
        </is>
      </c>
      <c r="B1523" s="1" t="n">
        <v>45322</v>
      </c>
      <c r="C1523" s="1" t="n">
        <v>45730</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4051-2024</t>
        </is>
      </c>
      <c r="B1524" s="1" t="n">
        <v>45323</v>
      </c>
      <c r="C1524" s="1" t="n">
        <v>45730</v>
      </c>
      <c r="D1524" t="inlineStr">
        <is>
          <t>STOCKHOLMS LÄN</t>
        </is>
      </c>
      <c r="E1524" t="inlineStr">
        <is>
          <t>NORRTÄLJE</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4542-2024</t>
        </is>
      </c>
      <c r="B1525" s="1" t="n">
        <v>45327</v>
      </c>
      <c r="C1525" s="1" t="n">
        <v>45730</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4658-2024</t>
        </is>
      </c>
      <c r="B1526" s="1" t="n">
        <v>45328</v>
      </c>
      <c r="C1526" s="1" t="n">
        <v>45730</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5158-2024</t>
        </is>
      </c>
      <c r="B1527" s="1" t="n">
        <v>45330</v>
      </c>
      <c r="C1527" s="1" t="n">
        <v>45730</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5670-2024</t>
        </is>
      </c>
      <c r="B1528" s="1" t="n">
        <v>45334</v>
      </c>
      <c r="C1528" s="1" t="n">
        <v>45730</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5664-2024</t>
        </is>
      </c>
      <c r="B1529" s="1" t="n">
        <v>45334</v>
      </c>
      <c r="C1529" s="1" t="n">
        <v>45730</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5683-2024</t>
        </is>
      </c>
      <c r="B1530" s="1" t="n">
        <v>45334</v>
      </c>
      <c r="C1530" s="1" t="n">
        <v>45730</v>
      </c>
      <c r="D1530" t="inlineStr">
        <is>
          <t>STOCKHOLMS LÄN</t>
        </is>
      </c>
      <c r="E1530" t="inlineStr">
        <is>
          <t>NORRTÄLJE</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5625-2024</t>
        </is>
      </c>
      <c r="B1531" s="1" t="n">
        <v>45334</v>
      </c>
      <c r="C1531" s="1" t="n">
        <v>45730</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5862-2024</t>
        </is>
      </c>
      <c r="B1532" s="1" t="n">
        <v>45335</v>
      </c>
      <c r="C1532" s="1" t="n">
        <v>45730</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5831-2024</t>
        </is>
      </c>
      <c r="B1533" s="1" t="n">
        <v>45335</v>
      </c>
      <c r="C1533" s="1" t="n">
        <v>45730</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5894-2024</t>
        </is>
      </c>
      <c r="B1534" s="1" t="n">
        <v>45335</v>
      </c>
      <c r="C1534" s="1" t="n">
        <v>45730</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6401-2024</t>
        </is>
      </c>
      <c r="B1535" s="1" t="n">
        <v>45338</v>
      </c>
      <c r="C1535" s="1" t="n">
        <v>45730</v>
      </c>
      <c r="D1535" t="inlineStr">
        <is>
          <t>STOCKHOLMS LÄN</t>
        </is>
      </c>
      <c r="E1535" t="inlineStr">
        <is>
          <t>NORRTÄLJE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6537-2024</t>
        </is>
      </c>
      <c r="B1536" s="1" t="n">
        <v>45341</v>
      </c>
      <c r="C1536" s="1" t="n">
        <v>45730</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7009-2024</t>
        </is>
      </c>
      <c r="B1537" s="1" t="n">
        <v>45343</v>
      </c>
      <c r="C1537" s="1" t="n">
        <v>45730</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7186-2024</t>
        </is>
      </c>
      <c r="B1538" s="1" t="n">
        <v>45344</v>
      </c>
      <c r="C1538" s="1" t="n">
        <v>45730</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7408-2024</t>
        </is>
      </c>
      <c r="B1539" s="1" t="n">
        <v>45345</v>
      </c>
      <c r="C1539" s="1" t="n">
        <v>45730</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7573-2024</t>
        </is>
      </c>
      <c r="B1540" s="1" t="n">
        <v>45345</v>
      </c>
      <c r="C1540" s="1" t="n">
        <v>45730</v>
      </c>
      <c r="D1540" t="inlineStr">
        <is>
          <t>STOCKHOLMS LÄN</t>
        </is>
      </c>
      <c r="E1540" t="inlineStr">
        <is>
          <t>NORRTÄLJE</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7425-2024</t>
        </is>
      </c>
      <c r="B1541" s="1" t="n">
        <v>45345</v>
      </c>
      <c r="C1541" s="1" t="n">
        <v>45730</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v>
      </c>
      <c r="C1542" s="1" t="n">
        <v>45730</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7385-2024</t>
        </is>
      </c>
      <c r="B1543" s="1" t="n">
        <v>45345</v>
      </c>
      <c r="C1543" s="1" t="n">
        <v>45730</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7329-2024</t>
        </is>
      </c>
      <c r="B1544" s="1" t="n">
        <v>45345</v>
      </c>
      <c r="C1544" s="1" t="n">
        <v>45730</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7483-2024</t>
        </is>
      </c>
      <c r="B1545" s="1" t="n">
        <v>45346</v>
      </c>
      <c r="C1545" s="1" t="n">
        <v>45730</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45730</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8270-2024</t>
        </is>
      </c>
      <c r="B1547" s="1" t="n">
        <v>45352</v>
      </c>
      <c r="C1547" s="1" t="n">
        <v>45730</v>
      </c>
      <c r="D1547" t="inlineStr">
        <is>
          <t>STOCKHOLMS LÄN</t>
        </is>
      </c>
      <c r="E1547" t="inlineStr">
        <is>
          <t>NORRTÄLJE</t>
        </is>
      </c>
      <c r="F1547" t="inlineStr">
        <is>
          <t>Kyrkan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8399-2024</t>
        </is>
      </c>
      <c r="B1548" s="1" t="n">
        <v>45352</v>
      </c>
      <c r="C1548" s="1" t="n">
        <v>45730</v>
      </c>
      <c r="D1548" t="inlineStr">
        <is>
          <t>STOCKHOLMS LÄN</t>
        </is>
      </c>
      <c r="E1548" t="inlineStr">
        <is>
          <t>NORRTÄLJE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8365-2024</t>
        </is>
      </c>
      <c r="B1549" s="1" t="n">
        <v>45352</v>
      </c>
      <c r="C1549" s="1" t="n">
        <v>45730</v>
      </c>
      <c r="D1549" t="inlineStr">
        <is>
          <t>STOCKHOLMS LÄN</t>
        </is>
      </c>
      <c r="E1549" t="inlineStr">
        <is>
          <t>NORRTÄLJE</t>
        </is>
      </c>
      <c r="F1549" t="inlineStr">
        <is>
          <t>Naturvårdsverket</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8400-2024</t>
        </is>
      </c>
      <c r="B1550" s="1" t="n">
        <v>45352</v>
      </c>
      <c r="C1550" s="1" t="n">
        <v>45730</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8401-2024</t>
        </is>
      </c>
      <c r="B1551" s="1" t="n">
        <v>45352</v>
      </c>
      <c r="C1551" s="1" t="n">
        <v>45730</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8739-2024</t>
        </is>
      </c>
      <c r="B1552" s="1" t="n">
        <v>45356</v>
      </c>
      <c r="C1552" s="1" t="n">
        <v>45730</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8736-2024</t>
        </is>
      </c>
      <c r="B1553" s="1" t="n">
        <v>45356</v>
      </c>
      <c r="C1553" s="1" t="n">
        <v>45730</v>
      </c>
      <c r="D1553" t="inlineStr">
        <is>
          <t>STOCKHOLMS LÄN</t>
        </is>
      </c>
      <c r="E1553" t="inlineStr">
        <is>
          <t>NORRTÄLJE</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9246-2024</t>
        </is>
      </c>
      <c r="B1554" s="1" t="n">
        <v>45357</v>
      </c>
      <c r="C1554" s="1" t="n">
        <v>45730</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9300-2024</t>
        </is>
      </c>
      <c r="B1555" s="1" t="n">
        <v>45358</v>
      </c>
      <c r="C1555" s="1" t="n">
        <v>45730</v>
      </c>
      <c r="D1555" t="inlineStr">
        <is>
          <t>STOCKHOLMS LÄN</t>
        </is>
      </c>
      <c r="E1555" t="inlineStr">
        <is>
          <t>NORRTÄLJE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9297-2024</t>
        </is>
      </c>
      <c r="B1556" s="1" t="n">
        <v>45358</v>
      </c>
      <c r="C1556" s="1" t="n">
        <v>45730</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9301-2024</t>
        </is>
      </c>
      <c r="B1557" s="1" t="n">
        <v>45358</v>
      </c>
      <c r="C1557" s="1" t="n">
        <v>45730</v>
      </c>
      <c r="D1557" t="inlineStr">
        <is>
          <t>STOCKHOLMS LÄN</t>
        </is>
      </c>
      <c r="E1557" t="inlineStr">
        <is>
          <t>NORRTÄLJE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9305-2024</t>
        </is>
      </c>
      <c r="B1558" s="1" t="n">
        <v>45358</v>
      </c>
      <c r="C1558" s="1" t="n">
        <v>45730</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9765-2024</t>
        </is>
      </c>
      <c r="B1559" s="1" t="n">
        <v>45362</v>
      </c>
      <c r="C1559" s="1" t="n">
        <v>45730</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9959-2024</t>
        </is>
      </c>
      <c r="B1560" s="1" t="n">
        <v>45363</v>
      </c>
      <c r="C1560" s="1" t="n">
        <v>45730</v>
      </c>
      <c r="D1560" t="inlineStr">
        <is>
          <t>STOCKHOLMS LÄN</t>
        </is>
      </c>
      <c r="E1560" t="inlineStr">
        <is>
          <t>NORRTÄLJE</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10258-2024</t>
        </is>
      </c>
      <c r="B1561" s="1" t="n">
        <v>45365</v>
      </c>
      <c r="C1561" s="1" t="n">
        <v>45730</v>
      </c>
      <c r="D1561" t="inlineStr">
        <is>
          <t>STOCKHOLMS LÄN</t>
        </is>
      </c>
      <c r="E1561" t="inlineStr">
        <is>
          <t>NORRTÄLJE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10279-2024</t>
        </is>
      </c>
      <c r="B1562" s="1" t="n">
        <v>45365</v>
      </c>
      <c r="C1562" s="1" t="n">
        <v>45730</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10643-2024</t>
        </is>
      </c>
      <c r="B1563" s="1" t="n">
        <v>45367</v>
      </c>
      <c r="C1563" s="1" t="n">
        <v>45730</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10840-2024</t>
        </is>
      </c>
      <c r="B1564" s="1" t="n">
        <v>45369</v>
      </c>
      <c r="C1564" s="1" t="n">
        <v>45730</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10810-2024</t>
        </is>
      </c>
      <c r="B1565" s="1" t="n">
        <v>45369</v>
      </c>
      <c r="C1565" s="1" t="n">
        <v>45730</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10930-2024</t>
        </is>
      </c>
      <c r="B1566" s="1" t="n">
        <v>45370</v>
      </c>
      <c r="C1566" s="1" t="n">
        <v>45730</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c r="U1566">
        <f>HYPERLINK("https://klasma.github.io/Logging_0188/knärot/A 10930-2024 karta knärot.png", "A 10930-2024")</f>
        <v/>
      </c>
      <c r="V1566">
        <f>HYPERLINK("https://klasma.github.io/Logging_0188/klagomål/A 10930-2024 FSC-klagomål.docx", "A 10930-2024")</f>
        <v/>
      </c>
      <c r="W1566">
        <f>HYPERLINK("https://klasma.github.io/Logging_0188/klagomålsmail/A 10930-2024 FSC-klagomål mail.docx", "A 10930-2024")</f>
        <v/>
      </c>
      <c r="X1566">
        <f>HYPERLINK("https://klasma.github.io/Logging_0188/tillsyn/A 10930-2024 tillsynsbegäran.docx", "A 10930-2024")</f>
        <v/>
      </c>
      <c r="Y1566">
        <f>HYPERLINK("https://klasma.github.io/Logging_0188/tillsynsmail/A 10930-2024 tillsynsbegäran mail.docx", "A 10930-2024")</f>
        <v/>
      </c>
    </row>
    <row r="1567" ht="15" customHeight="1">
      <c r="A1567" t="inlineStr">
        <is>
          <t>A 11062-2024</t>
        </is>
      </c>
      <c r="B1567" s="1" t="n">
        <v>45370</v>
      </c>
      <c r="C1567" s="1" t="n">
        <v>45730</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10968-2024</t>
        </is>
      </c>
      <c r="B1568" s="1" t="n">
        <v>45370</v>
      </c>
      <c r="C1568" s="1" t="n">
        <v>45730</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11902-2024</t>
        </is>
      </c>
      <c r="B1569" s="1" t="n">
        <v>45376</v>
      </c>
      <c r="C1569" s="1" t="n">
        <v>45730</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11926-2024</t>
        </is>
      </c>
      <c r="B1570" s="1" t="n">
        <v>45376</v>
      </c>
      <c r="C1570" s="1" t="n">
        <v>45730</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11896-2024</t>
        </is>
      </c>
      <c r="B1571" s="1" t="n">
        <v>45376</v>
      </c>
      <c r="C1571" s="1" t="n">
        <v>45730</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11900-2024</t>
        </is>
      </c>
      <c r="B1572" s="1" t="n">
        <v>45376</v>
      </c>
      <c r="C1572" s="1" t="n">
        <v>45730</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11924-2024</t>
        </is>
      </c>
      <c r="B1573" s="1" t="n">
        <v>45376</v>
      </c>
      <c r="C1573" s="1" t="n">
        <v>45730</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11893-2024</t>
        </is>
      </c>
      <c r="B1574" s="1" t="n">
        <v>45376</v>
      </c>
      <c r="C1574" s="1" t="n">
        <v>45730</v>
      </c>
      <c r="D1574" t="inlineStr">
        <is>
          <t>STOCKHOLMS LÄN</t>
        </is>
      </c>
      <c r="E1574" t="inlineStr">
        <is>
          <t>NORRTÄLJE</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11901-2024</t>
        </is>
      </c>
      <c r="B1575" s="1" t="n">
        <v>45376</v>
      </c>
      <c r="C1575" s="1" t="n">
        <v>45730</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11929-2024</t>
        </is>
      </c>
      <c r="B1576" s="1" t="n">
        <v>45376</v>
      </c>
      <c r="C1576" s="1" t="n">
        <v>45730</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11996-2024</t>
        </is>
      </c>
      <c r="B1577" s="1" t="n">
        <v>45376</v>
      </c>
      <c r="C1577" s="1" t="n">
        <v>45730</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11997-2024</t>
        </is>
      </c>
      <c r="B1578" s="1" t="n">
        <v>45377</v>
      </c>
      <c r="C1578" s="1" t="n">
        <v>45730</v>
      </c>
      <c r="D1578" t="inlineStr">
        <is>
          <t>STOCKHOLMS LÄN</t>
        </is>
      </c>
      <c r="E1578" t="inlineStr">
        <is>
          <t>NORRTÄLJE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12135-2024</t>
        </is>
      </c>
      <c r="B1579" s="1" t="n">
        <v>45377</v>
      </c>
      <c r="C1579" s="1" t="n">
        <v>45730</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12022-2024</t>
        </is>
      </c>
      <c r="B1580" s="1" t="n">
        <v>45377</v>
      </c>
      <c r="C1580" s="1" t="n">
        <v>45730</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12323-2024</t>
        </is>
      </c>
      <c r="B1581" s="1" t="n">
        <v>45378</v>
      </c>
      <c r="C1581" s="1" t="n">
        <v>45730</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12470-2024</t>
        </is>
      </c>
      <c r="B1582" s="1" t="n">
        <v>45379</v>
      </c>
      <c r="C1582" s="1" t="n">
        <v>45730</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12560-2024</t>
        </is>
      </c>
      <c r="B1583" s="1" t="n">
        <v>45379</v>
      </c>
      <c r="C1583" s="1" t="n">
        <v>45730</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12629-2024</t>
        </is>
      </c>
      <c r="B1584" s="1" t="n">
        <v>45383</v>
      </c>
      <c r="C1584" s="1" t="n">
        <v>45730</v>
      </c>
      <c r="D1584" t="inlineStr">
        <is>
          <t>STOCKHOLMS LÄN</t>
        </is>
      </c>
      <c r="E1584" t="inlineStr">
        <is>
          <t>NORRTÄLJE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12896-2024</t>
        </is>
      </c>
      <c r="B1585" s="1" t="n">
        <v>45385</v>
      </c>
      <c r="C1585" s="1" t="n">
        <v>45730</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12904-2024</t>
        </is>
      </c>
      <c r="B1586" s="1" t="n">
        <v>45385</v>
      </c>
      <c r="C1586" s="1" t="n">
        <v>45730</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12901-2024</t>
        </is>
      </c>
      <c r="B1587" s="1" t="n">
        <v>45385</v>
      </c>
      <c r="C1587" s="1" t="n">
        <v>45730</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45730</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12902-2024</t>
        </is>
      </c>
      <c r="B1589" s="1" t="n">
        <v>45385</v>
      </c>
      <c r="C1589" s="1" t="n">
        <v>45730</v>
      </c>
      <c r="D1589" t="inlineStr">
        <is>
          <t>STOCKHOLMS LÄN</t>
        </is>
      </c>
      <c r="E1589" t="inlineStr">
        <is>
          <t>NORRTÄLJE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13115-2024</t>
        </is>
      </c>
      <c r="B1590" s="1" t="n">
        <v>45385</v>
      </c>
      <c r="C1590" s="1" t="n">
        <v>45730</v>
      </c>
      <c r="D1590" t="inlineStr">
        <is>
          <t>STOCKHOLMS LÄN</t>
        </is>
      </c>
      <c r="E1590" t="inlineStr">
        <is>
          <t>NORRTÄLJE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13137-2024</t>
        </is>
      </c>
      <c r="B1591" s="1" t="n">
        <v>45386</v>
      </c>
      <c r="C1591" s="1" t="n">
        <v>45730</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13241-2024</t>
        </is>
      </c>
      <c r="B1592" s="1" t="n">
        <v>45386</v>
      </c>
      <c r="C1592" s="1" t="n">
        <v>45730</v>
      </c>
      <c r="D1592" t="inlineStr">
        <is>
          <t>STOCKHOLMS LÄN</t>
        </is>
      </c>
      <c r="E1592" t="inlineStr">
        <is>
          <t>NORRTÄLJE</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13391-2024</t>
        </is>
      </c>
      <c r="B1593" s="1" t="n">
        <v>45387</v>
      </c>
      <c r="C1593" s="1" t="n">
        <v>45730</v>
      </c>
      <c r="D1593" t="inlineStr">
        <is>
          <t>STOCKHOLMS LÄN</t>
        </is>
      </c>
      <c r="E1593" t="inlineStr">
        <is>
          <t>NORRTÄLJE</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13785-2024</t>
        </is>
      </c>
      <c r="B1594" s="1" t="n">
        <v>45391</v>
      </c>
      <c r="C1594" s="1" t="n">
        <v>45730</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14530-2024</t>
        </is>
      </c>
      <c r="B1595" s="1" t="n">
        <v>45394</v>
      </c>
      <c r="C1595" s="1" t="n">
        <v>45730</v>
      </c>
      <c r="D1595" t="inlineStr">
        <is>
          <t>STOCKHOLMS LÄN</t>
        </is>
      </c>
      <c r="E1595" t="inlineStr">
        <is>
          <t>NORRTÄLJE</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14498-2024</t>
        </is>
      </c>
      <c r="B1596" s="1" t="n">
        <v>45394</v>
      </c>
      <c r="C1596" s="1" t="n">
        <v>45730</v>
      </c>
      <c r="D1596" t="inlineStr">
        <is>
          <t>STOCKHOLMS LÄN</t>
        </is>
      </c>
      <c r="E1596" t="inlineStr">
        <is>
          <t>NORRTÄLJE</t>
        </is>
      </c>
      <c r="F1596" t="inlineStr">
        <is>
          <t>Kyrkan</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14559-2024</t>
        </is>
      </c>
      <c r="B1597" s="1" t="n">
        <v>45394</v>
      </c>
      <c r="C1597" s="1" t="n">
        <v>45730</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14751-2024</t>
        </is>
      </c>
      <c r="B1598" s="1" t="n">
        <v>45397</v>
      </c>
      <c r="C1598" s="1" t="n">
        <v>45730</v>
      </c>
      <c r="D1598" t="inlineStr">
        <is>
          <t>STOCKHOLMS LÄN</t>
        </is>
      </c>
      <c r="E1598" t="inlineStr">
        <is>
          <t>NORRTÄLJE</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14762-2024</t>
        </is>
      </c>
      <c r="B1599" s="1" t="n">
        <v>45397</v>
      </c>
      <c r="C1599" s="1" t="n">
        <v>45730</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15347-2024</t>
        </is>
      </c>
      <c r="B1600" s="1" t="n">
        <v>45400</v>
      </c>
      <c r="C1600" s="1" t="n">
        <v>45730</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15317-2024</t>
        </is>
      </c>
      <c r="B1601" s="1" t="n">
        <v>45400</v>
      </c>
      <c r="C1601" s="1" t="n">
        <v>45730</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15429-2024</t>
        </is>
      </c>
      <c r="B1602" s="1" t="n">
        <v>45401</v>
      </c>
      <c r="C1602" s="1" t="n">
        <v>45730</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15422-2024</t>
        </is>
      </c>
      <c r="B1603" s="1" t="n">
        <v>45401</v>
      </c>
      <c r="C1603" s="1" t="n">
        <v>45730</v>
      </c>
      <c r="D1603" t="inlineStr">
        <is>
          <t>STOCKHOLMS LÄN</t>
        </is>
      </c>
      <c r="E1603" t="inlineStr">
        <is>
          <t>NORRTÄLJE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15470-2024</t>
        </is>
      </c>
      <c r="B1604" s="1" t="n">
        <v>45401</v>
      </c>
      <c r="C1604" s="1" t="n">
        <v>45730</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15428-2024</t>
        </is>
      </c>
      <c r="B1605" s="1" t="n">
        <v>45401</v>
      </c>
      <c r="C1605" s="1" t="n">
        <v>45730</v>
      </c>
      <c r="D1605" t="inlineStr">
        <is>
          <t>STOCKHOLMS LÄN</t>
        </is>
      </c>
      <c r="E1605" t="inlineStr">
        <is>
          <t>NORRTÄLJE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15415-2024</t>
        </is>
      </c>
      <c r="B1606" s="1" t="n">
        <v>45401</v>
      </c>
      <c r="C1606" s="1" t="n">
        <v>45730</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15956-2024</t>
        </is>
      </c>
      <c r="B1607" s="1" t="n">
        <v>45405</v>
      </c>
      <c r="C1607" s="1" t="n">
        <v>45730</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15978-2024</t>
        </is>
      </c>
      <c r="B1608" s="1" t="n">
        <v>45405</v>
      </c>
      <c r="C1608" s="1" t="n">
        <v>45730</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16072-2024</t>
        </is>
      </c>
      <c r="B1609" s="1" t="n">
        <v>45406</v>
      </c>
      <c r="C1609" s="1" t="n">
        <v>45730</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16071-2024</t>
        </is>
      </c>
      <c r="B1610" s="1" t="n">
        <v>45406</v>
      </c>
      <c r="C1610" s="1" t="n">
        <v>45730</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16075-2024</t>
        </is>
      </c>
      <c r="B1611" s="1" t="n">
        <v>45406</v>
      </c>
      <c r="C1611" s="1" t="n">
        <v>45730</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16620-2024</t>
        </is>
      </c>
      <c r="B1612" s="1" t="n">
        <v>45408</v>
      </c>
      <c r="C1612" s="1" t="n">
        <v>45730</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16852-2024</t>
        </is>
      </c>
      <c r="B1613" s="1" t="n">
        <v>45411</v>
      </c>
      <c r="C1613" s="1" t="n">
        <v>45730</v>
      </c>
      <c r="D1613" t="inlineStr">
        <is>
          <t>STOCKHOLMS LÄN</t>
        </is>
      </c>
      <c r="E1613" t="inlineStr">
        <is>
          <t>NORRTÄLJE</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17013-2024</t>
        </is>
      </c>
      <c r="B1614" s="1" t="n">
        <v>45412</v>
      </c>
      <c r="C1614" s="1" t="n">
        <v>45730</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17039-2024</t>
        </is>
      </c>
      <c r="B1615" s="1" t="n">
        <v>45412</v>
      </c>
      <c r="C1615" s="1" t="n">
        <v>45730</v>
      </c>
      <c r="D1615" t="inlineStr">
        <is>
          <t>STOCKHOLMS LÄN</t>
        </is>
      </c>
      <c r="E1615" t="inlineStr">
        <is>
          <t>NORRTÄLJE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17348-2024</t>
        </is>
      </c>
      <c r="B1616" s="1" t="n">
        <v>45414</v>
      </c>
      <c r="C1616" s="1" t="n">
        <v>45730</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17304-2024</t>
        </is>
      </c>
      <c r="B1617" s="1" t="n">
        <v>45414</v>
      </c>
      <c r="C1617" s="1" t="n">
        <v>45730</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17354-2024</t>
        </is>
      </c>
      <c r="B1618" s="1" t="n">
        <v>45414</v>
      </c>
      <c r="C1618" s="1" t="n">
        <v>45730</v>
      </c>
      <c r="D1618" t="inlineStr">
        <is>
          <t>STOCKHOLMS LÄN</t>
        </is>
      </c>
      <c r="E1618" t="inlineStr">
        <is>
          <t>NORRTÄLJE</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17385-2024</t>
        </is>
      </c>
      <c r="B1619" s="1" t="n">
        <v>45414</v>
      </c>
      <c r="C1619" s="1" t="n">
        <v>45730</v>
      </c>
      <c r="D1619" t="inlineStr">
        <is>
          <t>STOCKHOLMS LÄN</t>
        </is>
      </c>
      <c r="E1619" t="inlineStr">
        <is>
          <t>NORRTÄLJE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17382-2024</t>
        </is>
      </c>
      <c r="B1620" s="1" t="n">
        <v>45414</v>
      </c>
      <c r="C1620" s="1" t="n">
        <v>45730</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17397-2024</t>
        </is>
      </c>
      <c r="B1621" s="1" t="n">
        <v>45414</v>
      </c>
      <c r="C1621" s="1" t="n">
        <v>45730</v>
      </c>
      <c r="D1621" t="inlineStr">
        <is>
          <t>STOCKHOLMS LÄN</t>
        </is>
      </c>
      <c r="E1621" t="inlineStr">
        <is>
          <t>NORRTÄLJE</t>
        </is>
      </c>
      <c r="F1621" t="inlineStr">
        <is>
          <t>Holmen skog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17554-2024</t>
        </is>
      </c>
      <c r="B1622" s="1" t="n">
        <v>45415</v>
      </c>
      <c r="C1622" s="1" t="n">
        <v>45730</v>
      </c>
      <c r="D1622" t="inlineStr">
        <is>
          <t>STOCKHOLMS LÄN</t>
        </is>
      </c>
      <c r="E1622" t="inlineStr">
        <is>
          <t>NORRTÄLJE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17775-2024</t>
        </is>
      </c>
      <c r="B1623" s="1" t="n">
        <v>45418</v>
      </c>
      <c r="C1623" s="1" t="n">
        <v>45730</v>
      </c>
      <c r="D1623" t="inlineStr">
        <is>
          <t>STOCKHOLMS LÄN</t>
        </is>
      </c>
      <c r="E1623" t="inlineStr">
        <is>
          <t>NORRTÄLJE</t>
        </is>
      </c>
      <c r="F1623" t="inlineStr">
        <is>
          <t>Holmen skog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17785-2024</t>
        </is>
      </c>
      <c r="B1624" s="1" t="n">
        <v>45418</v>
      </c>
      <c r="C1624" s="1" t="n">
        <v>45730</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17843-2024</t>
        </is>
      </c>
      <c r="B1625" s="1" t="n">
        <v>45418</v>
      </c>
      <c r="C1625" s="1" t="n">
        <v>45730</v>
      </c>
      <c r="D1625" t="inlineStr">
        <is>
          <t>STOCKHOLMS LÄN</t>
        </is>
      </c>
      <c r="E1625" t="inlineStr">
        <is>
          <t>NORRTÄLJE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18331-2024</t>
        </is>
      </c>
      <c r="B1626" s="1" t="n">
        <v>45422</v>
      </c>
      <c r="C1626" s="1" t="n">
        <v>45730</v>
      </c>
      <c r="D1626" t="inlineStr">
        <is>
          <t>STOCKHOLMS LÄN</t>
        </is>
      </c>
      <c r="E1626" t="inlineStr">
        <is>
          <t>NORRTÄLJE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18285-2024</t>
        </is>
      </c>
      <c r="B1627" s="1" t="n">
        <v>45422</v>
      </c>
      <c r="C1627" s="1" t="n">
        <v>45730</v>
      </c>
      <c r="D1627" t="inlineStr">
        <is>
          <t>STOCKHOLMS LÄN</t>
        </is>
      </c>
      <c r="E1627" t="inlineStr">
        <is>
          <t>NORRTÄLJE</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18287-2024</t>
        </is>
      </c>
      <c r="B1628" s="1" t="n">
        <v>45422</v>
      </c>
      <c r="C1628" s="1" t="n">
        <v>45730</v>
      </c>
      <c r="D1628" t="inlineStr">
        <is>
          <t>STOCKHOLMS LÄN</t>
        </is>
      </c>
      <c r="E1628" t="inlineStr">
        <is>
          <t>NORRTÄLJE</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19058-2024</t>
        </is>
      </c>
      <c r="B1629" s="1" t="n">
        <v>45427</v>
      </c>
      <c r="C1629" s="1" t="n">
        <v>45730</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19057-2024</t>
        </is>
      </c>
      <c r="B1630" s="1" t="n">
        <v>45427</v>
      </c>
      <c r="C1630" s="1" t="n">
        <v>45730</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19150-2024</t>
        </is>
      </c>
      <c r="B1631" s="1" t="n">
        <v>45428</v>
      </c>
      <c r="C1631" s="1" t="n">
        <v>45730</v>
      </c>
      <c r="D1631" t="inlineStr">
        <is>
          <t>STOCKHOLMS LÄN</t>
        </is>
      </c>
      <c r="E1631" t="inlineStr">
        <is>
          <t>NORRTÄLJE</t>
        </is>
      </c>
      <c r="F1631" t="inlineStr">
        <is>
          <t>Holmen skog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19915-2024</t>
        </is>
      </c>
      <c r="B1632" s="1" t="n">
        <v>45433</v>
      </c>
      <c r="C1632" s="1" t="n">
        <v>45730</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19919-2024</t>
        </is>
      </c>
      <c r="B1633" s="1" t="n">
        <v>45433</v>
      </c>
      <c r="C1633" s="1" t="n">
        <v>45730</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20336-2024</t>
        </is>
      </c>
      <c r="B1634" s="1" t="n">
        <v>45435</v>
      </c>
      <c r="C1634" s="1" t="n">
        <v>45730</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20345-2024</t>
        </is>
      </c>
      <c r="B1635" s="1" t="n">
        <v>45435</v>
      </c>
      <c r="C1635" s="1" t="n">
        <v>45730</v>
      </c>
      <c r="D1635" t="inlineStr">
        <is>
          <t>STOCKHOLMS LÄN</t>
        </is>
      </c>
      <c r="E1635" t="inlineStr">
        <is>
          <t>NORRTÄLJE</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20343-2024</t>
        </is>
      </c>
      <c r="B1636" s="1" t="n">
        <v>45435</v>
      </c>
      <c r="C1636" s="1" t="n">
        <v>45730</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20393-2024</t>
        </is>
      </c>
      <c r="B1637" s="1" t="n">
        <v>45435</v>
      </c>
      <c r="C1637" s="1" t="n">
        <v>45730</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20445-2024</t>
        </is>
      </c>
      <c r="B1638" s="1" t="n">
        <v>45435</v>
      </c>
      <c r="C1638" s="1" t="n">
        <v>45730</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20428-2024</t>
        </is>
      </c>
      <c r="B1639" s="1" t="n">
        <v>45435</v>
      </c>
      <c r="C1639" s="1" t="n">
        <v>45730</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20460-2024</t>
        </is>
      </c>
      <c r="B1640" s="1" t="n">
        <v>45435</v>
      </c>
      <c r="C1640" s="1" t="n">
        <v>45730</v>
      </c>
      <c r="D1640" t="inlineStr">
        <is>
          <t>STOCKHOLMS LÄN</t>
        </is>
      </c>
      <c r="E1640" t="inlineStr">
        <is>
          <t>NORRTÄLJE</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20464-2024</t>
        </is>
      </c>
      <c r="B1641" s="1" t="n">
        <v>45435</v>
      </c>
      <c r="C1641" s="1" t="n">
        <v>45730</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20431-2024</t>
        </is>
      </c>
      <c r="B1642" s="1" t="n">
        <v>45435</v>
      </c>
      <c r="C1642" s="1" t="n">
        <v>45730</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20680-2024</t>
        </is>
      </c>
      <c r="B1643" s="1" t="n">
        <v>45436</v>
      </c>
      <c r="C1643" s="1" t="n">
        <v>45730</v>
      </c>
      <c r="D1643" t="inlineStr">
        <is>
          <t>STOCKHOLMS LÄN</t>
        </is>
      </c>
      <c r="E1643" t="inlineStr">
        <is>
          <t>NORRTÄLJE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20698-2024</t>
        </is>
      </c>
      <c r="B1644" s="1" t="n">
        <v>45436</v>
      </c>
      <c r="C1644" s="1" t="n">
        <v>45730</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20730-2024</t>
        </is>
      </c>
      <c r="B1645" s="1" t="n">
        <v>45436</v>
      </c>
      <c r="C1645" s="1" t="n">
        <v>45730</v>
      </c>
      <c r="D1645" t="inlineStr">
        <is>
          <t>STOCKHOLMS LÄN</t>
        </is>
      </c>
      <c r="E1645" t="inlineStr">
        <is>
          <t>NORRTÄLJE</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20825-2024</t>
        </is>
      </c>
      <c r="B1646" s="1" t="n">
        <v>45439</v>
      </c>
      <c r="C1646" s="1" t="n">
        <v>45730</v>
      </c>
      <c r="D1646" t="inlineStr">
        <is>
          <t>STOCKHOLMS LÄN</t>
        </is>
      </c>
      <c r="E1646" t="inlineStr">
        <is>
          <t>NORRTÄLJE</t>
        </is>
      </c>
      <c r="F1646" t="inlineStr">
        <is>
          <t>Holmen skog AB</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20836-2024</t>
        </is>
      </c>
      <c r="B1647" s="1" t="n">
        <v>45439</v>
      </c>
      <c r="C1647" s="1" t="n">
        <v>45730</v>
      </c>
      <c r="D1647" t="inlineStr">
        <is>
          <t>STOCKHOLMS LÄN</t>
        </is>
      </c>
      <c r="E1647" t="inlineStr">
        <is>
          <t>NORRTÄLJE</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21066-2024</t>
        </is>
      </c>
      <c r="B1648" s="1" t="n">
        <v>45439</v>
      </c>
      <c r="C1648" s="1" t="n">
        <v>45730</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21729-2024</t>
        </is>
      </c>
      <c r="B1649" s="1" t="n">
        <v>45442</v>
      </c>
      <c r="C1649" s="1" t="n">
        <v>45730</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v>
      </c>
      <c r="C1650" s="1" t="n">
        <v>45730</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22008-2024</t>
        </is>
      </c>
      <c r="B1651" s="1" t="n">
        <v>45443</v>
      </c>
      <c r="C1651" s="1" t="n">
        <v>45730</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22232-2024</t>
        </is>
      </c>
      <c r="B1652" s="1" t="n">
        <v>45446</v>
      </c>
      <c r="C1652" s="1" t="n">
        <v>45730</v>
      </c>
      <c r="D1652" t="inlineStr">
        <is>
          <t>STOCKHOLMS LÄN</t>
        </is>
      </c>
      <c r="E1652" t="inlineStr">
        <is>
          <t>NORRTÄLJE</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22190-2024</t>
        </is>
      </c>
      <c r="B1653" s="1" t="n">
        <v>45446</v>
      </c>
      <c r="C1653" s="1" t="n">
        <v>45730</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22231-2024</t>
        </is>
      </c>
      <c r="B1654" s="1" t="n">
        <v>45446</v>
      </c>
      <c r="C1654" s="1" t="n">
        <v>45730</v>
      </c>
      <c r="D1654" t="inlineStr">
        <is>
          <t>STOCKHOLMS LÄN</t>
        </is>
      </c>
      <c r="E1654" t="inlineStr">
        <is>
          <t>NORRTÄLJE</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v>
      </c>
      <c r="C1655" s="1" t="n">
        <v>45730</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23018-2024</t>
        </is>
      </c>
      <c r="B1656" s="1" t="n">
        <v>45450</v>
      </c>
      <c r="C1656" s="1" t="n">
        <v>45730</v>
      </c>
      <c r="D1656" t="inlineStr">
        <is>
          <t>STOCKHOLMS LÄN</t>
        </is>
      </c>
      <c r="E1656" t="inlineStr">
        <is>
          <t>NORRTÄLJE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23149-2024</t>
        </is>
      </c>
      <c r="B1657" s="1" t="n">
        <v>45450</v>
      </c>
      <c r="C1657" s="1" t="n">
        <v>45730</v>
      </c>
      <c r="D1657" t="inlineStr">
        <is>
          <t>STOCKHOLMS LÄN</t>
        </is>
      </c>
      <c r="E1657" t="inlineStr">
        <is>
          <t>NORRTÄLJE</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23150-2024</t>
        </is>
      </c>
      <c r="B1658" s="1" t="n">
        <v>45450</v>
      </c>
      <c r="C1658" s="1" t="n">
        <v>45730</v>
      </c>
      <c r="D1658" t="inlineStr">
        <is>
          <t>STOCKHOLMS LÄN</t>
        </is>
      </c>
      <c r="E1658" t="inlineStr">
        <is>
          <t>NORRTÄLJE</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23151-2024</t>
        </is>
      </c>
      <c r="B1659" s="1" t="n">
        <v>45450</v>
      </c>
      <c r="C1659" s="1" t="n">
        <v>45730</v>
      </c>
      <c r="D1659" t="inlineStr">
        <is>
          <t>STOCKHOLMS LÄN</t>
        </is>
      </c>
      <c r="E1659" t="inlineStr">
        <is>
          <t>NORRTÄLJE</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23307-2024</t>
        </is>
      </c>
      <c r="B1660" s="1" t="n">
        <v>45453</v>
      </c>
      <c r="C1660" s="1" t="n">
        <v>45730</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23683-2024</t>
        </is>
      </c>
      <c r="B1661" s="1" t="n">
        <v>45454</v>
      </c>
      <c r="C1661" s="1" t="n">
        <v>45730</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23692-2024</t>
        </is>
      </c>
      <c r="B1662" s="1" t="n">
        <v>45454</v>
      </c>
      <c r="C1662" s="1" t="n">
        <v>45730</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23572-2024</t>
        </is>
      </c>
      <c r="B1663" s="1" t="n">
        <v>45454</v>
      </c>
      <c r="C1663" s="1" t="n">
        <v>45730</v>
      </c>
      <c r="D1663" t="inlineStr">
        <is>
          <t>STOCKHOLMS LÄN</t>
        </is>
      </c>
      <c r="E1663" t="inlineStr">
        <is>
          <t>NORRTÄLJE</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23749-2024</t>
        </is>
      </c>
      <c r="B1664" s="1" t="n">
        <v>45455</v>
      </c>
      <c r="C1664" s="1" t="n">
        <v>45730</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23755-2024</t>
        </is>
      </c>
      <c r="B1665" s="1" t="n">
        <v>45455</v>
      </c>
      <c r="C1665" s="1" t="n">
        <v>45730</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23998-2024</t>
        </is>
      </c>
      <c r="B1666" s="1" t="n">
        <v>45456</v>
      </c>
      <c r="C1666" s="1" t="n">
        <v>45730</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24027-2024</t>
        </is>
      </c>
      <c r="B1667" s="1" t="n">
        <v>45456</v>
      </c>
      <c r="C1667" s="1" t="n">
        <v>45730</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24024-2024</t>
        </is>
      </c>
      <c r="B1668" s="1" t="n">
        <v>45456</v>
      </c>
      <c r="C1668" s="1" t="n">
        <v>45730</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23991-2024</t>
        </is>
      </c>
      <c r="B1669" s="1" t="n">
        <v>45456</v>
      </c>
      <c r="C1669" s="1" t="n">
        <v>45730</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24021-2024</t>
        </is>
      </c>
      <c r="B1670" s="1" t="n">
        <v>45456</v>
      </c>
      <c r="C1670" s="1" t="n">
        <v>45730</v>
      </c>
      <c r="D1670" t="inlineStr">
        <is>
          <t>STOCKHOLMS LÄN</t>
        </is>
      </c>
      <c r="E1670" t="inlineStr">
        <is>
          <t>NORRTÄLJE</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24022-2024</t>
        </is>
      </c>
      <c r="B1671" s="1" t="n">
        <v>45456</v>
      </c>
      <c r="C1671" s="1" t="n">
        <v>45730</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24245-2024</t>
        </is>
      </c>
      <c r="B1672" s="1" t="n">
        <v>45457</v>
      </c>
      <c r="C1672" s="1" t="n">
        <v>45730</v>
      </c>
      <c r="D1672" t="inlineStr">
        <is>
          <t>STOCKHOLMS LÄN</t>
        </is>
      </c>
      <c r="E1672" t="inlineStr">
        <is>
          <t>NORRTÄLJE</t>
        </is>
      </c>
      <c r="F1672" t="inlineStr">
        <is>
          <t>Holmen skog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24357-2024</t>
        </is>
      </c>
      <c r="B1673" s="1" t="n">
        <v>45457</v>
      </c>
      <c r="C1673" s="1" t="n">
        <v>45730</v>
      </c>
      <c r="D1673" t="inlineStr">
        <is>
          <t>STOCKHOLMS LÄN</t>
        </is>
      </c>
      <c r="E1673" t="inlineStr">
        <is>
          <t>NORRTÄLJE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24731-2024</t>
        </is>
      </c>
      <c r="B1674" s="1" t="n">
        <v>45460</v>
      </c>
      <c r="C1674" s="1" t="n">
        <v>45730</v>
      </c>
      <c r="D1674" t="inlineStr">
        <is>
          <t>STOCKHOLMS LÄN</t>
        </is>
      </c>
      <c r="E1674" t="inlineStr">
        <is>
          <t>NORRTÄLJE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24575-2024</t>
        </is>
      </c>
      <c r="B1675" s="1" t="n">
        <v>45460</v>
      </c>
      <c r="C1675" s="1" t="n">
        <v>45730</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24563-2024</t>
        </is>
      </c>
      <c r="B1676" s="1" t="n">
        <v>45460</v>
      </c>
      <c r="C1676" s="1" t="n">
        <v>45730</v>
      </c>
      <c r="D1676" t="inlineStr">
        <is>
          <t>STOCKHOLMS LÄN</t>
        </is>
      </c>
      <c r="E1676" t="inlineStr">
        <is>
          <t>NORRTÄLJE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24610-2024</t>
        </is>
      </c>
      <c r="B1677" s="1" t="n">
        <v>45460</v>
      </c>
      <c r="C1677" s="1" t="n">
        <v>45730</v>
      </c>
      <c r="D1677" t="inlineStr">
        <is>
          <t>STOCKHOLMS LÄN</t>
        </is>
      </c>
      <c r="E1677" t="inlineStr">
        <is>
          <t>NORRTÄLJE</t>
        </is>
      </c>
      <c r="G1677" t="n">
        <v>18.4</v>
      </c>
      <c r="H1677" t="n">
        <v>0</v>
      </c>
      <c r="I1677" t="n">
        <v>0</v>
      </c>
      <c r="J1677" t="n">
        <v>0</v>
      </c>
      <c r="K1677" t="n">
        <v>0</v>
      </c>
      <c r="L1677" t="n">
        <v>0</v>
      </c>
      <c r="M1677" t="n">
        <v>0</v>
      </c>
      <c r="N1677" t="n">
        <v>0</v>
      </c>
      <c r="O1677" t="n">
        <v>0</v>
      </c>
      <c r="P1677" t="n">
        <v>0</v>
      </c>
      <c r="Q1677" t="n">
        <v>0</v>
      </c>
      <c r="R1677" s="2" t="inlineStr"/>
    </row>
    <row r="1678" ht="15" customHeight="1">
      <c r="A1678" t="inlineStr">
        <is>
          <t>A 24730-2024</t>
        </is>
      </c>
      <c r="B1678" s="1" t="n">
        <v>45460</v>
      </c>
      <c r="C1678" s="1" t="n">
        <v>45730</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25301-2024</t>
        </is>
      </c>
      <c r="B1679" s="1" t="n">
        <v>45462</v>
      </c>
      <c r="C1679" s="1" t="n">
        <v>45730</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25055-2024</t>
        </is>
      </c>
      <c r="B1680" s="1" t="n">
        <v>45462</v>
      </c>
      <c r="C1680" s="1" t="n">
        <v>45730</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25565-2024</t>
        </is>
      </c>
      <c r="B1681" s="1" t="n">
        <v>45463</v>
      </c>
      <c r="C1681" s="1" t="n">
        <v>45730</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25681-2024</t>
        </is>
      </c>
      <c r="B1682" s="1" t="n">
        <v>45463</v>
      </c>
      <c r="C1682" s="1" t="n">
        <v>45730</v>
      </c>
      <c r="D1682" t="inlineStr">
        <is>
          <t>STOCKHOLMS LÄN</t>
        </is>
      </c>
      <c r="E1682" t="inlineStr">
        <is>
          <t>NORRTÄLJE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25817-2024</t>
        </is>
      </c>
      <c r="B1683" s="1" t="n">
        <v>45467</v>
      </c>
      <c r="C1683" s="1" t="n">
        <v>45730</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v>
      </c>
      <c r="C1684" s="1" t="n">
        <v>45730</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26115-2024</t>
        </is>
      </c>
      <c r="B1685" s="1" t="n">
        <v>45468</v>
      </c>
      <c r="C1685" s="1" t="n">
        <v>45730</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26067-2024</t>
        </is>
      </c>
      <c r="B1686" s="1" t="n">
        <v>45468</v>
      </c>
      <c r="C1686" s="1" t="n">
        <v>45730</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26117-2024</t>
        </is>
      </c>
      <c r="B1687" s="1" t="n">
        <v>45468</v>
      </c>
      <c r="C1687" s="1" t="n">
        <v>45730</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26113-2024</t>
        </is>
      </c>
      <c r="B1688" s="1" t="n">
        <v>45468</v>
      </c>
      <c r="C1688" s="1" t="n">
        <v>45730</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26090-2024</t>
        </is>
      </c>
      <c r="B1689" s="1" t="n">
        <v>45468</v>
      </c>
      <c r="C1689" s="1" t="n">
        <v>45730</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26355-2024</t>
        </is>
      </c>
      <c r="B1690" s="1" t="n">
        <v>45469</v>
      </c>
      <c r="C1690" s="1" t="n">
        <v>45730</v>
      </c>
      <c r="D1690" t="inlineStr">
        <is>
          <t>STOCKHOLMS LÄN</t>
        </is>
      </c>
      <c r="E1690" t="inlineStr">
        <is>
          <t>NORRTÄLJE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26359-2024</t>
        </is>
      </c>
      <c r="B1691" s="1" t="n">
        <v>45469</v>
      </c>
      <c r="C1691" s="1" t="n">
        <v>45730</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26365-2024</t>
        </is>
      </c>
      <c r="B1692" s="1" t="n">
        <v>45469</v>
      </c>
      <c r="C1692" s="1" t="n">
        <v>45730</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26526-2024</t>
        </is>
      </c>
      <c r="B1693" s="1" t="n">
        <v>45469</v>
      </c>
      <c r="C1693" s="1" t="n">
        <v>45730</v>
      </c>
      <c r="D1693" t="inlineStr">
        <is>
          <t>STOCKHOLMS LÄN</t>
        </is>
      </c>
      <c r="E1693" t="inlineStr">
        <is>
          <t>NORRTÄLJE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26407-2024</t>
        </is>
      </c>
      <c r="B1694" s="1" t="n">
        <v>45469</v>
      </c>
      <c r="C1694" s="1" t="n">
        <v>45730</v>
      </c>
      <c r="D1694" t="inlineStr">
        <is>
          <t>STOCKHOLMS LÄN</t>
        </is>
      </c>
      <c r="E1694" t="inlineStr">
        <is>
          <t>NORRTÄLJE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26600-2024</t>
        </is>
      </c>
      <c r="B1695" s="1" t="n">
        <v>45469</v>
      </c>
      <c r="C1695" s="1" t="n">
        <v>45730</v>
      </c>
      <c r="D1695" t="inlineStr">
        <is>
          <t>STOCKHOLMS LÄN</t>
        </is>
      </c>
      <c r="E1695" t="inlineStr">
        <is>
          <t>NORRTÄLJE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26612-2024</t>
        </is>
      </c>
      <c r="B1696" s="1" t="n">
        <v>45469</v>
      </c>
      <c r="C1696" s="1" t="n">
        <v>45730</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26644-2024</t>
        </is>
      </c>
      <c r="B1697" s="1" t="n">
        <v>45469</v>
      </c>
      <c r="C1697" s="1" t="n">
        <v>45730</v>
      </c>
      <c r="D1697" t="inlineStr">
        <is>
          <t>STOCKHOLMS LÄN</t>
        </is>
      </c>
      <c r="E1697" t="inlineStr">
        <is>
          <t>NORRTÄLJE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26668-2024</t>
        </is>
      </c>
      <c r="B1698" s="1" t="n">
        <v>45469</v>
      </c>
      <c r="C1698" s="1" t="n">
        <v>45730</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26698-2024</t>
        </is>
      </c>
      <c r="B1699" s="1" t="n">
        <v>45470</v>
      </c>
      <c r="C1699" s="1" t="n">
        <v>45730</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27059-2024</t>
        </is>
      </c>
      <c r="B1700" s="1" t="n">
        <v>45471</v>
      </c>
      <c r="C1700" s="1" t="n">
        <v>45730</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27248-2024</t>
        </is>
      </c>
      <c r="B1701" s="1" t="n">
        <v>45471</v>
      </c>
      <c r="C1701" s="1" t="n">
        <v>45730</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27381-2024</t>
        </is>
      </c>
      <c r="B1702" s="1" t="n">
        <v>45474</v>
      </c>
      <c r="C1702" s="1" t="n">
        <v>45730</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45730</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28190-2024</t>
        </is>
      </c>
      <c r="B1704" s="1" t="n">
        <v>45477</v>
      </c>
      <c r="C1704" s="1" t="n">
        <v>45730</v>
      </c>
      <c r="D1704" t="inlineStr">
        <is>
          <t>STOCKHOLMS LÄN</t>
        </is>
      </c>
      <c r="E1704" t="inlineStr">
        <is>
          <t>NORRTÄLJE</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28245-2024</t>
        </is>
      </c>
      <c r="B1705" s="1" t="n">
        <v>45477</v>
      </c>
      <c r="C1705" s="1" t="n">
        <v>45730</v>
      </c>
      <c r="D1705" t="inlineStr">
        <is>
          <t>STOCKHOLMS LÄN</t>
        </is>
      </c>
      <c r="E1705" t="inlineStr">
        <is>
          <t>NORRTÄLJE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28200-2024</t>
        </is>
      </c>
      <c r="B1706" s="1" t="n">
        <v>45477</v>
      </c>
      <c r="C1706" s="1" t="n">
        <v>45730</v>
      </c>
      <c r="D1706" t="inlineStr">
        <is>
          <t>STOCKHOLMS LÄN</t>
        </is>
      </c>
      <c r="E1706" t="inlineStr">
        <is>
          <t>NORRTÄLJE</t>
        </is>
      </c>
      <c r="F1706" t="inlineStr">
        <is>
          <t>Kyrkan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28603-2024</t>
        </is>
      </c>
      <c r="B1707" s="1" t="n">
        <v>45478</v>
      </c>
      <c r="C1707" s="1" t="n">
        <v>45730</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28764-2024</t>
        </is>
      </c>
      <c r="B1708" s="1" t="n">
        <v>45478</v>
      </c>
      <c r="C1708" s="1" t="n">
        <v>45730</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29210-2024</t>
        </is>
      </c>
      <c r="B1709" s="1" t="n">
        <v>45482</v>
      </c>
      <c r="C1709" s="1" t="n">
        <v>45730</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29176-2024</t>
        </is>
      </c>
      <c r="B1710" s="1" t="n">
        <v>45482</v>
      </c>
      <c r="C1710" s="1" t="n">
        <v>45730</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29369-2024</t>
        </is>
      </c>
      <c r="B1711" s="1" t="n">
        <v>45483</v>
      </c>
      <c r="C1711" s="1" t="n">
        <v>45730</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29419-2024</t>
        </is>
      </c>
      <c r="B1712" s="1" t="n">
        <v>45483</v>
      </c>
      <c r="C1712" s="1" t="n">
        <v>45730</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29504-2024</t>
        </is>
      </c>
      <c r="B1713" s="1" t="n">
        <v>45484</v>
      </c>
      <c r="C1713" s="1" t="n">
        <v>45730</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29589-2024</t>
        </is>
      </c>
      <c r="B1714" s="1" t="n">
        <v>45484</v>
      </c>
      <c r="C1714" s="1" t="n">
        <v>45730</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29583-2024</t>
        </is>
      </c>
      <c r="B1715" s="1" t="n">
        <v>45484</v>
      </c>
      <c r="C1715" s="1" t="n">
        <v>45730</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29578-2024</t>
        </is>
      </c>
      <c r="B1716" s="1" t="n">
        <v>45484</v>
      </c>
      <c r="C1716" s="1" t="n">
        <v>45730</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29505-2024</t>
        </is>
      </c>
      <c r="B1717" s="1" t="n">
        <v>45484</v>
      </c>
      <c r="C1717" s="1" t="n">
        <v>45730</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29972-2024</t>
        </is>
      </c>
      <c r="B1718" s="1" t="n">
        <v>45485</v>
      </c>
      <c r="C1718" s="1" t="n">
        <v>45730</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29841-2024</t>
        </is>
      </c>
      <c r="B1719" s="1" t="n">
        <v>45485</v>
      </c>
      <c r="C1719" s="1" t="n">
        <v>45730</v>
      </c>
      <c r="D1719" t="inlineStr">
        <is>
          <t>STOCKHOLMS LÄN</t>
        </is>
      </c>
      <c r="E1719" t="inlineStr">
        <is>
          <t>NORRTÄLJE</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30108-2024</t>
        </is>
      </c>
      <c r="B1720" s="1" t="n">
        <v>45487</v>
      </c>
      <c r="C1720" s="1" t="n">
        <v>45730</v>
      </c>
      <c r="D1720" t="inlineStr">
        <is>
          <t>STOCKHOLMS LÄN</t>
        </is>
      </c>
      <c r="E1720" t="inlineStr">
        <is>
          <t>NORRTÄLJE</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30033-2024</t>
        </is>
      </c>
      <c r="B1721" s="1" t="n">
        <v>45488</v>
      </c>
      <c r="C1721" s="1" t="n">
        <v>45730</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29994-2024</t>
        </is>
      </c>
      <c r="B1722" s="1" t="n">
        <v>45488</v>
      </c>
      <c r="C1722" s="1" t="n">
        <v>45730</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30096-2024</t>
        </is>
      </c>
      <c r="B1723" s="1" t="n">
        <v>45489</v>
      </c>
      <c r="C1723" s="1" t="n">
        <v>45730</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30221-2024</t>
        </is>
      </c>
      <c r="B1724" s="1" t="n">
        <v>45490</v>
      </c>
      <c r="C1724" s="1" t="n">
        <v>45730</v>
      </c>
      <c r="D1724" t="inlineStr">
        <is>
          <t>STOCKHOLMS LÄN</t>
        </is>
      </c>
      <c r="E1724" t="inlineStr">
        <is>
          <t>NORRTÄLJE</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30268-2024</t>
        </is>
      </c>
      <c r="B1725" s="1" t="n">
        <v>45490</v>
      </c>
      <c r="C1725" s="1" t="n">
        <v>45730</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30323-2024</t>
        </is>
      </c>
      <c r="B1726" s="1" t="n">
        <v>45490</v>
      </c>
      <c r="C1726" s="1" t="n">
        <v>45730</v>
      </c>
      <c r="D1726" t="inlineStr">
        <is>
          <t>STOCKHOLMS LÄN</t>
        </is>
      </c>
      <c r="E1726" t="inlineStr">
        <is>
          <t>NORRTÄLJE</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30396-2024</t>
        </is>
      </c>
      <c r="B1727" s="1" t="n">
        <v>45491</v>
      </c>
      <c r="C1727" s="1" t="n">
        <v>45730</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30553-2024</t>
        </is>
      </c>
      <c r="B1728" s="1" t="n">
        <v>45492</v>
      </c>
      <c r="C1728" s="1" t="n">
        <v>45730</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30666-2024</t>
        </is>
      </c>
      <c r="B1729" s="1" t="n">
        <v>45495</v>
      </c>
      <c r="C1729" s="1" t="n">
        <v>45730</v>
      </c>
      <c r="D1729" t="inlineStr">
        <is>
          <t>STOCKHOLMS LÄN</t>
        </is>
      </c>
      <c r="E1729" t="inlineStr">
        <is>
          <t>NORRTÄLJE</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30963-2024</t>
        </is>
      </c>
      <c r="B1730" s="1" t="n">
        <v>45499</v>
      </c>
      <c r="C1730" s="1" t="n">
        <v>45730</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30995-2024</t>
        </is>
      </c>
      <c r="B1731" s="1" t="n">
        <v>45499</v>
      </c>
      <c r="C1731" s="1" t="n">
        <v>45730</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31027-2024</t>
        </is>
      </c>
      <c r="B1732" s="1" t="n">
        <v>45501</v>
      </c>
      <c r="C1732" s="1" t="n">
        <v>45730</v>
      </c>
      <c r="D1732" t="inlineStr">
        <is>
          <t>STOCKHOLMS LÄN</t>
        </is>
      </c>
      <c r="E1732" t="inlineStr">
        <is>
          <t>NORRTÄLJE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31228-2024</t>
        </is>
      </c>
      <c r="B1733" s="1" t="n">
        <v>45503</v>
      </c>
      <c r="C1733" s="1" t="n">
        <v>45730</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31232-2024</t>
        </is>
      </c>
      <c r="B1734" s="1" t="n">
        <v>45503</v>
      </c>
      <c r="C1734" s="1" t="n">
        <v>45730</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31343-2024</t>
        </is>
      </c>
      <c r="B1735" s="1" t="n">
        <v>45504</v>
      </c>
      <c r="C1735" s="1" t="n">
        <v>45730</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31311-2024</t>
        </is>
      </c>
      <c r="B1736" s="1" t="n">
        <v>45504</v>
      </c>
      <c r="C1736" s="1" t="n">
        <v>45730</v>
      </c>
      <c r="D1736" t="inlineStr">
        <is>
          <t>STOCKHOLMS LÄN</t>
        </is>
      </c>
      <c r="E1736" t="inlineStr">
        <is>
          <t>NORRTÄLJE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31279-2024</t>
        </is>
      </c>
      <c r="B1737" s="1" t="n">
        <v>45504</v>
      </c>
      <c r="C1737" s="1" t="n">
        <v>45730</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32874-2024</t>
        </is>
      </c>
      <c r="B1738" s="1" t="n">
        <v>45516</v>
      </c>
      <c r="C1738" s="1" t="n">
        <v>45730</v>
      </c>
      <c r="D1738" t="inlineStr">
        <is>
          <t>STOCKHOLMS LÄN</t>
        </is>
      </c>
      <c r="E1738" t="inlineStr">
        <is>
          <t>NORRTÄLJE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32706-2024</t>
        </is>
      </c>
      <c r="B1739" s="1" t="n">
        <v>45516</v>
      </c>
      <c r="C1739" s="1" t="n">
        <v>45730</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33173-2024</t>
        </is>
      </c>
      <c r="B1740" s="1" t="n">
        <v>45518</v>
      </c>
      <c r="C1740" s="1" t="n">
        <v>45730</v>
      </c>
      <c r="D1740" t="inlineStr">
        <is>
          <t>STOCKHOLMS LÄN</t>
        </is>
      </c>
      <c r="E1740" t="inlineStr">
        <is>
          <t>NORRTÄLJE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33226-2024</t>
        </is>
      </c>
      <c r="B1741" s="1" t="n">
        <v>45518</v>
      </c>
      <c r="C1741" s="1" t="n">
        <v>45730</v>
      </c>
      <c r="D1741" t="inlineStr">
        <is>
          <t>STOCKHOLMS LÄN</t>
        </is>
      </c>
      <c r="E1741" t="inlineStr">
        <is>
          <t>NORRTÄLJE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33175-2024</t>
        </is>
      </c>
      <c r="B1742" s="1" t="n">
        <v>45518</v>
      </c>
      <c r="C1742" s="1" t="n">
        <v>45730</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33385-2024</t>
        </is>
      </c>
      <c r="B1743" s="1" t="n">
        <v>45519</v>
      </c>
      <c r="C1743" s="1" t="n">
        <v>45730</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33592-2024</t>
        </is>
      </c>
      <c r="B1744" s="1" t="n">
        <v>45520</v>
      </c>
      <c r="C1744" s="1" t="n">
        <v>45730</v>
      </c>
      <c r="D1744" t="inlineStr">
        <is>
          <t>STOCKHOLMS LÄN</t>
        </is>
      </c>
      <c r="E1744" t="inlineStr">
        <is>
          <t>NORRTÄLJE</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33878-2024</t>
        </is>
      </c>
      <c r="B1745" s="1" t="n">
        <v>45522</v>
      </c>
      <c r="C1745" s="1" t="n">
        <v>45730</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34295-2024</t>
        </is>
      </c>
      <c r="B1746" s="1" t="n">
        <v>45524</v>
      </c>
      <c r="C1746" s="1" t="n">
        <v>45730</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34444-2024</t>
        </is>
      </c>
      <c r="B1747" s="1" t="n">
        <v>45525</v>
      </c>
      <c r="C1747" s="1" t="n">
        <v>45730</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34547-2024</t>
        </is>
      </c>
      <c r="B1748" s="1" t="n">
        <v>45525</v>
      </c>
      <c r="C1748" s="1" t="n">
        <v>45730</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34583-2024</t>
        </is>
      </c>
      <c r="B1749" s="1" t="n">
        <v>45526</v>
      </c>
      <c r="C1749" s="1" t="n">
        <v>45730</v>
      </c>
      <c r="D1749" t="inlineStr">
        <is>
          <t>STOCKHOLMS LÄN</t>
        </is>
      </c>
      <c r="E1749" t="inlineStr">
        <is>
          <t>NORRTÄLJE</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35239-2024</t>
        </is>
      </c>
      <c r="B1750" s="1" t="n">
        <v>45530</v>
      </c>
      <c r="C1750" s="1" t="n">
        <v>45730</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35235-2024</t>
        </is>
      </c>
      <c r="B1751" s="1" t="n">
        <v>45530</v>
      </c>
      <c r="C1751" s="1" t="n">
        <v>45730</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35532-2024</t>
        </is>
      </c>
      <c r="B1752" s="1" t="n">
        <v>45531</v>
      </c>
      <c r="C1752" s="1" t="n">
        <v>45730</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35467-2024</t>
        </is>
      </c>
      <c r="B1753" s="1" t="n">
        <v>45531</v>
      </c>
      <c r="C1753" s="1" t="n">
        <v>45730</v>
      </c>
      <c r="D1753" t="inlineStr">
        <is>
          <t>STOCKHOLMS LÄN</t>
        </is>
      </c>
      <c r="E1753" t="inlineStr">
        <is>
          <t>NORRTÄLJE</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35640-2024</t>
        </is>
      </c>
      <c r="B1754" s="1" t="n">
        <v>45531</v>
      </c>
      <c r="C1754" s="1" t="n">
        <v>45730</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35719-2024</t>
        </is>
      </c>
      <c r="B1755" s="1" t="n">
        <v>45532</v>
      </c>
      <c r="C1755" s="1" t="n">
        <v>45730</v>
      </c>
      <c r="D1755" t="inlineStr">
        <is>
          <t>STOCKHOLMS LÄN</t>
        </is>
      </c>
      <c r="E1755" t="inlineStr">
        <is>
          <t>NORRTÄLJE</t>
        </is>
      </c>
      <c r="F1755" t="inlineStr">
        <is>
          <t>Holmen skog AB</t>
        </is>
      </c>
      <c r="G1755" t="n">
        <v>15.2</v>
      </c>
      <c r="H1755" t="n">
        <v>0</v>
      </c>
      <c r="I1755" t="n">
        <v>0</v>
      </c>
      <c r="J1755" t="n">
        <v>0</v>
      </c>
      <c r="K1755" t="n">
        <v>0</v>
      </c>
      <c r="L1755" t="n">
        <v>0</v>
      </c>
      <c r="M1755" t="n">
        <v>0</v>
      </c>
      <c r="N1755" t="n">
        <v>0</v>
      </c>
      <c r="O1755" t="n">
        <v>0</v>
      </c>
      <c r="P1755" t="n">
        <v>0</v>
      </c>
      <c r="Q1755" t="n">
        <v>0</v>
      </c>
      <c r="R1755" s="2" t="inlineStr"/>
    </row>
    <row r="1756" ht="15" customHeight="1">
      <c r="A1756" t="inlineStr">
        <is>
          <t>A 35782-2024</t>
        </is>
      </c>
      <c r="B1756" s="1" t="n">
        <v>45532</v>
      </c>
      <c r="C1756" s="1" t="n">
        <v>45730</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35647-2024</t>
        </is>
      </c>
      <c r="B1757" s="1" t="n">
        <v>45532</v>
      </c>
      <c r="C1757" s="1" t="n">
        <v>45730</v>
      </c>
      <c r="D1757" t="inlineStr">
        <is>
          <t>STOCKHOLMS LÄN</t>
        </is>
      </c>
      <c r="E1757" t="inlineStr">
        <is>
          <t>NORRTÄLJE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35916-2024</t>
        </is>
      </c>
      <c r="B1758" s="1" t="n">
        <v>45533</v>
      </c>
      <c r="C1758" s="1" t="n">
        <v>45730</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36157-2024</t>
        </is>
      </c>
      <c r="B1759" s="1" t="n">
        <v>45534</v>
      </c>
      <c r="C1759" s="1" t="n">
        <v>45730</v>
      </c>
      <c r="D1759" t="inlineStr">
        <is>
          <t>STOCKHOLMS LÄN</t>
        </is>
      </c>
      <c r="E1759" t="inlineStr">
        <is>
          <t>NORRTÄLJE</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36430-2024</t>
        </is>
      </c>
      <c r="B1760" s="1" t="n">
        <v>45536</v>
      </c>
      <c r="C1760" s="1" t="n">
        <v>45730</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36556-2024</t>
        </is>
      </c>
      <c r="B1761" s="1" t="n">
        <v>45537</v>
      </c>
      <c r="C1761" s="1" t="n">
        <v>45730</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36625-2024</t>
        </is>
      </c>
      <c r="B1762" s="1" t="n">
        <v>45537</v>
      </c>
      <c r="C1762" s="1" t="n">
        <v>45730</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37273-2024</t>
        </is>
      </c>
      <c r="B1763" s="1" t="n">
        <v>45540</v>
      </c>
      <c r="C1763" s="1" t="n">
        <v>45730</v>
      </c>
      <c r="D1763" t="inlineStr">
        <is>
          <t>STOCKHOLMS LÄN</t>
        </is>
      </c>
      <c r="E1763" t="inlineStr">
        <is>
          <t>NORRTÄLJE</t>
        </is>
      </c>
      <c r="F1763" t="inlineStr">
        <is>
          <t>Sveaskog</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37663-2024</t>
        </is>
      </c>
      <c r="B1764" s="1" t="n">
        <v>45541</v>
      </c>
      <c r="C1764" s="1" t="n">
        <v>45730</v>
      </c>
      <c r="D1764" t="inlineStr">
        <is>
          <t>STOCKHOLMS LÄN</t>
        </is>
      </c>
      <c r="E1764" t="inlineStr">
        <is>
          <t>NORRTÄLJE</t>
        </is>
      </c>
      <c r="F1764" t="inlineStr">
        <is>
          <t>Holmen skog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37684-2024</t>
        </is>
      </c>
      <c r="B1765" s="1" t="n">
        <v>45541</v>
      </c>
      <c r="C1765" s="1" t="n">
        <v>45730</v>
      </c>
      <c r="D1765" t="inlineStr">
        <is>
          <t>STOCKHOLMS LÄN</t>
        </is>
      </c>
      <c r="E1765" t="inlineStr">
        <is>
          <t>NORRTÄLJE</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37980-2024</t>
        </is>
      </c>
      <c r="B1766" s="1" t="n">
        <v>45544</v>
      </c>
      <c r="C1766" s="1" t="n">
        <v>45730</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38073-2024</t>
        </is>
      </c>
      <c r="B1767" s="1" t="n">
        <v>45544</v>
      </c>
      <c r="C1767" s="1" t="n">
        <v>45730</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38878-2024</t>
        </is>
      </c>
      <c r="B1768" s="1" t="n">
        <v>45547</v>
      </c>
      <c r="C1768" s="1" t="n">
        <v>45730</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38889-2024</t>
        </is>
      </c>
      <c r="B1769" s="1" t="n">
        <v>45547</v>
      </c>
      <c r="C1769" s="1" t="n">
        <v>45730</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39203-2024</t>
        </is>
      </c>
      <c r="B1770" s="1" t="n">
        <v>45548</v>
      </c>
      <c r="C1770" s="1" t="n">
        <v>45730</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39202-2024</t>
        </is>
      </c>
      <c r="B1771" s="1" t="n">
        <v>45548</v>
      </c>
      <c r="C1771" s="1" t="n">
        <v>45730</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39238-2024</t>
        </is>
      </c>
      <c r="B1772" s="1" t="n">
        <v>45549</v>
      </c>
      <c r="C1772" s="1" t="n">
        <v>45730</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39237-2024</t>
        </is>
      </c>
      <c r="B1773" s="1" t="n">
        <v>45549</v>
      </c>
      <c r="C1773" s="1" t="n">
        <v>45730</v>
      </c>
      <c r="D1773" t="inlineStr">
        <is>
          <t>STOCKHOLMS LÄN</t>
        </is>
      </c>
      <c r="E1773" t="inlineStr">
        <is>
          <t>NORRTÄLJE</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39669-2024</t>
        </is>
      </c>
      <c r="B1774" s="1" t="n">
        <v>45552</v>
      </c>
      <c r="C1774" s="1" t="n">
        <v>45730</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39667-2024</t>
        </is>
      </c>
      <c r="B1775" s="1" t="n">
        <v>45552</v>
      </c>
      <c r="C1775" s="1" t="n">
        <v>45730</v>
      </c>
      <c r="D1775" t="inlineStr">
        <is>
          <t>STOCKHOLMS LÄN</t>
        </is>
      </c>
      <c r="E1775" t="inlineStr">
        <is>
          <t>NORRTÄLJE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39913-2024</t>
        </is>
      </c>
      <c r="B1776" s="1" t="n">
        <v>45553</v>
      </c>
      <c r="C1776" s="1" t="n">
        <v>45730</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40175-2024</t>
        </is>
      </c>
      <c r="B1777" s="1" t="n">
        <v>45554</v>
      </c>
      <c r="C1777" s="1" t="n">
        <v>45730</v>
      </c>
      <c r="D1777" t="inlineStr">
        <is>
          <t>STOCKHOLMS LÄN</t>
        </is>
      </c>
      <c r="E1777" t="inlineStr">
        <is>
          <t>NORRTÄLJE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40761-2024</t>
        </is>
      </c>
      <c r="B1778" s="1" t="n">
        <v>45558</v>
      </c>
      <c r="C1778" s="1" t="n">
        <v>45730</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41219-2024</t>
        </is>
      </c>
      <c r="B1779" s="1" t="n">
        <v>45559</v>
      </c>
      <c r="C1779" s="1" t="n">
        <v>45730</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v>
      </c>
      <c r="C1780" s="1" t="n">
        <v>45730</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41243-2024</t>
        </is>
      </c>
      <c r="B1781" s="1" t="n">
        <v>45559</v>
      </c>
      <c r="C1781" s="1" t="n">
        <v>45730</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41253-2024</t>
        </is>
      </c>
      <c r="B1782" s="1" t="n">
        <v>45559</v>
      </c>
      <c r="C1782" s="1" t="n">
        <v>45730</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41310-2024</t>
        </is>
      </c>
      <c r="B1783" s="1" t="n">
        <v>45559</v>
      </c>
      <c r="C1783" s="1" t="n">
        <v>45730</v>
      </c>
      <c r="D1783" t="inlineStr">
        <is>
          <t>STOCKHOLMS LÄN</t>
        </is>
      </c>
      <c r="E1783" t="inlineStr">
        <is>
          <t>NORRTÄLJE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41342-2024</t>
        </is>
      </c>
      <c r="B1784" s="1" t="n">
        <v>45559</v>
      </c>
      <c r="C1784" s="1" t="n">
        <v>45730</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v>
      </c>
      <c r="C1785" s="1" t="n">
        <v>45730</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44032-2024</t>
        </is>
      </c>
      <c r="B1786" s="1" t="n">
        <v>45572</v>
      </c>
      <c r="C1786" s="1" t="n">
        <v>45730</v>
      </c>
      <c r="D1786" t="inlineStr">
        <is>
          <t>STOCKHOLMS LÄN</t>
        </is>
      </c>
      <c r="E1786" t="inlineStr">
        <is>
          <t>NORRTÄLJE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44776-2024</t>
        </is>
      </c>
      <c r="B1787" s="1" t="n">
        <v>45574</v>
      </c>
      <c r="C1787" s="1" t="n">
        <v>45730</v>
      </c>
      <c r="D1787" t="inlineStr">
        <is>
          <t>STOCKHOLMS LÄN</t>
        </is>
      </c>
      <c r="E1787" t="inlineStr">
        <is>
          <t>NORRTÄLJE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44821-2024</t>
        </is>
      </c>
      <c r="B1788" s="1" t="n">
        <v>45574</v>
      </c>
      <c r="C1788" s="1" t="n">
        <v>45730</v>
      </c>
      <c r="D1788" t="inlineStr">
        <is>
          <t>STOCKHOLMS LÄN</t>
        </is>
      </c>
      <c r="E1788" t="inlineStr">
        <is>
          <t>NORRTÄLJE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45220-2024</t>
        </is>
      </c>
      <c r="B1789" s="1" t="n">
        <v>45575</v>
      </c>
      <c r="C1789" s="1" t="n">
        <v>45730</v>
      </c>
      <c r="D1789" t="inlineStr">
        <is>
          <t>STOCKHOLMS LÄN</t>
        </is>
      </c>
      <c r="E1789" t="inlineStr">
        <is>
          <t>NORRTÄLJE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45254-2024</t>
        </is>
      </c>
      <c r="B1790" s="1" t="n">
        <v>45576</v>
      </c>
      <c r="C1790" s="1" t="n">
        <v>45730</v>
      </c>
      <c r="D1790" t="inlineStr">
        <is>
          <t>STOCKHOLMS LÄN</t>
        </is>
      </c>
      <c r="E1790" t="inlineStr">
        <is>
          <t>NORRTÄLJE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45451-2024</t>
        </is>
      </c>
      <c r="B1791" s="1" t="n">
        <v>45576</v>
      </c>
      <c r="C1791" s="1" t="n">
        <v>45730</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45247-2024</t>
        </is>
      </c>
      <c r="B1792" s="1" t="n">
        <v>45576</v>
      </c>
      <c r="C1792" s="1" t="n">
        <v>45730</v>
      </c>
      <c r="D1792" t="inlineStr">
        <is>
          <t>STOCKHOLMS LÄN</t>
        </is>
      </c>
      <c r="E1792" t="inlineStr">
        <is>
          <t>NORRTÄLJE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45739-2024</t>
        </is>
      </c>
      <c r="B1793" s="1" t="n">
        <v>45579</v>
      </c>
      <c r="C1793" s="1" t="n">
        <v>45730</v>
      </c>
      <c r="D1793" t="inlineStr">
        <is>
          <t>STOCKHOLMS LÄN</t>
        </is>
      </c>
      <c r="E1793" t="inlineStr">
        <is>
          <t>NORRTÄLJE</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45730</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46073-2024</t>
        </is>
      </c>
      <c r="B1795" s="1" t="n">
        <v>45581</v>
      </c>
      <c r="C1795" s="1" t="n">
        <v>45730</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46326-2024</t>
        </is>
      </c>
      <c r="B1796" s="1" t="n">
        <v>45581</v>
      </c>
      <c r="C1796" s="1" t="n">
        <v>45730</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45730</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46333-2024</t>
        </is>
      </c>
      <c r="B1798" s="1" t="n">
        <v>45581</v>
      </c>
      <c r="C1798" s="1" t="n">
        <v>45730</v>
      </c>
      <c r="D1798" t="inlineStr">
        <is>
          <t>STOCKHOLMS LÄN</t>
        </is>
      </c>
      <c r="E1798" t="inlineStr">
        <is>
          <t>NORRTÄLJE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46448-2024</t>
        </is>
      </c>
      <c r="B1799" s="1" t="n">
        <v>45582</v>
      </c>
      <c r="C1799" s="1" t="n">
        <v>45730</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46988-2024</t>
        </is>
      </c>
      <c r="B1800" s="1" t="n">
        <v>45586</v>
      </c>
      <c r="C1800" s="1" t="n">
        <v>45730</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47257-2024</t>
        </is>
      </c>
      <c r="B1801" s="1" t="n">
        <v>45586</v>
      </c>
      <c r="C1801" s="1" t="n">
        <v>45730</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47259-2024</t>
        </is>
      </c>
      <c r="B1802" s="1" t="n">
        <v>45586</v>
      </c>
      <c r="C1802" s="1" t="n">
        <v>45730</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47521-2024</t>
        </is>
      </c>
      <c r="B1803" s="1" t="n">
        <v>45587</v>
      </c>
      <c r="C1803" s="1" t="n">
        <v>45730</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47481-2024</t>
        </is>
      </c>
      <c r="B1804" s="1" t="n">
        <v>45587</v>
      </c>
      <c r="C1804" s="1" t="n">
        <v>45730</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48145-2024</t>
        </is>
      </c>
      <c r="B1805" s="1" t="n">
        <v>45589</v>
      </c>
      <c r="C1805" s="1" t="n">
        <v>45730</v>
      </c>
      <c r="D1805" t="inlineStr">
        <is>
          <t>STOCKHOLMS LÄN</t>
        </is>
      </c>
      <c r="E1805" t="inlineStr">
        <is>
          <t>NORRTÄLJE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48151-2024</t>
        </is>
      </c>
      <c r="B1806" s="1" t="n">
        <v>45589</v>
      </c>
      <c r="C1806" s="1" t="n">
        <v>45730</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48564-2024</t>
        </is>
      </c>
      <c r="B1807" s="1" t="n">
        <v>45593</v>
      </c>
      <c r="C1807" s="1" t="n">
        <v>45730</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48548-2024</t>
        </is>
      </c>
      <c r="B1808" s="1" t="n">
        <v>45593</v>
      </c>
      <c r="C1808" s="1" t="n">
        <v>45730</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48852-2024</t>
        </is>
      </c>
      <c r="B1809" s="1" t="n">
        <v>45593</v>
      </c>
      <c r="C1809" s="1" t="n">
        <v>45730</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48850-2024</t>
        </is>
      </c>
      <c r="B1810" s="1" t="n">
        <v>45593</v>
      </c>
      <c r="C1810" s="1" t="n">
        <v>45730</v>
      </c>
      <c r="D1810" t="inlineStr">
        <is>
          <t>STOCKHOLMS LÄN</t>
        </is>
      </c>
      <c r="E1810" t="inlineStr">
        <is>
          <t>NORRTÄLJE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48851-2024</t>
        </is>
      </c>
      <c r="B1811" s="1" t="n">
        <v>45593</v>
      </c>
      <c r="C1811" s="1" t="n">
        <v>45730</v>
      </c>
      <c r="D1811" t="inlineStr">
        <is>
          <t>STOCKHOLMS LÄN</t>
        </is>
      </c>
      <c r="E1811" t="inlineStr">
        <is>
          <t>NORRTÄLJE</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49949-2024</t>
        </is>
      </c>
      <c r="B1812" s="1" t="n">
        <v>45597</v>
      </c>
      <c r="C1812" s="1" t="n">
        <v>45730</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50113-2024</t>
        </is>
      </c>
      <c r="B1813" s="1" t="n">
        <v>45600</v>
      </c>
      <c r="C1813" s="1" t="n">
        <v>45730</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50355-2024</t>
        </is>
      </c>
      <c r="B1814" s="1" t="n">
        <v>45600</v>
      </c>
      <c r="C1814" s="1" t="n">
        <v>45730</v>
      </c>
      <c r="D1814" t="inlineStr">
        <is>
          <t>STOCKHOLMS LÄN</t>
        </is>
      </c>
      <c r="E1814" t="inlineStr">
        <is>
          <t>NORRTÄLJE</t>
        </is>
      </c>
      <c r="F1814" t="inlineStr">
        <is>
          <t>Kommuner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50154-2024</t>
        </is>
      </c>
      <c r="B1815" s="1" t="n">
        <v>45600</v>
      </c>
      <c r="C1815" s="1" t="n">
        <v>45730</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v>
      </c>
      <c r="C1816" s="1" t="n">
        <v>45730</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50534-2024</t>
        </is>
      </c>
      <c r="B1817" s="1" t="n">
        <v>45601</v>
      </c>
      <c r="C1817" s="1" t="n">
        <v>45730</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52287-2024</t>
        </is>
      </c>
      <c r="B1818" s="1" t="n">
        <v>45608</v>
      </c>
      <c r="C1818" s="1" t="n">
        <v>45730</v>
      </c>
      <c r="D1818" t="inlineStr">
        <is>
          <t>STOCKHOLMS LÄN</t>
        </is>
      </c>
      <c r="E1818" t="inlineStr">
        <is>
          <t>NORRTÄLJE</t>
        </is>
      </c>
      <c r="F1818" t="inlineStr">
        <is>
          <t>Holmen skog AB</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52321-2024</t>
        </is>
      </c>
      <c r="B1819" s="1" t="n">
        <v>45608</v>
      </c>
      <c r="C1819" s="1" t="n">
        <v>45730</v>
      </c>
      <c r="D1819" t="inlineStr">
        <is>
          <t>STOCKHOLMS LÄN</t>
        </is>
      </c>
      <c r="E1819" t="inlineStr">
        <is>
          <t>NORRTÄLJE</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52407-2024</t>
        </is>
      </c>
      <c r="B1820" s="1" t="n">
        <v>45609</v>
      </c>
      <c r="C1820" s="1" t="n">
        <v>45730</v>
      </c>
      <c r="D1820" t="inlineStr">
        <is>
          <t>STOCKHOLMS LÄN</t>
        </is>
      </c>
      <c r="E1820" t="inlineStr">
        <is>
          <t>NORRTÄLJE</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52615-2024</t>
        </is>
      </c>
      <c r="B1821" s="1" t="n">
        <v>45609</v>
      </c>
      <c r="C1821" s="1" t="n">
        <v>45730</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52614-2024</t>
        </is>
      </c>
      <c r="B1822" s="1" t="n">
        <v>45609</v>
      </c>
      <c r="C1822" s="1" t="n">
        <v>45730</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52618-2024</t>
        </is>
      </c>
      <c r="B1823" s="1" t="n">
        <v>45609</v>
      </c>
      <c r="C1823" s="1" t="n">
        <v>45730</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52593-2024</t>
        </is>
      </c>
      <c r="B1824" s="1" t="n">
        <v>45609</v>
      </c>
      <c r="C1824" s="1" t="n">
        <v>45730</v>
      </c>
      <c r="D1824" t="inlineStr">
        <is>
          <t>STOCKHOLMS LÄN</t>
        </is>
      </c>
      <c r="E1824" t="inlineStr">
        <is>
          <t>NORRTÄLJE</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52617-2024</t>
        </is>
      </c>
      <c r="B1825" s="1" t="n">
        <v>45609</v>
      </c>
      <c r="C1825" s="1" t="n">
        <v>45730</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52715-2024</t>
        </is>
      </c>
      <c r="B1826" s="1" t="n">
        <v>45610</v>
      </c>
      <c r="C1826" s="1" t="n">
        <v>45730</v>
      </c>
      <c r="D1826" t="inlineStr">
        <is>
          <t>STOCKHOLMS LÄN</t>
        </is>
      </c>
      <c r="E1826" t="inlineStr">
        <is>
          <t>NORRTÄLJE</t>
        </is>
      </c>
      <c r="G1826" t="n">
        <v>11.1</v>
      </c>
      <c r="H1826" t="n">
        <v>0</v>
      </c>
      <c r="I1826" t="n">
        <v>0</v>
      </c>
      <c r="J1826" t="n">
        <v>0</v>
      </c>
      <c r="K1826" t="n">
        <v>0</v>
      </c>
      <c r="L1826" t="n">
        <v>0</v>
      </c>
      <c r="M1826" t="n">
        <v>0</v>
      </c>
      <c r="N1826" t="n">
        <v>0</v>
      </c>
      <c r="O1826" t="n">
        <v>0</v>
      </c>
      <c r="P1826" t="n">
        <v>0</v>
      </c>
      <c r="Q1826" t="n">
        <v>0</v>
      </c>
      <c r="R1826" s="2" t="inlineStr"/>
      <c r="U1826">
        <f>HYPERLINK("https://klasma.github.io/Logging_0188/knärot/A 52715-2024 karta knärot.png", "A 52715-2024")</f>
        <v/>
      </c>
      <c r="V1826">
        <f>HYPERLINK("https://klasma.github.io/Logging_0188/klagomål/A 52715-2024 FSC-klagomål.docx", "A 52715-2024")</f>
        <v/>
      </c>
      <c r="W1826">
        <f>HYPERLINK("https://klasma.github.io/Logging_0188/klagomålsmail/A 52715-2024 FSC-klagomål mail.docx", "A 52715-2024")</f>
        <v/>
      </c>
      <c r="X1826">
        <f>HYPERLINK("https://klasma.github.io/Logging_0188/tillsyn/A 52715-2024 tillsynsbegäran.docx", "A 52715-2024")</f>
        <v/>
      </c>
      <c r="Y1826">
        <f>HYPERLINK("https://klasma.github.io/Logging_0188/tillsynsmail/A 52715-2024 tillsynsbegäran mail.docx", "A 52715-2024")</f>
        <v/>
      </c>
    </row>
    <row r="1827" ht="15" customHeight="1">
      <c r="A1827" t="inlineStr">
        <is>
          <t>A 52743-2024</t>
        </is>
      </c>
      <c r="B1827" s="1" t="n">
        <v>45610</v>
      </c>
      <c r="C1827" s="1" t="n">
        <v>45730</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52686-2024</t>
        </is>
      </c>
      <c r="B1828" s="1" t="n">
        <v>45610</v>
      </c>
      <c r="C1828" s="1" t="n">
        <v>45730</v>
      </c>
      <c r="D1828" t="inlineStr">
        <is>
          <t>STOCKHOLMS LÄN</t>
        </is>
      </c>
      <c r="E1828" t="inlineStr">
        <is>
          <t>NORRTÄLJE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53312-2024</t>
        </is>
      </c>
      <c r="B1829" s="1" t="n">
        <v>45614</v>
      </c>
      <c r="C1829" s="1" t="n">
        <v>45730</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53305-2024</t>
        </is>
      </c>
      <c r="B1830" s="1" t="n">
        <v>45614</v>
      </c>
      <c r="C1830" s="1" t="n">
        <v>45730</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54113-2024</t>
        </is>
      </c>
      <c r="B1831" s="1" t="n">
        <v>45616</v>
      </c>
      <c r="C1831" s="1" t="n">
        <v>45730</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54315-2024</t>
        </is>
      </c>
      <c r="B1832" s="1" t="n">
        <v>45617</v>
      </c>
      <c r="C1832" s="1" t="n">
        <v>45730</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54558-2024</t>
        </is>
      </c>
      <c r="B1833" s="1" t="n">
        <v>45617</v>
      </c>
      <c r="C1833" s="1" t="n">
        <v>45730</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54496-2024</t>
        </is>
      </c>
      <c r="B1834" s="1" t="n">
        <v>45617</v>
      </c>
      <c r="C1834" s="1" t="n">
        <v>45730</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54504-2024</t>
        </is>
      </c>
      <c r="B1835" s="1" t="n">
        <v>45617</v>
      </c>
      <c r="C1835" s="1" t="n">
        <v>45730</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55018-2024</t>
        </is>
      </c>
      <c r="B1836" s="1" t="n">
        <v>45621</v>
      </c>
      <c r="C1836" s="1" t="n">
        <v>45730</v>
      </c>
      <c r="D1836" t="inlineStr">
        <is>
          <t>STOCKHOLMS LÄN</t>
        </is>
      </c>
      <c r="E1836" t="inlineStr">
        <is>
          <t>NORRTÄLJE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55010-2024</t>
        </is>
      </c>
      <c r="B1837" s="1" t="n">
        <v>45621</v>
      </c>
      <c r="C1837" s="1" t="n">
        <v>45730</v>
      </c>
      <c r="D1837" t="inlineStr">
        <is>
          <t>STOCKHOLMS LÄN</t>
        </is>
      </c>
      <c r="E1837" t="inlineStr">
        <is>
          <t>NORRTÄLJE</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55287-2024</t>
        </is>
      </c>
      <c r="B1838" s="1" t="n">
        <v>45621</v>
      </c>
      <c r="C1838" s="1" t="n">
        <v>45730</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55012-2024</t>
        </is>
      </c>
      <c r="B1839" s="1" t="n">
        <v>45621</v>
      </c>
      <c r="C1839" s="1" t="n">
        <v>45730</v>
      </c>
      <c r="D1839" t="inlineStr">
        <is>
          <t>STOCKHOLMS LÄN</t>
        </is>
      </c>
      <c r="E1839" t="inlineStr">
        <is>
          <t>NORRTÄLJE</t>
        </is>
      </c>
      <c r="F1839" t="inlineStr">
        <is>
          <t>Sveaskog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55952-2024</t>
        </is>
      </c>
      <c r="B1840" s="1" t="n">
        <v>45623</v>
      </c>
      <c r="C1840" s="1" t="n">
        <v>45730</v>
      </c>
      <c r="D1840" t="inlineStr">
        <is>
          <t>STOCKHOLMS LÄN</t>
        </is>
      </c>
      <c r="E1840" t="inlineStr">
        <is>
          <t>NORRTÄLJE</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56631-2024</t>
        </is>
      </c>
      <c r="B1841" s="1" t="n">
        <v>45625</v>
      </c>
      <c r="C1841" s="1" t="n">
        <v>45730</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57155-2024</t>
        </is>
      </c>
      <c r="B1842" s="1" t="n">
        <v>45629</v>
      </c>
      <c r="C1842" s="1" t="n">
        <v>45730</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57353-2024</t>
        </is>
      </c>
      <c r="B1843" s="1" t="n">
        <v>45629</v>
      </c>
      <c r="C1843" s="1" t="n">
        <v>45730</v>
      </c>
      <c r="D1843" t="inlineStr">
        <is>
          <t>STOCKHOLMS LÄN</t>
        </is>
      </c>
      <c r="E1843" t="inlineStr">
        <is>
          <t>NORRTÄLJE</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57602-2024</t>
        </is>
      </c>
      <c r="B1844" s="1" t="n">
        <v>45630</v>
      </c>
      <c r="C1844" s="1" t="n">
        <v>45730</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58040-2024</t>
        </is>
      </c>
      <c r="B1845" s="1" t="n">
        <v>45631</v>
      </c>
      <c r="C1845" s="1" t="n">
        <v>45730</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58041-2024</t>
        </is>
      </c>
      <c r="B1846" s="1" t="n">
        <v>45631</v>
      </c>
      <c r="C1846" s="1" t="n">
        <v>45730</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58530-2024</t>
        </is>
      </c>
      <c r="B1847" s="1" t="n">
        <v>45635</v>
      </c>
      <c r="C1847" s="1" t="n">
        <v>45730</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v>
      </c>
      <c r="C1848" s="1" t="n">
        <v>45730</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58863-2024</t>
        </is>
      </c>
      <c r="B1849" s="1" t="n">
        <v>45636</v>
      </c>
      <c r="C1849" s="1" t="n">
        <v>45730</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58853-2024</t>
        </is>
      </c>
      <c r="B1850" s="1" t="n">
        <v>45636</v>
      </c>
      <c r="C1850" s="1" t="n">
        <v>45730</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59091-2024</t>
        </is>
      </c>
      <c r="B1851" s="1" t="n">
        <v>45637</v>
      </c>
      <c r="C1851" s="1" t="n">
        <v>45730</v>
      </c>
      <c r="D1851" t="inlineStr">
        <is>
          <t>STOCKHOLMS LÄN</t>
        </is>
      </c>
      <c r="E1851" t="inlineStr">
        <is>
          <t>NORRTÄLJE</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59274-2024</t>
        </is>
      </c>
      <c r="B1852" s="1" t="n">
        <v>45637</v>
      </c>
      <c r="C1852" s="1" t="n">
        <v>45730</v>
      </c>
      <c r="D1852" t="inlineStr">
        <is>
          <t>STOCKHOLMS LÄN</t>
        </is>
      </c>
      <c r="E1852" t="inlineStr">
        <is>
          <t>NORRTÄLJE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59534-2024</t>
        </is>
      </c>
      <c r="B1853" s="1" t="n">
        <v>45638</v>
      </c>
      <c r="C1853" s="1" t="n">
        <v>45730</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59535-2024</t>
        </is>
      </c>
      <c r="B1854" s="1" t="n">
        <v>45638</v>
      </c>
      <c r="C1854" s="1" t="n">
        <v>45730</v>
      </c>
      <c r="D1854" t="inlineStr">
        <is>
          <t>STOCKHOLMS LÄN</t>
        </is>
      </c>
      <c r="E1854" t="inlineStr">
        <is>
          <t>NORRTÄLJE</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v>
      </c>
      <c r="C1855" s="1" t="n">
        <v>45730</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59712-2024</t>
        </is>
      </c>
      <c r="B1856" s="1" t="n">
        <v>45639</v>
      </c>
      <c r="C1856" s="1" t="n">
        <v>45730</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59876-2024</t>
        </is>
      </c>
      <c r="B1857" s="1" t="n">
        <v>45640</v>
      </c>
      <c r="C1857" s="1" t="n">
        <v>45730</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59875-2024</t>
        </is>
      </c>
      <c r="B1858" s="1" t="n">
        <v>45640</v>
      </c>
      <c r="C1858" s="1" t="n">
        <v>45730</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59873-2024</t>
        </is>
      </c>
      <c r="B1859" s="1" t="n">
        <v>45640</v>
      </c>
      <c r="C1859" s="1" t="n">
        <v>45730</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59877-2024</t>
        </is>
      </c>
      <c r="B1860" s="1" t="n">
        <v>45640</v>
      </c>
      <c r="C1860" s="1" t="n">
        <v>45730</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59874-2024</t>
        </is>
      </c>
      <c r="B1861" s="1" t="n">
        <v>45640</v>
      </c>
      <c r="C1861" s="1" t="n">
        <v>45730</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59878-2024</t>
        </is>
      </c>
      <c r="B1862" s="1" t="n">
        <v>45640</v>
      </c>
      <c r="C1862" s="1" t="n">
        <v>45730</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60185-2024</t>
        </is>
      </c>
      <c r="B1863" s="1" t="n">
        <v>45642</v>
      </c>
      <c r="C1863" s="1" t="n">
        <v>45730</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60166-2024</t>
        </is>
      </c>
      <c r="B1864" s="1" t="n">
        <v>45642</v>
      </c>
      <c r="C1864" s="1" t="n">
        <v>45730</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60160-2024</t>
        </is>
      </c>
      <c r="B1865" s="1" t="n">
        <v>45642</v>
      </c>
      <c r="C1865" s="1" t="n">
        <v>45730</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60317-2024</t>
        </is>
      </c>
      <c r="B1866" s="1" t="n">
        <v>45643</v>
      </c>
      <c r="C1866" s="1" t="n">
        <v>45730</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60694-2024</t>
        </is>
      </c>
      <c r="B1867" s="1" t="n">
        <v>45644</v>
      </c>
      <c r="C1867" s="1" t="n">
        <v>45730</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60884-2024</t>
        </is>
      </c>
      <c r="B1868" s="1" t="n">
        <v>45644</v>
      </c>
      <c r="C1868" s="1" t="n">
        <v>45730</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61516-2024</t>
        </is>
      </c>
      <c r="B1869" s="1" t="n">
        <v>45646</v>
      </c>
      <c r="C1869" s="1" t="n">
        <v>45730</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62168-2024</t>
        </is>
      </c>
      <c r="B1870" s="1" t="n">
        <v>45657</v>
      </c>
      <c r="C1870" s="1" t="n">
        <v>45730</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19-2025</t>
        </is>
      </c>
      <c r="B1871" s="1" t="n">
        <v>45658</v>
      </c>
      <c r="C1871" s="1" t="n">
        <v>45730</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22-2025</t>
        </is>
      </c>
      <c r="B1872" s="1" t="n">
        <v>45658</v>
      </c>
      <c r="C1872" s="1" t="n">
        <v>45730</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520-2025</t>
        </is>
      </c>
      <c r="B1873" s="1" t="n">
        <v>45664</v>
      </c>
      <c r="C1873" s="1" t="n">
        <v>45730</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652-2025</t>
        </is>
      </c>
      <c r="B1874" s="1" t="n">
        <v>45664</v>
      </c>
      <c r="C1874" s="1" t="n">
        <v>45730</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827-2025</t>
        </is>
      </c>
      <c r="B1875" s="1" t="n">
        <v>45665</v>
      </c>
      <c r="C1875" s="1" t="n">
        <v>45730</v>
      </c>
      <c r="D1875" t="inlineStr">
        <is>
          <t>STOCKHOLMS LÄN</t>
        </is>
      </c>
      <c r="E1875" t="inlineStr">
        <is>
          <t>NORRTÄLJE</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1283-2025</t>
        </is>
      </c>
      <c r="B1876" s="1" t="n">
        <v>45667</v>
      </c>
      <c r="C1876" s="1" t="n">
        <v>45730</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1360-2025</t>
        </is>
      </c>
      <c r="B1877" s="1" t="n">
        <v>45667</v>
      </c>
      <c r="C1877" s="1" t="n">
        <v>45730</v>
      </c>
      <c r="D1877" t="inlineStr">
        <is>
          <t>STOCKHOLMS LÄN</t>
        </is>
      </c>
      <c r="E1877" t="inlineStr">
        <is>
          <t>NORRTÄLJE</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1425-2025</t>
        </is>
      </c>
      <c r="B1878" s="1" t="n">
        <v>45668</v>
      </c>
      <c r="C1878" s="1" t="n">
        <v>45730</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1654-2025</t>
        </is>
      </c>
      <c r="B1879" s="1" t="n">
        <v>45670</v>
      </c>
      <c r="C1879" s="1" t="n">
        <v>45730</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1453-2025</t>
        </is>
      </c>
      <c r="B1880" s="1" t="n">
        <v>45670</v>
      </c>
      <c r="C1880" s="1" t="n">
        <v>45730</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1890-2025</t>
        </is>
      </c>
      <c r="B1881" s="1" t="n">
        <v>45671</v>
      </c>
      <c r="C1881" s="1" t="n">
        <v>45730</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2153-2025</t>
        </is>
      </c>
      <c r="B1882" s="1" t="n">
        <v>45672</v>
      </c>
      <c r="C1882" s="1" t="n">
        <v>45730</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2127-2025</t>
        </is>
      </c>
      <c r="B1883" s="1" t="n">
        <v>45672</v>
      </c>
      <c r="C1883" s="1" t="n">
        <v>45730</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2627-2025</t>
        </is>
      </c>
      <c r="B1884" s="1" t="n">
        <v>45675</v>
      </c>
      <c r="C1884" s="1" t="n">
        <v>45730</v>
      </c>
      <c r="D1884" t="inlineStr">
        <is>
          <t>STOCKHOLMS LÄN</t>
        </is>
      </c>
      <c r="E1884" t="inlineStr">
        <is>
          <t>NORRTÄLJE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3117-2025</t>
        </is>
      </c>
      <c r="B1885" s="1" t="n">
        <v>45678</v>
      </c>
      <c r="C1885" s="1" t="n">
        <v>45730</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3273-2025</t>
        </is>
      </c>
      <c r="B1886" s="1" t="n">
        <v>45679</v>
      </c>
      <c r="C1886" s="1" t="n">
        <v>45730</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3283-2025</t>
        </is>
      </c>
      <c r="B1887" s="1" t="n">
        <v>45679</v>
      </c>
      <c r="C1887" s="1" t="n">
        <v>45730</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3512-2025</t>
        </is>
      </c>
      <c r="B1888" s="1" t="n">
        <v>45680</v>
      </c>
      <c r="C1888" s="1" t="n">
        <v>45730</v>
      </c>
      <c r="D1888" t="inlineStr">
        <is>
          <t>STOCKHOLMS LÄN</t>
        </is>
      </c>
      <c r="E1888" t="inlineStr">
        <is>
          <t>NORRTÄLJE</t>
        </is>
      </c>
      <c r="F1888" t="inlineStr">
        <is>
          <t>Naturvårdsverket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3426-2025</t>
        </is>
      </c>
      <c r="B1889" s="1" t="n">
        <v>45680</v>
      </c>
      <c r="C1889" s="1" t="n">
        <v>45730</v>
      </c>
      <c r="D1889" t="inlineStr">
        <is>
          <t>STOCKHOLMS LÄN</t>
        </is>
      </c>
      <c r="E1889" t="inlineStr">
        <is>
          <t>NORRTÄLJE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4183-2025</t>
        </is>
      </c>
      <c r="B1890" s="1" t="n">
        <v>45685</v>
      </c>
      <c r="C1890" s="1" t="n">
        <v>45730</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4195-2025</t>
        </is>
      </c>
      <c r="B1891" s="1" t="n">
        <v>45685</v>
      </c>
      <c r="C1891" s="1" t="n">
        <v>45730</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4148-2025</t>
        </is>
      </c>
      <c r="B1892" s="1" t="n">
        <v>45685</v>
      </c>
      <c r="C1892" s="1" t="n">
        <v>45730</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4164-2025</t>
        </is>
      </c>
      <c r="B1893" s="1" t="n">
        <v>45685</v>
      </c>
      <c r="C1893" s="1" t="n">
        <v>45730</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4415-2025</t>
        </is>
      </c>
      <c r="B1894" s="1" t="n">
        <v>45686</v>
      </c>
      <c r="C1894" s="1" t="n">
        <v>45730</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4498-2025</t>
        </is>
      </c>
      <c r="B1895" s="1" t="n">
        <v>45686</v>
      </c>
      <c r="C1895" s="1" t="n">
        <v>45730</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v>
      </c>
      <c r="C1896" s="1" t="n">
        <v>45730</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4350-2025</t>
        </is>
      </c>
      <c r="B1897" s="1" t="n">
        <v>45686</v>
      </c>
      <c r="C1897" s="1" t="n">
        <v>45730</v>
      </c>
      <c r="D1897" t="inlineStr">
        <is>
          <t>STOCKHOLMS LÄN</t>
        </is>
      </c>
      <c r="E1897" t="inlineStr">
        <is>
          <t>NORRTÄLJE</t>
        </is>
      </c>
      <c r="F1897" t="inlineStr">
        <is>
          <t>Övriga Aktiebolag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v>
      </c>
      <c r="C1898" s="1" t="n">
        <v>45730</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4581-2025</t>
        </is>
      </c>
      <c r="B1899" s="1" t="n">
        <v>45687</v>
      </c>
      <c r="C1899" s="1" t="n">
        <v>45730</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4715-2025</t>
        </is>
      </c>
      <c r="B1900" s="1" t="n">
        <v>45688</v>
      </c>
      <c r="C1900" s="1" t="n">
        <v>45730</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c r="U1900">
        <f>HYPERLINK("https://klasma.github.io/Logging_0188/knärot/A 4715-2025 karta knärot.png", "A 4715-2025")</f>
        <v/>
      </c>
      <c r="V1900">
        <f>HYPERLINK("https://klasma.github.io/Logging_0188/klagomål/A 4715-2025 FSC-klagomål.docx", "A 4715-2025")</f>
        <v/>
      </c>
      <c r="W1900">
        <f>HYPERLINK("https://klasma.github.io/Logging_0188/klagomålsmail/A 4715-2025 FSC-klagomål mail.docx", "A 4715-2025")</f>
        <v/>
      </c>
      <c r="X1900">
        <f>HYPERLINK("https://klasma.github.io/Logging_0188/tillsyn/A 4715-2025 tillsynsbegäran.docx", "A 4715-2025")</f>
        <v/>
      </c>
      <c r="Y1900">
        <f>HYPERLINK("https://klasma.github.io/Logging_0188/tillsynsmail/A 4715-2025 tillsynsbegäran mail.docx", "A 4715-2025")</f>
        <v/>
      </c>
    </row>
    <row r="1901" ht="15" customHeight="1">
      <c r="A1901" t="inlineStr">
        <is>
          <t>A 5027-2025</t>
        </is>
      </c>
      <c r="B1901" s="1" t="n">
        <v>45691</v>
      </c>
      <c r="C1901" s="1" t="n">
        <v>45730</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5389-2025</t>
        </is>
      </c>
      <c r="B1902" s="1" t="n">
        <v>45692</v>
      </c>
      <c r="C1902" s="1" t="n">
        <v>45730</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5665-2025</t>
        </is>
      </c>
      <c r="B1903" s="1" t="n">
        <v>45693</v>
      </c>
      <c r="C1903" s="1" t="n">
        <v>45730</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5804-2025</t>
        </is>
      </c>
      <c r="B1904" s="1" t="n">
        <v>45694</v>
      </c>
      <c r="C1904" s="1" t="n">
        <v>45730</v>
      </c>
      <c r="D1904" t="inlineStr">
        <is>
          <t>STOCKHOLMS LÄN</t>
        </is>
      </c>
      <c r="E1904" t="inlineStr">
        <is>
          <t>NORRTÄLJE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v>
      </c>
      <c r="C1905" s="1" t="n">
        <v>45730</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6413-2025</t>
        </is>
      </c>
      <c r="B1906" s="1" t="n">
        <v>45699</v>
      </c>
      <c r="C1906" s="1" t="n">
        <v>45730</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6855-2025</t>
        </is>
      </c>
      <c r="B1907" s="1" t="n">
        <v>45700</v>
      </c>
      <c r="C1907" s="1" t="n">
        <v>45730</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6678-2025</t>
        </is>
      </c>
      <c r="B1908" s="1" t="n">
        <v>45700</v>
      </c>
      <c r="C1908" s="1" t="n">
        <v>45730</v>
      </c>
      <c r="D1908" t="inlineStr">
        <is>
          <t>STOCKHOLMS LÄN</t>
        </is>
      </c>
      <c r="E1908" t="inlineStr">
        <is>
          <t>NORRTÄLJE</t>
        </is>
      </c>
      <c r="F1908" t="inlineStr">
        <is>
          <t>Övriga Aktiebolag</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6919-2025</t>
        </is>
      </c>
      <c r="B1909" s="1" t="n">
        <v>45701</v>
      </c>
      <c r="C1909" s="1" t="n">
        <v>45730</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6996-2025</t>
        </is>
      </c>
      <c r="B1910" s="1" t="n">
        <v>45701</v>
      </c>
      <c r="C1910" s="1" t="n">
        <v>45730</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7603-2025</t>
        </is>
      </c>
      <c r="B1911" s="1" t="n">
        <v>45705</v>
      </c>
      <c r="C1911" s="1" t="n">
        <v>45730</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7697-2025</t>
        </is>
      </c>
      <c r="B1912" s="1" t="n">
        <v>45706</v>
      </c>
      <c r="C1912" s="1" t="n">
        <v>45730</v>
      </c>
      <c r="D1912" t="inlineStr">
        <is>
          <t>STOCKHOLMS LÄN</t>
        </is>
      </c>
      <c r="E1912" t="inlineStr">
        <is>
          <t>NORRTÄLJE</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45730</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7784-2025</t>
        </is>
      </c>
      <c r="B1914" s="1" t="n">
        <v>45706</v>
      </c>
      <c r="C1914" s="1" t="n">
        <v>45730</v>
      </c>
      <c r="D1914" t="inlineStr">
        <is>
          <t>STOCKHOLMS LÄN</t>
        </is>
      </c>
      <c r="E1914" t="inlineStr">
        <is>
          <t>NORRTÄLJE</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7796-2025</t>
        </is>
      </c>
      <c r="B1915" s="1" t="n">
        <v>45706</v>
      </c>
      <c r="C1915" s="1" t="n">
        <v>45730</v>
      </c>
      <c r="D1915" t="inlineStr">
        <is>
          <t>STOCKHOLMS LÄN</t>
        </is>
      </c>
      <c r="E1915" t="inlineStr">
        <is>
          <t>NORRTÄLJE</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7806-2025</t>
        </is>
      </c>
      <c r="B1916" s="1" t="n">
        <v>45706</v>
      </c>
      <c r="C1916" s="1" t="n">
        <v>45730</v>
      </c>
      <c r="D1916" t="inlineStr">
        <is>
          <t>STOCKHOLMS LÄN</t>
        </is>
      </c>
      <c r="E1916" t="inlineStr">
        <is>
          <t>NORRTÄLJE</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8133-2025</t>
        </is>
      </c>
      <c r="B1917" s="1" t="n">
        <v>45707</v>
      </c>
      <c r="C1917" s="1" t="n">
        <v>45730</v>
      </c>
      <c r="D1917" t="inlineStr">
        <is>
          <t>STOCKHOLMS LÄN</t>
        </is>
      </c>
      <c r="E1917" t="inlineStr">
        <is>
          <t>NORRTÄLJE</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8135-2025</t>
        </is>
      </c>
      <c r="B1918" s="1" t="n">
        <v>45707</v>
      </c>
      <c r="C1918" s="1" t="n">
        <v>45730</v>
      </c>
      <c r="D1918" t="inlineStr">
        <is>
          <t>STOCKHOLMS LÄN</t>
        </is>
      </c>
      <c r="E1918" t="inlineStr">
        <is>
          <t>NORRTÄLJE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8071-2025</t>
        </is>
      </c>
      <c r="B1919" s="1" t="n">
        <v>45707</v>
      </c>
      <c r="C1919" s="1" t="n">
        <v>45730</v>
      </c>
      <c r="D1919" t="inlineStr">
        <is>
          <t>STOCKHOLMS LÄN</t>
        </is>
      </c>
      <c r="E1919" t="inlineStr">
        <is>
          <t>NORRTÄLJE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8132-2025</t>
        </is>
      </c>
      <c r="B1920" s="1" t="n">
        <v>45707</v>
      </c>
      <c r="C1920" s="1" t="n">
        <v>45730</v>
      </c>
      <c r="D1920" t="inlineStr">
        <is>
          <t>STOCKHOLMS LÄN</t>
        </is>
      </c>
      <c r="E1920" t="inlineStr">
        <is>
          <t>NORRTÄLJE</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8134-2025</t>
        </is>
      </c>
      <c r="B1921" s="1" t="n">
        <v>45707</v>
      </c>
      <c r="C1921" s="1" t="n">
        <v>45730</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8231-2025</t>
        </is>
      </c>
      <c r="B1922" s="1" t="n">
        <v>45708</v>
      </c>
      <c r="C1922" s="1" t="n">
        <v>45730</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8315-2025</t>
        </is>
      </c>
      <c r="B1923" s="1" t="n">
        <v>45708</v>
      </c>
      <c r="C1923" s="1" t="n">
        <v>45730</v>
      </c>
      <c r="D1923" t="inlineStr">
        <is>
          <t>STOCKHOLMS LÄN</t>
        </is>
      </c>
      <c r="E1923" t="inlineStr">
        <is>
          <t>NORRTÄLJE</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45730</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8414-2025</t>
        </is>
      </c>
      <c r="B1925" s="1" t="n">
        <v>45709</v>
      </c>
      <c r="C1925" s="1" t="n">
        <v>45730</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45730</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45730</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8587-2025</t>
        </is>
      </c>
      <c r="B1928" s="1" t="n">
        <v>45709</v>
      </c>
      <c r="C1928" s="1" t="n">
        <v>45730</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45730</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8963-2025</t>
        </is>
      </c>
      <c r="B1930" s="1" t="n">
        <v>45713</v>
      </c>
      <c r="C1930" s="1" t="n">
        <v>45730</v>
      </c>
      <c r="D1930" t="inlineStr">
        <is>
          <t>STOCKHOLMS LÄN</t>
        </is>
      </c>
      <c r="E1930" t="inlineStr">
        <is>
          <t>NORRTÄLJE</t>
        </is>
      </c>
      <c r="F1930" t="inlineStr">
        <is>
          <t>Övriga Aktiebolag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8950-2025</t>
        </is>
      </c>
      <c r="B1931" s="1" t="n">
        <v>45713</v>
      </c>
      <c r="C1931" s="1" t="n">
        <v>45730</v>
      </c>
      <c r="D1931" t="inlineStr">
        <is>
          <t>STOCKHOLMS LÄN</t>
        </is>
      </c>
      <c r="E1931" t="inlineStr">
        <is>
          <t>NORRTÄLJE</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9130-2025</t>
        </is>
      </c>
      <c r="B1932" s="1" t="n">
        <v>45713</v>
      </c>
      <c r="C1932" s="1" t="n">
        <v>45730</v>
      </c>
      <c r="D1932" t="inlineStr">
        <is>
          <t>STOCKHOLMS LÄN</t>
        </is>
      </c>
      <c r="E1932" t="inlineStr">
        <is>
          <t>NORRTÄLJE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9480-2025</t>
        </is>
      </c>
      <c r="B1933" s="1" t="n">
        <v>45715</v>
      </c>
      <c r="C1933" s="1" t="n">
        <v>45730</v>
      </c>
      <c r="D1933" t="inlineStr">
        <is>
          <t>STOCKHOLMS LÄN</t>
        </is>
      </c>
      <c r="E1933" t="inlineStr">
        <is>
          <t>NORRTÄLJE</t>
        </is>
      </c>
      <c r="F1933" t="inlineStr">
        <is>
          <t>Övriga Aktiebolag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9520-2025</t>
        </is>
      </c>
      <c r="B1934" s="1" t="n">
        <v>45715</v>
      </c>
      <c r="C1934" s="1" t="n">
        <v>45730</v>
      </c>
      <c r="D1934" t="inlineStr">
        <is>
          <t>STOCKHOLMS LÄN</t>
        </is>
      </c>
      <c r="E1934" t="inlineStr">
        <is>
          <t>NORRTÄLJE</t>
        </is>
      </c>
      <c r="G1934" t="n">
        <v>23.2</v>
      </c>
      <c r="H1934" t="n">
        <v>0</v>
      </c>
      <c r="I1934" t="n">
        <v>0</v>
      </c>
      <c r="J1934" t="n">
        <v>0</v>
      </c>
      <c r="K1934" t="n">
        <v>0</v>
      </c>
      <c r="L1934" t="n">
        <v>0</v>
      </c>
      <c r="M1934" t="n">
        <v>0</v>
      </c>
      <c r="N1934" t="n">
        <v>0</v>
      </c>
      <c r="O1934" t="n">
        <v>0</v>
      </c>
      <c r="P1934" t="n">
        <v>0</v>
      </c>
      <c r="Q1934" t="n">
        <v>0</v>
      </c>
      <c r="R1934" s="2" t="inlineStr"/>
    </row>
    <row r="1935" ht="15" customHeight="1">
      <c r="A1935" t="inlineStr">
        <is>
          <t>A 10511-2025</t>
        </is>
      </c>
      <c r="B1935" s="1" t="n">
        <v>45721</v>
      </c>
      <c r="C1935" s="1" t="n">
        <v>45730</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10557-2025</t>
        </is>
      </c>
      <c r="B1936" s="1" t="n">
        <v>45721</v>
      </c>
      <c r="C1936" s="1" t="n">
        <v>45730</v>
      </c>
      <c r="D1936" t="inlineStr">
        <is>
          <t>STOCKHOLMS LÄN</t>
        </is>
      </c>
      <c r="E1936" t="inlineStr">
        <is>
          <t>NORRTÄLJE</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10653-2025</t>
        </is>
      </c>
      <c r="B1937" s="1" t="n">
        <v>45721</v>
      </c>
      <c r="C1937" s="1" t="n">
        <v>45730</v>
      </c>
      <c r="D1937" t="inlineStr">
        <is>
          <t>STOCKHOLMS LÄN</t>
        </is>
      </c>
      <c r="E1937" t="inlineStr">
        <is>
          <t>NORRTÄLJE</t>
        </is>
      </c>
      <c r="F1937" t="inlineStr">
        <is>
          <t>Sveaskog</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10676-2025</t>
        </is>
      </c>
      <c r="B1938" s="1" t="n">
        <v>45721</v>
      </c>
      <c r="C1938" s="1" t="n">
        <v>45730</v>
      </c>
      <c r="D1938" t="inlineStr">
        <is>
          <t>STOCKHOLMS LÄN</t>
        </is>
      </c>
      <c r="E1938" t="inlineStr">
        <is>
          <t>NORRTÄLJE</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10678-2025</t>
        </is>
      </c>
      <c r="B1939" s="1" t="n">
        <v>45721</v>
      </c>
      <c r="C1939" s="1" t="n">
        <v>45730</v>
      </c>
      <c r="D1939" t="inlineStr">
        <is>
          <t>STOCKHOLMS LÄN</t>
        </is>
      </c>
      <c r="E1939" t="inlineStr">
        <is>
          <t>NORRTÄLJE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45730</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11041-2025</t>
        </is>
      </c>
      <c r="B1941" s="1" t="n">
        <v>45723</v>
      </c>
      <c r="C1941" s="1" t="n">
        <v>45730</v>
      </c>
      <c r="D1941" t="inlineStr">
        <is>
          <t>STOCKHOLMS LÄN</t>
        </is>
      </c>
      <c r="E1941" t="inlineStr">
        <is>
          <t>NORRTÄLJE</t>
        </is>
      </c>
      <c r="F1941" t="inlineStr">
        <is>
          <t>Övriga Aktiebolag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10973-2025</t>
        </is>
      </c>
      <c r="B1942" s="1" t="n">
        <v>45723</v>
      </c>
      <c r="C1942" s="1" t="n">
        <v>45730</v>
      </c>
      <c r="D1942" t="inlineStr">
        <is>
          <t>STOCKHOLMS LÄN</t>
        </is>
      </c>
      <c r="E1942" t="inlineStr">
        <is>
          <t>NORRTÄLJE</t>
        </is>
      </c>
      <c r="F1942" t="inlineStr">
        <is>
          <t>Övriga Aktiebolag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11332-2025</t>
        </is>
      </c>
      <c r="B1943" s="1" t="n">
        <v>45726</v>
      </c>
      <c r="C1943" s="1" t="n">
        <v>45730</v>
      </c>
      <c r="D1943" t="inlineStr">
        <is>
          <t>STOCKHOLMS LÄN</t>
        </is>
      </c>
      <c r="E1943" t="inlineStr">
        <is>
          <t>NORRTÄLJE</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11333-2025</t>
        </is>
      </c>
      <c r="B1944" s="1" t="n">
        <v>45726</v>
      </c>
      <c r="C1944" s="1" t="n">
        <v>45730</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11849-2025</t>
        </is>
      </c>
      <c r="B1945" s="1" t="n">
        <v>45728</v>
      </c>
      <c r="C1945" s="1" t="n">
        <v>45730</v>
      </c>
      <c r="D1945" t="inlineStr">
        <is>
          <t>STOCKHOLMS LÄN</t>
        </is>
      </c>
      <c r="E1945" t="inlineStr">
        <is>
          <t>NORRTÄLJE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11854-2025</t>
        </is>
      </c>
      <c r="B1946" s="1" t="n">
        <v>45728</v>
      </c>
      <c r="C1946" s="1" t="n">
        <v>45730</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12301-2025</t>
        </is>
      </c>
      <c r="B1947" s="1" t="n">
        <v>45729</v>
      </c>
      <c r="C1947" s="1" t="n">
        <v>45730</v>
      </c>
      <c r="D1947" t="inlineStr">
        <is>
          <t>STOCKHOLMS LÄN</t>
        </is>
      </c>
      <c r="E1947" t="inlineStr">
        <is>
          <t>NORRTÄLJE</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12299-2025</t>
        </is>
      </c>
      <c r="B1948" s="1" t="n">
        <v>45729</v>
      </c>
      <c r="C1948" s="1" t="n">
        <v>45730</v>
      </c>
      <c r="D1948" t="inlineStr">
        <is>
          <t>STOCKHOLMS LÄN</t>
        </is>
      </c>
      <c r="E1948" t="inlineStr">
        <is>
          <t>NORRTÄLJE</t>
        </is>
      </c>
      <c r="F1948" t="inlineStr">
        <is>
          <t>Holmen skog AB</t>
        </is>
      </c>
      <c r="G1948" t="n">
        <v>6.9</v>
      </c>
      <c r="H1948" t="n">
        <v>0</v>
      </c>
      <c r="I1948" t="n">
        <v>0</v>
      </c>
      <c r="J1948" t="n">
        <v>0</v>
      </c>
      <c r="K1948" t="n">
        <v>0</v>
      </c>
      <c r="L1948" t="n">
        <v>0</v>
      </c>
      <c r="M1948" t="n">
        <v>0</v>
      </c>
      <c r="N1948" t="n">
        <v>0</v>
      </c>
      <c r="O1948" t="n">
        <v>0</v>
      </c>
      <c r="P1948" t="n">
        <v>0</v>
      </c>
      <c r="Q1948" t="n">
        <v>0</v>
      </c>
      <c r="R1948" s="2" t="inlineStr"/>
    </row>
    <row r="1949" ht="15" customHeight="1">
      <c r="A1949" t="inlineStr">
        <is>
          <t>A 12303-2025</t>
        </is>
      </c>
      <c r="B1949" s="1" t="n">
        <v>45729</v>
      </c>
      <c r="C1949" s="1" t="n">
        <v>45730</v>
      </c>
      <c r="D1949" t="inlineStr">
        <is>
          <t>STOCKHOLMS LÄN</t>
        </is>
      </c>
      <c r="E1949" t="inlineStr">
        <is>
          <t>NORRTÄLJE</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12247-2025</t>
        </is>
      </c>
      <c r="B1950" s="1" t="n">
        <v>45729</v>
      </c>
      <c r="C1950" s="1" t="n">
        <v>45730</v>
      </c>
      <c r="D1950" t="inlineStr">
        <is>
          <t>STOCKHOLMS LÄN</t>
        </is>
      </c>
      <c r="E1950" t="inlineStr">
        <is>
          <t>NORRTÄLJE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12251-2025</t>
        </is>
      </c>
      <c r="B1951" s="1" t="n">
        <v>45729</v>
      </c>
      <c r="C1951" s="1" t="n">
        <v>45730</v>
      </c>
      <c r="D1951" t="inlineStr">
        <is>
          <t>STOCKHOLMS LÄN</t>
        </is>
      </c>
      <c r="E1951" t="inlineStr">
        <is>
          <t>NORRTÄLJE</t>
        </is>
      </c>
      <c r="F1951" t="inlineStr">
        <is>
          <t>Holmen skog AB</t>
        </is>
      </c>
      <c r="G1951" t="n">
        <v>5.9</v>
      </c>
      <c r="H1951" t="n">
        <v>0</v>
      </c>
      <c r="I1951" t="n">
        <v>0</v>
      </c>
      <c r="J1951" t="n">
        <v>0</v>
      </c>
      <c r="K1951" t="n">
        <v>0</v>
      </c>
      <c r="L1951" t="n">
        <v>0</v>
      </c>
      <c r="M1951" t="n">
        <v>0</v>
      </c>
      <c r="N1951" t="n">
        <v>0</v>
      </c>
      <c r="O1951" t="n">
        <v>0</v>
      </c>
      <c r="P1951" t="n">
        <v>0</v>
      </c>
      <c r="Q1951" t="n">
        <v>0</v>
      </c>
      <c r="R1951" s="2" t="inlineStr"/>
    </row>
    <row r="1952">
      <c r="A1952" t="inlineStr">
        <is>
          <t>A 12302-2025</t>
        </is>
      </c>
      <c r="B1952" s="1" t="n">
        <v>45729</v>
      </c>
      <c r="C1952" s="1" t="n">
        <v>45730</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2025-03-14T17:15:25Z</dcterms:created>
  <dcterms:modified xmlns:dcterms="http://purl.org/dc/terms/" xmlns:xsi="http://www.w3.org/2001/XMLSchema-instance" xsi:type="dcterms:W3CDTF">2025-03-14T17:15:26Z</dcterms:modified>
</cp:coreProperties>
</file>