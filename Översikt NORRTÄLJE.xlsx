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46149</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46149</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46149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46149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46149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46149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46149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46149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46149</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46149</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46149</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46149</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46149</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46149</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46149</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46149</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50326-2024</t>
        </is>
      </c>
      <c r="B27" s="1" t="n">
        <v>45600</v>
      </c>
      <c r="C27" s="1" t="n">
        <v>46149</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46149</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59582-2024</t>
        </is>
      </c>
      <c r="B29" s="1" t="n">
        <v>45638</v>
      </c>
      <c r="C29" s="1" t="n">
        <v>46149</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46149</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46149</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46149</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46149</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15278-2024</t>
        </is>
      </c>
      <c r="B34" s="1" t="n">
        <v>45400.5958912037</v>
      </c>
      <c r="C34" s="1" t="n">
        <v>46149</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47346-2021</t>
        </is>
      </c>
      <c r="B35" s="1" t="n">
        <v>44447</v>
      </c>
      <c r="C35" s="1" t="n">
        <v>46149</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46149</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46149</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46149</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46149</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72111-2021</t>
        </is>
      </c>
      <c r="B40" s="1" t="n">
        <v>44544</v>
      </c>
      <c r="C40" s="1" t="n">
        <v>46149</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15804-2025</t>
        </is>
      </c>
      <c r="B41" s="1" t="n">
        <v>45748.6521875</v>
      </c>
      <c r="C41" s="1" t="n">
        <v>46149</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3444-2023</t>
        </is>
      </c>
      <c r="B42" s="1" t="n">
        <v>44949</v>
      </c>
      <c r="C42" s="1" t="n">
        <v>46149</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30687-2025</t>
        </is>
      </c>
      <c r="B43" s="1" t="n">
        <v>45831.53390046296</v>
      </c>
      <c r="C43" s="1" t="n">
        <v>46149</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21922-2023</t>
        </is>
      </c>
      <c r="B44" s="1" t="n">
        <v>45068</v>
      </c>
      <c r="C44" s="1" t="n">
        <v>46149</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56791-2025</t>
        </is>
      </c>
      <c r="B45" s="1" t="n">
        <v>45978</v>
      </c>
      <c r="C45" s="1" t="n">
        <v>46149</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15925-2026</t>
        </is>
      </c>
      <c r="B46" s="1" t="n">
        <v>46107.66046296297</v>
      </c>
      <c r="C46" s="1" t="n">
        <v>46149</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46149</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46149</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46149</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46149</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25687-2025</t>
        </is>
      </c>
      <c r="B51" s="1" t="n">
        <v>45800</v>
      </c>
      <c r="C51" s="1" t="n">
        <v>46149</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72305-2021</t>
        </is>
      </c>
      <c r="B52" s="1" t="n">
        <v>44545</v>
      </c>
      <c r="C52" s="1" t="n">
        <v>46149</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10876-2025</t>
        </is>
      </c>
      <c r="B53" s="1" t="n">
        <v>45722</v>
      </c>
      <c r="C53" s="1" t="n">
        <v>46149</v>
      </c>
      <c r="D53" t="inlineStr">
        <is>
          <t>STOCKHOLMS LÄN</t>
        </is>
      </c>
      <c r="E53" t="inlineStr">
        <is>
          <t>NORRTÄLJE</t>
        </is>
      </c>
      <c r="F53" t="inlineStr">
        <is>
          <t>Holmen skog AB</t>
        </is>
      </c>
      <c r="G53" t="n">
        <v>9.300000000000001</v>
      </c>
      <c r="H53" t="n">
        <v>4</v>
      </c>
      <c r="I53" t="n">
        <v>0</v>
      </c>
      <c r="J53" t="n">
        <v>1</v>
      </c>
      <c r="K53" t="n">
        <v>1</v>
      </c>
      <c r="L53" t="n">
        <v>1</v>
      </c>
      <c r="M53" t="n">
        <v>0</v>
      </c>
      <c r="N53" t="n">
        <v>0</v>
      </c>
      <c r="O53" t="n">
        <v>3</v>
      </c>
      <c r="P53" t="n">
        <v>2</v>
      </c>
      <c r="Q53" t="n">
        <v>4</v>
      </c>
      <c r="R53" s="2" t="inlineStr">
        <is>
          <t>Asknätfjäril
Hällebräcka
Utter
Gullviva</t>
        </is>
      </c>
      <c r="S53">
        <f>HYPERLINK("https://klasma.github.io/Logging_0188/artfynd/A 10876-2025 artfynd.xlsx", "A 10876-2025")</f>
        <v/>
      </c>
      <c r="T53">
        <f>HYPERLINK("https://klasma.github.io/Logging_0188/kartor/A 10876-2025 karta.png", "A 10876-2025")</f>
        <v/>
      </c>
      <c r="V53">
        <f>HYPERLINK("https://klasma.github.io/Logging_0188/klagomål/A 10876-2025 FSC-klagomål.docx", "A 10876-2025")</f>
        <v/>
      </c>
      <c r="W53">
        <f>HYPERLINK("https://klasma.github.io/Logging_0188/klagomålsmail/A 10876-2025 FSC-klagomål mail.docx", "A 10876-2025")</f>
        <v/>
      </c>
      <c r="X53">
        <f>HYPERLINK("https://klasma.github.io/Logging_0188/tillsyn/A 10876-2025 tillsynsbegäran.docx", "A 10876-2025")</f>
        <v/>
      </c>
      <c r="Y53">
        <f>HYPERLINK("https://klasma.github.io/Logging_0188/tillsynsmail/A 10876-2025 tillsynsbegäran mail.docx", "A 10876-2025")</f>
        <v/>
      </c>
    </row>
    <row r="54" ht="15" customHeight="1">
      <c r="A54" t="inlineStr">
        <is>
          <t>A 24052-2021</t>
        </is>
      </c>
      <c r="B54" s="1" t="n">
        <v>44336</v>
      </c>
      <c r="C54" s="1" t="n">
        <v>46149</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34521-2025</t>
        </is>
      </c>
      <c r="B55" s="1" t="n">
        <v>45847.47052083333</v>
      </c>
      <c r="C55" s="1" t="n">
        <v>46149</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44709-2022</t>
        </is>
      </c>
      <c r="B56" s="1" t="n">
        <v>44839</v>
      </c>
      <c r="C56" s="1" t="n">
        <v>46149</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47212-2025</t>
        </is>
      </c>
      <c r="B57" s="1" t="n">
        <v>45930</v>
      </c>
      <c r="C57" s="1" t="n">
        <v>46149</v>
      </c>
      <c r="D57" t="inlineStr">
        <is>
          <t>STOCKHOLMS LÄN</t>
        </is>
      </c>
      <c r="E57" t="inlineStr">
        <is>
          <t>NORRTÄLJE</t>
        </is>
      </c>
      <c r="G57" t="n">
        <v>5.5</v>
      </c>
      <c r="H57" t="n">
        <v>2</v>
      </c>
      <c r="I57" t="n">
        <v>2</v>
      </c>
      <c r="J57" t="n">
        <v>0</v>
      </c>
      <c r="K57" t="n">
        <v>0</v>
      </c>
      <c r="L57" t="n">
        <v>0</v>
      </c>
      <c r="M57" t="n">
        <v>0</v>
      </c>
      <c r="N57" t="n">
        <v>0</v>
      </c>
      <c r="O57" t="n">
        <v>0</v>
      </c>
      <c r="P57" t="n">
        <v>0</v>
      </c>
      <c r="Q57" t="n">
        <v>4</v>
      </c>
      <c r="R57" s="2" t="inlineStr">
        <is>
          <t>Grönpyrola
Skarp dropptaggsvamp
Kungsfågel
Blåsippa</t>
        </is>
      </c>
      <c r="S57">
        <f>HYPERLINK("https://klasma.github.io/Logging_0188/artfynd/A 47212-2025 artfynd.xlsx", "A 47212-2025")</f>
        <v/>
      </c>
      <c r="T57">
        <f>HYPERLINK("https://klasma.github.io/Logging_0188/kartor/A 47212-2025 karta.png", "A 47212-2025")</f>
        <v/>
      </c>
      <c r="V57">
        <f>HYPERLINK("https://klasma.github.io/Logging_0188/klagomål/A 47212-2025 FSC-klagomål.docx", "A 47212-2025")</f>
        <v/>
      </c>
      <c r="W57">
        <f>HYPERLINK("https://klasma.github.io/Logging_0188/klagomålsmail/A 47212-2025 FSC-klagomål mail.docx", "A 47212-2025")</f>
        <v/>
      </c>
      <c r="X57">
        <f>HYPERLINK("https://klasma.github.io/Logging_0188/tillsyn/A 47212-2025 tillsynsbegäran.docx", "A 47212-2025")</f>
        <v/>
      </c>
      <c r="Y57">
        <f>HYPERLINK("https://klasma.github.io/Logging_0188/tillsynsmail/A 47212-2025 tillsynsbegäran mail.docx", "A 47212-2025")</f>
        <v/>
      </c>
      <c r="Z57">
        <f>HYPERLINK("https://klasma.github.io/Logging_0188/fåglar/A 47212-2025 prioriterade fågelarter.docx", "A 47212-2025")</f>
        <v/>
      </c>
    </row>
    <row r="58" ht="15" customHeight="1">
      <c r="A58" t="inlineStr">
        <is>
          <t>A 22190-2024</t>
        </is>
      </c>
      <c r="B58" s="1" t="n">
        <v>45446.35888888889</v>
      </c>
      <c r="C58" s="1" t="n">
        <v>46149</v>
      </c>
      <c r="D58" t="inlineStr">
        <is>
          <t>STOCKHOLMS LÄN</t>
        </is>
      </c>
      <c r="E58" t="inlineStr">
        <is>
          <t>NORRTÄLJE</t>
        </is>
      </c>
      <c r="G58" t="n">
        <v>2.8</v>
      </c>
      <c r="H58" t="n">
        <v>3</v>
      </c>
      <c r="I58" t="n">
        <v>1</v>
      </c>
      <c r="J58" t="n">
        <v>0</v>
      </c>
      <c r="K58" t="n">
        <v>0</v>
      </c>
      <c r="L58" t="n">
        <v>0</v>
      </c>
      <c r="M58" t="n">
        <v>0</v>
      </c>
      <c r="N58" t="n">
        <v>0</v>
      </c>
      <c r="O58" t="n">
        <v>0</v>
      </c>
      <c r="P58" t="n">
        <v>0</v>
      </c>
      <c r="Q58" t="n">
        <v>3</v>
      </c>
      <c r="R58" s="2" t="inlineStr">
        <is>
          <t>Skogsknipprot
Åkergroda
Vanlig groda</t>
        </is>
      </c>
      <c r="S58">
        <f>HYPERLINK("https://klasma.github.io/Logging_0188/artfynd/A 22190-2024 artfynd.xlsx", "A 22190-2024")</f>
        <v/>
      </c>
      <c r="T58">
        <f>HYPERLINK("https://klasma.github.io/Logging_0188/kartor/A 22190-2024 karta.png", "A 22190-2024")</f>
        <v/>
      </c>
      <c r="V58">
        <f>HYPERLINK("https://klasma.github.io/Logging_0188/klagomål/A 22190-2024 FSC-klagomål.docx", "A 22190-2024")</f>
        <v/>
      </c>
      <c r="W58">
        <f>HYPERLINK("https://klasma.github.io/Logging_0188/klagomålsmail/A 22190-2024 FSC-klagomål mail.docx", "A 22190-2024")</f>
        <v/>
      </c>
      <c r="X58">
        <f>HYPERLINK("https://klasma.github.io/Logging_0188/tillsyn/A 22190-2024 tillsynsbegäran.docx", "A 22190-2024")</f>
        <v/>
      </c>
      <c r="Y58">
        <f>HYPERLINK("https://klasma.github.io/Logging_0188/tillsynsmail/A 22190-2024 tillsynsbegäran mail.docx", "A 22190-2024")</f>
        <v/>
      </c>
    </row>
    <row r="59" ht="15" customHeight="1">
      <c r="A59" t="inlineStr">
        <is>
          <t>A 45113-2022</t>
        </is>
      </c>
      <c r="B59" s="1" t="n">
        <v>44843</v>
      </c>
      <c r="C59" s="1" t="n">
        <v>46149</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53065-2024</t>
        </is>
      </c>
      <c r="B60" s="1" t="n">
        <v>45611.47233796296</v>
      </c>
      <c r="C60" s="1" t="n">
        <v>46149</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28836-2022</t>
        </is>
      </c>
      <c r="B61" s="1" t="n">
        <v>44749</v>
      </c>
      <c r="C61" s="1" t="n">
        <v>46149</v>
      </c>
      <c r="D61" t="inlineStr">
        <is>
          <t>STOCKHOLMS LÄN</t>
        </is>
      </c>
      <c r="E61" t="inlineStr">
        <is>
          <t>NORRTÄLJE</t>
        </is>
      </c>
      <c r="G61" t="n">
        <v>25</v>
      </c>
      <c r="H61" t="n">
        <v>2</v>
      </c>
      <c r="I61" t="n">
        <v>0</v>
      </c>
      <c r="J61" t="n">
        <v>2</v>
      </c>
      <c r="K61" t="n">
        <v>0</v>
      </c>
      <c r="L61" t="n">
        <v>0</v>
      </c>
      <c r="M61" t="n">
        <v>0</v>
      </c>
      <c r="N61" t="n">
        <v>0</v>
      </c>
      <c r="O61" t="n">
        <v>2</v>
      </c>
      <c r="P61" t="n">
        <v>0</v>
      </c>
      <c r="Q61" t="n">
        <v>3</v>
      </c>
      <c r="R61" s="2" t="inlineStr">
        <is>
          <t>Backklöver
Svartvit flugsnappare
Skogsödla</t>
        </is>
      </c>
      <c r="S61">
        <f>HYPERLINK("https://klasma.github.io/Logging_0188/artfynd/A 28836-2022 artfynd.xlsx", "A 28836-2022")</f>
        <v/>
      </c>
      <c r="T61">
        <f>HYPERLINK("https://klasma.github.io/Logging_0188/kartor/A 28836-2022 karta.png", "A 28836-2022")</f>
        <v/>
      </c>
      <c r="V61">
        <f>HYPERLINK("https://klasma.github.io/Logging_0188/klagomål/A 28836-2022 FSC-klagomål.docx", "A 28836-2022")</f>
        <v/>
      </c>
      <c r="W61">
        <f>HYPERLINK("https://klasma.github.io/Logging_0188/klagomålsmail/A 28836-2022 FSC-klagomål mail.docx", "A 28836-2022")</f>
        <v/>
      </c>
      <c r="X61">
        <f>HYPERLINK("https://klasma.github.io/Logging_0188/tillsyn/A 28836-2022 tillsynsbegäran.docx", "A 28836-2022")</f>
        <v/>
      </c>
      <c r="Y61">
        <f>HYPERLINK("https://klasma.github.io/Logging_0188/tillsynsmail/A 28836-2022 tillsynsbegäran mail.docx", "A 28836-2022")</f>
        <v/>
      </c>
      <c r="Z61">
        <f>HYPERLINK("https://klasma.github.io/Logging_0188/fåglar/A 28836-2022 prioriterade fågelarter.docx", "A 28836-2022")</f>
        <v/>
      </c>
    </row>
    <row r="62" ht="15" customHeight="1">
      <c r="A62" t="inlineStr">
        <is>
          <t>A 27870-2022</t>
        </is>
      </c>
      <c r="B62" s="1" t="n">
        <v>44743.64592592593</v>
      </c>
      <c r="C62" s="1" t="n">
        <v>46149</v>
      </c>
      <c r="D62" t="inlineStr">
        <is>
          <t>STOCKHOLMS LÄN</t>
        </is>
      </c>
      <c r="E62" t="inlineStr">
        <is>
          <t>NORRTÄLJE</t>
        </is>
      </c>
      <c r="F62" t="inlineStr">
        <is>
          <t>Holmen skog AB</t>
        </is>
      </c>
      <c r="G62" t="n">
        <v>1.8</v>
      </c>
      <c r="H62" t="n">
        <v>3</v>
      </c>
      <c r="I62" t="n">
        <v>0</v>
      </c>
      <c r="J62" t="n">
        <v>1</v>
      </c>
      <c r="K62" t="n">
        <v>0</v>
      </c>
      <c r="L62" t="n">
        <v>0</v>
      </c>
      <c r="M62" t="n">
        <v>0</v>
      </c>
      <c r="N62" t="n">
        <v>0</v>
      </c>
      <c r="O62" t="n">
        <v>1</v>
      </c>
      <c r="P62" t="n">
        <v>0</v>
      </c>
      <c r="Q62" t="n">
        <v>3</v>
      </c>
      <c r="R62" s="2" t="inlineStr">
        <is>
          <t>Nordfladdermus
Dvärgpipistrell
Större brunfladdermus</t>
        </is>
      </c>
      <c r="S62">
        <f>HYPERLINK("https://klasma.github.io/Logging_0188/artfynd/A 27870-2022 artfynd.xlsx", "A 27870-2022")</f>
        <v/>
      </c>
      <c r="T62">
        <f>HYPERLINK("https://klasma.github.io/Logging_0188/kartor/A 27870-2022 karta.png", "A 27870-2022")</f>
        <v/>
      </c>
      <c r="V62">
        <f>HYPERLINK("https://klasma.github.io/Logging_0188/klagomål/A 27870-2022 FSC-klagomål.docx", "A 27870-2022")</f>
        <v/>
      </c>
      <c r="W62">
        <f>HYPERLINK("https://klasma.github.io/Logging_0188/klagomålsmail/A 27870-2022 FSC-klagomål mail.docx", "A 27870-2022")</f>
        <v/>
      </c>
      <c r="X62">
        <f>HYPERLINK("https://klasma.github.io/Logging_0188/tillsyn/A 27870-2022 tillsynsbegäran.docx", "A 27870-2022")</f>
        <v/>
      </c>
      <c r="Y62">
        <f>HYPERLINK("https://klasma.github.io/Logging_0188/tillsynsmail/A 27870-2022 tillsynsbegäran mail.docx", "A 27870-2022")</f>
        <v/>
      </c>
    </row>
    <row r="63" ht="15" customHeight="1">
      <c r="A63" t="inlineStr">
        <is>
          <t>A 50618-2022</t>
        </is>
      </c>
      <c r="B63" s="1" t="n">
        <v>44866</v>
      </c>
      <c r="C63" s="1" t="n">
        <v>46149</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54110-2024</t>
        </is>
      </c>
      <c r="B64" s="1" t="n">
        <v>45616.54866898148</v>
      </c>
      <c r="C64" s="1" t="n">
        <v>46149</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25270-2025</t>
        </is>
      </c>
      <c r="B65" s="1" t="n">
        <v>45800</v>
      </c>
      <c r="C65" s="1" t="n">
        <v>46149</v>
      </c>
      <c r="D65" t="inlineStr">
        <is>
          <t>STOCKHOLMS LÄN</t>
        </is>
      </c>
      <c r="E65" t="inlineStr">
        <is>
          <t>NORRTÄLJE</t>
        </is>
      </c>
      <c r="F65" t="inlineStr">
        <is>
          <t>Övriga Aktiebolag</t>
        </is>
      </c>
      <c r="G65" t="n">
        <v>30</v>
      </c>
      <c r="H65" t="n">
        <v>0</v>
      </c>
      <c r="I65" t="n">
        <v>2</v>
      </c>
      <c r="J65" t="n">
        <v>1</v>
      </c>
      <c r="K65" t="n">
        <v>0</v>
      </c>
      <c r="L65" t="n">
        <v>0</v>
      </c>
      <c r="M65" t="n">
        <v>0</v>
      </c>
      <c r="N65" t="n">
        <v>0</v>
      </c>
      <c r="O65" t="n">
        <v>1</v>
      </c>
      <c r="P65" t="n">
        <v>0</v>
      </c>
      <c r="Q65" t="n">
        <v>3</v>
      </c>
      <c r="R65" s="2" t="inlineStr">
        <is>
          <t>Kandelabersvamp
Fjällig taggsvamp s.str.
Skarp dropptaggsvamp</t>
        </is>
      </c>
      <c r="S65">
        <f>HYPERLINK("https://klasma.github.io/Logging_0188/artfynd/A 25270-2025 artfynd.xlsx", "A 25270-2025")</f>
        <v/>
      </c>
      <c r="T65">
        <f>HYPERLINK("https://klasma.github.io/Logging_0188/kartor/A 25270-2025 karta.png", "A 25270-2025")</f>
        <v/>
      </c>
      <c r="V65">
        <f>HYPERLINK("https://klasma.github.io/Logging_0188/klagomål/A 25270-2025 FSC-klagomål.docx", "A 25270-2025")</f>
        <v/>
      </c>
      <c r="W65">
        <f>HYPERLINK("https://klasma.github.io/Logging_0188/klagomålsmail/A 25270-2025 FSC-klagomål mail.docx", "A 25270-2025")</f>
        <v/>
      </c>
      <c r="X65">
        <f>HYPERLINK("https://klasma.github.io/Logging_0188/tillsyn/A 25270-2025 tillsynsbegäran.docx", "A 25270-2025")</f>
        <v/>
      </c>
      <c r="Y65">
        <f>HYPERLINK("https://klasma.github.io/Logging_0188/tillsynsmail/A 25270-2025 tillsynsbegäran mail.docx", "A 25270-2025")</f>
        <v/>
      </c>
    </row>
    <row r="66" ht="15" customHeight="1">
      <c r="A66" t="inlineStr">
        <is>
          <t>A 11031-2025</t>
        </is>
      </c>
      <c r="B66" s="1" t="n">
        <v>45723</v>
      </c>
      <c r="C66" s="1" t="n">
        <v>46149</v>
      </c>
      <c r="D66" t="inlineStr">
        <is>
          <t>STOCKHOLMS LÄN</t>
        </is>
      </c>
      <c r="E66" t="inlineStr">
        <is>
          <t>NORRTÄLJE</t>
        </is>
      </c>
      <c r="F66" t="inlineStr">
        <is>
          <t>Övriga Aktiebolag</t>
        </is>
      </c>
      <c r="G66" t="n">
        <v>13.2</v>
      </c>
      <c r="H66" t="n">
        <v>2</v>
      </c>
      <c r="I66" t="n">
        <v>0</v>
      </c>
      <c r="J66" t="n">
        <v>2</v>
      </c>
      <c r="K66" t="n">
        <v>0</v>
      </c>
      <c r="L66" t="n">
        <v>0</v>
      </c>
      <c r="M66" t="n">
        <v>0</v>
      </c>
      <c r="N66" t="n">
        <v>0</v>
      </c>
      <c r="O66" t="n">
        <v>2</v>
      </c>
      <c r="P66" t="n">
        <v>0</v>
      </c>
      <c r="Q66" t="n">
        <v>3</v>
      </c>
      <c r="R66" s="2" t="inlineStr">
        <is>
          <t>Järpe
Ullticka
Vanlig snok</t>
        </is>
      </c>
      <c r="S66">
        <f>HYPERLINK("https://klasma.github.io/Logging_0188/artfynd/A 11031-2025 artfynd.xlsx", "A 11031-2025")</f>
        <v/>
      </c>
      <c r="T66">
        <f>HYPERLINK("https://klasma.github.io/Logging_0188/kartor/A 11031-2025 karta.png", "A 11031-2025")</f>
        <v/>
      </c>
      <c r="V66">
        <f>HYPERLINK("https://klasma.github.io/Logging_0188/klagomål/A 11031-2025 FSC-klagomål.docx", "A 11031-2025")</f>
        <v/>
      </c>
      <c r="W66">
        <f>HYPERLINK("https://klasma.github.io/Logging_0188/klagomålsmail/A 11031-2025 FSC-klagomål mail.docx", "A 11031-2025")</f>
        <v/>
      </c>
      <c r="X66">
        <f>HYPERLINK("https://klasma.github.io/Logging_0188/tillsyn/A 11031-2025 tillsynsbegäran.docx", "A 11031-2025")</f>
        <v/>
      </c>
      <c r="Y66">
        <f>HYPERLINK("https://klasma.github.io/Logging_0188/tillsynsmail/A 11031-2025 tillsynsbegäran mail.docx", "A 11031-2025")</f>
        <v/>
      </c>
      <c r="Z66">
        <f>HYPERLINK("https://klasma.github.io/Logging_0188/fåglar/A 11031-2025 prioriterade fågelarter.docx", "A 11031-2025")</f>
        <v/>
      </c>
    </row>
    <row r="67" ht="15" customHeight="1">
      <c r="A67" t="inlineStr">
        <is>
          <t>A 2851-2023</t>
        </is>
      </c>
      <c r="B67" s="1" t="n">
        <v>44945</v>
      </c>
      <c r="C67" s="1" t="n">
        <v>46149</v>
      </c>
      <c r="D67" t="inlineStr">
        <is>
          <t>STOCKHOLMS LÄN</t>
        </is>
      </c>
      <c r="E67" t="inlineStr">
        <is>
          <t>NORRTÄLJE</t>
        </is>
      </c>
      <c r="G67" t="n">
        <v>5.8</v>
      </c>
      <c r="H67" t="n">
        <v>1</v>
      </c>
      <c r="I67" t="n">
        <v>1</v>
      </c>
      <c r="J67" t="n">
        <v>2</v>
      </c>
      <c r="K67" t="n">
        <v>0</v>
      </c>
      <c r="L67" t="n">
        <v>0</v>
      </c>
      <c r="M67" t="n">
        <v>0</v>
      </c>
      <c r="N67" t="n">
        <v>0</v>
      </c>
      <c r="O67" t="n">
        <v>2</v>
      </c>
      <c r="P67" t="n">
        <v>0</v>
      </c>
      <c r="Q67" t="n">
        <v>3</v>
      </c>
      <c r="R67" s="2" t="inlineStr">
        <is>
          <t>Gulsparv
Vedflikmossa
Terpentinmossa</t>
        </is>
      </c>
      <c r="S67">
        <f>HYPERLINK("https://klasma.github.io/Logging_0188/artfynd/A 2851-2023 artfynd.xlsx", "A 2851-2023")</f>
        <v/>
      </c>
      <c r="T67">
        <f>HYPERLINK("https://klasma.github.io/Logging_0188/kartor/A 2851-2023 karta.png", "A 2851-2023")</f>
        <v/>
      </c>
      <c r="V67">
        <f>HYPERLINK("https://klasma.github.io/Logging_0188/klagomål/A 2851-2023 FSC-klagomål.docx", "A 2851-2023")</f>
        <v/>
      </c>
      <c r="W67">
        <f>HYPERLINK("https://klasma.github.io/Logging_0188/klagomålsmail/A 2851-2023 FSC-klagomål mail.docx", "A 2851-2023")</f>
        <v/>
      </c>
      <c r="X67">
        <f>HYPERLINK("https://klasma.github.io/Logging_0188/tillsyn/A 2851-2023 tillsynsbegäran.docx", "A 2851-2023")</f>
        <v/>
      </c>
      <c r="Y67">
        <f>HYPERLINK("https://klasma.github.io/Logging_0188/tillsynsmail/A 2851-2023 tillsynsbegäran mail.docx", "A 2851-2023")</f>
        <v/>
      </c>
      <c r="Z67">
        <f>HYPERLINK("https://klasma.github.io/Logging_0188/fåglar/A 2851-2023 prioriterade fågelarter.docx", "A 2851-2023")</f>
        <v/>
      </c>
    </row>
    <row r="68" ht="15" customHeight="1">
      <c r="A68" t="inlineStr">
        <is>
          <t>A 29185-2025</t>
        </is>
      </c>
      <c r="B68" s="1" t="n">
        <v>45821</v>
      </c>
      <c r="C68" s="1" t="n">
        <v>46149</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34524-2025</t>
        </is>
      </c>
      <c r="B69" s="1" t="n">
        <v>45847.47685185185</v>
      </c>
      <c r="C69" s="1" t="n">
        <v>46149</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20185-2022</t>
        </is>
      </c>
      <c r="B70" s="1" t="n">
        <v>44698</v>
      </c>
      <c r="C70" s="1" t="n">
        <v>46149</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52726-2025</t>
        </is>
      </c>
      <c r="B71" s="1" t="n">
        <v>45957.34722222222</v>
      </c>
      <c r="C71" s="1" t="n">
        <v>46149</v>
      </c>
      <c r="D71" t="inlineStr">
        <is>
          <t>STOCKHOLMS LÄN</t>
        </is>
      </c>
      <c r="E71" t="inlineStr">
        <is>
          <t>NORRTÄLJE</t>
        </is>
      </c>
      <c r="G71" t="n">
        <v>4.7</v>
      </c>
      <c r="H71" t="n">
        <v>2</v>
      </c>
      <c r="I71" t="n">
        <v>2</v>
      </c>
      <c r="J71" t="n">
        <v>0</v>
      </c>
      <c r="K71" t="n">
        <v>0</v>
      </c>
      <c r="L71" t="n">
        <v>0</v>
      </c>
      <c r="M71" t="n">
        <v>0</v>
      </c>
      <c r="N71" t="n">
        <v>0</v>
      </c>
      <c r="O71" t="n">
        <v>0</v>
      </c>
      <c r="P71" t="n">
        <v>0</v>
      </c>
      <c r="Q71" t="n">
        <v>3</v>
      </c>
      <c r="R71" s="2" t="inlineStr">
        <is>
          <t>Grön sköldmossa
Vågbandad barkbock
Tjäder</t>
        </is>
      </c>
      <c r="S71">
        <f>HYPERLINK("https://klasma.github.io/Logging_0188/artfynd/A 52726-2025 artfynd.xlsx", "A 52726-2025")</f>
        <v/>
      </c>
      <c r="T71">
        <f>HYPERLINK("https://klasma.github.io/Logging_0188/kartor/A 52726-2025 karta.png", "A 52726-2025")</f>
        <v/>
      </c>
      <c r="V71">
        <f>HYPERLINK("https://klasma.github.io/Logging_0188/klagomål/A 52726-2025 FSC-klagomål.docx", "A 52726-2025")</f>
        <v/>
      </c>
      <c r="W71">
        <f>HYPERLINK("https://klasma.github.io/Logging_0188/klagomålsmail/A 52726-2025 FSC-klagomål mail.docx", "A 52726-2025")</f>
        <v/>
      </c>
      <c r="X71">
        <f>HYPERLINK("https://klasma.github.io/Logging_0188/tillsyn/A 52726-2025 tillsynsbegäran.docx", "A 52726-2025")</f>
        <v/>
      </c>
      <c r="Y71">
        <f>HYPERLINK("https://klasma.github.io/Logging_0188/tillsynsmail/A 52726-2025 tillsynsbegäran mail.docx", "A 52726-2025")</f>
        <v/>
      </c>
      <c r="Z71">
        <f>HYPERLINK("https://klasma.github.io/Logging_0188/fåglar/A 52726-2025 prioriterade fågelarter.docx", "A 52726-2025")</f>
        <v/>
      </c>
    </row>
    <row r="72" ht="15" customHeight="1">
      <c r="A72" t="inlineStr">
        <is>
          <t>A 52133-2022</t>
        </is>
      </c>
      <c r="B72" s="1" t="n">
        <v>44868</v>
      </c>
      <c r="C72" s="1" t="n">
        <v>46149</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46149</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46149</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46149</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17952-2022</t>
        </is>
      </c>
      <c r="B76" s="1" t="n">
        <v>44683</v>
      </c>
      <c r="C76" s="1" t="n">
        <v>46149</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51980-2022</t>
        </is>
      </c>
      <c r="B77" s="1" t="n">
        <v>44872</v>
      </c>
      <c r="C77" s="1" t="n">
        <v>46149</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30693-2022</t>
        </is>
      </c>
      <c r="B78" s="1" t="n">
        <v>44763</v>
      </c>
      <c r="C78" s="1" t="n">
        <v>46149</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51220-2023</t>
        </is>
      </c>
      <c r="B79" s="1" t="n">
        <v>45219</v>
      </c>
      <c r="C79" s="1" t="n">
        <v>46149</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52124-2022</t>
        </is>
      </c>
      <c r="B80" s="1" t="n">
        <v>44868</v>
      </c>
      <c r="C80" s="1" t="n">
        <v>46149</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52825-2023</t>
        </is>
      </c>
      <c r="B81" s="1" t="n">
        <v>45226</v>
      </c>
      <c r="C81" s="1" t="n">
        <v>46149</v>
      </c>
      <c r="D81" t="inlineStr">
        <is>
          <t>STOCKHOLMS LÄN</t>
        </is>
      </c>
      <c r="E81" t="inlineStr">
        <is>
          <t>NORRTÄLJE</t>
        </is>
      </c>
      <c r="G81" t="n">
        <v>1</v>
      </c>
      <c r="H81" t="n">
        <v>0</v>
      </c>
      <c r="I81" t="n">
        <v>2</v>
      </c>
      <c r="J81" t="n">
        <v>0</v>
      </c>
      <c r="K81" t="n">
        <v>0</v>
      </c>
      <c r="L81" t="n">
        <v>0</v>
      </c>
      <c r="M81" t="n">
        <v>0</v>
      </c>
      <c r="N81" t="n">
        <v>0</v>
      </c>
      <c r="O81" t="n">
        <v>0</v>
      </c>
      <c r="P81" t="n">
        <v>0</v>
      </c>
      <c r="Q81" t="n">
        <v>2</v>
      </c>
      <c r="R81" s="2" t="inlineStr">
        <is>
          <t>Fjällig taggsvamp s.str.
Strimspindling</t>
        </is>
      </c>
      <c r="S81">
        <f>HYPERLINK("https://klasma.github.io/Logging_0188/artfynd/A 52825-2023 artfynd.xlsx", "A 52825-2023")</f>
        <v/>
      </c>
      <c r="T81">
        <f>HYPERLINK("https://klasma.github.io/Logging_0188/kartor/A 52825-2023 karta.png", "A 52825-2023")</f>
        <v/>
      </c>
      <c r="V81">
        <f>HYPERLINK("https://klasma.github.io/Logging_0188/klagomål/A 52825-2023 FSC-klagomål.docx", "A 52825-2023")</f>
        <v/>
      </c>
      <c r="W81">
        <f>HYPERLINK("https://klasma.github.io/Logging_0188/klagomålsmail/A 52825-2023 FSC-klagomål mail.docx", "A 52825-2023")</f>
        <v/>
      </c>
      <c r="X81">
        <f>HYPERLINK("https://klasma.github.io/Logging_0188/tillsyn/A 52825-2023 tillsynsbegäran.docx", "A 52825-2023")</f>
        <v/>
      </c>
      <c r="Y81">
        <f>HYPERLINK("https://klasma.github.io/Logging_0188/tillsynsmail/A 52825-2023 tillsynsbegäran mail.docx", "A 52825-2023")</f>
        <v/>
      </c>
    </row>
    <row r="82" ht="15" customHeight="1">
      <c r="A82" t="inlineStr">
        <is>
          <t>A 33548-2025</t>
        </is>
      </c>
      <c r="B82" s="1" t="n">
        <v>45841.5721875</v>
      </c>
      <c r="C82" s="1" t="n">
        <v>46149</v>
      </c>
      <c r="D82" t="inlineStr">
        <is>
          <t>STOCKHOLMS LÄN</t>
        </is>
      </c>
      <c r="E82" t="inlineStr">
        <is>
          <t>NORRTÄLJE</t>
        </is>
      </c>
      <c r="G82" t="n">
        <v>12.2</v>
      </c>
      <c r="H82" t="n">
        <v>1</v>
      </c>
      <c r="I82" t="n">
        <v>0</v>
      </c>
      <c r="J82" t="n">
        <v>1</v>
      </c>
      <c r="K82" t="n">
        <v>0</v>
      </c>
      <c r="L82" t="n">
        <v>0</v>
      </c>
      <c r="M82" t="n">
        <v>0</v>
      </c>
      <c r="N82" t="n">
        <v>0</v>
      </c>
      <c r="O82" t="n">
        <v>1</v>
      </c>
      <c r="P82" t="n">
        <v>0</v>
      </c>
      <c r="Q82" t="n">
        <v>2</v>
      </c>
      <c r="R82" s="2" t="inlineStr">
        <is>
          <t>Dofttaggsvamp
Sparvuggla</t>
        </is>
      </c>
      <c r="S82">
        <f>HYPERLINK("https://klasma.github.io/Logging_0188/artfynd/A 33548-2025 artfynd.xlsx", "A 33548-2025")</f>
        <v/>
      </c>
      <c r="T82">
        <f>HYPERLINK("https://klasma.github.io/Logging_0188/kartor/A 33548-2025 karta.png", "A 33548-2025")</f>
        <v/>
      </c>
      <c r="V82">
        <f>HYPERLINK("https://klasma.github.io/Logging_0188/klagomål/A 33548-2025 FSC-klagomål.docx", "A 33548-2025")</f>
        <v/>
      </c>
      <c r="W82">
        <f>HYPERLINK("https://klasma.github.io/Logging_0188/klagomålsmail/A 33548-2025 FSC-klagomål mail.docx", "A 33548-2025")</f>
        <v/>
      </c>
      <c r="X82">
        <f>HYPERLINK("https://klasma.github.io/Logging_0188/tillsyn/A 33548-2025 tillsynsbegäran.docx", "A 33548-2025")</f>
        <v/>
      </c>
      <c r="Y82">
        <f>HYPERLINK("https://klasma.github.io/Logging_0188/tillsynsmail/A 33548-2025 tillsynsbegäran mail.docx", "A 33548-2025")</f>
        <v/>
      </c>
      <c r="Z82">
        <f>HYPERLINK("https://klasma.github.io/Logging_0188/fåglar/A 33548-2025 prioriterade fågelarter.docx", "A 33548-2025")</f>
        <v/>
      </c>
    </row>
    <row r="83" ht="15" customHeight="1">
      <c r="A83" t="inlineStr">
        <is>
          <t>A 16260-2022</t>
        </is>
      </c>
      <c r="B83" s="1" t="n">
        <v>44670</v>
      </c>
      <c r="C83" s="1" t="n">
        <v>46149</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46149</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50697-2025</t>
        </is>
      </c>
      <c r="B85" s="1" t="n">
        <v>45945.90854166666</v>
      </c>
      <c r="C85" s="1" t="n">
        <v>46149</v>
      </c>
      <c r="D85" t="inlineStr">
        <is>
          <t>STOCKHOLMS LÄN</t>
        </is>
      </c>
      <c r="E85" t="inlineStr">
        <is>
          <t>NORRTÄLJE</t>
        </is>
      </c>
      <c r="G85" t="n">
        <v>5.5</v>
      </c>
      <c r="H85" t="n">
        <v>0</v>
      </c>
      <c r="I85" t="n">
        <v>0</v>
      </c>
      <c r="J85" t="n">
        <v>2</v>
      </c>
      <c r="K85" t="n">
        <v>0</v>
      </c>
      <c r="L85" t="n">
        <v>0</v>
      </c>
      <c r="M85" t="n">
        <v>0</v>
      </c>
      <c r="N85" t="n">
        <v>0</v>
      </c>
      <c r="O85" t="n">
        <v>2</v>
      </c>
      <c r="P85" t="n">
        <v>0</v>
      </c>
      <c r="Q85" t="n">
        <v>2</v>
      </c>
      <c r="R85" s="2" t="inlineStr">
        <is>
          <t>Skogsklocka
Småflikig brosklav</t>
        </is>
      </c>
      <c r="S85">
        <f>HYPERLINK("https://klasma.github.io/Logging_0188/artfynd/A 50697-2025 artfynd.xlsx", "A 50697-2025")</f>
        <v/>
      </c>
      <c r="T85">
        <f>HYPERLINK("https://klasma.github.io/Logging_0188/kartor/A 50697-2025 karta.png", "A 50697-2025")</f>
        <v/>
      </c>
      <c r="V85">
        <f>HYPERLINK("https://klasma.github.io/Logging_0188/klagomål/A 50697-2025 FSC-klagomål.docx", "A 50697-2025")</f>
        <v/>
      </c>
      <c r="W85">
        <f>HYPERLINK("https://klasma.github.io/Logging_0188/klagomålsmail/A 50697-2025 FSC-klagomål mail.docx", "A 50697-2025")</f>
        <v/>
      </c>
      <c r="X85">
        <f>HYPERLINK("https://klasma.github.io/Logging_0188/tillsyn/A 50697-2025 tillsynsbegäran.docx", "A 50697-2025")</f>
        <v/>
      </c>
      <c r="Y85">
        <f>HYPERLINK("https://klasma.github.io/Logging_0188/tillsynsmail/A 50697-2025 tillsynsbegäran mail.docx", "A 50697-2025")</f>
        <v/>
      </c>
    </row>
    <row r="86" ht="15" customHeight="1">
      <c r="A86" t="inlineStr">
        <is>
          <t>A 53608-2025</t>
        </is>
      </c>
      <c r="B86" s="1" t="n">
        <v>45960</v>
      </c>
      <c r="C86" s="1" t="n">
        <v>46149</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1547-2022</t>
        </is>
      </c>
      <c r="B87" s="1" t="n">
        <v>44573</v>
      </c>
      <c r="C87" s="1" t="n">
        <v>46149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48131-2023</t>
        </is>
      </c>
      <c r="B91" s="1" t="n">
        <v>45205</v>
      </c>
      <c r="C91" s="1" t="n">
        <v>46149</v>
      </c>
      <c r="D91" t="inlineStr">
        <is>
          <t>STOCKHOLMS LÄN</t>
        </is>
      </c>
      <c r="E91" t="inlineStr">
        <is>
          <t>NORRTÄLJE</t>
        </is>
      </c>
      <c r="G91" t="n">
        <v>2.3</v>
      </c>
      <c r="H91" t="n">
        <v>0</v>
      </c>
      <c r="I91" t="n">
        <v>0</v>
      </c>
      <c r="J91" t="n">
        <v>1</v>
      </c>
      <c r="K91" t="n">
        <v>0</v>
      </c>
      <c r="L91" t="n">
        <v>0</v>
      </c>
      <c r="M91" t="n">
        <v>0</v>
      </c>
      <c r="N91" t="n">
        <v>0</v>
      </c>
      <c r="O91" t="n">
        <v>1</v>
      </c>
      <c r="P91" t="n">
        <v>0</v>
      </c>
      <c r="Q91" t="n">
        <v>1</v>
      </c>
      <c r="R91" s="2" t="inlineStr">
        <is>
          <t>Slåtterfibbla</t>
        </is>
      </c>
      <c r="S91">
        <f>HYPERLINK("https://klasma.github.io/Logging_0188/artfynd/A 48131-2023 artfynd.xlsx", "A 48131-2023")</f>
        <v/>
      </c>
      <c r="T91">
        <f>HYPERLINK("https://klasma.github.io/Logging_0188/kartor/A 48131-2023 karta.png", "A 48131-2023")</f>
        <v/>
      </c>
      <c r="V91">
        <f>HYPERLINK("https://klasma.github.io/Logging_0188/klagomål/A 48131-2023 FSC-klagomål.docx", "A 48131-2023")</f>
        <v/>
      </c>
      <c r="W91">
        <f>HYPERLINK("https://klasma.github.io/Logging_0188/klagomålsmail/A 48131-2023 FSC-klagomål mail.docx", "A 48131-2023")</f>
        <v/>
      </c>
      <c r="X91">
        <f>HYPERLINK("https://klasma.github.io/Logging_0188/tillsyn/A 48131-2023 tillsynsbegäran.docx", "A 48131-2023")</f>
        <v/>
      </c>
      <c r="Y91">
        <f>HYPERLINK("https://klasma.github.io/Logging_0188/tillsynsmail/A 48131-2023 tillsynsbegäran mail.docx", "A 48131-2023")</f>
        <v/>
      </c>
    </row>
    <row r="92" ht="15" customHeight="1">
      <c r="A92" t="inlineStr">
        <is>
          <t>A 24330-2023</t>
        </is>
      </c>
      <c r="B92" s="1" t="n">
        <v>45081</v>
      </c>
      <c r="C92" s="1" t="n">
        <v>46149</v>
      </c>
      <c r="D92" t="inlineStr">
        <is>
          <t>STOCKHOLMS LÄN</t>
        </is>
      </c>
      <c r="E92" t="inlineStr">
        <is>
          <t>NORRTÄLJE</t>
        </is>
      </c>
      <c r="G92" t="n">
        <v>5</v>
      </c>
      <c r="H92" t="n">
        <v>1</v>
      </c>
      <c r="I92" t="n">
        <v>0</v>
      </c>
      <c r="J92" t="n">
        <v>1</v>
      </c>
      <c r="K92" t="n">
        <v>0</v>
      </c>
      <c r="L92" t="n">
        <v>0</v>
      </c>
      <c r="M92" t="n">
        <v>0</v>
      </c>
      <c r="N92" t="n">
        <v>0</v>
      </c>
      <c r="O92" t="n">
        <v>1</v>
      </c>
      <c r="P92" t="n">
        <v>0</v>
      </c>
      <c r="Q92" t="n">
        <v>1</v>
      </c>
      <c r="R92" s="2" t="inlineStr">
        <is>
          <t>Mindre hackspett</t>
        </is>
      </c>
      <c r="S92">
        <f>HYPERLINK("https://klasma.github.io/Logging_0188/artfynd/A 24330-2023 artfynd.xlsx", "A 24330-2023")</f>
        <v/>
      </c>
      <c r="T92">
        <f>HYPERLINK("https://klasma.github.io/Logging_0188/kartor/A 24330-2023 karta.png", "A 24330-2023")</f>
        <v/>
      </c>
      <c r="V92">
        <f>HYPERLINK("https://klasma.github.io/Logging_0188/klagomål/A 24330-2023 FSC-klagomål.docx", "A 24330-2023")</f>
        <v/>
      </c>
      <c r="W92">
        <f>HYPERLINK("https://klasma.github.io/Logging_0188/klagomålsmail/A 24330-2023 FSC-klagomål mail.docx", "A 24330-2023")</f>
        <v/>
      </c>
      <c r="X92">
        <f>HYPERLINK("https://klasma.github.io/Logging_0188/tillsyn/A 24330-2023 tillsynsbegäran.docx", "A 24330-2023")</f>
        <v/>
      </c>
      <c r="Y92">
        <f>HYPERLINK("https://klasma.github.io/Logging_0188/tillsynsmail/A 24330-2023 tillsynsbegäran mail.docx", "A 24330-2023")</f>
        <v/>
      </c>
      <c r="Z92">
        <f>HYPERLINK("https://klasma.github.io/Logging_0188/fåglar/A 24330-2023 prioriterade fågelarter.docx", "A 24330-2023")</f>
        <v/>
      </c>
    </row>
    <row r="93" ht="15" customHeight="1">
      <c r="A93" t="inlineStr">
        <is>
          <t>A 21744-2023</t>
        </is>
      </c>
      <c r="B93" s="1" t="n">
        <v>45065</v>
      </c>
      <c r="C93" s="1" t="n">
        <v>46149</v>
      </c>
      <c r="D93" t="inlineStr">
        <is>
          <t>STOCKHOLMS LÄN</t>
        </is>
      </c>
      <c r="E93" t="inlineStr">
        <is>
          <t>NORRTÄLJE</t>
        </is>
      </c>
      <c r="F93" t="inlineStr">
        <is>
          <t>Holmen skog AB</t>
        </is>
      </c>
      <c r="G93" t="n">
        <v>4.2</v>
      </c>
      <c r="H93" t="n">
        <v>0</v>
      </c>
      <c r="I93" t="n">
        <v>1</v>
      </c>
      <c r="J93" t="n">
        <v>0</v>
      </c>
      <c r="K93" t="n">
        <v>0</v>
      </c>
      <c r="L93" t="n">
        <v>0</v>
      </c>
      <c r="M93" t="n">
        <v>0</v>
      </c>
      <c r="N93" t="n">
        <v>0</v>
      </c>
      <c r="O93" t="n">
        <v>0</v>
      </c>
      <c r="P93" t="n">
        <v>0</v>
      </c>
      <c r="Q93" t="n">
        <v>1</v>
      </c>
      <c r="R93" s="2" t="inlineStr">
        <is>
          <t>Korallblylav</t>
        </is>
      </c>
      <c r="S93">
        <f>HYPERLINK("https://klasma.github.io/Logging_0188/artfynd/A 21744-2023 artfynd.xlsx", "A 21744-2023")</f>
        <v/>
      </c>
      <c r="T93">
        <f>HYPERLINK("https://klasma.github.io/Logging_0188/kartor/A 21744-2023 karta.png", "A 21744-2023")</f>
        <v/>
      </c>
      <c r="V93">
        <f>HYPERLINK("https://klasma.github.io/Logging_0188/klagomål/A 21744-2023 FSC-klagomål.docx", "A 21744-2023")</f>
        <v/>
      </c>
      <c r="W93">
        <f>HYPERLINK("https://klasma.github.io/Logging_0188/klagomålsmail/A 21744-2023 FSC-klagomål mail.docx", "A 21744-2023")</f>
        <v/>
      </c>
      <c r="X93">
        <f>HYPERLINK("https://klasma.github.io/Logging_0188/tillsyn/A 21744-2023 tillsynsbegäran.docx", "A 21744-2023")</f>
        <v/>
      </c>
      <c r="Y93">
        <f>HYPERLINK("https://klasma.github.io/Logging_0188/tillsynsmail/A 21744-2023 tillsynsbegäran mail.docx", "A 21744-2023")</f>
        <v/>
      </c>
    </row>
    <row r="94" ht="15" customHeight="1">
      <c r="A94" t="inlineStr">
        <is>
          <t>A 11429-2023</t>
        </is>
      </c>
      <c r="B94" s="1" t="n">
        <v>44993</v>
      </c>
      <c r="C94" s="1" t="n">
        <v>46149</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33477-2022</t>
        </is>
      </c>
      <c r="B95" s="1" t="n">
        <v>44788.70217592592</v>
      </c>
      <c r="C95" s="1" t="n">
        <v>46149</v>
      </c>
      <c r="D95" t="inlineStr">
        <is>
          <t>STOCKHOLMS LÄN</t>
        </is>
      </c>
      <c r="E95" t="inlineStr">
        <is>
          <t>NORRTÄLJE</t>
        </is>
      </c>
      <c r="G95" t="n">
        <v>5.7</v>
      </c>
      <c r="H95" t="n">
        <v>1</v>
      </c>
      <c r="I95" t="n">
        <v>1</v>
      </c>
      <c r="J95" t="n">
        <v>0</v>
      </c>
      <c r="K95" t="n">
        <v>0</v>
      </c>
      <c r="L95" t="n">
        <v>0</v>
      </c>
      <c r="M95" t="n">
        <v>0</v>
      </c>
      <c r="N95" t="n">
        <v>0</v>
      </c>
      <c r="O95" t="n">
        <v>0</v>
      </c>
      <c r="P95" t="n">
        <v>0</v>
      </c>
      <c r="Q95" t="n">
        <v>1</v>
      </c>
      <c r="R95" s="2" t="inlineStr">
        <is>
          <t>Nästrot</t>
        </is>
      </c>
      <c r="S95">
        <f>HYPERLINK("https://klasma.github.io/Logging_0188/artfynd/A 33477-2022 artfynd.xlsx", "A 33477-2022")</f>
        <v/>
      </c>
      <c r="T95">
        <f>HYPERLINK("https://klasma.github.io/Logging_0188/kartor/A 33477-2022 karta.png", "A 33477-2022")</f>
        <v/>
      </c>
      <c r="V95">
        <f>HYPERLINK("https://klasma.github.io/Logging_0188/klagomål/A 33477-2022 FSC-klagomål.docx", "A 33477-2022")</f>
        <v/>
      </c>
      <c r="W95">
        <f>HYPERLINK("https://klasma.github.io/Logging_0188/klagomålsmail/A 33477-2022 FSC-klagomål mail.docx", "A 33477-2022")</f>
        <v/>
      </c>
      <c r="X95">
        <f>HYPERLINK("https://klasma.github.io/Logging_0188/tillsyn/A 33477-2022 tillsynsbegäran.docx", "A 33477-2022")</f>
        <v/>
      </c>
      <c r="Y95">
        <f>HYPERLINK("https://klasma.github.io/Logging_0188/tillsynsmail/A 33477-2022 tillsynsbegäran mail.docx", "A 33477-2022")</f>
        <v/>
      </c>
    </row>
    <row r="96" ht="15" customHeight="1">
      <c r="A96" t="inlineStr">
        <is>
          <t>A 52611-2024</t>
        </is>
      </c>
      <c r="B96" s="1" t="n">
        <v>45609.83747685186</v>
      </c>
      <c r="C96" s="1" t="n">
        <v>46149</v>
      </c>
      <c r="D96" t="inlineStr">
        <is>
          <t>STOCKHOLMS LÄN</t>
        </is>
      </c>
      <c r="E96" t="inlineStr">
        <is>
          <t>NORRTÄLJE</t>
        </is>
      </c>
      <c r="G96" t="n">
        <v>10.6</v>
      </c>
      <c r="H96" t="n">
        <v>1</v>
      </c>
      <c r="I96" t="n">
        <v>0</v>
      </c>
      <c r="J96" t="n">
        <v>0</v>
      </c>
      <c r="K96" t="n">
        <v>0</v>
      </c>
      <c r="L96" t="n">
        <v>0</v>
      </c>
      <c r="M96" t="n">
        <v>0</v>
      </c>
      <c r="N96" t="n">
        <v>0</v>
      </c>
      <c r="O96" t="n">
        <v>0</v>
      </c>
      <c r="P96" t="n">
        <v>0</v>
      </c>
      <c r="Q96" t="n">
        <v>1</v>
      </c>
      <c r="R96" s="2" t="inlineStr">
        <is>
          <t>Blåsippa</t>
        </is>
      </c>
      <c r="S96">
        <f>HYPERLINK("https://klasma.github.io/Logging_0188/artfynd/A 52611-2024 artfynd.xlsx", "A 52611-2024")</f>
        <v/>
      </c>
      <c r="T96">
        <f>HYPERLINK("https://klasma.github.io/Logging_0188/kartor/A 52611-2024 karta.png", "A 52611-2024")</f>
        <v/>
      </c>
      <c r="V96">
        <f>HYPERLINK("https://klasma.github.io/Logging_0188/klagomål/A 52611-2024 FSC-klagomål.docx", "A 52611-2024")</f>
        <v/>
      </c>
      <c r="W96">
        <f>HYPERLINK("https://klasma.github.io/Logging_0188/klagomålsmail/A 52611-2024 FSC-klagomål mail.docx", "A 52611-2024")</f>
        <v/>
      </c>
      <c r="X96">
        <f>HYPERLINK("https://klasma.github.io/Logging_0188/tillsyn/A 52611-2024 tillsynsbegäran.docx", "A 52611-2024")</f>
        <v/>
      </c>
      <c r="Y96">
        <f>HYPERLINK("https://klasma.github.io/Logging_0188/tillsynsmail/A 52611-2024 tillsynsbegäran mail.docx", "A 52611-2024")</f>
        <v/>
      </c>
    </row>
    <row r="97" ht="15" customHeight="1">
      <c r="A97" t="inlineStr">
        <is>
          <t>A 21150-2022</t>
        </is>
      </c>
      <c r="B97" s="1" t="n">
        <v>44704</v>
      </c>
      <c r="C97" s="1" t="n">
        <v>46149</v>
      </c>
      <c r="D97" t="inlineStr">
        <is>
          <t>STOCKHOLMS LÄN</t>
        </is>
      </c>
      <c r="E97" t="inlineStr">
        <is>
          <t>NORRTÄLJE</t>
        </is>
      </c>
      <c r="G97" t="n">
        <v>12.5</v>
      </c>
      <c r="H97" t="n">
        <v>1</v>
      </c>
      <c r="I97" t="n">
        <v>0</v>
      </c>
      <c r="J97" t="n">
        <v>0</v>
      </c>
      <c r="K97" t="n">
        <v>0</v>
      </c>
      <c r="L97" t="n">
        <v>1</v>
      </c>
      <c r="M97" t="n">
        <v>0</v>
      </c>
      <c r="N97" t="n">
        <v>0</v>
      </c>
      <c r="O97" t="n">
        <v>1</v>
      </c>
      <c r="P97" t="n">
        <v>1</v>
      </c>
      <c r="Q97" t="n">
        <v>1</v>
      </c>
      <c r="R97" s="2" t="inlineStr">
        <is>
          <t>Asknätfjäril</t>
        </is>
      </c>
      <c r="S97">
        <f>HYPERLINK("https://klasma.github.io/Logging_0188/artfynd/A 21150-2022 artfynd.xlsx", "A 21150-2022")</f>
        <v/>
      </c>
      <c r="T97">
        <f>HYPERLINK("https://klasma.github.io/Logging_0188/kartor/A 21150-2022 karta.png", "A 21150-2022")</f>
        <v/>
      </c>
      <c r="V97">
        <f>HYPERLINK("https://klasma.github.io/Logging_0188/klagomål/A 21150-2022 FSC-klagomål.docx", "A 21150-2022")</f>
        <v/>
      </c>
      <c r="W97">
        <f>HYPERLINK("https://klasma.github.io/Logging_0188/klagomålsmail/A 21150-2022 FSC-klagomål mail.docx", "A 21150-2022")</f>
        <v/>
      </c>
      <c r="X97">
        <f>HYPERLINK("https://klasma.github.io/Logging_0188/tillsyn/A 21150-2022 tillsynsbegäran.docx", "A 21150-2022")</f>
        <v/>
      </c>
      <c r="Y97">
        <f>HYPERLINK("https://klasma.github.io/Logging_0188/tillsynsmail/A 21150-2022 tillsynsbegäran mail.docx", "A 21150-2022")</f>
        <v/>
      </c>
    </row>
    <row r="98" ht="15" customHeight="1">
      <c r="A98" t="inlineStr">
        <is>
          <t>A 58888-2021</t>
        </is>
      </c>
      <c r="B98" s="1" t="n">
        <v>44489</v>
      </c>
      <c r="C98" s="1" t="n">
        <v>46149</v>
      </c>
      <c r="D98" t="inlineStr">
        <is>
          <t>STOCKHOLMS LÄN</t>
        </is>
      </c>
      <c r="E98" t="inlineStr">
        <is>
          <t>NORRTÄLJE</t>
        </is>
      </c>
      <c r="F98" t="inlineStr">
        <is>
          <t>Holmen skog AB</t>
        </is>
      </c>
      <c r="G98" t="n">
        <v>2.5</v>
      </c>
      <c r="H98" t="n">
        <v>1</v>
      </c>
      <c r="I98" t="n">
        <v>0</v>
      </c>
      <c r="J98" t="n">
        <v>0</v>
      </c>
      <c r="K98" t="n">
        <v>0</v>
      </c>
      <c r="L98" t="n">
        <v>1</v>
      </c>
      <c r="M98" t="n">
        <v>0</v>
      </c>
      <c r="N98" t="n">
        <v>0</v>
      </c>
      <c r="O98" t="n">
        <v>1</v>
      </c>
      <c r="P98" t="n">
        <v>1</v>
      </c>
      <c r="Q98" t="n">
        <v>1</v>
      </c>
      <c r="R98" s="2" t="inlineStr">
        <is>
          <t>Asknätfjäril</t>
        </is>
      </c>
      <c r="S98">
        <f>HYPERLINK("https://klasma.github.io/Logging_0188/artfynd/A 58888-2021 artfynd.xlsx", "A 58888-2021")</f>
        <v/>
      </c>
      <c r="T98">
        <f>HYPERLINK("https://klasma.github.io/Logging_0188/kartor/A 58888-2021 karta.png", "A 58888-2021")</f>
        <v/>
      </c>
      <c r="V98">
        <f>HYPERLINK("https://klasma.github.io/Logging_0188/klagomål/A 58888-2021 FSC-klagomål.docx", "A 58888-2021")</f>
        <v/>
      </c>
      <c r="W98">
        <f>HYPERLINK("https://klasma.github.io/Logging_0188/klagomålsmail/A 58888-2021 FSC-klagomål mail.docx", "A 58888-2021")</f>
        <v/>
      </c>
      <c r="X98">
        <f>HYPERLINK("https://klasma.github.io/Logging_0188/tillsyn/A 58888-2021 tillsynsbegäran.docx", "A 58888-2021")</f>
        <v/>
      </c>
      <c r="Y98">
        <f>HYPERLINK("https://klasma.github.io/Logging_0188/tillsynsmail/A 58888-2021 tillsynsbegäran mail.docx", "A 58888-2021")</f>
        <v/>
      </c>
    </row>
    <row r="99" ht="15" customHeight="1">
      <c r="A99" t="inlineStr">
        <is>
          <t>A 4595-2023</t>
        </is>
      </c>
      <c r="B99" s="1" t="n">
        <v>44956</v>
      </c>
      <c r="C99" s="1" t="n">
        <v>46149</v>
      </c>
      <c r="D99" t="inlineStr">
        <is>
          <t>STOCKHOLMS LÄN</t>
        </is>
      </c>
      <c r="E99" t="inlineStr">
        <is>
          <t>NORRTÄLJE</t>
        </is>
      </c>
      <c r="G99" t="n">
        <v>0.6</v>
      </c>
      <c r="H99" t="n">
        <v>1</v>
      </c>
      <c r="I99" t="n">
        <v>0</v>
      </c>
      <c r="J99" t="n">
        <v>0</v>
      </c>
      <c r="K99" t="n">
        <v>0</v>
      </c>
      <c r="L99" t="n">
        <v>0</v>
      </c>
      <c r="M99" t="n">
        <v>0</v>
      </c>
      <c r="N99" t="n">
        <v>0</v>
      </c>
      <c r="O99" t="n">
        <v>0</v>
      </c>
      <c r="P99" t="n">
        <v>0</v>
      </c>
      <c r="Q99" t="n">
        <v>1</v>
      </c>
      <c r="R99" s="2" t="inlineStr">
        <is>
          <t>Blåsippa</t>
        </is>
      </c>
      <c r="S99">
        <f>HYPERLINK("https://klasma.github.io/Logging_0188/artfynd/A 4595-2023 artfynd.xlsx", "A 4595-2023")</f>
        <v/>
      </c>
      <c r="T99">
        <f>HYPERLINK("https://klasma.github.io/Logging_0188/kartor/A 4595-2023 karta.png", "A 4595-2023")</f>
        <v/>
      </c>
      <c r="V99">
        <f>HYPERLINK("https://klasma.github.io/Logging_0188/klagomål/A 4595-2023 FSC-klagomål.docx", "A 4595-2023")</f>
        <v/>
      </c>
      <c r="W99">
        <f>HYPERLINK("https://klasma.github.io/Logging_0188/klagomålsmail/A 4595-2023 FSC-klagomål mail.docx", "A 4595-2023")</f>
        <v/>
      </c>
      <c r="X99">
        <f>HYPERLINK("https://klasma.github.io/Logging_0188/tillsyn/A 4595-2023 tillsynsbegäran.docx", "A 4595-2023")</f>
        <v/>
      </c>
      <c r="Y99">
        <f>HYPERLINK("https://klasma.github.io/Logging_0188/tillsynsmail/A 4595-2023 tillsynsbegäran mail.docx", "A 4595-2023")</f>
        <v/>
      </c>
    </row>
    <row r="100" ht="15" customHeight="1">
      <c r="A100" t="inlineStr">
        <is>
          <t>A 24535-2023</t>
        </is>
      </c>
      <c r="B100" s="1" t="n">
        <v>45082</v>
      </c>
      <c r="C100" s="1" t="n">
        <v>46149</v>
      </c>
      <c r="D100" t="inlineStr">
        <is>
          <t>STOCKHOLMS LÄN</t>
        </is>
      </c>
      <c r="E100" t="inlineStr">
        <is>
          <t>NORRTÄLJE</t>
        </is>
      </c>
      <c r="F100" t="inlineStr">
        <is>
          <t>Kommuner</t>
        </is>
      </c>
      <c r="G100" t="n">
        <v>2</v>
      </c>
      <c r="H100" t="n">
        <v>1</v>
      </c>
      <c r="I100" t="n">
        <v>0</v>
      </c>
      <c r="J100" t="n">
        <v>0</v>
      </c>
      <c r="K100" t="n">
        <v>0</v>
      </c>
      <c r="L100" t="n">
        <v>0</v>
      </c>
      <c r="M100" t="n">
        <v>0</v>
      </c>
      <c r="N100" t="n">
        <v>0</v>
      </c>
      <c r="O100" t="n">
        <v>0</v>
      </c>
      <c r="P100" t="n">
        <v>0</v>
      </c>
      <c r="Q100" t="n">
        <v>1</v>
      </c>
      <c r="R100" s="2" t="inlineStr">
        <is>
          <t>Blåsippa</t>
        </is>
      </c>
      <c r="S100">
        <f>HYPERLINK("https://klasma.github.io/Logging_0188/artfynd/A 24535-2023 artfynd.xlsx", "A 24535-2023")</f>
        <v/>
      </c>
      <c r="T100">
        <f>HYPERLINK("https://klasma.github.io/Logging_0188/kartor/A 24535-2023 karta.png", "A 24535-2023")</f>
        <v/>
      </c>
      <c r="V100">
        <f>HYPERLINK("https://klasma.github.io/Logging_0188/klagomål/A 24535-2023 FSC-klagomål.docx", "A 24535-2023")</f>
        <v/>
      </c>
      <c r="W100">
        <f>HYPERLINK("https://klasma.github.io/Logging_0188/klagomålsmail/A 24535-2023 FSC-klagomål mail.docx", "A 24535-2023")</f>
        <v/>
      </c>
      <c r="X100">
        <f>HYPERLINK("https://klasma.github.io/Logging_0188/tillsyn/A 24535-2023 tillsynsbegäran.docx", "A 24535-2023")</f>
        <v/>
      </c>
      <c r="Y100">
        <f>HYPERLINK("https://klasma.github.io/Logging_0188/tillsynsmail/A 24535-2023 tillsynsbegäran mail.docx", "A 24535-2023")</f>
        <v/>
      </c>
    </row>
    <row r="101" ht="15" customHeight="1">
      <c r="A101" t="inlineStr">
        <is>
          <t>A 9955-2022</t>
        </is>
      </c>
      <c r="B101" s="1" t="n">
        <v>44620</v>
      </c>
      <c r="C101" s="1" t="n">
        <v>46149</v>
      </c>
      <c r="D101" t="inlineStr">
        <is>
          <t>STOCKHOLMS LÄN</t>
        </is>
      </c>
      <c r="E101" t="inlineStr">
        <is>
          <t>NORRTÄLJE</t>
        </is>
      </c>
      <c r="G101" t="n">
        <v>7.8</v>
      </c>
      <c r="H101" t="n">
        <v>1</v>
      </c>
      <c r="I101" t="n">
        <v>0</v>
      </c>
      <c r="J101" t="n">
        <v>0</v>
      </c>
      <c r="K101" t="n">
        <v>0</v>
      </c>
      <c r="L101" t="n">
        <v>0</v>
      </c>
      <c r="M101" t="n">
        <v>0</v>
      </c>
      <c r="N101" t="n">
        <v>0</v>
      </c>
      <c r="O101" t="n">
        <v>0</v>
      </c>
      <c r="P101" t="n">
        <v>0</v>
      </c>
      <c r="Q101" t="n">
        <v>1</v>
      </c>
      <c r="R101" s="2" t="inlineStr">
        <is>
          <t>Åkergroda</t>
        </is>
      </c>
      <c r="S101">
        <f>HYPERLINK("https://klasma.github.io/Logging_0188/artfynd/A 9955-2022 artfynd.xlsx", "A 9955-2022")</f>
        <v/>
      </c>
      <c r="T101">
        <f>HYPERLINK("https://klasma.github.io/Logging_0188/kartor/A 9955-2022 karta.png", "A 9955-2022")</f>
        <v/>
      </c>
      <c r="V101">
        <f>HYPERLINK("https://klasma.github.io/Logging_0188/klagomål/A 9955-2022 FSC-klagomål.docx", "A 9955-2022")</f>
        <v/>
      </c>
      <c r="W101">
        <f>HYPERLINK("https://klasma.github.io/Logging_0188/klagomålsmail/A 9955-2022 FSC-klagomål mail.docx", "A 9955-2022")</f>
        <v/>
      </c>
      <c r="X101">
        <f>HYPERLINK("https://klasma.github.io/Logging_0188/tillsyn/A 9955-2022 tillsynsbegäran.docx", "A 9955-2022")</f>
        <v/>
      </c>
      <c r="Y101">
        <f>HYPERLINK("https://klasma.github.io/Logging_0188/tillsynsmail/A 9955-2022 tillsynsbegäran mail.docx", "A 9955-2022")</f>
        <v/>
      </c>
    </row>
    <row r="102" ht="15" customHeight="1">
      <c r="A102" t="inlineStr">
        <is>
          <t>A 40861-2025</t>
        </is>
      </c>
      <c r="B102" s="1" t="n">
        <v>45897.56356481482</v>
      </c>
      <c r="C102" s="1" t="n">
        <v>46149</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26635-2023</t>
        </is>
      </c>
      <c r="B103" s="1" t="n">
        <v>45092</v>
      </c>
      <c r="C103" s="1" t="n">
        <v>46149</v>
      </c>
      <c r="D103" t="inlineStr">
        <is>
          <t>STOCKHOLMS LÄN</t>
        </is>
      </c>
      <c r="E103" t="inlineStr">
        <is>
          <t>NORRTÄLJE</t>
        </is>
      </c>
      <c r="G103" t="n">
        <v>3.1</v>
      </c>
      <c r="H103" t="n">
        <v>1</v>
      </c>
      <c r="I103" t="n">
        <v>0</v>
      </c>
      <c r="J103" t="n">
        <v>0</v>
      </c>
      <c r="K103" t="n">
        <v>0</v>
      </c>
      <c r="L103" t="n">
        <v>0</v>
      </c>
      <c r="M103" t="n">
        <v>0</v>
      </c>
      <c r="N103" t="n">
        <v>0</v>
      </c>
      <c r="O103" t="n">
        <v>0</v>
      </c>
      <c r="P103" t="n">
        <v>0</v>
      </c>
      <c r="Q103" t="n">
        <v>1</v>
      </c>
      <c r="R103" s="2" t="inlineStr">
        <is>
          <t>Fläcknycklar</t>
        </is>
      </c>
      <c r="S103">
        <f>HYPERLINK("https://klasma.github.io/Logging_0188/artfynd/A 26635-2023 artfynd.xlsx", "A 26635-2023")</f>
        <v/>
      </c>
      <c r="T103">
        <f>HYPERLINK("https://klasma.github.io/Logging_0188/kartor/A 26635-2023 karta.png", "A 26635-2023")</f>
        <v/>
      </c>
      <c r="V103">
        <f>HYPERLINK("https://klasma.github.io/Logging_0188/klagomål/A 26635-2023 FSC-klagomål.docx", "A 26635-2023")</f>
        <v/>
      </c>
      <c r="W103">
        <f>HYPERLINK("https://klasma.github.io/Logging_0188/klagomålsmail/A 26635-2023 FSC-klagomål mail.docx", "A 26635-2023")</f>
        <v/>
      </c>
      <c r="X103">
        <f>HYPERLINK("https://klasma.github.io/Logging_0188/tillsyn/A 26635-2023 tillsynsbegäran.docx", "A 26635-2023")</f>
        <v/>
      </c>
      <c r="Y103">
        <f>HYPERLINK("https://klasma.github.io/Logging_0188/tillsynsmail/A 26635-2023 tillsynsbegäran mail.docx", "A 26635-2023")</f>
        <v/>
      </c>
    </row>
    <row r="104" ht="15" customHeight="1">
      <c r="A104" t="inlineStr">
        <is>
          <t>A 31281-2022</t>
        </is>
      </c>
      <c r="B104" s="1" t="n">
        <v>44771</v>
      </c>
      <c r="C104" s="1" t="n">
        <v>46149</v>
      </c>
      <c r="D104" t="inlineStr">
        <is>
          <t>STOCKHOLMS LÄN</t>
        </is>
      </c>
      <c r="E104" t="inlineStr">
        <is>
          <t>NORRTÄLJE</t>
        </is>
      </c>
      <c r="F104" t="inlineStr">
        <is>
          <t>Holmen skog AB</t>
        </is>
      </c>
      <c r="G104" t="n">
        <v>5.2</v>
      </c>
      <c r="H104" t="n">
        <v>1</v>
      </c>
      <c r="I104" t="n">
        <v>0</v>
      </c>
      <c r="J104" t="n">
        <v>1</v>
      </c>
      <c r="K104" t="n">
        <v>0</v>
      </c>
      <c r="L104" t="n">
        <v>0</v>
      </c>
      <c r="M104" t="n">
        <v>0</v>
      </c>
      <c r="N104" t="n">
        <v>0</v>
      </c>
      <c r="O104" t="n">
        <v>1</v>
      </c>
      <c r="P104" t="n">
        <v>0</v>
      </c>
      <c r="Q104" t="n">
        <v>1</v>
      </c>
      <c r="R104" s="2" t="inlineStr">
        <is>
          <t>Kråka</t>
        </is>
      </c>
      <c r="S104">
        <f>HYPERLINK("https://klasma.github.io/Logging_0188/artfynd/A 31281-2022 artfynd.xlsx", "A 31281-2022")</f>
        <v/>
      </c>
      <c r="T104">
        <f>HYPERLINK("https://klasma.github.io/Logging_0188/kartor/A 31281-2022 karta.png", "A 31281-2022")</f>
        <v/>
      </c>
      <c r="V104">
        <f>HYPERLINK("https://klasma.github.io/Logging_0188/klagomål/A 31281-2022 FSC-klagomål.docx", "A 31281-2022")</f>
        <v/>
      </c>
      <c r="W104">
        <f>HYPERLINK("https://klasma.github.io/Logging_0188/klagomålsmail/A 31281-2022 FSC-klagomål mail.docx", "A 31281-2022")</f>
        <v/>
      </c>
      <c r="X104">
        <f>HYPERLINK("https://klasma.github.io/Logging_0188/tillsyn/A 31281-2022 tillsynsbegäran.docx", "A 31281-2022")</f>
        <v/>
      </c>
      <c r="Y104">
        <f>HYPERLINK("https://klasma.github.io/Logging_0188/tillsynsmail/A 31281-2022 tillsynsbegäran mail.docx", "A 31281-2022")</f>
        <v/>
      </c>
      <c r="Z104">
        <f>HYPERLINK("https://klasma.github.io/Logging_0188/fåglar/A 31281-2022 prioriterade fågelarter.docx", "A 31281-2022")</f>
        <v/>
      </c>
    </row>
    <row r="105" ht="15" customHeight="1">
      <c r="A105" t="inlineStr">
        <is>
          <t>A 13271-2025</t>
        </is>
      </c>
      <c r="B105" s="1" t="n">
        <v>45735.54510416667</v>
      </c>
      <c r="C105" s="1" t="n">
        <v>46149</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4532-2025</t>
        </is>
      </c>
      <c r="B106" s="1" t="n">
        <v>45687.34177083334</v>
      </c>
      <c r="C106" s="1" t="n">
        <v>46149</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35691-2023</t>
        </is>
      </c>
      <c r="B107" s="1" t="n">
        <v>45147.65222222222</v>
      </c>
      <c r="C107" s="1" t="n">
        <v>46149</v>
      </c>
      <c r="D107" t="inlineStr">
        <is>
          <t>STOCKHOLMS LÄN</t>
        </is>
      </c>
      <c r="E107" t="inlineStr">
        <is>
          <t>NORRTÄLJE</t>
        </is>
      </c>
      <c r="G107" t="n">
        <v>2.3</v>
      </c>
      <c r="H107" t="n">
        <v>1</v>
      </c>
      <c r="I107" t="n">
        <v>0</v>
      </c>
      <c r="J107" t="n">
        <v>0</v>
      </c>
      <c r="K107" t="n">
        <v>0</v>
      </c>
      <c r="L107" t="n">
        <v>0</v>
      </c>
      <c r="M107" t="n">
        <v>0</v>
      </c>
      <c r="N107" t="n">
        <v>0</v>
      </c>
      <c r="O107" t="n">
        <v>0</v>
      </c>
      <c r="P107" t="n">
        <v>0</v>
      </c>
      <c r="Q107" t="n">
        <v>1</v>
      </c>
      <c r="R107" s="2" t="inlineStr">
        <is>
          <t>Kungsfågel</t>
        </is>
      </c>
      <c r="S107">
        <f>HYPERLINK("https://klasma.github.io/Logging_0188/artfynd/A 35691-2023 artfynd.xlsx", "A 35691-2023")</f>
        <v/>
      </c>
      <c r="T107">
        <f>HYPERLINK("https://klasma.github.io/Logging_0188/kartor/A 35691-2023 karta.png", "A 35691-2023")</f>
        <v/>
      </c>
      <c r="V107">
        <f>HYPERLINK("https://klasma.github.io/Logging_0188/klagomål/A 35691-2023 FSC-klagomål.docx", "A 35691-2023")</f>
        <v/>
      </c>
      <c r="W107">
        <f>HYPERLINK("https://klasma.github.io/Logging_0188/klagomålsmail/A 35691-2023 FSC-klagomål mail.docx", "A 35691-2023")</f>
        <v/>
      </c>
      <c r="X107">
        <f>HYPERLINK("https://klasma.github.io/Logging_0188/tillsyn/A 35691-2023 tillsynsbegäran.docx", "A 35691-2023")</f>
        <v/>
      </c>
      <c r="Y107">
        <f>HYPERLINK("https://klasma.github.io/Logging_0188/tillsynsmail/A 35691-2023 tillsynsbegäran mail.docx", "A 35691-2023")</f>
        <v/>
      </c>
      <c r="Z107">
        <f>HYPERLINK("https://klasma.github.io/Logging_0188/fåglar/A 35691-2023 prioriterade fågelarter.docx", "A 35691-2023")</f>
        <v/>
      </c>
    </row>
    <row r="108" ht="15" customHeight="1">
      <c r="A108" t="inlineStr">
        <is>
          <t>A 35693-2023</t>
        </is>
      </c>
      <c r="B108" s="1" t="n">
        <v>45147.65311342593</v>
      </c>
      <c r="C108" s="1" t="n">
        <v>46149</v>
      </c>
      <c r="D108" t="inlineStr">
        <is>
          <t>STOCKHOLMS LÄN</t>
        </is>
      </c>
      <c r="E108" t="inlineStr">
        <is>
          <t>NORRTÄLJE</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HYPERLINK("https://klasma.github.io/Logging_0188/artfynd/A 35693-2023 artfynd.xlsx", "A 35693-2023")</f>
        <v/>
      </c>
      <c r="T108">
        <f>HYPERLINK("https://klasma.github.io/Logging_0188/kartor/A 35693-2023 karta.png", "A 35693-2023")</f>
        <v/>
      </c>
      <c r="V108">
        <f>HYPERLINK("https://klasma.github.io/Logging_0188/klagomål/A 35693-2023 FSC-klagomål.docx", "A 35693-2023")</f>
        <v/>
      </c>
      <c r="W108">
        <f>HYPERLINK("https://klasma.github.io/Logging_0188/klagomålsmail/A 35693-2023 FSC-klagomål mail.docx", "A 35693-2023")</f>
        <v/>
      </c>
      <c r="X108">
        <f>HYPERLINK("https://klasma.github.io/Logging_0188/tillsyn/A 35693-2023 tillsynsbegäran.docx", "A 35693-2023")</f>
        <v/>
      </c>
      <c r="Y108">
        <f>HYPERLINK("https://klasma.github.io/Logging_0188/tillsynsmail/A 35693-2023 tillsynsbegäran mail.docx", "A 35693-2023")</f>
        <v/>
      </c>
    </row>
    <row r="109" ht="15" customHeight="1">
      <c r="A109" t="inlineStr">
        <is>
          <t>A 23905-2025</t>
        </is>
      </c>
      <c r="B109" s="1" t="n">
        <v>45794.63298611111</v>
      </c>
      <c r="C109" s="1" t="n">
        <v>46149</v>
      </c>
      <c r="D109" t="inlineStr">
        <is>
          <t>STOCKHOLMS LÄN</t>
        </is>
      </c>
      <c r="E109" t="inlineStr">
        <is>
          <t>NORRTÄLJE</t>
        </is>
      </c>
      <c r="G109" t="n">
        <v>8.4</v>
      </c>
      <c r="H109" t="n">
        <v>1</v>
      </c>
      <c r="I109" t="n">
        <v>0</v>
      </c>
      <c r="J109" t="n">
        <v>0</v>
      </c>
      <c r="K109" t="n">
        <v>0</v>
      </c>
      <c r="L109" t="n">
        <v>0</v>
      </c>
      <c r="M109" t="n">
        <v>0</v>
      </c>
      <c r="N109" t="n">
        <v>0</v>
      </c>
      <c r="O109" t="n">
        <v>0</v>
      </c>
      <c r="P109" t="n">
        <v>0</v>
      </c>
      <c r="Q109" t="n">
        <v>1</v>
      </c>
      <c r="R109" s="2" t="inlineStr">
        <is>
          <t>Blåsippa</t>
        </is>
      </c>
      <c r="S109">
        <f>HYPERLINK("https://klasma.github.io/Logging_0188/artfynd/A 23905-2025 artfynd.xlsx", "A 23905-2025")</f>
        <v/>
      </c>
      <c r="T109">
        <f>HYPERLINK("https://klasma.github.io/Logging_0188/kartor/A 23905-2025 karta.png", "A 23905-2025")</f>
        <v/>
      </c>
      <c r="V109">
        <f>HYPERLINK("https://klasma.github.io/Logging_0188/klagomål/A 23905-2025 FSC-klagomål.docx", "A 23905-2025")</f>
        <v/>
      </c>
      <c r="W109">
        <f>HYPERLINK("https://klasma.github.io/Logging_0188/klagomålsmail/A 23905-2025 FSC-klagomål mail.docx", "A 23905-2025")</f>
        <v/>
      </c>
      <c r="X109">
        <f>HYPERLINK("https://klasma.github.io/Logging_0188/tillsyn/A 23905-2025 tillsynsbegäran.docx", "A 23905-2025")</f>
        <v/>
      </c>
      <c r="Y109">
        <f>HYPERLINK("https://klasma.github.io/Logging_0188/tillsynsmail/A 23905-2025 tillsynsbegäran mail.docx", "A 23905-2025")</f>
        <v/>
      </c>
    </row>
    <row r="110" ht="15" customHeight="1">
      <c r="A110" t="inlineStr">
        <is>
          <t>A 25669-2025</t>
        </is>
      </c>
      <c r="B110" s="1" t="n">
        <v>45803.62766203703</v>
      </c>
      <c r="C110" s="1" t="n">
        <v>46149</v>
      </c>
      <c r="D110" t="inlineStr">
        <is>
          <t>STOCKHOLMS LÄN</t>
        </is>
      </c>
      <c r="E110" t="inlineStr">
        <is>
          <t>NORRTÄLJE</t>
        </is>
      </c>
      <c r="F110" t="inlineStr">
        <is>
          <t>Holmen skog AB</t>
        </is>
      </c>
      <c r="G110" t="n">
        <v>3.1</v>
      </c>
      <c r="H110" t="n">
        <v>1</v>
      </c>
      <c r="I110" t="n">
        <v>0</v>
      </c>
      <c r="J110" t="n">
        <v>0</v>
      </c>
      <c r="K110" t="n">
        <v>0</v>
      </c>
      <c r="L110" t="n">
        <v>0</v>
      </c>
      <c r="M110" t="n">
        <v>0</v>
      </c>
      <c r="N110" t="n">
        <v>0</v>
      </c>
      <c r="O110" t="n">
        <v>0</v>
      </c>
      <c r="P110" t="n">
        <v>0</v>
      </c>
      <c r="Q110" t="n">
        <v>1</v>
      </c>
      <c r="R110" s="2" t="inlineStr">
        <is>
          <t>Tjäder</t>
        </is>
      </c>
      <c r="S110">
        <f>HYPERLINK("https://klasma.github.io/Logging_0188/artfynd/A 25669-2025 artfynd.xlsx", "A 25669-2025")</f>
        <v/>
      </c>
      <c r="T110">
        <f>HYPERLINK("https://klasma.github.io/Logging_0188/kartor/A 25669-2025 karta.png", "A 25669-2025")</f>
        <v/>
      </c>
      <c r="V110">
        <f>HYPERLINK("https://klasma.github.io/Logging_0188/klagomål/A 25669-2025 FSC-klagomål.docx", "A 25669-2025")</f>
        <v/>
      </c>
      <c r="W110">
        <f>HYPERLINK("https://klasma.github.io/Logging_0188/klagomålsmail/A 25669-2025 FSC-klagomål mail.docx", "A 25669-2025")</f>
        <v/>
      </c>
      <c r="X110">
        <f>HYPERLINK("https://klasma.github.io/Logging_0188/tillsyn/A 25669-2025 tillsynsbegäran.docx", "A 25669-2025")</f>
        <v/>
      </c>
      <c r="Y110">
        <f>HYPERLINK("https://klasma.github.io/Logging_0188/tillsynsmail/A 25669-2025 tillsynsbegäran mail.docx", "A 25669-2025")</f>
        <v/>
      </c>
      <c r="Z110">
        <f>HYPERLINK("https://klasma.github.io/Logging_0188/fåglar/A 25669-2025 prioriterade fågelarter.docx", "A 25669-2025")</f>
        <v/>
      </c>
    </row>
    <row r="111" ht="15" customHeight="1">
      <c r="A111" t="inlineStr">
        <is>
          <t>A 35764-2024</t>
        </is>
      </c>
      <c r="B111" s="1" t="n">
        <v>45532</v>
      </c>
      <c r="C111" s="1" t="n">
        <v>46149</v>
      </c>
      <c r="D111" t="inlineStr">
        <is>
          <t>STOCKHOLMS LÄN</t>
        </is>
      </c>
      <c r="E111" t="inlineStr">
        <is>
          <t>NORRTÄLJE</t>
        </is>
      </c>
      <c r="G111" t="n">
        <v>14.2</v>
      </c>
      <c r="H111" t="n">
        <v>1</v>
      </c>
      <c r="I111" t="n">
        <v>0</v>
      </c>
      <c r="J111" t="n">
        <v>0</v>
      </c>
      <c r="K111" t="n">
        <v>1</v>
      </c>
      <c r="L111" t="n">
        <v>0</v>
      </c>
      <c r="M111" t="n">
        <v>0</v>
      </c>
      <c r="N111" t="n">
        <v>0</v>
      </c>
      <c r="O111" t="n">
        <v>1</v>
      </c>
      <c r="P111" t="n">
        <v>1</v>
      </c>
      <c r="Q111" t="n">
        <v>1</v>
      </c>
      <c r="R111" s="2" t="inlineStr">
        <is>
          <t>Knärot</t>
        </is>
      </c>
      <c r="S111">
        <f>HYPERLINK("https://klasma.github.io/Logging_0188/artfynd/A 35764-2024 artfynd.xlsx", "A 35764-2024")</f>
        <v/>
      </c>
      <c r="T111">
        <f>HYPERLINK("https://klasma.github.io/Logging_0188/kartor/A 35764-2024 karta.png", "A 35764-2024")</f>
        <v/>
      </c>
      <c r="U111">
        <f>HYPERLINK("https://klasma.github.io/Logging_0188/knärot/A 35764-2024 karta knärot.png", "A 35764-2024")</f>
        <v/>
      </c>
      <c r="V111">
        <f>HYPERLINK("https://klasma.github.io/Logging_0188/klagomål/A 35764-2024 FSC-klagomål.docx", "A 35764-2024")</f>
        <v/>
      </c>
      <c r="W111">
        <f>HYPERLINK("https://klasma.github.io/Logging_0188/klagomålsmail/A 35764-2024 FSC-klagomål mail.docx", "A 35764-2024")</f>
        <v/>
      </c>
      <c r="X111">
        <f>HYPERLINK("https://klasma.github.io/Logging_0188/tillsyn/A 35764-2024 tillsynsbegäran.docx", "A 35764-2024")</f>
        <v/>
      </c>
      <c r="Y111">
        <f>HYPERLINK("https://klasma.github.io/Logging_0188/tillsynsmail/A 35764-2024 tillsynsbegäran mail.docx", "A 35764-2024")</f>
        <v/>
      </c>
    </row>
    <row r="112" ht="15" customHeight="1">
      <c r="A112" t="inlineStr">
        <is>
          <t>A 25725-2025</t>
        </is>
      </c>
      <c r="B112" s="1" t="n">
        <v>45800</v>
      </c>
      <c r="C112" s="1" t="n">
        <v>46149</v>
      </c>
      <c r="D112" t="inlineStr">
        <is>
          <t>STOCKHOLMS LÄN</t>
        </is>
      </c>
      <c r="E112" t="inlineStr">
        <is>
          <t>NORRTÄLJE</t>
        </is>
      </c>
      <c r="G112" t="n">
        <v>5.2</v>
      </c>
      <c r="H112" t="n">
        <v>0</v>
      </c>
      <c r="I112" t="n">
        <v>0</v>
      </c>
      <c r="J112" t="n">
        <v>1</v>
      </c>
      <c r="K112" t="n">
        <v>0</v>
      </c>
      <c r="L112" t="n">
        <v>0</v>
      </c>
      <c r="M112" t="n">
        <v>0</v>
      </c>
      <c r="N112" t="n">
        <v>0</v>
      </c>
      <c r="O112" t="n">
        <v>1</v>
      </c>
      <c r="P112" t="n">
        <v>0</v>
      </c>
      <c r="Q112" t="n">
        <v>1</v>
      </c>
      <c r="R112" s="2" t="inlineStr">
        <is>
          <t>Tallticka</t>
        </is>
      </c>
      <c r="S112">
        <f>HYPERLINK("https://klasma.github.io/Logging_0188/artfynd/A 25725-2025 artfynd.xlsx", "A 25725-2025")</f>
        <v/>
      </c>
      <c r="T112">
        <f>HYPERLINK("https://klasma.github.io/Logging_0188/kartor/A 25725-2025 karta.png", "A 25725-2025")</f>
        <v/>
      </c>
      <c r="V112">
        <f>HYPERLINK("https://klasma.github.io/Logging_0188/klagomål/A 25725-2025 FSC-klagomål.docx", "A 25725-2025")</f>
        <v/>
      </c>
      <c r="W112">
        <f>HYPERLINK("https://klasma.github.io/Logging_0188/klagomålsmail/A 25725-2025 FSC-klagomål mail.docx", "A 25725-2025")</f>
        <v/>
      </c>
      <c r="X112">
        <f>HYPERLINK("https://klasma.github.io/Logging_0188/tillsyn/A 25725-2025 tillsynsbegäran.docx", "A 25725-2025")</f>
        <v/>
      </c>
      <c r="Y112">
        <f>HYPERLINK("https://klasma.github.io/Logging_0188/tillsynsmail/A 25725-2025 tillsynsbegäran mail.docx", "A 25725-2025")</f>
        <v/>
      </c>
    </row>
    <row r="113" ht="15" customHeight="1">
      <c r="A113" t="inlineStr">
        <is>
          <t>A 25709-2025</t>
        </is>
      </c>
      <c r="B113" s="1" t="n">
        <v>45800</v>
      </c>
      <c r="C113" s="1" t="n">
        <v>46149</v>
      </c>
      <c r="D113" t="inlineStr">
        <is>
          <t>STOCKHOLMS LÄN</t>
        </is>
      </c>
      <c r="E113" t="inlineStr">
        <is>
          <t>NORRTÄLJE</t>
        </is>
      </c>
      <c r="G113" t="n">
        <v>4.6</v>
      </c>
      <c r="H113" t="n">
        <v>0</v>
      </c>
      <c r="I113" t="n">
        <v>0</v>
      </c>
      <c r="J113" t="n">
        <v>1</v>
      </c>
      <c r="K113" t="n">
        <v>0</v>
      </c>
      <c r="L113" t="n">
        <v>0</v>
      </c>
      <c r="M113" t="n">
        <v>0</v>
      </c>
      <c r="N113" t="n">
        <v>0</v>
      </c>
      <c r="O113" t="n">
        <v>1</v>
      </c>
      <c r="P113" t="n">
        <v>0</v>
      </c>
      <c r="Q113" t="n">
        <v>1</v>
      </c>
      <c r="R113" s="2" t="inlineStr">
        <is>
          <t>Ullticka</t>
        </is>
      </c>
      <c r="S113">
        <f>HYPERLINK("https://klasma.github.io/Logging_0188/artfynd/A 25709-2025 artfynd.xlsx", "A 25709-2025")</f>
        <v/>
      </c>
      <c r="T113">
        <f>HYPERLINK("https://klasma.github.io/Logging_0188/kartor/A 25709-2025 karta.png", "A 25709-2025")</f>
        <v/>
      </c>
      <c r="V113">
        <f>HYPERLINK("https://klasma.github.io/Logging_0188/klagomål/A 25709-2025 FSC-klagomål.docx", "A 25709-2025")</f>
        <v/>
      </c>
      <c r="W113">
        <f>HYPERLINK("https://klasma.github.io/Logging_0188/klagomålsmail/A 25709-2025 FSC-klagomål mail.docx", "A 25709-2025")</f>
        <v/>
      </c>
      <c r="X113">
        <f>HYPERLINK("https://klasma.github.io/Logging_0188/tillsyn/A 25709-2025 tillsynsbegäran.docx", "A 25709-2025")</f>
        <v/>
      </c>
      <c r="Y113">
        <f>HYPERLINK("https://klasma.github.io/Logging_0188/tillsynsmail/A 25709-2025 tillsynsbegäran mail.docx", "A 25709-2025")</f>
        <v/>
      </c>
    </row>
    <row r="114" ht="15" customHeight="1">
      <c r="A114" t="inlineStr">
        <is>
          <t>A 47898-2022</t>
        </is>
      </c>
      <c r="B114" s="1" t="n">
        <v>44855</v>
      </c>
      <c r="C114" s="1" t="n">
        <v>46149</v>
      </c>
      <c r="D114" t="inlineStr">
        <is>
          <t>STOCKHOLMS LÄN</t>
        </is>
      </c>
      <c r="E114" t="inlineStr">
        <is>
          <t>NORRTÄLJE</t>
        </is>
      </c>
      <c r="G114" t="n">
        <v>6.7</v>
      </c>
      <c r="H114" t="n">
        <v>1</v>
      </c>
      <c r="I114" t="n">
        <v>1</v>
      </c>
      <c r="J114" t="n">
        <v>0</v>
      </c>
      <c r="K114" t="n">
        <v>0</v>
      </c>
      <c r="L114" t="n">
        <v>0</v>
      </c>
      <c r="M114" t="n">
        <v>0</v>
      </c>
      <c r="N114" t="n">
        <v>0</v>
      </c>
      <c r="O114" t="n">
        <v>0</v>
      </c>
      <c r="P114" t="n">
        <v>0</v>
      </c>
      <c r="Q114" t="n">
        <v>1</v>
      </c>
      <c r="R114" s="2" t="inlineStr">
        <is>
          <t>Guckusko</t>
        </is>
      </c>
      <c r="S114">
        <f>HYPERLINK("https://klasma.github.io/Logging_0188/artfynd/A 47898-2022 artfynd.xlsx", "A 47898-2022")</f>
        <v/>
      </c>
      <c r="T114">
        <f>HYPERLINK("https://klasma.github.io/Logging_0188/kartor/A 47898-2022 karta.png", "A 47898-2022")</f>
        <v/>
      </c>
      <c r="V114">
        <f>HYPERLINK("https://klasma.github.io/Logging_0188/klagomål/A 47898-2022 FSC-klagomål.docx", "A 47898-2022")</f>
        <v/>
      </c>
      <c r="W114">
        <f>HYPERLINK("https://klasma.github.io/Logging_0188/klagomålsmail/A 47898-2022 FSC-klagomål mail.docx", "A 47898-2022")</f>
        <v/>
      </c>
      <c r="X114">
        <f>HYPERLINK("https://klasma.github.io/Logging_0188/tillsyn/A 47898-2022 tillsynsbegäran.docx", "A 47898-2022")</f>
        <v/>
      </c>
      <c r="Y114">
        <f>HYPERLINK("https://klasma.github.io/Logging_0188/tillsynsmail/A 47898-2022 tillsynsbegäran mail.docx", "A 47898-2022")</f>
        <v/>
      </c>
    </row>
    <row r="115" ht="15" customHeight="1">
      <c r="A115" t="inlineStr">
        <is>
          <t>A 50854-2022</t>
        </is>
      </c>
      <c r="B115" s="1" t="n">
        <v>44863</v>
      </c>
      <c r="C115" s="1" t="n">
        <v>46149</v>
      </c>
      <c r="D115" t="inlineStr">
        <is>
          <t>STOCKHOLMS LÄN</t>
        </is>
      </c>
      <c r="E115" t="inlineStr">
        <is>
          <t>NORRTÄLJE</t>
        </is>
      </c>
      <c r="G115" t="n">
        <v>2.9</v>
      </c>
      <c r="H115" t="n">
        <v>0</v>
      </c>
      <c r="I115" t="n">
        <v>1</v>
      </c>
      <c r="J115" t="n">
        <v>0</v>
      </c>
      <c r="K115" t="n">
        <v>0</v>
      </c>
      <c r="L115" t="n">
        <v>0</v>
      </c>
      <c r="M115" t="n">
        <v>0</v>
      </c>
      <c r="N115" t="n">
        <v>0</v>
      </c>
      <c r="O115" t="n">
        <v>0</v>
      </c>
      <c r="P115" t="n">
        <v>0</v>
      </c>
      <c r="Q115" t="n">
        <v>1</v>
      </c>
      <c r="R115" s="2" t="inlineStr">
        <is>
          <t>Tibast</t>
        </is>
      </c>
      <c r="S115">
        <f>HYPERLINK("https://klasma.github.io/Logging_0188/artfynd/A 50854-2022 artfynd.xlsx", "A 50854-2022")</f>
        <v/>
      </c>
      <c r="T115">
        <f>HYPERLINK("https://klasma.github.io/Logging_0188/kartor/A 50854-2022 karta.png", "A 50854-2022")</f>
        <v/>
      </c>
      <c r="V115">
        <f>HYPERLINK("https://klasma.github.io/Logging_0188/klagomål/A 50854-2022 FSC-klagomål.docx", "A 50854-2022")</f>
        <v/>
      </c>
      <c r="W115">
        <f>HYPERLINK("https://klasma.github.io/Logging_0188/klagomålsmail/A 50854-2022 FSC-klagomål mail.docx", "A 50854-2022")</f>
        <v/>
      </c>
      <c r="X115">
        <f>HYPERLINK("https://klasma.github.io/Logging_0188/tillsyn/A 50854-2022 tillsynsbegäran.docx", "A 50854-2022")</f>
        <v/>
      </c>
      <c r="Y115">
        <f>HYPERLINK("https://klasma.github.io/Logging_0188/tillsynsmail/A 50854-2022 tillsynsbegäran mail.docx", "A 50854-2022")</f>
        <v/>
      </c>
    </row>
    <row r="116" ht="15" customHeight="1">
      <c r="A116" t="inlineStr">
        <is>
          <t>A 35649-2023</t>
        </is>
      </c>
      <c r="B116" s="1" t="n">
        <v>45146</v>
      </c>
      <c r="C116" s="1" t="n">
        <v>46149</v>
      </c>
      <c r="D116" t="inlineStr">
        <is>
          <t>STOCKHOLMS LÄN</t>
        </is>
      </c>
      <c r="E116" t="inlineStr">
        <is>
          <t>NORRTÄLJE</t>
        </is>
      </c>
      <c r="G116" t="n">
        <v>25.1</v>
      </c>
      <c r="H116" t="n">
        <v>0</v>
      </c>
      <c r="I116" t="n">
        <v>0</v>
      </c>
      <c r="J116" t="n">
        <v>1</v>
      </c>
      <c r="K116" t="n">
        <v>0</v>
      </c>
      <c r="L116" t="n">
        <v>0</v>
      </c>
      <c r="M116" t="n">
        <v>0</v>
      </c>
      <c r="N116" t="n">
        <v>0</v>
      </c>
      <c r="O116" t="n">
        <v>1</v>
      </c>
      <c r="P116" t="n">
        <v>0</v>
      </c>
      <c r="Q116" t="n">
        <v>1</v>
      </c>
      <c r="R116" s="2" t="inlineStr">
        <is>
          <t>Månlåsbräken</t>
        </is>
      </c>
      <c r="S116">
        <f>HYPERLINK("https://klasma.github.io/Logging_0188/artfynd/A 35649-2023 artfynd.xlsx", "A 35649-2023")</f>
        <v/>
      </c>
      <c r="T116">
        <f>HYPERLINK("https://klasma.github.io/Logging_0188/kartor/A 35649-2023 karta.png", "A 35649-2023")</f>
        <v/>
      </c>
      <c r="V116">
        <f>HYPERLINK("https://klasma.github.io/Logging_0188/klagomål/A 35649-2023 FSC-klagomål.docx", "A 35649-2023")</f>
        <v/>
      </c>
      <c r="W116">
        <f>HYPERLINK("https://klasma.github.io/Logging_0188/klagomålsmail/A 35649-2023 FSC-klagomål mail.docx", "A 35649-2023")</f>
        <v/>
      </c>
      <c r="X116">
        <f>HYPERLINK("https://klasma.github.io/Logging_0188/tillsyn/A 35649-2023 tillsynsbegäran.docx", "A 35649-2023")</f>
        <v/>
      </c>
      <c r="Y116">
        <f>HYPERLINK("https://klasma.github.io/Logging_0188/tillsynsmail/A 35649-2023 tillsynsbegäran mail.docx", "A 35649-2023")</f>
        <v/>
      </c>
    </row>
    <row r="117" ht="15" customHeight="1">
      <c r="A117" t="inlineStr">
        <is>
          <t>A 42313-2025</t>
        </is>
      </c>
      <c r="B117" s="1" t="n">
        <v>45904.6575</v>
      </c>
      <c r="C117" s="1" t="n">
        <v>46149</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6381-2023</t>
        </is>
      </c>
      <c r="B118" s="1" t="n">
        <v>44965</v>
      </c>
      <c r="C118" s="1" t="n">
        <v>46149</v>
      </c>
      <c r="D118" t="inlineStr">
        <is>
          <t>STOCKHOLMS LÄN</t>
        </is>
      </c>
      <c r="E118" t="inlineStr">
        <is>
          <t>NORRTÄLJE</t>
        </is>
      </c>
      <c r="G118" t="n">
        <v>3.5</v>
      </c>
      <c r="H118" t="n">
        <v>1</v>
      </c>
      <c r="I118" t="n">
        <v>1</v>
      </c>
      <c r="J118" t="n">
        <v>0</v>
      </c>
      <c r="K118" t="n">
        <v>0</v>
      </c>
      <c r="L118" t="n">
        <v>0</v>
      </c>
      <c r="M118" t="n">
        <v>0</v>
      </c>
      <c r="N118" t="n">
        <v>0</v>
      </c>
      <c r="O118" t="n">
        <v>0</v>
      </c>
      <c r="P118" t="n">
        <v>0</v>
      </c>
      <c r="Q118" t="n">
        <v>1</v>
      </c>
      <c r="R118" s="2" t="inlineStr">
        <is>
          <t>Guckusko</t>
        </is>
      </c>
      <c r="S118">
        <f>HYPERLINK("https://klasma.github.io/Logging_0188/artfynd/A 6381-2023 artfynd.xlsx", "A 6381-2023")</f>
        <v/>
      </c>
      <c r="T118">
        <f>HYPERLINK("https://klasma.github.io/Logging_0188/kartor/A 6381-2023 karta.png", "A 6381-2023")</f>
        <v/>
      </c>
      <c r="V118">
        <f>HYPERLINK("https://klasma.github.io/Logging_0188/klagomål/A 6381-2023 FSC-klagomål.docx", "A 6381-2023")</f>
        <v/>
      </c>
      <c r="W118">
        <f>HYPERLINK("https://klasma.github.io/Logging_0188/klagomålsmail/A 6381-2023 FSC-klagomål mail.docx", "A 6381-2023")</f>
        <v/>
      </c>
      <c r="X118">
        <f>HYPERLINK("https://klasma.github.io/Logging_0188/tillsyn/A 6381-2023 tillsynsbegäran.docx", "A 6381-2023")</f>
        <v/>
      </c>
      <c r="Y118">
        <f>HYPERLINK("https://klasma.github.io/Logging_0188/tillsynsmail/A 6381-2023 tillsynsbegäran mail.docx", "A 6381-2023")</f>
        <v/>
      </c>
    </row>
    <row r="119" ht="15" customHeight="1">
      <c r="A119" t="inlineStr">
        <is>
          <t>A 26120-2024</t>
        </is>
      </c>
      <c r="B119" s="1" t="n">
        <v>45468.45995370371</v>
      </c>
      <c r="C119" s="1" t="n">
        <v>46149</v>
      </c>
      <c r="D119" t="inlineStr">
        <is>
          <t>STOCKHOLMS LÄN</t>
        </is>
      </c>
      <c r="E119" t="inlineStr">
        <is>
          <t>NORRTÄLJE</t>
        </is>
      </c>
      <c r="G119" t="n">
        <v>1.8</v>
      </c>
      <c r="H119" t="n">
        <v>0</v>
      </c>
      <c r="I119" t="n">
        <v>0</v>
      </c>
      <c r="J119" t="n">
        <v>1</v>
      </c>
      <c r="K119" t="n">
        <v>0</v>
      </c>
      <c r="L119" t="n">
        <v>0</v>
      </c>
      <c r="M119" t="n">
        <v>0</v>
      </c>
      <c r="N119" t="n">
        <v>0</v>
      </c>
      <c r="O119" t="n">
        <v>1</v>
      </c>
      <c r="P119" t="n">
        <v>0</v>
      </c>
      <c r="Q119" t="n">
        <v>1</v>
      </c>
      <c r="R119" s="2" t="inlineStr">
        <is>
          <t>Majviva</t>
        </is>
      </c>
      <c r="S119">
        <f>HYPERLINK("https://klasma.github.io/Logging_0188/artfynd/A 26120-2024 artfynd.xlsx", "A 26120-2024")</f>
        <v/>
      </c>
      <c r="T119">
        <f>HYPERLINK("https://klasma.github.io/Logging_0188/kartor/A 26120-2024 karta.png", "A 26120-2024")</f>
        <v/>
      </c>
      <c r="V119">
        <f>HYPERLINK("https://klasma.github.io/Logging_0188/klagomål/A 26120-2024 FSC-klagomål.docx", "A 26120-2024")</f>
        <v/>
      </c>
      <c r="W119">
        <f>HYPERLINK("https://klasma.github.io/Logging_0188/klagomålsmail/A 26120-2024 FSC-klagomål mail.docx", "A 26120-2024")</f>
        <v/>
      </c>
      <c r="X119">
        <f>HYPERLINK("https://klasma.github.io/Logging_0188/tillsyn/A 26120-2024 tillsynsbegäran.docx", "A 26120-2024")</f>
        <v/>
      </c>
      <c r="Y119">
        <f>HYPERLINK("https://klasma.github.io/Logging_0188/tillsynsmail/A 26120-2024 tillsynsbegäran mail.docx", "A 26120-2024")</f>
        <v/>
      </c>
    </row>
    <row r="120" ht="15" customHeight="1">
      <c r="A120" t="inlineStr">
        <is>
          <t>A 14365-2025</t>
        </is>
      </c>
      <c r="B120" s="1" t="n">
        <v>45741.38688657407</v>
      </c>
      <c r="C120" s="1" t="n">
        <v>46149</v>
      </c>
      <c r="D120" t="inlineStr">
        <is>
          <t>STOCKHOLMS LÄN</t>
        </is>
      </c>
      <c r="E120" t="inlineStr">
        <is>
          <t>NORRTÄLJE</t>
        </is>
      </c>
      <c r="G120" t="n">
        <v>2.4</v>
      </c>
      <c r="H120" t="n">
        <v>0</v>
      </c>
      <c r="I120" t="n">
        <v>0</v>
      </c>
      <c r="J120" t="n">
        <v>1</v>
      </c>
      <c r="K120" t="n">
        <v>0</v>
      </c>
      <c r="L120" t="n">
        <v>0</v>
      </c>
      <c r="M120" t="n">
        <v>0</v>
      </c>
      <c r="N120" t="n">
        <v>0</v>
      </c>
      <c r="O120" t="n">
        <v>1</v>
      </c>
      <c r="P120" t="n">
        <v>0</v>
      </c>
      <c r="Q120" t="n">
        <v>1</v>
      </c>
      <c r="R120" s="2" t="inlineStr">
        <is>
          <t>Granticka</t>
        </is>
      </c>
      <c r="S120">
        <f>HYPERLINK("https://klasma.github.io/Logging_0188/artfynd/A 14365-2025 artfynd.xlsx", "A 14365-2025")</f>
        <v/>
      </c>
      <c r="T120">
        <f>HYPERLINK("https://klasma.github.io/Logging_0188/kartor/A 14365-2025 karta.png", "A 14365-2025")</f>
        <v/>
      </c>
      <c r="V120">
        <f>HYPERLINK("https://klasma.github.io/Logging_0188/klagomål/A 14365-2025 FSC-klagomål.docx", "A 14365-2025")</f>
        <v/>
      </c>
      <c r="W120">
        <f>HYPERLINK("https://klasma.github.io/Logging_0188/klagomålsmail/A 14365-2025 FSC-klagomål mail.docx", "A 14365-2025")</f>
        <v/>
      </c>
      <c r="X120">
        <f>HYPERLINK("https://klasma.github.io/Logging_0188/tillsyn/A 14365-2025 tillsynsbegäran.docx", "A 14365-2025")</f>
        <v/>
      </c>
      <c r="Y120">
        <f>HYPERLINK("https://klasma.github.io/Logging_0188/tillsynsmail/A 14365-2025 tillsynsbegäran mail.docx", "A 14365-2025")</f>
        <v/>
      </c>
    </row>
    <row r="121" ht="15" customHeight="1">
      <c r="A121" t="inlineStr">
        <is>
          <t>A 32111-2022</t>
        </is>
      </c>
      <c r="B121" s="1" t="n">
        <v>44778.92797453704</v>
      </c>
      <c r="C121" s="1" t="n">
        <v>46149</v>
      </c>
      <c r="D121" t="inlineStr">
        <is>
          <t>STOCKHOLMS LÄN</t>
        </is>
      </c>
      <c r="E121" t="inlineStr">
        <is>
          <t>NORRTÄLJE</t>
        </is>
      </c>
      <c r="G121" t="n">
        <v>3.1</v>
      </c>
      <c r="H121" t="n">
        <v>0</v>
      </c>
      <c r="I121" t="n">
        <v>0</v>
      </c>
      <c r="J121" t="n">
        <v>1</v>
      </c>
      <c r="K121" t="n">
        <v>0</v>
      </c>
      <c r="L121" t="n">
        <v>0</v>
      </c>
      <c r="M121" t="n">
        <v>0</v>
      </c>
      <c r="N121" t="n">
        <v>0</v>
      </c>
      <c r="O121" t="n">
        <v>1</v>
      </c>
      <c r="P121" t="n">
        <v>0</v>
      </c>
      <c r="Q121" t="n">
        <v>1</v>
      </c>
      <c r="R121" s="2" t="inlineStr">
        <is>
          <t>Orange taggsvamp</t>
        </is>
      </c>
      <c r="S121">
        <f>HYPERLINK("https://klasma.github.io/Logging_0188/artfynd/A 32111-2022 artfynd.xlsx", "A 32111-2022")</f>
        <v/>
      </c>
      <c r="T121">
        <f>HYPERLINK("https://klasma.github.io/Logging_0188/kartor/A 32111-2022 karta.png", "A 32111-2022")</f>
        <v/>
      </c>
      <c r="V121">
        <f>HYPERLINK("https://klasma.github.io/Logging_0188/klagomål/A 32111-2022 FSC-klagomål.docx", "A 32111-2022")</f>
        <v/>
      </c>
      <c r="W121">
        <f>HYPERLINK("https://klasma.github.io/Logging_0188/klagomålsmail/A 32111-2022 FSC-klagomål mail.docx", "A 32111-2022")</f>
        <v/>
      </c>
      <c r="X121">
        <f>HYPERLINK("https://klasma.github.io/Logging_0188/tillsyn/A 32111-2022 tillsynsbegäran.docx", "A 32111-2022")</f>
        <v/>
      </c>
      <c r="Y121">
        <f>HYPERLINK("https://klasma.github.io/Logging_0188/tillsynsmail/A 32111-2022 tillsynsbegäran mail.docx", "A 32111-2022")</f>
        <v/>
      </c>
    </row>
    <row r="122" ht="15" customHeight="1">
      <c r="A122" t="inlineStr">
        <is>
          <t>A 13291-2025</t>
        </is>
      </c>
      <c r="B122" s="1" t="n">
        <v>45735</v>
      </c>
      <c r="C122" s="1" t="n">
        <v>46149</v>
      </c>
      <c r="D122" t="inlineStr">
        <is>
          <t>STOCKHOLMS LÄN</t>
        </is>
      </c>
      <c r="E122" t="inlineStr">
        <is>
          <t>NORRTÄLJE</t>
        </is>
      </c>
      <c r="G122" t="n">
        <v>3.8</v>
      </c>
      <c r="H122" t="n">
        <v>1</v>
      </c>
      <c r="I122" t="n">
        <v>0</v>
      </c>
      <c r="J122" t="n">
        <v>0</v>
      </c>
      <c r="K122" t="n">
        <v>0</v>
      </c>
      <c r="L122" t="n">
        <v>0</v>
      </c>
      <c r="M122" t="n">
        <v>0</v>
      </c>
      <c r="N122" t="n">
        <v>0</v>
      </c>
      <c r="O122" t="n">
        <v>0</v>
      </c>
      <c r="P122" t="n">
        <v>0</v>
      </c>
      <c r="Q122" t="n">
        <v>1</v>
      </c>
      <c r="R122" s="2" t="inlineStr">
        <is>
          <t>Blåsippa</t>
        </is>
      </c>
      <c r="S122">
        <f>HYPERLINK("https://klasma.github.io/Logging_0188/artfynd/A 13291-2025 artfynd.xlsx", "A 13291-2025")</f>
        <v/>
      </c>
      <c r="T122">
        <f>HYPERLINK("https://klasma.github.io/Logging_0188/kartor/A 13291-2025 karta.png", "A 13291-2025")</f>
        <v/>
      </c>
      <c r="V122">
        <f>HYPERLINK("https://klasma.github.io/Logging_0188/klagomål/A 13291-2025 FSC-klagomål.docx", "A 13291-2025")</f>
        <v/>
      </c>
      <c r="W122">
        <f>HYPERLINK("https://klasma.github.io/Logging_0188/klagomålsmail/A 13291-2025 FSC-klagomål mail.docx", "A 13291-2025")</f>
        <v/>
      </c>
      <c r="X122">
        <f>HYPERLINK("https://klasma.github.io/Logging_0188/tillsyn/A 13291-2025 tillsynsbegäran.docx", "A 13291-2025")</f>
        <v/>
      </c>
      <c r="Y122">
        <f>HYPERLINK("https://klasma.github.io/Logging_0188/tillsynsmail/A 13291-2025 tillsynsbegäran mail.docx", "A 13291-2025")</f>
        <v/>
      </c>
    </row>
    <row r="123" ht="15" customHeight="1">
      <c r="A123" t="inlineStr">
        <is>
          <t>A 29946-2025</t>
        </is>
      </c>
      <c r="B123" s="1" t="n">
        <v>45826.46392361111</v>
      </c>
      <c r="C123" s="1" t="n">
        <v>46149</v>
      </c>
      <c r="D123" t="inlineStr">
        <is>
          <t>STOCKHOLMS LÄN</t>
        </is>
      </c>
      <c r="E123" t="inlineStr">
        <is>
          <t>NORRTÄLJE</t>
        </is>
      </c>
      <c r="F123" t="inlineStr">
        <is>
          <t>Holmen skog AB</t>
        </is>
      </c>
      <c r="G123" t="n">
        <v>3.6</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29946-2025 artfynd.xlsx", "A 29946-2025")</f>
        <v/>
      </c>
      <c r="T123">
        <f>HYPERLINK("https://klasma.github.io/Logging_0188/kartor/A 29946-2025 karta.png", "A 29946-2025")</f>
        <v/>
      </c>
      <c r="V123">
        <f>HYPERLINK("https://klasma.github.io/Logging_0188/klagomål/A 29946-2025 FSC-klagomål.docx", "A 29946-2025")</f>
        <v/>
      </c>
      <c r="W123">
        <f>HYPERLINK("https://klasma.github.io/Logging_0188/klagomålsmail/A 29946-2025 FSC-klagomål mail.docx", "A 29946-2025")</f>
        <v/>
      </c>
      <c r="X123">
        <f>HYPERLINK("https://klasma.github.io/Logging_0188/tillsyn/A 29946-2025 tillsynsbegäran.docx", "A 29946-2025")</f>
        <v/>
      </c>
      <c r="Y123">
        <f>HYPERLINK("https://klasma.github.io/Logging_0188/tillsynsmail/A 29946-2025 tillsynsbegäran mail.docx", "A 29946-2025")</f>
        <v/>
      </c>
    </row>
    <row r="124" ht="15" customHeight="1">
      <c r="A124" t="inlineStr">
        <is>
          <t>A 4385-2023</t>
        </is>
      </c>
      <c r="B124" s="1" t="n">
        <v>44955.71322916666</v>
      </c>
      <c r="C124" s="1" t="n">
        <v>46149</v>
      </c>
      <c r="D124" t="inlineStr">
        <is>
          <t>STOCKHOLMS LÄN</t>
        </is>
      </c>
      <c r="E124" t="inlineStr">
        <is>
          <t>NORRTÄLJE</t>
        </is>
      </c>
      <c r="G124" t="n">
        <v>7.8</v>
      </c>
      <c r="H124" t="n">
        <v>1</v>
      </c>
      <c r="I124" t="n">
        <v>1</v>
      </c>
      <c r="J124" t="n">
        <v>0</v>
      </c>
      <c r="K124" t="n">
        <v>0</v>
      </c>
      <c r="L124" t="n">
        <v>0</v>
      </c>
      <c r="M124" t="n">
        <v>0</v>
      </c>
      <c r="N124" t="n">
        <v>0</v>
      </c>
      <c r="O124" t="n">
        <v>0</v>
      </c>
      <c r="P124" t="n">
        <v>0</v>
      </c>
      <c r="Q124" t="n">
        <v>1</v>
      </c>
      <c r="R124" s="2" t="inlineStr">
        <is>
          <t>Skogsknipprot</t>
        </is>
      </c>
      <c r="S124">
        <f>HYPERLINK("https://klasma.github.io/Logging_0188/artfynd/A 4385-2023 artfynd.xlsx", "A 4385-2023")</f>
        <v/>
      </c>
      <c r="T124">
        <f>HYPERLINK("https://klasma.github.io/Logging_0188/kartor/A 4385-2023 karta.png", "A 4385-2023")</f>
        <v/>
      </c>
      <c r="V124">
        <f>HYPERLINK("https://klasma.github.io/Logging_0188/klagomål/A 4385-2023 FSC-klagomål.docx", "A 4385-2023")</f>
        <v/>
      </c>
      <c r="W124">
        <f>HYPERLINK("https://klasma.github.io/Logging_0188/klagomålsmail/A 4385-2023 FSC-klagomål mail.docx", "A 4385-2023")</f>
        <v/>
      </c>
      <c r="X124">
        <f>HYPERLINK("https://klasma.github.io/Logging_0188/tillsyn/A 4385-2023 tillsynsbegäran.docx", "A 4385-2023")</f>
        <v/>
      </c>
      <c r="Y124">
        <f>HYPERLINK("https://klasma.github.io/Logging_0188/tillsynsmail/A 4385-2023 tillsynsbegäran mail.docx", "A 4385-2023")</f>
        <v/>
      </c>
    </row>
    <row r="125" ht="15" customHeight="1">
      <c r="A125" t="inlineStr">
        <is>
          <t>A 64456-2023</t>
        </is>
      </c>
      <c r="B125" s="1" t="n">
        <v>45280</v>
      </c>
      <c r="C125" s="1" t="n">
        <v>46149</v>
      </c>
      <c r="D125" t="inlineStr">
        <is>
          <t>STOCKHOLMS LÄN</t>
        </is>
      </c>
      <c r="E125" t="inlineStr">
        <is>
          <t>NORRTÄLJE</t>
        </is>
      </c>
      <c r="G125" t="n">
        <v>2.5</v>
      </c>
      <c r="H125" t="n">
        <v>0</v>
      </c>
      <c r="I125" t="n">
        <v>1</v>
      </c>
      <c r="J125" t="n">
        <v>0</v>
      </c>
      <c r="K125" t="n">
        <v>0</v>
      </c>
      <c r="L125" t="n">
        <v>0</v>
      </c>
      <c r="M125" t="n">
        <v>0</v>
      </c>
      <c r="N125" t="n">
        <v>0</v>
      </c>
      <c r="O125" t="n">
        <v>0</v>
      </c>
      <c r="P125" t="n">
        <v>0</v>
      </c>
      <c r="Q125" t="n">
        <v>1</v>
      </c>
      <c r="R125" s="2" t="inlineStr">
        <is>
          <t>Rödgul trumpetsvamp</t>
        </is>
      </c>
      <c r="S125">
        <f>HYPERLINK("https://klasma.github.io/Logging_0188/artfynd/A 64456-2023 artfynd.xlsx", "A 64456-2023")</f>
        <v/>
      </c>
      <c r="T125">
        <f>HYPERLINK("https://klasma.github.io/Logging_0188/kartor/A 64456-2023 karta.png", "A 64456-2023")</f>
        <v/>
      </c>
      <c r="V125">
        <f>HYPERLINK("https://klasma.github.io/Logging_0188/klagomål/A 64456-2023 FSC-klagomål.docx", "A 64456-2023")</f>
        <v/>
      </c>
      <c r="W125">
        <f>HYPERLINK("https://klasma.github.io/Logging_0188/klagomålsmail/A 64456-2023 FSC-klagomål mail.docx", "A 64456-2023")</f>
        <v/>
      </c>
      <c r="X125">
        <f>HYPERLINK("https://klasma.github.io/Logging_0188/tillsyn/A 64456-2023 tillsynsbegäran.docx", "A 64456-2023")</f>
        <v/>
      </c>
      <c r="Y125">
        <f>HYPERLINK("https://klasma.github.io/Logging_0188/tillsynsmail/A 64456-2023 tillsynsbegäran mail.docx", "A 64456-2023")</f>
        <v/>
      </c>
    </row>
    <row r="126" ht="15" customHeight="1">
      <c r="A126" t="inlineStr">
        <is>
          <t>A 4860-2022</t>
        </is>
      </c>
      <c r="B126" s="1" t="n">
        <v>44592</v>
      </c>
      <c r="C126" s="1" t="n">
        <v>46149</v>
      </c>
      <c r="D126" t="inlineStr">
        <is>
          <t>STOCKHOLMS LÄN</t>
        </is>
      </c>
      <c r="E126" t="inlineStr">
        <is>
          <t>NORRTÄLJE</t>
        </is>
      </c>
      <c r="G126" t="n">
        <v>22.3</v>
      </c>
      <c r="H126" t="n">
        <v>0</v>
      </c>
      <c r="I126" t="n">
        <v>0</v>
      </c>
      <c r="J126" t="n">
        <v>1</v>
      </c>
      <c r="K126" t="n">
        <v>0</v>
      </c>
      <c r="L126" t="n">
        <v>0</v>
      </c>
      <c r="M126" t="n">
        <v>0</v>
      </c>
      <c r="N126" t="n">
        <v>0</v>
      </c>
      <c r="O126" t="n">
        <v>1</v>
      </c>
      <c r="P126" t="n">
        <v>0</v>
      </c>
      <c r="Q126" t="n">
        <v>1</v>
      </c>
      <c r="R126" s="2" t="inlineStr">
        <is>
          <t>Igelkott</t>
        </is>
      </c>
      <c r="S126">
        <f>HYPERLINK("https://klasma.github.io/Logging_0188/artfynd/A 4860-2022 artfynd.xlsx", "A 4860-2022")</f>
        <v/>
      </c>
      <c r="T126">
        <f>HYPERLINK("https://klasma.github.io/Logging_0188/kartor/A 4860-2022 karta.png", "A 4860-2022")</f>
        <v/>
      </c>
      <c r="V126">
        <f>HYPERLINK("https://klasma.github.io/Logging_0188/klagomål/A 4860-2022 FSC-klagomål.docx", "A 4860-2022")</f>
        <v/>
      </c>
      <c r="W126">
        <f>HYPERLINK("https://klasma.github.io/Logging_0188/klagomålsmail/A 4860-2022 FSC-klagomål mail.docx", "A 4860-2022")</f>
        <v/>
      </c>
      <c r="X126">
        <f>HYPERLINK("https://klasma.github.io/Logging_0188/tillsyn/A 4860-2022 tillsynsbegäran.docx", "A 4860-2022")</f>
        <v/>
      </c>
      <c r="Y126">
        <f>HYPERLINK("https://klasma.github.io/Logging_0188/tillsynsmail/A 4860-2022 tillsynsbegäran mail.docx", "A 4860-2022")</f>
        <v/>
      </c>
    </row>
    <row r="127" ht="15" customHeight="1">
      <c r="A127" t="inlineStr">
        <is>
          <t>A 19829-2022</t>
        </is>
      </c>
      <c r="B127" s="1" t="n">
        <v>44695.43527777777</v>
      </c>
      <c r="C127" s="1" t="n">
        <v>46149</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33546-2025</t>
        </is>
      </c>
      <c r="B128" s="1" t="n">
        <v>45841.56996527778</v>
      </c>
      <c r="C128" s="1" t="n">
        <v>46149</v>
      </c>
      <c r="D128" t="inlineStr">
        <is>
          <t>STOCKHOLMS LÄN</t>
        </is>
      </c>
      <c r="E128" t="inlineStr">
        <is>
          <t>NORRTÄLJE</t>
        </is>
      </c>
      <c r="G128" t="n">
        <v>7.2</v>
      </c>
      <c r="H128" t="n">
        <v>1</v>
      </c>
      <c r="I128" t="n">
        <v>1</v>
      </c>
      <c r="J128" t="n">
        <v>0</v>
      </c>
      <c r="K128" t="n">
        <v>0</v>
      </c>
      <c r="L128" t="n">
        <v>0</v>
      </c>
      <c r="M128" t="n">
        <v>0</v>
      </c>
      <c r="N128" t="n">
        <v>0</v>
      </c>
      <c r="O128" t="n">
        <v>0</v>
      </c>
      <c r="P128" t="n">
        <v>0</v>
      </c>
      <c r="Q128" t="n">
        <v>1</v>
      </c>
      <c r="R128" s="2" t="inlineStr">
        <is>
          <t>Nästrot</t>
        </is>
      </c>
      <c r="S128">
        <f>HYPERLINK("https://klasma.github.io/Logging_0188/artfynd/A 33546-2025 artfynd.xlsx", "A 33546-2025")</f>
        <v/>
      </c>
      <c r="T128">
        <f>HYPERLINK("https://klasma.github.io/Logging_0188/kartor/A 33546-2025 karta.png", "A 33546-2025")</f>
        <v/>
      </c>
      <c r="V128">
        <f>HYPERLINK("https://klasma.github.io/Logging_0188/klagomål/A 33546-2025 FSC-klagomål.docx", "A 33546-2025")</f>
        <v/>
      </c>
      <c r="W128">
        <f>HYPERLINK("https://klasma.github.io/Logging_0188/klagomålsmail/A 33546-2025 FSC-klagomål mail.docx", "A 33546-2025")</f>
        <v/>
      </c>
      <c r="X128">
        <f>HYPERLINK("https://klasma.github.io/Logging_0188/tillsyn/A 33546-2025 tillsynsbegäran.docx", "A 33546-2025")</f>
        <v/>
      </c>
      <c r="Y128">
        <f>HYPERLINK("https://klasma.github.io/Logging_0188/tillsynsmail/A 33546-2025 tillsynsbegäran mail.docx", "A 33546-2025")</f>
        <v/>
      </c>
    </row>
    <row r="129" ht="15" customHeight="1">
      <c r="A129" t="inlineStr">
        <is>
          <t>A 28816-2023</t>
        </is>
      </c>
      <c r="B129" s="1" t="n">
        <v>45104</v>
      </c>
      <c r="C129" s="1" t="n">
        <v>46149</v>
      </c>
      <c r="D129" t="inlineStr">
        <is>
          <t>STOCKHOLMS LÄN</t>
        </is>
      </c>
      <c r="E129" t="inlineStr">
        <is>
          <t>NORRTÄLJE</t>
        </is>
      </c>
      <c r="F129" t="inlineStr">
        <is>
          <t>Kommuner</t>
        </is>
      </c>
      <c r="G129" t="n">
        <v>0.5</v>
      </c>
      <c r="H129" t="n">
        <v>1</v>
      </c>
      <c r="I129" t="n">
        <v>0</v>
      </c>
      <c r="J129" t="n">
        <v>0</v>
      </c>
      <c r="K129" t="n">
        <v>0</v>
      </c>
      <c r="L129" t="n">
        <v>0</v>
      </c>
      <c r="M129" t="n">
        <v>0</v>
      </c>
      <c r="N129" t="n">
        <v>0</v>
      </c>
      <c r="O129" t="n">
        <v>0</v>
      </c>
      <c r="P129" t="n">
        <v>0</v>
      </c>
      <c r="Q129" t="n">
        <v>1</v>
      </c>
      <c r="R129" s="2" t="inlineStr">
        <is>
          <t>Kungsfågel</t>
        </is>
      </c>
      <c r="S129">
        <f>HYPERLINK("https://klasma.github.io/Logging_0188/artfynd/A 28816-2023 artfynd.xlsx", "A 28816-2023")</f>
        <v/>
      </c>
      <c r="T129">
        <f>HYPERLINK("https://klasma.github.io/Logging_0188/kartor/A 28816-2023 karta.png", "A 28816-2023")</f>
        <v/>
      </c>
      <c r="V129">
        <f>HYPERLINK("https://klasma.github.io/Logging_0188/klagomål/A 28816-2023 FSC-klagomål.docx", "A 28816-2023")</f>
        <v/>
      </c>
      <c r="W129">
        <f>HYPERLINK("https://klasma.github.io/Logging_0188/klagomålsmail/A 28816-2023 FSC-klagomål mail.docx", "A 28816-2023")</f>
        <v/>
      </c>
      <c r="X129">
        <f>HYPERLINK("https://klasma.github.io/Logging_0188/tillsyn/A 28816-2023 tillsynsbegäran.docx", "A 28816-2023")</f>
        <v/>
      </c>
      <c r="Y129">
        <f>HYPERLINK("https://klasma.github.io/Logging_0188/tillsynsmail/A 28816-2023 tillsynsbegäran mail.docx", "A 28816-2023")</f>
        <v/>
      </c>
      <c r="Z129">
        <f>HYPERLINK("https://klasma.github.io/Logging_0188/fåglar/A 28816-2023 prioriterade fågelarter.docx", "A 28816-2023")</f>
        <v/>
      </c>
    </row>
    <row r="130" ht="15" customHeight="1">
      <c r="A130" t="inlineStr">
        <is>
          <t>A 8371-2025</t>
        </is>
      </c>
      <c r="B130" s="1" t="n">
        <v>45708</v>
      </c>
      <c r="C130" s="1" t="n">
        <v>46149</v>
      </c>
      <c r="D130" t="inlineStr">
        <is>
          <t>STOCKHOLMS LÄN</t>
        </is>
      </c>
      <c r="E130" t="inlineStr">
        <is>
          <t>NORRTÄLJE</t>
        </is>
      </c>
      <c r="F130" t="inlineStr">
        <is>
          <t>Övriga Aktiebolag</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HYPERLINK("https://klasma.github.io/Logging_0188/artfynd/A 8371-2025 artfynd.xlsx", "A 8371-2025")</f>
        <v/>
      </c>
      <c r="T130">
        <f>HYPERLINK("https://klasma.github.io/Logging_0188/kartor/A 8371-2025 karta.png", "A 8371-2025")</f>
        <v/>
      </c>
      <c r="V130">
        <f>HYPERLINK("https://klasma.github.io/Logging_0188/klagomål/A 8371-2025 FSC-klagomål.docx", "A 8371-2025")</f>
        <v/>
      </c>
      <c r="W130">
        <f>HYPERLINK("https://klasma.github.io/Logging_0188/klagomålsmail/A 8371-2025 FSC-klagomål mail.docx", "A 8371-2025")</f>
        <v/>
      </c>
      <c r="X130">
        <f>HYPERLINK("https://klasma.github.io/Logging_0188/tillsyn/A 8371-2025 tillsynsbegäran.docx", "A 8371-2025")</f>
        <v/>
      </c>
      <c r="Y130">
        <f>HYPERLINK("https://klasma.github.io/Logging_0188/tillsynsmail/A 8371-2025 tillsynsbegäran mail.docx", "A 8371-2025")</f>
        <v/>
      </c>
      <c r="Z130">
        <f>HYPERLINK("https://klasma.github.io/Logging_0188/fåglar/A 8371-2025 prioriterade fågelarter.docx", "A 8371-2025")</f>
        <v/>
      </c>
    </row>
    <row r="131" ht="15" customHeight="1">
      <c r="A131" t="inlineStr">
        <is>
          <t>A 52508-2023</t>
        </is>
      </c>
      <c r="B131" s="1" t="n">
        <v>45225</v>
      </c>
      <c r="C131" s="1" t="n">
        <v>46149</v>
      </c>
      <c r="D131" t="inlineStr">
        <is>
          <t>STOCKHOLMS LÄN</t>
        </is>
      </c>
      <c r="E131" t="inlineStr">
        <is>
          <t>NORRTÄLJE</t>
        </is>
      </c>
      <c r="G131" t="n">
        <v>19.7</v>
      </c>
      <c r="H131" t="n">
        <v>1</v>
      </c>
      <c r="I131" t="n">
        <v>0</v>
      </c>
      <c r="J131" t="n">
        <v>0</v>
      </c>
      <c r="K131" t="n">
        <v>1</v>
      </c>
      <c r="L131" t="n">
        <v>0</v>
      </c>
      <c r="M131" t="n">
        <v>0</v>
      </c>
      <c r="N131" t="n">
        <v>0</v>
      </c>
      <c r="O131" t="n">
        <v>1</v>
      </c>
      <c r="P131" t="n">
        <v>1</v>
      </c>
      <c r="Q131" t="n">
        <v>1</v>
      </c>
      <c r="R131" s="2" t="inlineStr">
        <is>
          <t>Svärta</t>
        </is>
      </c>
      <c r="S131">
        <f>HYPERLINK("https://klasma.github.io/Logging_0188/artfynd/A 52508-2023 artfynd.xlsx", "A 52508-2023")</f>
        <v/>
      </c>
      <c r="T131">
        <f>HYPERLINK("https://klasma.github.io/Logging_0188/kartor/A 52508-2023 karta.png", "A 52508-2023")</f>
        <v/>
      </c>
      <c r="V131">
        <f>HYPERLINK("https://klasma.github.io/Logging_0188/klagomål/A 52508-2023 FSC-klagomål.docx", "A 52508-2023")</f>
        <v/>
      </c>
      <c r="W131">
        <f>HYPERLINK("https://klasma.github.io/Logging_0188/klagomålsmail/A 52508-2023 FSC-klagomål mail.docx", "A 52508-2023")</f>
        <v/>
      </c>
      <c r="X131">
        <f>HYPERLINK("https://klasma.github.io/Logging_0188/tillsyn/A 52508-2023 tillsynsbegäran.docx", "A 52508-2023")</f>
        <v/>
      </c>
      <c r="Y131">
        <f>HYPERLINK("https://klasma.github.io/Logging_0188/tillsynsmail/A 52508-2023 tillsynsbegäran mail.docx", "A 52508-2023")</f>
        <v/>
      </c>
    </row>
    <row r="132" ht="15" customHeight="1">
      <c r="A132" t="inlineStr">
        <is>
          <t>A 39158-2025</t>
        </is>
      </c>
      <c r="B132" s="1" t="n">
        <v>45888</v>
      </c>
      <c r="C132" s="1" t="n">
        <v>46149</v>
      </c>
      <c r="D132" t="inlineStr">
        <is>
          <t>STOCKHOLMS LÄN</t>
        </is>
      </c>
      <c r="E132" t="inlineStr">
        <is>
          <t>NORRTÄLJE</t>
        </is>
      </c>
      <c r="G132" t="n">
        <v>1.5</v>
      </c>
      <c r="H132" t="n">
        <v>1</v>
      </c>
      <c r="I132" t="n">
        <v>0</v>
      </c>
      <c r="J132" t="n">
        <v>0</v>
      </c>
      <c r="K132" t="n">
        <v>0</v>
      </c>
      <c r="L132" t="n">
        <v>0</v>
      </c>
      <c r="M132" t="n">
        <v>0</v>
      </c>
      <c r="N132" t="n">
        <v>0</v>
      </c>
      <c r="O132" t="n">
        <v>0</v>
      </c>
      <c r="P132" t="n">
        <v>0</v>
      </c>
      <c r="Q132" t="n">
        <v>1</v>
      </c>
      <c r="R132" s="2" t="inlineStr">
        <is>
          <t>Blåsippa</t>
        </is>
      </c>
      <c r="S132">
        <f>HYPERLINK("https://klasma.github.io/Logging_0188/artfynd/A 39158-2025 artfynd.xlsx", "A 39158-2025")</f>
        <v/>
      </c>
      <c r="T132">
        <f>HYPERLINK("https://klasma.github.io/Logging_0188/kartor/A 39158-2025 karta.png", "A 39158-2025")</f>
        <v/>
      </c>
      <c r="V132">
        <f>HYPERLINK("https://klasma.github.io/Logging_0188/klagomål/A 39158-2025 FSC-klagomål.docx", "A 39158-2025")</f>
        <v/>
      </c>
      <c r="W132">
        <f>HYPERLINK("https://klasma.github.io/Logging_0188/klagomålsmail/A 39158-2025 FSC-klagomål mail.docx", "A 39158-2025")</f>
        <v/>
      </c>
      <c r="X132">
        <f>HYPERLINK("https://klasma.github.io/Logging_0188/tillsyn/A 39158-2025 tillsynsbegäran.docx", "A 39158-2025")</f>
        <v/>
      </c>
      <c r="Y132">
        <f>HYPERLINK("https://klasma.github.io/Logging_0188/tillsynsmail/A 39158-2025 tillsynsbegäran mail.docx", "A 39158-2025")</f>
        <v/>
      </c>
    </row>
    <row r="133" ht="15" customHeight="1">
      <c r="A133" t="inlineStr">
        <is>
          <t>A 52775-2025</t>
        </is>
      </c>
      <c r="B133" s="1" t="n">
        <v>45957.41608796296</v>
      </c>
      <c r="C133" s="1" t="n">
        <v>46149</v>
      </c>
      <c r="D133" t="inlineStr">
        <is>
          <t>STOCKHOLMS LÄN</t>
        </is>
      </c>
      <c r="E133" t="inlineStr">
        <is>
          <t>NORRTÄLJE</t>
        </is>
      </c>
      <c r="F133" t="inlineStr">
        <is>
          <t>Sveaskog</t>
        </is>
      </c>
      <c r="G133" t="n">
        <v>5.6</v>
      </c>
      <c r="H133" t="n">
        <v>0</v>
      </c>
      <c r="I133" t="n">
        <v>0</v>
      </c>
      <c r="J133" t="n">
        <v>1</v>
      </c>
      <c r="K133" t="n">
        <v>0</v>
      </c>
      <c r="L133" t="n">
        <v>0</v>
      </c>
      <c r="M133" t="n">
        <v>0</v>
      </c>
      <c r="N133" t="n">
        <v>0</v>
      </c>
      <c r="O133" t="n">
        <v>1</v>
      </c>
      <c r="P133" t="n">
        <v>0</v>
      </c>
      <c r="Q133" t="n">
        <v>1</v>
      </c>
      <c r="R133" s="2" t="inlineStr">
        <is>
          <t>Vedtrappmossa</t>
        </is>
      </c>
      <c r="S133">
        <f>HYPERLINK("https://klasma.github.io/Logging_0188/artfynd/A 52775-2025 artfynd.xlsx", "A 52775-2025")</f>
        <v/>
      </c>
      <c r="T133">
        <f>HYPERLINK("https://klasma.github.io/Logging_0188/kartor/A 52775-2025 karta.png", "A 52775-2025")</f>
        <v/>
      </c>
      <c r="V133">
        <f>HYPERLINK("https://klasma.github.io/Logging_0188/klagomål/A 52775-2025 FSC-klagomål.docx", "A 52775-2025")</f>
        <v/>
      </c>
      <c r="W133">
        <f>HYPERLINK("https://klasma.github.io/Logging_0188/klagomålsmail/A 52775-2025 FSC-klagomål mail.docx", "A 52775-2025")</f>
        <v/>
      </c>
      <c r="X133">
        <f>HYPERLINK("https://klasma.github.io/Logging_0188/tillsyn/A 52775-2025 tillsynsbegäran.docx", "A 52775-2025")</f>
        <v/>
      </c>
      <c r="Y133">
        <f>HYPERLINK("https://klasma.github.io/Logging_0188/tillsynsmail/A 52775-2025 tillsynsbegäran mail.docx", "A 52775-2025")</f>
        <v/>
      </c>
    </row>
    <row r="134" ht="15" customHeight="1">
      <c r="A134" t="inlineStr">
        <is>
          <t>A 27827-2022</t>
        </is>
      </c>
      <c r="B134" s="1" t="n">
        <v>44743.59504629629</v>
      </c>
      <c r="C134" s="1" t="n">
        <v>46149</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53716-2025</t>
        </is>
      </c>
      <c r="B135" s="1" t="n">
        <v>45960.61782407408</v>
      </c>
      <c r="C135" s="1" t="n">
        <v>46149</v>
      </c>
      <c r="D135" t="inlineStr">
        <is>
          <t>STOCKHOLMS LÄN</t>
        </is>
      </c>
      <c r="E135" t="inlineStr">
        <is>
          <t>NORRTÄLJE</t>
        </is>
      </c>
      <c r="G135" t="n">
        <v>3.4</v>
      </c>
      <c r="H135" t="n">
        <v>0</v>
      </c>
      <c r="I135" t="n">
        <v>0</v>
      </c>
      <c r="J135" t="n">
        <v>0</v>
      </c>
      <c r="K135" t="n">
        <v>0</v>
      </c>
      <c r="L135" t="n">
        <v>1</v>
      </c>
      <c r="M135" t="n">
        <v>0</v>
      </c>
      <c r="N135" t="n">
        <v>0</v>
      </c>
      <c r="O135" t="n">
        <v>1</v>
      </c>
      <c r="P135" t="n">
        <v>1</v>
      </c>
      <c r="Q135" t="n">
        <v>1</v>
      </c>
      <c r="R135" s="2" t="inlineStr">
        <is>
          <t>Fältgentiana</t>
        </is>
      </c>
      <c r="S135">
        <f>HYPERLINK("https://klasma.github.io/Logging_0188/artfynd/A 53716-2025 artfynd.xlsx", "A 53716-2025")</f>
        <v/>
      </c>
      <c r="T135">
        <f>HYPERLINK("https://klasma.github.io/Logging_0188/kartor/A 53716-2025 karta.png", "A 53716-2025")</f>
        <v/>
      </c>
      <c r="V135">
        <f>HYPERLINK("https://klasma.github.io/Logging_0188/klagomål/A 53716-2025 FSC-klagomål.docx", "A 53716-2025")</f>
        <v/>
      </c>
      <c r="W135">
        <f>HYPERLINK("https://klasma.github.io/Logging_0188/klagomålsmail/A 53716-2025 FSC-klagomål mail.docx", "A 53716-2025")</f>
        <v/>
      </c>
      <c r="X135">
        <f>HYPERLINK("https://klasma.github.io/Logging_0188/tillsyn/A 53716-2025 tillsynsbegäran.docx", "A 53716-2025")</f>
        <v/>
      </c>
      <c r="Y135">
        <f>HYPERLINK("https://klasma.github.io/Logging_0188/tillsynsmail/A 53716-2025 tillsynsbegäran mail.docx", "A 53716-2025")</f>
        <v/>
      </c>
    </row>
    <row r="136" ht="15" customHeight="1">
      <c r="A136" t="inlineStr">
        <is>
          <t>A 23146-2024</t>
        </is>
      </c>
      <c r="B136" s="1" t="n">
        <v>45450.63958333333</v>
      </c>
      <c r="C136" s="1" t="n">
        <v>46149</v>
      </c>
      <c r="D136" t="inlineStr">
        <is>
          <t>STOCKHOLMS LÄN</t>
        </is>
      </c>
      <c r="E136" t="inlineStr">
        <is>
          <t>NORRTÄLJE</t>
        </is>
      </c>
      <c r="F136" t="inlineStr">
        <is>
          <t>Kommuner</t>
        </is>
      </c>
      <c r="G136" t="n">
        <v>6</v>
      </c>
      <c r="H136" t="n">
        <v>0</v>
      </c>
      <c r="I136" t="n">
        <v>0</v>
      </c>
      <c r="J136" t="n">
        <v>1</v>
      </c>
      <c r="K136" t="n">
        <v>0</v>
      </c>
      <c r="L136" t="n">
        <v>0</v>
      </c>
      <c r="M136" t="n">
        <v>0</v>
      </c>
      <c r="N136" t="n">
        <v>0</v>
      </c>
      <c r="O136" t="n">
        <v>1</v>
      </c>
      <c r="P136" t="n">
        <v>0</v>
      </c>
      <c r="Q136" t="n">
        <v>1</v>
      </c>
      <c r="R136" s="2" t="inlineStr">
        <is>
          <t>Motaggsvamp</t>
        </is>
      </c>
      <c r="S136">
        <f>HYPERLINK("https://klasma.github.io/Logging_0188/artfynd/A 23146-2024 artfynd.xlsx", "A 23146-2024")</f>
        <v/>
      </c>
      <c r="T136">
        <f>HYPERLINK("https://klasma.github.io/Logging_0188/kartor/A 23146-2024 karta.png", "A 23146-2024")</f>
        <v/>
      </c>
      <c r="V136">
        <f>HYPERLINK("https://klasma.github.io/Logging_0188/klagomål/A 23146-2024 FSC-klagomål.docx", "A 23146-2024")</f>
        <v/>
      </c>
      <c r="W136">
        <f>HYPERLINK("https://klasma.github.io/Logging_0188/klagomålsmail/A 23146-2024 FSC-klagomål mail.docx", "A 23146-2024")</f>
        <v/>
      </c>
      <c r="X136">
        <f>HYPERLINK("https://klasma.github.io/Logging_0188/tillsyn/A 23146-2024 tillsynsbegäran.docx", "A 23146-2024")</f>
        <v/>
      </c>
      <c r="Y136">
        <f>HYPERLINK("https://klasma.github.io/Logging_0188/tillsynsmail/A 23146-2024 tillsynsbegäran mail.docx", "A 23146-2024")</f>
        <v/>
      </c>
    </row>
    <row r="137" ht="15" customHeight="1">
      <c r="A137" t="inlineStr">
        <is>
          <t>A 16870-2025</t>
        </is>
      </c>
      <c r="B137" s="1" t="n">
        <v>45754</v>
      </c>
      <c r="C137" s="1" t="n">
        <v>46149</v>
      </c>
      <c r="D137" t="inlineStr">
        <is>
          <t>STOCKHOLMS LÄN</t>
        </is>
      </c>
      <c r="E137" t="inlineStr">
        <is>
          <t>NORRTÄLJE</t>
        </is>
      </c>
      <c r="G137" t="n">
        <v>24.6</v>
      </c>
      <c r="H137" t="n">
        <v>1</v>
      </c>
      <c r="I137" t="n">
        <v>0</v>
      </c>
      <c r="J137" t="n">
        <v>0</v>
      </c>
      <c r="K137" t="n">
        <v>0</v>
      </c>
      <c r="L137" t="n">
        <v>0</v>
      </c>
      <c r="M137" t="n">
        <v>0</v>
      </c>
      <c r="N137" t="n">
        <v>0</v>
      </c>
      <c r="O137" t="n">
        <v>0</v>
      </c>
      <c r="P137" t="n">
        <v>0</v>
      </c>
      <c r="Q137" t="n">
        <v>1</v>
      </c>
      <c r="R137" s="2" t="inlineStr">
        <is>
          <t>Vanlig groda</t>
        </is>
      </c>
      <c r="S137">
        <f>HYPERLINK("https://klasma.github.io/Logging_0188/artfynd/A 16870-2025 artfynd.xlsx", "A 16870-2025")</f>
        <v/>
      </c>
      <c r="T137">
        <f>HYPERLINK("https://klasma.github.io/Logging_0188/kartor/A 16870-2025 karta.png", "A 16870-2025")</f>
        <v/>
      </c>
      <c r="V137">
        <f>HYPERLINK("https://klasma.github.io/Logging_0188/klagomål/A 16870-2025 FSC-klagomål.docx", "A 16870-2025")</f>
        <v/>
      </c>
      <c r="W137">
        <f>HYPERLINK("https://klasma.github.io/Logging_0188/klagomålsmail/A 16870-2025 FSC-klagomål mail.docx", "A 16870-2025")</f>
        <v/>
      </c>
      <c r="X137">
        <f>HYPERLINK("https://klasma.github.io/Logging_0188/tillsyn/A 16870-2025 tillsynsbegäran.docx", "A 16870-2025")</f>
        <v/>
      </c>
      <c r="Y137">
        <f>HYPERLINK("https://klasma.github.io/Logging_0188/tillsynsmail/A 16870-2025 tillsynsbegäran mail.docx", "A 16870-2025")</f>
        <v/>
      </c>
    </row>
    <row r="138" ht="15" customHeight="1">
      <c r="A138" t="inlineStr">
        <is>
          <t>A 27538-2024</t>
        </is>
      </c>
      <c r="B138" s="1" t="n">
        <v>45474</v>
      </c>
      <c r="C138" s="1" t="n">
        <v>46149</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59682-2025</t>
        </is>
      </c>
      <c r="B139" s="1" t="n">
        <v>45992.47116898148</v>
      </c>
      <c r="C139" s="1" t="n">
        <v>46149</v>
      </c>
      <c r="D139" t="inlineStr">
        <is>
          <t>STOCKHOLMS LÄN</t>
        </is>
      </c>
      <c r="E139" t="inlineStr">
        <is>
          <t>NORRTÄLJE</t>
        </is>
      </c>
      <c r="G139" t="n">
        <v>1.6</v>
      </c>
      <c r="H139" t="n">
        <v>0</v>
      </c>
      <c r="I139" t="n">
        <v>1</v>
      </c>
      <c r="J139" t="n">
        <v>0</v>
      </c>
      <c r="K139" t="n">
        <v>0</v>
      </c>
      <c r="L139" t="n">
        <v>0</v>
      </c>
      <c r="M139" t="n">
        <v>0</v>
      </c>
      <c r="N139" t="n">
        <v>0</v>
      </c>
      <c r="O139" t="n">
        <v>0</v>
      </c>
      <c r="P139" t="n">
        <v>0</v>
      </c>
      <c r="Q139" t="n">
        <v>1</v>
      </c>
      <c r="R139" s="2" t="inlineStr">
        <is>
          <t>Grönpyrola</t>
        </is>
      </c>
      <c r="S139">
        <f>HYPERLINK("https://klasma.github.io/Logging_0188/artfynd/A 59682-2025 artfynd.xlsx", "A 59682-2025")</f>
        <v/>
      </c>
      <c r="T139">
        <f>HYPERLINK("https://klasma.github.io/Logging_0188/kartor/A 59682-2025 karta.png", "A 59682-2025")</f>
        <v/>
      </c>
      <c r="V139">
        <f>HYPERLINK("https://klasma.github.io/Logging_0188/klagomål/A 59682-2025 FSC-klagomål.docx", "A 59682-2025")</f>
        <v/>
      </c>
      <c r="W139">
        <f>HYPERLINK("https://klasma.github.io/Logging_0188/klagomålsmail/A 59682-2025 FSC-klagomål mail.docx", "A 59682-2025")</f>
        <v/>
      </c>
      <c r="X139">
        <f>HYPERLINK("https://klasma.github.io/Logging_0188/tillsyn/A 59682-2025 tillsynsbegäran.docx", "A 59682-2025")</f>
        <v/>
      </c>
      <c r="Y139">
        <f>HYPERLINK("https://klasma.github.io/Logging_0188/tillsynsmail/A 59682-2025 tillsynsbegäran mail.docx", "A 59682-2025")</f>
        <v/>
      </c>
    </row>
    <row r="140" ht="15" customHeight="1">
      <c r="A140" t="inlineStr">
        <is>
          <t>A 62715-2025</t>
        </is>
      </c>
      <c r="B140" s="1" t="n">
        <v>46008.52034722222</v>
      </c>
      <c r="C140" s="1" t="n">
        <v>46149</v>
      </c>
      <c r="D140" t="inlineStr">
        <is>
          <t>STOCKHOLMS LÄN</t>
        </is>
      </c>
      <c r="E140" t="inlineStr">
        <is>
          <t>NORRTÄLJE</t>
        </is>
      </c>
      <c r="G140" t="n">
        <v>0.8</v>
      </c>
      <c r="H140" t="n">
        <v>0</v>
      </c>
      <c r="I140" t="n">
        <v>1</v>
      </c>
      <c r="J140" t="n">
        <v>0</v>
      </c>
      <c r="K140" t="n">
        <v>0</v>
      </c>
      <c r="L140" t="n">
        <v>0</v>
      </c>
      <c r="M140" t="n">
        <v>0</v>
      </c>
      <c r="N140" t="n">
        <v>0</v>
      </c>
      <c r="O140" t="n">
        <v>0</v>
      </c>
      <c r="P140" t="n">
        <v>0</v>
      </c>
      <c r="Q140" t="n">
        <v>1</v>
      </c>
      <c r="R140" s="2" t="inlineStr">
        <is>
          <t>Granbarkgnagare</t>
        </is>
      </c>
      <c r="S140">
        <f>HYPERLINK("https://klasma.github.io/Logging_0188/artfynd/A 62715-2025 artfynd.xlsx", "A 62715-2025")</f>
        <v/>
      </c>
      <c r="T140">
        <f>HYPERLINK("https://klasma.github.io/Logging_0188/kartor/A 62715-2025 karta.png", "A 62715-2025")</f>
        <v/>
      </c>
      <c r="V140">
        <f>HYPERLINK("https://klasma.github.io/Logging_0188/klagomål/A 62715-2025 FSC-klagomål.docx", "A 62715-2025")</f>
        <v/>
      </c>
      <c r="W140">
        <f>HYPERLINK("https://klasma.github.io/Logging_0188/klagomålsmail/A 62715-2025 FSC-klagomål mail.docx", "A 62715-2025")</f>
        <v/>
      </c>
      <c r="X140">
        <f>HYPERLINK("https://klasma.github.io/Logging_0188/tillsyn/A 62715-2025 tillsynsbegäran.docx", "A 62715-2025")</f>
        <v/>
      </c>
      <c r="Y140">
        <f>HYPERLINK("https://klasma.github.io/Logging_0188/tillsynsmail/A 62715-2025 tillsynsbegäran mail.docx", "A 62715-2025")</f>
        <v/>
      </c>
    </row>
    <row r="141" ht="15" customHeight="1">
      <c r="A141" t="inlineStr">
        <is>
          <t>A 63292-2025</t>
        </is>
      </c>
      <c r="B141" s="1" t="n">
        <v>46010.59232638889</v>
      </c>
      <c r="C141" s="1" t="n">
        <v>46149</v>
      </c>
      <c r="D141" t="inlineStr">
        <is>
          <t>STOCKHOLMS LÄN</t>
        </is>
      </c>
      <c r="E141" t="inlineStr">
        <is>
          <t>NORRTÄLJE</t>
        </is>
      </c>
      <c r="G141" t="n">
        <v>11.1</v>
      </c>
      <c r="H141" t="n">
        <v>1</v>
      </c>
      <c r="I141" t="n">
        <v>1</v>
      </c>
      <c r="J141" t="n">
        <v>0</v>
      </c>
      <c r="K141" t="n">
        <v>0</v>
      </c>
      <c r="L141" t="n">
        <v>0</v>
      </c>
      <c r="M141" t="n">
        <v>0</v>
      </c>
      <c r="N141" t="n">
        <v>0</v>
      </c>
      <c r="O141" t="n">
        <v>0</v>
      </c>
      <c r="P141" t="n">
        <v>0</v>
      </c>
      <c r="Q141" t="n">
        <v>1</v>
      </c>
      <c r="R141" s="2" t="inlineStr">
        <is>
          <t>Nästrot</t>
        </is>
      </c>
      <c r="S141">
        <f>HYPERLINK("https://klasma.github.io/Logging_0188/artfynd/A 63292-2025 artfynd.xlsx", "A 63292-2025")</f>
        <v/>
      </c>
      <c r="T141">
        <f>HYPERLINK("https://klasma.github.io/Logging_0188/kartor/A 63292-2025 karta.png", "A 63292-2025")</f>
        <v/>
      </c>
      <c r="V141">
        <f>HYPERLINK("https://klasma.github.io/Logging_0188/klagomål/A 63292-2025 FSC-klagomål.docx", "A 63292-2025")</f>
        <v/>
      </c>
      <c r="W141">
        <f>HYPERLINK("https://klasma.github.io/Logging_0188/klagomålsmail/A 63292-2025 FSC-klagomål mail.docx", "A 63292-2025")</f>
        <v/>
      </c>
      <c r="X141">
        <f>HYPERLINK("https://klasma.github.io/Logging_0188/tillsyn/A 63292-2025 tillsynsbegäran.docx", "A 63292-2025")</f>
        <v/>
      </c>
      <c r="Y141">
        <f>HYPERLINK("https://klasma.github.io/Logging_0188/tillsynsmail/A 63292-2025 tillsynsbegäran mail.docx", "A 63292-2025")</f>
        <v/>
      </c>
    </row>
    <row r="142" ht="15" customHeight="1">
      <c r="A142" t="inlineStr">
        <is>
          <t>A 364-2026</t>
        </is>
      </c>
      <c r="B142" s="1" t="n">
        <v>46027.67134259259</v>
      </c>
      <c r="C142" s="1" t="n">
        <v>46149</v>
      </c>
      <c r="D142" t="inlineStr">
        <is>
          <t>STOCKHOLMS LÄN</t>
        </is>
      </c>
      <c r="E142" t="inlineStr">
        <is>
          <t>NORRTÄLJE</t>
        </is>
      </c>
      <c r="F142" t="inlineStr">
        <is>
          <t>Holmen skog AB</t>
        </is>
      </c>
      <c r="G142" t="n">
        <v>4.3</v>
      </c>
      <c r="H142" t="n">
        <v>1</v>
      </c>
      <c r="I142" t="n">
        <v>0</v>
      </c>
      <c r="J142" t="n">
        <v>0</v>
      </c>
      <c r="K142" t="n">
        <v>0</v>
      </c>
      <c r="L142" t="n">
        <v>1</v>
      </c>
      <c r="M142" t="n">
        <v>0</v>
      </c>
      <c r="N142" t="n">
        <v>0</v>
      </c>
      <c r="O142" t="n">
        <v>1</v>
      </c>
      <c r="P142" t="n">
        <v>1</v>
      </c>
      <c r="Q142" t="n">
        <v>1</v>
      </c>
      <c r="R142" s="2" t="inlineStr">
        <is>
          <t>Asknätfjäril</t>
        </is>
      </c>
      <c r="S142">
        <f>HYPERLINK("https://klasma.github.io/Logging_0188/artfynd/A 364-2026 artfynd.xlsx", "A 364-2026")</f>
        <v/>
      </c>
      <c r="T142">
        <f>HYPERLINK("https://klasma.github.io/Logging_0188/kartor/A 364-2026 karta.png", "A 364-2026")</f>
        <v/>
      </c>
      <c r="V142">
        <f>HYPERLINK("https://klasma.github.io/Logging_0188/klagomål/A 364-2026 FSC-klagomål.docx", "A 364-2026")</f>
        <v/>
      </c>
      <c r="W142">
        <f>HYPERLINK("https://klasma.github.io/Logging_0188/klagomålsmail/A 364-2026 FSC-klagomål mail.docx", "A 364-2026")</f>
        <v/>
      </c>
      <c r="X142">
        <f>HYPERLINK("https://klasma.github.io/Logging_0188/tillsyn/A 364-2026 tillsynsbegäran.docx", "A 364-2026")</f>
        <v/>
      </c>
      <c r="Y142">
        <f>HYPERLINK("https://klasma.github.io/Logging_0188/tillsynsmail/A 364-2026 tillsynsbegäran mail.docx", "A 364-2026")</f>
        <v/>
      </c>
    </row>
    <row r="143" ht="15" customHeight="1">
      <c r="A143" t="inlineStr">
        <is>
          <t>A 7734-2026</t>
        </is>
      </c>
      <c r="B143" s="1" t="n">
        <v>46062.52902777777</v>
      </c>
      <c r="C143" s="1" t="n">
        <v>46149</v>
      </c>
      <c r="D143" t="inlineStr">
        <is>
          <t>STOCKHOLMS LÄN</t>
        </is>
      </c>
      <c r="E143" t="inlineStr">
        <is>
          <t>NORRTÄLJE</t>
        </is>
      </c>
      <c r="G143" t="n">
        <v>6.6</v>
      </c>
      <c r="H143" t="n">
        <v>0</v>
      </c>
      <c r="I143" t="n">
        <v>1</v>
      </c>
      <c r="J143" t="n">
        <v>0</v>
      </c>
      <c r="K143" t="n">
        <v>0</v>
      </c>
      <c r="L143" t="n">
        <v>0</v>
      </c>
      <c r="M143" t="n">
        <v>0</v>
      </c>
      <c r="N143" t="n">
        <v>0</v>
      </c>
      <c r="O143" t="n">
        <v>0</v>
      </c>
      <c r="P143" t="n">
        <v>0</v>
      </c>
      <c r="Q143" t="n">
        <v>1</v>
      </c>
      <c r="R143" s="2" t="inlineStr">
        <is>
          <t>Kastanjefjällskivling</t>
        </is>
      </c>
      <c r="S143">
        <f>HYPERLINK("https://klasma.github.io/Logging_0188/artfynd/A 7734-2026 artfynd.xlsx", "A 7734-2026")</f>
        <v/>
      </c>
      <c r="T143">
        <f>HYPERLINK("https://klasma.github.io/Logging_0188/kartor/A 7734-2026 karta.png", "A 7734-2026")</f>
        <v/>
      </c>
      <c r="V143">
        <f>HYPERLINK("https://klasma.github.io/Logging_0188/klagomål/A 7734-2026 FSC-klagomål.docx", "A 7734-2026")</f>
        <v/>
      </c>
      <c r="W143">
        <f>HYPERLINK("https://klasma.github.io/Logging_0188/klagomålsmail/A 7734-2026 FSC-klagomål mail.docx", "A 7734-2026")</f>
        <v/>
      </c>
      <c r="X143">
        <f>HYPERLINK("https://klasma.github.io/Logging_0188/tillsyn/A 7734-2026 tillsynsbegäran.docx", "A 7734-2026")</f>
        <v/>
      </c>
      <c r="Y143">
        <f>HYPERLINK("https://klasma.github.io/Logging_0188/tillsynsmail/A 7734-2026 tillsynsbegäran mail.docx", "A 7734-2026")</f>
        <v/>
      </c>
    </row>
    <row r="144" ht="15" customHeight="1">
      <c r="A144" t="inlineStr">
        <is>
          <t>A 15886-2026</t>
        </is>
      </c>
      <c r="B144" s="1" t="n">
        <v>46107</v>
      </c>
      <c r="C144" s="1" t="n">
        <v>46149</v>
      </c>
      <c r="D144" t="inlineStr">
        <is>
          <t>STOCKHOLMS LÄN</t>
        </is>
      </c>
      <c r="E144" t="inlineStr">
        <is>
          <t>NORRTÄLJE</t>
        </is>
      </c>
      <c r="G144" t="n">
        <v>1.3</v>
      </c>
      <c r="H144" t="n">
        <v>1</v>
      </c>
      <c r="I144" t="n">
        <v>0</v>
      </c>
      <c r="J144" t="n">
        <v>0</v>
      </c>
      <c r="K144" t="n">
        <v>0</v>
      </c>
      <c r="L144" t="n">
        <v>1</v>
      </c>
      <c r="M144" t="n">
        <v>0</v>
      </c>
      <c r="N144" t="n">
        <v>0</v>
      </c>
      <c r="O144" t="n">
        <v>1</v>
      </c>
      <c r="P144" t="n">
        <v>1</v>
      </c>
      <c r="Q144" t="n">
        <v>1</v>
      </c>
      <c r="R144" s="2" t="inlineStr">
        <is>
          <t>Grönfink</t>
        </is>
      </c>
      <c r="S144">
        <f>HYPERLINK("https://klasma.github.io/Logging_0188/artfynd/A 15886-2026 artfynd.xlsx", "A 15886-2026")</f>
        <v/>
      </c>
      <c r="T144">
        <f>HYPERLINK("https://klasma.github.io/Logging_0188/kartor/A 15886-2026 karta.png", "A 15886-2026")</f>
        <v/>
      </c>
      <c r="V144">
        <f>HYPERLINK("https://klasma.github.io/Logging_0188/klagomål/A 15886-2026 FSC-klagomål.docx", "A 15886-2026")</f>
        <v/>
      </c>
      <c r="W144">
        <f>HYPERLINK("https://klasma.github.io/Logging_0188/klagomålsmail/A 15886-2026 FSC-klagomål mail.docx", "A 15886-2026")</f>
        <v/>
      </c>
      <c r="X144">
        <f>HYPERLINK("https://klasma.github.io/Logging_0188/tillsyn/A 15886-2026 tillsynsbegäran.docx", "A 15886-2026")</f>
        <v/>
      </c>
      <c r="Y144">
        <f>HYPERLINK("https://klasma.github.io/Logging_0188/tillsynsmail/A 15886-2026 tillsynsbegäran mail.docx", "A 15886-2026")</f>
        <v/>
      </c>
      <c r="Z144">
        <f>HYPERLINK("https://klasma.github.io/Logging_0188/fåglar/A 15886-2026 prioriterade fågelarter.docx", "A 15886-2026")</f>
        <v/>
      </c>
    </row>
    <row r="145" ht="15" customHeight="1">
      <c r="A145" t="inlineStr">
        <is>
          <t>A 19355-2026</t>
        </is>
      </c>
      <c r="B145" s="1" t="n">
        <v>46133.49074074074</v>
      </c>
      <c r="C145" s="1" t="n">
        <v>46149</v>
      </c>
      <c r="D145" t="inlineStr">
        <is>
          <t>STOCKHOLMS LÄN</t>
        </is>
      </c>
      <c r="E145" t="inlineStr">
        <is>
          <t>NORRTÄLJE</t>
        </is>
      </c>
      <c r="G145" t="n">
        <v>22.5</v>
      </c>
      <c r="H145" t="n">
        <v>0</v>
      </c>
      <c r="I145" t="n">
        <v>1</v>
      </c>
      <c r="J145" t="n">
        <v>0</v>
      </c>
      <c r="K145" t="n">
        <v>0</v>
      </c>
      <c r="L145" t="n">
        <v>0</v>
      </c>
      <c r="M145" t="n">
        <v>0</v>
      </c>
      <c r="N145" t="n">
        <v>0</v>
      </c>
      <c r="O145" t="n">
        <v>0</v>
      </c>
      <c r="P145" t="n">
        <v>0</v>
      </c>
      <c r="Q145" t="n">
        <v>1</v>
      </c>
      <c r="R145" s="2" t="inlineStr">
        <is>
          <t>Mönjevaxing</t>
        </is>
      </c>
      <c r="S145">
        <f>HYPERLINK("https://klasma.github.io/Logging_0188/artfynd/A 19355-2026 artfynd.xlsx", "A 19355-2026")</f>
        <v/>
      </c>
      <c r="T145">
        <f>HYPERLINK("https://klasma.github.io/Logging_0188/kartor/A 19355-2026 karta.png", "A 19355-2026")</f>
        <v/>
      </c>
      <c r="V145">
        <f>HYPERLINK("https://klasma.github.io/Logging_0188/klagomål/A 19355-2026 FSC-klagomål.docx", "A 19355-2026")</f>
        <v/>
      </c>
      <c r="W145">
        <f>HYPERLINK("https://klasma.github.io/Logging_0188/klagomålsmail/A 19355-2026 FSC-klagomål mail.docx", "A 19355-2026")</f>
        <v/>
      </c>
      <c r="X145">
        <f>HYPERLINK("https://klasma.github.io/Logging_0188/tillsyn/A 19355-2026 tillsynsbegäran.docx", "A 19355-2026")</f>
        <v/>
      </c>
      <c r="Y145">
        <f>HYPERLINK("https://klasma.github.io/Logging_0188/tillsynsmail/A 19355-2026 tillsynsbegäran mail.docx", "A 19355-2026")</f>
        <v/>
      </c>
    </row>
    <row r="146" ht="15" customHeight="1">
      <c r="A146" t="inlineStr">
        <is>
          <t>A 12877-2022</t>
        </is>
      </c>
      <c r="B146" s="1" t="n">
        <v>44642</v>
      </c>
      <c r="C146" s="1" t="n">
        <v>46149</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46149</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46149</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46149</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46149</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46149</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46149</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46149</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46149</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46149</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46149</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46149</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46149</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46149</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46149</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46149</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46149</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46149</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46149</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46149</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46149</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46149</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46149</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46149</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46149</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46149</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46149</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46149</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46149</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46149</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46149</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46149</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46149</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46149</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46149</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46149</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46149</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46149</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46149</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46149</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46149</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29868-2022</t>
        </is>
      </c>
      <c r="B191" s="1" t="n">
        <v>44756.40881944444</v>
      </c>
      <c r="C191" s="1" t="n">
        <v>46149</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46149</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46149</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46149</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46149</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46149</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46149</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46149</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46149</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46149</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46149</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46149</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46149</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46149</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46149</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46149</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46149</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46149</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46149</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46149</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46149</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46149</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46149</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46149</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46149</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46149</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46149</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46149</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46149</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46149</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46149</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46149</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46149</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46149</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46149</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46149</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46149</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68273-2021</t>
        </is>
      </c>
      <c r="B230" s="1" t="n">
        <v>44526</v>
      </c>
      <c r="C230" s="1" t="n">
        <v>46149</v>
      </c>
      <c r="D230" t="inlineStr">
        <is>
          <t>STOCKHOLMS LÄN</t>
        </is>
      </c>
      <c r="E230" t="inlineStr">
        <is>
          <t>NORRTÄLJE</t>
        </is>
      </c>
      <c r="G230" t="n">
        <v>5.3</v>
      </c>
      <c r="H230" t="n">
        <v>0</v>
      </c>
      <c r="I230" t="n">
        <v>0</v>
      </c>
      <c r="J230" t="n">
        <v>0</v>
      </c>
      <c r="K230" t="n">
        <v>0</v>
      </c>
      <c r="L230" t="n">
        <v>0</v>
      </c>
      <c r="M230" t="n">
        <v>0</v>
      </c>
      <c r="N230" t="n">
        <v>0</v>
      </c>
      <c r="O230" t="n">
        <v>0</v>
      </c>
      <c r="P230" t="n">
        <v>0</v>
      </c>
      <c r="Q230" t="n">
        <v>0</v>
      </c>
      <c r="R230" s="2" t="inlineStr"/>
    </row>
    <row r="231" ht="15" customHeight="1">
      <c r="A231" t="inlineStr">
        <is>
          <t>A 47431-2023</t>
        </is>
      </c>
      <c r="B231" s="1" t="n">
        <v>45202</v>
      </c>
      <c r="C231" s="1" t="n">
        <v>46149</v>
      </c>
      <c r="D231" t="inlineStr">
        <is>
          <t>STOCKHOLMS LÄN</t>
        </is>
      </c>
      <c r="E231" t="inlineStr">
        <is>
          <t>NORRTÄLJE</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59499-2023</t>
        </is>
      </c>
      <c r="B232" s="1" t="n">
        <v>45254</v>
      </c>
      <c r="C232" s="1" t="n">
        <v>46149</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59468-2023</t>
        </is>
      </c>
      <c r="B233" s="1" t="n">
        <v>45254.41509259259</v>
      </c>
      <c r="C233" s="1" t="n">
        <v>46149</v>
      </c>
      <c r="D233" t="inlineStr">
        <is>
          <t>STOCKHOLMS LÄN</t>
        </is>
      </c>
      <c r="E233" t="inlineStr">
        <is>
          <t>NORRTÄLJE</t>
        </is>
      </c>
      <c r="G233" t="n">
        <v>1.7</v>
      </c>
      <c r="H233" t="n">
        <v>0</v>
      </c>
      <c r="I233" t="n">
        <v>0</v>
      </c>
      <c r="J233" t="n">
        <v>0</v>
      </c>
      <c r="K233" t="n">
        <v>0</v>
      </c>
      <c r="L233" t="n">
        <v>0</v>
      </c>
      <c r="M233" t="n">
        <v>0</v>
      </c>
      <c r="N233" t="n">
        <v>0</v>
      </c>
      <c r="O233" t="n">
        <v>0</v>
      </c>
      <c r="P233" t="n">
        <v>0</v>
      </c>
      <c r="Q233" t="n">
        <v>0</v>
      </c>
      <c r="R233" s="2" t="inlineStr"/>
    </row>
    <row r="234" ht="15" customHeight="1">
      <c r="A234" t="inlineStr">
        <is>
          <t>A 1968-2022</t>
        </is>
      </c>
      <c r="B234" s="1" t="n">
        <v>44575.52831018518</v>
      </c>
      <c r="C234" s="1" t="n">
        <v>46149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15226-2022</t>
        </is>
      </c>
      <c r="B235" s="1" t="n">
        <v>44658</v>
      </c>
      <c r="C235" s="1" t="n">
        <v>46149</v>
      </c>
      <c r="D235" t="inlineStr">
        <is>
          <t>STOCKHOLMS LÄN</t>
        </is>
      </c>
      <c r="E235" t="inlineStr">
        <is>
          <t>NORRTÄLJE</t>
        </is>
      </c>
      <c r="G235" t="n">
        <v>1.1</v>
      </c>
      <c r="H235" t="n">
        <v>0</v>
      </c>
      <c r="I235" t="n">
        <v>0</v>
      </c>
      <c r="J235" t="n">
        <v>0</v>
      </c>
      <c r="K235" t="n">
        <v>0</v>
      </c>
      <c r="L235" t="n">
        <v>0</v>
      </c>
      <c r="M235" t="n">
        <v>0</v>
      </c>
      <c r="N235" t="n">
        <v>0</v>
      </c>
      <c r="O235" t="n">
        <v>0</v>
      </c>
      <c r="P235" t="n">
        <v>0</v>
      </c>
      <c r="Q235" t="n">
        <v>0</v>
      </c>
      <c r="R235" s="2" t="inlineStr"/>
    </row>
    <row r="236" ht="15" customHeight="1">
      <c r="A236" t="inlineStr">
        <is>
          <t>A 12532-2025</t>
        </is>
      </c>
      <c r="B236" s="1" t="n">
        <v>45730.69143518519</v>
      </c>
      <c r="C236" s="1" t="n">
        <v>46149</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3300-2022</t>
        </is>
      </c>
      <c r="B237" s="1" t="n">
        <v>44584.91538194445</v>
      </c>
      <c r="C237" s="1" t="n">
        <v>46149</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5732-2023</t>
        </is>
      </c>
      <c r="B238" s="1" t="n">
        <v>44962</v>
      </c>
      <c r="C238" s="1" t="n">
        <v>46149</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17388-2022</t>
        </is>
      </c>
      <c r="B239" s="1" t="n">
        <v>44678</v>
      </c>
      <c r="C239" s="1" t="n">
        <v>46149</v>
      </c>
      <c r="D239" t="inlineStr">
        <is>
          <t>STOCKHOLMS LÄN</t>
        </is>
      </c>
      <c r="E239" t="inlineStr">
        <is>
          <t>NORRTÄLJE</t>
        </is>
      </c>
      <c r="G239" t="n">
        <v>2.4</v>
      </c>
      <c r="H239" t="n">
        <v>0</v>
      </c>
      <c r="I239" t="n">
        <v>0</v>
      </c>
      <c r="J239" t="n">
        <v>0</v>
      </c>
      <c r="K239" t="n">
        <v>0</v>
      </c>
      <c r="L239" t="n">
        <v>0</v>
      </c>
      <c r="M239" t="n">
        <v>0</v>
      </c>
      <c r="N239" t="n">
        <v>0</v>
      </c>
      <c r="O239" t="n">
        <v>0</v>
      </c>
      <c r="P239" t="n">
        <v>0</v>
      </c>
      <c r="Q239" t="n">
        <v>0</v>
      </c>
      <c r="R239" s="2" t="inlineStr"/>
    </row>
    <row r="240" ht="15" customHeight="1">
      <c r="A240" t="inlineStr">
        <is>
          <t>A 10653-2022</t>
        </is>
      </c>
      <c r="B240" s="1" t="n">
        <v>44624.59434027778</v>
      </c>
      <c r="C240" s="1" t="n">
        <v>46149</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17771-2022</t>
        </is>
      </c>
      <c r="B241" s="1" t="n">
        <v>44682.75924768519</v>
      </c>
      <c r="C241" s="1" t="n">
        <v>46149</v>
      </c>
      <c r="D241" t="inlineStr">
        <is>
          <t>STOCKHOLMS LÄN</t>
        </is>
      </c>
      <c r="E241" t="inlineStr">
        <is>
          <t>NORRTÄLJE</t>
        </is>
      </c>
      <c r="G241" t="n">
        <v>13.3</v>
      </c>
      <c r="H241" t="n">
        <v>0</v>
      </c>
      <c r="I241" t="n">
        <v>0</v>
      </c>
      <c r="J241" t="n">
        <v>0</v>
      </c>
      <c r="K241" t="n">
        <v>0</v>
      </c>
      <c r="L241" t="n">
        <v>0</v>
      </c>
      <c r="M241" t="n">
        <v>0</v>
      </c>
      <c r="N241" t="n">
        <v>0</v>
      </c>
      <c r="O241" t="n">
        <v>0</v>
      </c>
      <c r="P241" t="n">
        <v>0</v>
      </c>
      <c r="Q241" t="n">
        <v>0</v>
      </c>
      <c r="R241" s="2" t="inlineStr"/>
    </row>
    <row r="242" ht="15" customHeight="1">
      <c r="A242" t="inlineStr">
        <is>
          <t>A 17773-2022</t>
        </is>
      </c>
      <c r="B242" s="1" t="n">
        <v>44682.77616898148</v>
      </c>
      <c r="C242" s="1" t="n">
        <v>46149</v>
      </c>
      <c r="D242" t="inlineStr">
        <is>
          <t>STOCKHOLMS LÄN</t>
        </is>
      </c>
      <c r="E242" t="inlineStr">
        <is>
          <t>NORRTÄLJE</t>
        </is>
      </c>
      <c r="G242" t="n">
        <v>10.8</v>
      </c>
      <c r="H242" t="n">
        <v>0</v>
      </c>
      <c r="I242" t="n">
        <v>0</v>
      </c>
      <c r="J242" t="n">
        <v>0</v>
      </c>
      <c r="K242" t="n">
        <v>0</v>
      </c>
      <c r="L242" t="n">
        <v>0</v>
      </c>
      <c r="M242" t="n">
        <v>0</v>
      </c>
      <c r="N242" t="n">
        <v>0</v>
      </c>
      <c r="O242" t="n">
        <v>0</v>
      </c>
      <c r="P242" t="n">
        <v>0</v>
      </c>
      <c r="Q242" t="n">
        <v>0</v>
      </c>
      <c r="R242" s="2" t="inlineStr"/>
    </row>
    <row r="243" ht="15" customHeight="1">
      <c r="A243" t="inlineStr">
        <is>
          <t>A 52139-2022</t>
        </is>
      </c>
      <c r="B243" s="1" t="n">
        <v>44868</v>
      </c>
      <c r="C243" s="1" t="n">
        <v>46149</v>
      </c>
      <c r="D243" t="inlineStr">
        <is>
          <t>STOCKHOLMS LÄN</t>
        </is>
      </c>
      <c r="E243" t="inlineStr">
        <is>
          <t>NORRTÄLJE</t>
        </is>
      </c>
      <c r="G243" t="n">
        <v>3.2</v>
      </c>
      <c r="H243" t="n">
        <v>0</v>
      </c>
      <c r="I243" t="n">
        <v>0</v>
      </c>
      <c r="J243" t="n">
        <v>0</v>
      </c>
      <c r="K243" t="n">
        <v>0</v>
      </c>
      <c r="L243" t="n">
        <v>0</v>
      </c>
      <c r="M243" t="n">
        <v>0</v>
      </c>
      <c r="N243" t="n">
        <v>0</v>
      </c>
      <c r="O243" t="n">
        <v>0</v>
      </c>
      <c r="P243" t="n">
        <v>0</v>
      </c>
      <c r="Q243" t="n">
        <v>0</v>
      </c>
      <c r="R243" s="2" t="inlineStr"/>
      <c r="U243">
        <f>HYPERLINK("https://klasma.github.io/Logging_0188/knärot/A 52139-2022 karta knärot.png", "A 52139-2022")</f>
        <v/>
      </c>
      <c r="V243">
        <f>HYPERLINK("https://klasma.github.io/Logging_0188/klagomål/A 52139-2022 FSC-klagomål.docx", "A 52139-2022")</f>
        <v/>
      </c>
      <c r="W243">
        <f>HYPERLINK("https://klasma.github.io/Logging_0188/klagomålsmail/A 52139-2022 FSC-klagomål mail.docx", "A 52139-2022")</f>
        <v/>
      </c>
      <c r="X243">
        <f>HYPERLINK("https://klasma.github.io/Logging_0188/tillsyn/A 52139-2022 tillsynsbegäran.docx", "A 52139-2022")</f>
        <v/>
      </c>
      <c r="Y243">
        <f>HYPERLINK("https://klasma.github.io/Logging_0188/tillsynsmail/A 52139-2022 tillsynsbegäran mail.docx", "A 52139-2022")</f>
        <v/>
      </c>
    </row>
    <row r="244" ht="15" customHeight="1">
      <c r="A244" t="inlineStr">
        <is>
          <t>A 10521-2022</t>
        </is>
      </c>
      <c r="B244" s="1" t="n">
        <v>44623</v>
      </c>
      <c r="C244" s="1" t="n">
        <v>46149</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21729-2024</t>
        </is>
      </c>
      <c r="B245" s="1" t="n">
        <v>45442</v>
      </c>
      <c r="C245" s="1" t="n">
        <v>46149</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46149</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46149</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11854-2025</t>
        </is>
      </c>
      <c r="B248" s="1" t="n">
        <v>45728.38924768518</v>
      </c>
      <c r="C248" s="1" t="n">
        <v>46149</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16117-2022</t>
        </is>
      </c>
      <c r="B249" s="1" t="n">
        <v>44665.65474537037</v>
      </c>
      <c r="C249" s="1" t="n">
        <v>46149</v>
      </c>
      <c r="D249" t="inlineStr">
        <is>
          <t>STOCKHOLMS LÄN</t>
        </is>
      </c>
      <c r="E249" t="inlineStr">
        <is>
          <t>NORRTÄLJE</t>
        </is>
      </c>
      <c r="G249" t="n">
        <v>8.1</v>
      </c>
      <c r="H249" t="n">
        <v>0</v>
      </c>
      <c r="I249" t="n">
        <v>0</v>
      </c>
      <c r="J249" t="n">
        <v>0</v>
      </c>
      <c r="K249" t="n">
        <v>0</v>
      </c>
      <c r="L249" t="n">
        <v>0</v>
      </c>
      <c r="M249" t="n">
        <v>0</v>
      </c>
      <c r="N249" t="n">
        <v>0</v>
      </c>
      <c r="O249" t="n">
        <v>0</v>
      </c>
      <c r="P249" t="n">
        <v>0</v>
      </c>
      <c r="Q249" t="n">
        <v>0</v>
      </c>
      <c r="R249" s="2" t="inlineStr"/>
    </row>
    <row r="250" ht="15" customHeight="1">
      <c r="A250" t="inlineStr">
        <is>
          <t>A 16132-2022</t>
        </is>
      </c>
      <c r="B250" s="1" t="n">
        <v>44665.78351851852</v>
      </c>
      <c r="C250" s="1" t="n">
        <v>46149</v>
      </c>
      <c r="D250" t="inlineStr">
        <is>
          <t>STOCKHOLMS LÄN</t>
        </is>
      </c>
      <c r="E250" t="inlineStr">
        <is>
          <t>NORRTÄLJE</t>
        </is>
      </c>
      <c r="G250" t="n">
        <v>4.4</v>
      </c>
      <c r="H250" t="n">
        <v>0</v>
      </c>
      <c r="I250" t="n">
        <v>0</v>
      </c>
      <c r="J250" t="n">
        <v>0</v>
      </c>
      <c r="K250" t="n">
        <v>0</v>
      </c>
      <c r="L250" t="n">
        <v>0</v>
      </c>
      <c r="M250" t="n">
        <v>0</v>
      </c>
      <c r="N250" t="n">
        <v>0</v>
      </c>
      <c r="O250" t="n">
        <v>0</v>
      </c>
      <c r="P250" t="n">
        <v>0</v>
      </c>
      <c r="Q250" t="n">
        <v>0</v>
      </c>
      <c r="R250" s="2" t="inlineStr"/>
    </row>
    <row r="251" ht="15" customHeight="1">
      <c r="A251" t="inlineStr">
        <is>
          <t>A 14762-2024</t>
        </is>
      </c>
      <c r="B251" s="1" t="n">
        <v>45397</v>
      </c>
      <c r="C251" s="1" t="n">
        <v>46149</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70170-2021</t>
        </is>
      </c>
      <c r="B252" s="1" t="n">
        <v>44533</v>
      </c>
      <c r="C252" s="1" t="n">
        <v>46149</v>
      </c>
      <c r="D252" t="inlineStr">
        <is>
          <t>STOCKHOLMS LÄN</t>
        </is>
      </c>
      <c r="E252" t="inlineStr">
        <is>
          <t>NORRTÄLJE</t>
        </is>
      </c>
      <c r="G252" t="n">
        <v>2.7</v>
      </c>
      <c r="H252" t="n">
        <v>0</v>
      </c>
      <c r="I252" t="n">
        <v>0</v>
      </c>
      <c r="J252" t="n">
        <v>0</v>
      </c>
      <c r="K252" t="n">
        <v>0</v>
      </c>
      <c r="L252" t="n">
        <v>0</v>
      </c>
      <c r="M252" t="n">
        <v>0</v>
      </c>
      <c r="N252" t="n">
        <v>0</v>
      </c>
      <c r="O252" t="n">
        <v>0</v>
      </c>
      <c r="P252" t="n">
        <v>0</v>
      </c>
      <c r="Q252" t="n">
        <v>0</v>
      </c>
      <c r="R252" s="2" t="inlineStr"/>
    </row>
    <row r="253" ht="15" customHeight="1">
      <c r="A253" t="inlineStr">
        <is>
          <t>A 25463-2021</t>
        </is>
      </c>
      <c r="B253" s="1" t="n">
        <v>44342</v>
      </c>
      <c r="C253" s="1" t="n">
        <v>46149</v>
      </c>
      <c r="D253" t="inlineStr">
        <is>
          <t>STOCKHOLMS LÄN</t>
        </is>
      </c>
      <c r="E253" t="inlineStr">
        <is>
          <t>NORRTÄLJE</t>
        </is>
      </c>
      <c r="F253" t="inlineStr">
        <is>
          <t>Holmen skog AB</t>
        </is>
      </c>
      <c r="G253" t="n">
        <v>1.5</v>
      </c>
      <c r="H253" t="n">
        <v>0</v>
      </c>
      <c r="I253" t="n">
        <v>0</v>
      </c>
      <c r="J253" t="n">
        <v>0</v>
      </c>
      <c r="K253" t="n">
        <v>0</v>
      </c>
      <c r="L253" t="n">
        <v>0</v>
      </c>
      <c r="M253" t="n">
        <v>0</v>
      </c>
      <c r="N253" t="n">
        <v>0</v>
      </c>
      <c r="O253" t="n">
        <v>0</v>
      </c>
      <c r="P253" t="n">
        <v>0</v>
      </c>
      <c r="Q253" t="n">
        <v>0</v>
      </c>
      <c r="R253" s="2" t="inlineStr"/>
    </row>
    <row r="254" ht="15" customHeight="1">
      <c r="A254" t="inlineStr">
        <is>
          <t>A 24167-2022</t>
        </is>
      </c>
      <c r="B254" s="1" t="n">
        <v>44725.49491898148</v>
      </c>
      <c r="C254" s="1" t="n">
        <v>46149</v>
      </c>
      <c r="D254" t="inlineStr">
        <is>
          <t>STOCKHOLMS LÄN</t>
        </is>
      </c>
      <c r="E254" t="inlineStr">
        <is>
          <t>NORRTÄLJE</t>
        </is>
      </c>
      <c r="G254" t="n">
        <v>3.4</v>
      </c>
      <c r="H254" t="n">
        <v>0</v>
      </c>
      <c r="I254" t="n">
        <v>0</v>
      </c>
      <c r="J254" t="n">
        <v>0</v>
      </c>
      <c r="K254" t="n">
        <v>0</v>
      </c>
      <c r="L254" t="n">
        <v>0</v>
      </c>
      <c r="M254" t="n">
        <v>0</v>
      </c>
      <c r="N254" t="n">
        <v>0</v>
      </c>
      <c r="O254" t="n">
        <v>0</v>
      </c>
      <c r="P254" t="n">
        <v>0</v>
      </c>
      <c r="Q254" t="n">
        <v>0</v>
      </c>
      <c r="R254" s="2" t="inlineStr"/>
    </row>
    <row r="255" ht="15" customHeight="1">
      <c r="A255" t="inlineStr">
        <is>
          <t>A 21102-2022</t>
        </is>
      </c>
      <c r="B255" s="1" t="n">
        <v>44704</v>
      </c>
      <c r="C255" s="1" t="n">
        <v>46149</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42396-2021</t>
        </is>
      </c>
      <c r="B256" s="1" t="n">
        <v>44427</v>
      </c>
      <c r="C256" s="1" t="n">
        <v>46149</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71880-2021</t>
        </is>
      </c>
      <c r="B257" s="1" t="n">
        <v>44543</v>
      </c>
      <c r="C257" s="1" t="n">
        <v>46149</v>
      </c>
      <c r="D257" t="inlineStr">
        <is>
          <t>STOCKHOLMS LÄN</t>
        </is>
      </c>
      <c r="E257" t="inlineStr">
        <is>
          <t>NORRTÄLJE</t>
        </is>
      </c>
      <c r="G257" t="n">
        <v>2</v>
      </c>
      <c r="H257" t="n">
        <v>0</v>
      </c>
      <c r="I257" t="n">
        <v>0</v>
      </c>
      <c r="J257" t="n">
        <v>0</v>
      </c>
      <c r="K257" t="n">
        <v>0</v>
      </c>
      <c r="L257" t="n">
        <v>0</v>
      </c>
      <c r="M257" t="n">
        <v>0</v>
      </c>
      <c r="N257" t="n">
        <v>0</v>
      </c>
      <c r="O257" t="n">
        <v>0</v>
      </c>
      <c r="P257" t="n">
        <v>0</v>
      </c>
      <c r="Q257" t="n">
        <v>0</v>
      </c>
      <c r="R257" s="2" t="inlineStr"/>
    </row>
    <row r="258" ht="15" customHeight="1">
      <c r="A258" t="inlineStr">
        <is>
          <t>A 17772-2022</t>
        </is>
      </c>
      <c r="B258" s="1" t="n">
        <v>44682.76528935185</v>
      </c>
      <c r="C258" s="1" t="n">
        <v>46149</v>
      </c>
      <c r="D258" t="inlineStr">
        <is>
          <t>STOCKHOLMS LÄN</t>
        </is>
      </c>
      <c r="E258" t="inlineStr">
        <is>
          <t>NORRTÄLJE</t>
        </is>
      </c>
      <c r="G258" t="n">
        <v>4</v>
      </c>
      <c r="H258" t="n">
        <v>0</v>
      </c>
      <c r="I258" t="n">
        <v>0</v>
      </c>
      <c r="J258" t="n">
        <v>0</v>
      </c>
      <c r="K258" t="n">
        <v>0</v>
      </c>
      <c r="L258" t="n">
        <v>0</v>
      </c>
      <c r="M258" t="n">
        <v>0</v>
      </c>
      <c r="N258" t="n">
        <v>0</v>
      </c>
      <c r="O258" t="n">
        <v>0</v>
      </c>
      <c r="P258" t="n">
        <v>0</v>
      </c>
      <c r="Q258" t="n">
        <v>0</v>
      </c>
      <c r="R258" s="2" t="inlineStr"/>
    </row>
    <row r="259" ht="15" customHeight="1">
      <c r="A259" t="inlineStr">
        <is>
          <t>A 67285-2021</t>
        </is>
      </c>
      <c r="B259" s="1" t="n">
        <v>44523.61635416667</v>
      </c>
      <c r="C259" s="1" t="n">
        <v>46149</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5611-2022</t>
        </is>
      </c>
      <c r="B260" s="1" t="n">
        <v>44595</v>
      </c>
      <c r="C260" s="1" t="n">
        <v>46149</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32055-2021</t>
        </is>
      </c>
      <c r="B261" s="1" t="n">
        <v>44370.72197916666</v>
      </c>
      <c r="C261" s="1" t="n">
        <v>46149</v>
      </c>
      <c r="D261" t="inlineStr">
        <is>
          <t>STOCKHOLMS LÄN</t>
        </is>
      </c>
      <c r="E261" t="inlineStr">
        <is>
          <t>NORRTÄLJE</t>
        </is>
      </c>
      <c r="G261" t="n">
        <v>1.2</v>
      </c>
      <c r="H261" t="n">
        <v>0</v>
      </c>
      <c r="I261" t="n">
        <v>0</v>
      </c>
      <c r="J261" t="n">
        <v>0</v>
      </c>
      <c r="K261" t="n">
        <v>0</v>
      </c>
      <c r="L261" t="n">
        <v>0</v>
      </c>
      <c r="M261" t="n">
        <v>0</v>
      </c>
      <c r="N261" t="n">
        <v>0</v>
      </c>
      <c r="O261" t="n">
        <v>0</v>
      </c>
      <c r="P261" t="n">
        <v>0</v>
      </c>
      <c r="Q261" t="n">
        <v>0</v>
      </c>
      <c r="R261" s="2" t="inlineStr"/>
    </row>
    <row r="262" ht="15" customHeight="1">
      <c r="A262" t="inlineStr">
        <is>
          <t>A 24101-2022</t>
        </is>
      </c>
      <c r="B262" s="1" t="n">
        <v>44725</v>
      </c>
      <c r="C262" s="1" t="n">
        <v>46149</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59712-2024</t>
        </is>
      </c>
      <c r="B263" s="1" t="n">
        <v>45639.45166666667</v>
      </c>
      <c r="C263" s="1" t="n">
        <v>46149</v>
      </c>
      <c r="D263" t="inlineStr">
        <is>
          <t>STOCKHOLMS LÄN</t>
        </is>
      </c>
      <c r="E263" t="inlineStr">
        <is>
          <t>NORRTÄLJE</t>
        </is>
      </c>
      <c r="G263" t="n">
        <v>4.4</v>
      </c>
      <c r="H263" t="n">
        <v>0</v>
      </c>
      <c r="I263" t="n">
        <v>0</v>
      </c>
      <c r="J263" t="n">
        <v>0</v>
      </c>
      <c r="K263" t="n">
        <v>0</v>
      </c>
      <c r="L263" t="n">
        <v>0</v>
      </c>
      <c r="M263" t="n">
        <v>0</v>
      </c>
      <c r="N263" t="n">
        <v>0</v>
      </c>
      <c r="O263" t="n">
        <v>0</v>
      </c>
      <c r="P263" t="n">
        <v>0</v>
      </c>
      <c r="Q263" t="n">
        <v>0</v>
      </c>
      <c r="R263" s="2" t="inlineStr"/>
    </row>
    <row r="264" ht="15" customHeight="1">
      <c r="A264" t="inlineStr">
        <is>
          <t>A 27217-2021</t>
        </is>
      </c>
      <c r="B264" s="1" t="n">
        <v>44350</v>
      </c>
      <c r="C264" s="1" t="n">
        <v>46149</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2732-2022</t>
        </is>
      </c>
      <c r="B265" s="1" t="n">
        <v>44580</v>
      </c>
      <c r="C265" s="1" t="n">
        <v>46149</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38721-2022</t>
        </is>
      </c>
      <c r="B266" s="1" t="n">
        <v>44815</v>
      </c>
      <c r="C266" s="1" t="n">
        <v>46149</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35127-2023</t>
        </is>
      </c>
      <c r="B267" s="1" t="n">
        <v>45145.51</v>
      </c>
      <c r="C267" s="1" t="n">
        <v>46149</v>
      </c>
      <c r="D267" t="inlineStr">
        <is>
          <t>STOCKHOLMS LÄN</t>
        </is>
      </c>
      <c r="E267" t="inlineStr">
        <is>
          <t>NORRTÄLJE</t>
        </is>
      </c>
      <c r="G267" t="n">
        <v>4.7</v>
      </c>
      <c r="H267" t="n">
        <v>0</v>
      </c>
      <c r="I267" t="n">
        <v>0</v>
      </c>
      <c r="J267" t="n">
        <v>0</v>
      </c>
      <c r="K267" t="n">
        <v>0</v>
      </c>
      <c r="L267" t="n">
        <v>0</v>
      </c>
      <c r="M267" t="n">
        <v>0</v>
      </c>
      <c r="N267" t="n">
        <v>0</v>
      </c>
      <c r="O267" t="n">
        <v>0</v>
      </c>
      <c r="P267" t="n">
        <v>0</v>
      </c>
      <c r="Q267" t="n">
        <v>0</v>
      </c>
      <c r="R267" s="2" t="inlineStr"/>
    </row>
    <row r="268" ht="15" customHeight="1">
      <c r="A268" t="inlineStr">
        <is>
          <t>A 60184-2021</t>
        </is>
      </c>
      <c r="B268" s="1" t="n">
        <v>44495</v>
      </c>
      <c r="C268" s="1" t="n">
        <v>46149</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16119-2022</t>
        </is>
      </c>
      <c r="B269" s="1" t="n">
        <v>44665.66407407408</v>
      </c>
      <c r="C269" s="1" t="n">
        <v>46149</v>
      </c>
      <c r="D269" t="inlineStr">
        <is>
          <t>STOCKHOLMS LÄN</t>
        </is>
      </c>
      <c r="E269" t="inlineStr">
        <is>
          <t>NORRTÄLJE</t>
        </is>
      </c>
      <c r="G269" t="n">
        <v>3.9</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46149</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31924-2022</t>
        </is>
      </c>
      <c r="B271" s="1" t="n">
        <v>44777</v>
      </c>
      <c r="C271" s="1" t="n">
        <v>46149</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12270-2022</t>
        </is>
      </c>
      <c r="B272" s="1" t="n">
        <v>44637</v>
      </c>
      <c r="C272" s="1" t="n">
        <v>46149</v>
      </c>
      <c r="D272" t="inlineStr">
        <is>
          <t>STOCKHOLMS LÄN</t>
        </is>
      </c>
      <c r="E272" t="inlineStr">
        <is>
          <t>NORRTÄLJE</t>
        </is>
      </c>
      <c r="G272" t="n">
        <v>2.3</v>
      </c>
      <c r="H272" t="n">
        <v>0</v>
      </c>
      <c r="I272" t="n">
        <v>0</v>
      </c>
      <c r="J272" t="n">
        <v>0</v>
      </c>
      <c r="K272" t="n">
        <v>0</v>
      </c>
      <c r="L272" t="n">
        <v>0</v>
      </c>
      <c r="M272" t="n">
        <v>0</v>
      </c>
      <c r="N272" t="n">
        <v>0</v>
      </c>
      <c r="O272" t="n">
        <v>0</v>
      </c>
      <c r="P272" t="n">
        <v>0</v>
      </c>
      <c r="Q272" t="n">
        <v>0</v>
      </c>
      <c r="R272" s="2" t="inlineStr"/>
    </row>
    <row r="273" ht="15" customHeight="1">
      <c r="A273" t="inlineStr">
        <is>
          <t>A 12875-2022</t>
        </is>
      </c>
      <c r="B273" s="1" t="n">
        <v>44642.55565972222</v>
      </c>
      <c r="C273" s="1" t="n">
        <v>46149</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14543-2022</t>
        </is>
      </c>
      <c r="B274" s="1" t="n">
        <v>44655.45373842592</v>
      </c>
      <c r="C274" s="1" t="n">
        <v>46149</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45255-2022</t>
        </is>
      </c>
      <c r="B275" s="1" t="n">
        <v>44840</v>
      </c>
      <c r="C275" s="1" t="n">
        <v>46149</v>
      </c>
      <c r="D275" t="inlineStr">
        <is>
          <t>STOCKHOLMS LÄN</t>
        </is>
      </c>
      <c r="E275" t="inlineStr">
        <is>
          <t>NORRTÄLJE</t>
        </is>
      </c>
      <c r="G275" t="n">
        <v>4.1</v>
      </c>
      <c r="H275" t="n">
        <v>0</v>
      </c>
      <c r="I275" t="n">
        <v>0</v>
      </c>
      <c r="J275" t="n">
        <v>0</v>
      </c>
      <c r="K275" t="n">
        <v>0</v>
      </c>
      <c r="L275" t="n">
        <v>0</v>
      </c>
      <c r="M275" t="n">
        <v>0</v>
      </c>
      <c r="N275" t="n">
        <v>0</v>
      </c>
      <c r="O275" t="n">
        <v>0</v>
      </c>
      <c r="P275" t="n">
        <v>0</v>
      </c>
      <c r="Q275" t="n">
        <v>0</v>
      </c>
      <c r="R275" s="2" t="inlineStr"/>
    </row>
    <row r="276" ht="15" customHeight="1">
      <c r="A276" t="inlineStr">
        <is>
          <t>A 27828-2022</t>
        </is>
      </c>
      <c r="B276" s="1" t="n">
        <v>44743.59765046297</v>
      </c>
      <c r="C276" s="1" t="n">
        <v>46149</v>
      </c>
      <c r="D276" t="inlineStr">
        <is>
          <t>STOCKHOLMS LÄN</t>
        </is>
      </c>
      <c r="E276" t="inlineStr">
        <is>
          <t>NORRTÄLJE</t>
        </is>
      </c>
      <c r="F276" t="inlineStr">
        <is>
          <t>Kommuner</t>
        </is>
      </c>
      <c r="G276" t="n">
        <v>1.6</v>
      </c>
      <c r="H276" t="n">
        <v>0</v>
      </c>
      <c r="I276" t="n">
        <v>0</v>
      </c>
      <c r="J276" t="n">
        <v>0</v>
      </c>
      <c r="K276" t="n">
        <v>0</v>
      </c>
      <c r="L276" t="n">
        <v>0</v>
      </c>
      <c r="M276" t="n">
        <v>0</v>
      </c>
      <c r="N276" t="n">
        <v>0</v>
      </c>
      <c r="O276" t="n">
        <v>0</v>
      </c>
      <c r="P276" t="n">
        <v>0</v>
      </c>
      <c r="Q276" t="n">
        <v>0</v>
      </c>
      <c r="R276" s="2" t="inlineStr"/>
    </row>
    <row r="277" ht="15" customHeight="1">
      <c r="A277" t="inlineStr">
        <is>
          <t>A 16229-2022</t>
        </is>
      </c>
      <c r="B277" s="1" t="n">
        <v>44670.4190162037</v>
      </c>
      <c r="C277" s="1" t="n">
        <v>46149</v>
      </c>
      <c r="D277" t="inlineStr">
        <is>
          <t>STOCKHOLMS LÄN</t>
        </is>
      </c>
      <c r="E277" t="inlineStr">
        <is>
          <t>NORRTÄLJE</t>
        </is>
      </c>
      <c r="G277" t="n">
        <v>7.4</v>
      </c>
      <c r="H277" t="n">
        <v>0</v>
      </c>
      <c r="I277" t="n">
        <v>0</v>
      </c>
      <c r="J277" t="n">
        <v>0</v>
      </c>
      <c r="K277" t="n">
        <v>0</v>
      </c>
      <c r="L277" t="n">
        <v>0</v>
      </c>
      <c r="M277" t="n">
        <v>0</v>
      </c>
      <c r="N277" t="n">
        <v>0</v>
      </c>
      <c r="O277" t="n">
        <v>0</v>
      </c>
      <c r="P277" t="n">
        <v>0</v>
      </c>
      <c r="Q277" t="n">
        <v>0</v>
      </c>
      <c r="R277" s="2" t="inlineStr"/>
    </row>
    <row r="278" ht="15" customHeight="1">
      <c r="A278" t="inlineStr">
        <is>
          <t>A 33226-2024</t>
        </is>
      </c>
      <c r="B278" s="1" t="n">
        <v>45518</v>
      </c>
      <c r="C278" s="1" t="n">
        <v>46149</v>
      </c>
      <c r="D278" t="inlineStr">
        <is>
          <t>STOCKHOLMS LÄN</t>
        </is>
      </c>
      <c r="E278" t="inlineStr">
        <is>
          <t>NORRTÄLJE</t>
        </is>
      </c>
      <c r="G278" t="n">
        <v>13.8</v>
      </c>
      <c r="H278" t="n">
        <v>0</v>
      </c>
      <c r="I278" t="n">
        <v>0</v>
      </c>
      <c r="J278" t="n">
        <v>0</v>
      </c>
      <c r="K278" t="n">
        <v>0</v>
      </c>
      <c r="L278" t="n">
        <v>0</v>
      </c>
      <c r="M278" t="n">
        <v>0</v>
      </c>
      <c r="N278" t="n">
        <v>0</v>
      </c>
      <c r="O278" t="n">
        <v>0</v>
      </c>
      <c r="P278" t="n">
        <v>0</v>
      </c>
      <c r="Q278" t="n">
        <v>0</v>
      </c>
      <c r="R278" s="2" t="inlineStr"/>
    </row>
    <row r="279" ht="15" customHeight="1">
      <c r="A279" t="inlineStr">
        <is>
          <t>A 59893-2022</t>
        </is>
      </c>
      <c r="B279" s="1" t="n">
        <v>44908.77368055555</v>
      </c>
      <c r="C279" s="1" t="n">
        <v>46149</v>
      </c>
      <c r="D279" t="inlineStr">
        <is>
          <t>STOCKHOLMS LÄN</t>
        </is>
      </c>
      <c r="E279" t="inlineStr">
        <is>
          <t>NORRTÄLJE</t>
        </is>
      </c>
      <c r="G279" t="n">
        <v>3</v>
      </c>
      <c r="H279" t="n">
        <v>0</v>
      </c>
      <c r="I279" t="n">
        <v>0</v>
      </c>
      <c r="J279" t="n">
        <v>0</v>
      </c>
      <c r="K279" t="n">
        <v>0</v>
      </c>
      <c r="L279" t="n">
        <v>0</v>
      </c>
      <c r="M279" t="n">
        <v>0</v>
      </c>
      <c r="N279" t="n">
        <v>0</v>
      </c>
      <c r="O279" t="n">
        <v>0</v>
      </c>
      <c r="P279" t="n">
        <v>0</v>
      </c>
      <c r="Q279" t="n">
        <v>0</v>
      </c>
      <c r="R279" s="2" t="inlineStr"/>
    </row>
    <row r="280" ht="15" customHeight="1">
      <c r="A280" t="inlineStr">
        <is>
          <t>A 5513-2022</t>
        </is>
      </c>
      <c r="B280" s="1" t="n">
        <v>44595</v>
      </c>
      <c r="C280" s="1" t="n">
        <v>46149</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22008-2024</t>
        </is>
      </c>
      <c r="B281" s="1" t="n">
        <v>45443</v>
      </c>
      <c r="C281" s="1" t="n">
        <v>46149</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23453-2021</t>
        </is>
      </c>
      <c r="B282" s="1" t="n">
        <v>44333</v>
      </c>
      <c r="C282" s="1" t="n">
        <v>46149</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39905-2023</t>
        </is>
      </c>
      <c r="B283" s="1" t="n">
        <v>45168.44489583333</v>
      </c>
      <c r="C283" s="1" t="n">
        <v>46149</v>
      </c>
      <c r="D283" t="inlineStr">
        <is>
          <t>STOCKHOLMS LÄN</t>
        </is>
      </c>
      <c r="E283" t="inlineStr">
        <is>
          <t>NORRTÄLJE</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5645-2023</t>
        </is>
      </c>
      <c r="B284" s="1" t="n">
        <v>44960.60469907407</v>
      </c>
      <c r="C284" s="1" t="n">
        <v>46149</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68361-2021</t>
        </is>
      </c>
      <c r="B285" s="1" t="n">
        <v>44528.91494212963</v>
      </c>
      <c r="C285" s="1" t="n">
        <v>46149</v>
      </c>
      <c r="D285" t="inlineStr">
        <is>
          <t>STOCKHOLMS LÄN</t>
        </is>
      </c>
      <c r="E285" t="inlineStr">
        <is>
          <t>NORRTÄLJE</t>
        </is>
      </c>
      <c r="G285" t="n">
        <v>1.9</v>
      </c>
      <c r="H285" t="n">
        <v>0</v>
      </c>
      <c r="I285" t="n">
        <v>0</v>
      </c>
      <c r="J285" t="n">
        <v>0</v>
      </c>
      <c r="K285" t="n">
        <v>0</v>
      </c>
      <c r="L285" t="n">
        <v>0</v>
      </c>
      <c r="M285" t="n">
        <v>0</v>
      </c>
      <c r="N285" t="n">
        <v>0</v>
      </c>
      <c r="O285" t="n">
        <v>0</v>
      </c>
      <c r="P285" t="n">
        <v>0</v>
      </c>
      <c r="Q285" t="n">
        <v>0</v>
      </c>
      <c r="R285" s="2" t="inlineStr"/>
    </row>
    <row r="286" ht="15" customHeight="1">
      <c r="A286" t="inlineStr">
        <is>
          <t>A 28042-2022</t>
        </is>
      </c>
      <c r="B286" s="1" t="n">
        <v>44744</v>
      </c>
      <c r="C286" s="1" t="n">
        <v>46149</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55243-2023</t>
        </is>
      </c>
      <c r="B287" s="1" t="n">
        <v>45237</v>
      </c>
      <c r="C287" s="1" t="n">
        <v>46149</v>
      </c>
      <c r="D287" t="inlineStr">
        <is>
          <t>STOCKHOLMS LÄN</t>
        </is>
      </c>
      <c r="E287" t="inlineStr">
        <is>
          <t>NORRTÄLJE</t>
        </is>
      </c>
      <c r="G287" t="n">
        <v>6.5</v>
      </c>
      <c r="H287" t="n">
        <v>0</v>
      </c>
      <c r="I287" t="n">
        <v>0</v>
      </c>
      <c r="J287" t="n">
        <v>0</v>
      </c>
      <c r="K287" t="n">
        <v>0</v>
      </c>
      <c r="L287" t="n">
        <v>0</v>
      </c>
      <c r="M287" t="n">
        <v>0</v>
      </c>
      <c r="N287" t="n">
        <v>0</v>
      </c>
      <c r="O287" t="n">
        <v>0</v>
      </c>
      <c r="P287" t="n">
        <v>0</v>
      </c>
      <c r="Q287" t="n">
        <v>0</v>
      </c>
      <c r="R287" s="2" t="inlineStr"/>
    </row>
    <row r="288" ht="15" customHeight="1">
      <c r="A288" t="inlineStr">
        <is>
          <t>A 60529-2023</t>
        </is>
      </c>
      <c r="B288" s="1" t="n">
        <v>45259</v>
      </c>
      <c r="C288" s="1" t="n">
        <v>46149</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52260-2022</t>
        </is>
      </c>
      <c r="B289" s="1" t="n">
        <v>44869</v>
      </c>
      <c r="C289" s="1" t="n">
        <v>46149</v>
      </c>
      <c r="D289" t="inlineStr">
        <is>
          <t>STOCKHOLMS LÄN</t>
        </is>
      </c>
      <c r="E289" t="inlineStr">
        <is>
          <t>NORRTÄLJE</t>
        </is>
      </c>
      <c r="G289" t="n">
        <v>3.1</v>
      </c>
      <c r="H289" t="n">
        <v>0</v>
      </c>
      <c r="I289" t="n">
        <v>0</v>
      </c>
      <c r="J289" t="n">
        <v>0</v>
      </c>
      <c r="K289" t="n">
        <v>0</v>
      </c>
      <c r="L289" t="n">
        <v>0</v>
      </c>
      <c r="M289" t="n">
        <v>0</v>
      </c>
      <c r="N289" t="n">
        <v>0</v>
      </c>
      <c r="O289" t="n">
        <v>0</v>
      </c>
      <c r="P289" t="n">
        <v>0</v>
      </c>
      <c r="Q289" t="n">
        <v>0</v>
      </c>
      <c r="R289" s="2" t="inlineStr"/>
    </row>
    <row r="290" ht="15" customHeight="1">
      <c r="A290" t="inlineStr">
        <is>
          <t>A 27214-2021</t>
        </is>
      </c>
      <c r="B290" s="1" t="n">
        <v>44350</v>
      </c>
      <c r="C290" s="1" t="n">
        <v>46149</v>
      </c>
      <c r="D290" t="inlineStr">
        <is>
          <t>STOCKHOLMS LÄN</t>
        </is>
      </c>
      <c r="E290" t="inlineStr">
        <is>
          <t>NORRTÄLJE</t>
        </is>
      </c>
      <c r="G290" t="n">
        <v>1</v>
      </c>
      <c r="H290" t="n">
        <v>0</v>
      </c>
      <c r="I290" t="n">
        <v>0</v>
      </c>
      <c r="J290" t="n">
        <v>0</v>
      </c>
      <c r="K290" t="n">
        <v>0</v>
      </c>
      <c r="L290" t="n">
        <v>0</v>
      </c>
      <c r="M290" t="n">
        <v>0</v>
      </c>
      <c r="N290" t="n">
        <v>0</v>
      </c>
      <c r="O290" t="n">
        <v>0</v>
      </c>
      <c r="P290" t="n">
        <v>0</v>
      </c>
      <c r="Q290" t="n">
        <v>0</v>
      </c>
      <c r="R290" s="2" t="inlineStr"/>
    </row>
    <row r="291" ht="15" customHeight="1">
      <c r="A291" t="inlineStr">
        <is>
          <t>A 12355-2022</t>
        </is>
      </c>
      <c r="B291" s="1" t="n">
        <v>44637</v>
      </c>
      <c r="C291" s="1" t="n">
        <v>46149</v>
      </c>
      <c r="D291" t="inlineStr">
        <is>
          <t>STOCKHOLMS LÄN</t>
        </is>
      </c>
      <c r="E291" t="inlineStr">
        <is>
          <t>NORRTÄLJE</t>
        </is>
      </c>
      <c r="G291" t="n">
        <v>10.4</v>
      </c>
      <c r="H291" t="n">
        <v>0</v>
      </c>
      <c r="I291" t="n">
        <v>0</v>
      </c>
      <c r="J291" t="n">
        <v>0</v>
      </c>
      <c r="K291" t="n">
        <v>0</v>
      </c>
      <c r="L291" t="n">
        <v>0</v>
      </c>
      <c r="M291" t="n">
        <v>0</v>
      </c>
      <c r="N291" t="n">
        <v>0</v>
      </c>
      <c r="O291" t="n">
        <v>0</v>
      </c>
      <c r="P291" t="n">
        <v>0</v>
      </c>
      <c r="Q291" t="n">
        <v>0</v>
      </c>
      <c r="R291" s="2" t="inlineStr"/>
    </row>
    <row r="292" ht="15" customHeight="1">
      <c r="A292" t="inlineStr">
        <is>
          <t>A 25557-2023</t>
        </is>
      </c>
      <c r="B292" s="1" t="n">
        <v>45089</v>
      </c>
      <c r="C292" s="1" t="n">
        <v>46149</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27715-2022</t>
        </is>
      </c>
      <c r="B293" s="1" t="n">
        <v>44743.47407407407</v>
      </c>
      <c r="C293" s="1" t="n">
        <v>46149</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41398-2022</t>
        </is>
      </c>
      <c r="B294" s="1" t="n">
        <v>44826</v>
      </c>
      <c r="C294" s="1" t="n">
        <v>46149</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22369-2021</t>
        </is>
      </c>
      <c r="B295" s="1" t="n">
        <v>44326</v>
      </c>
      <c r="C295" s="1" t="n">
        <v>46149</v>
      </c>
      <c r="D295" t="inlineStr">
        <is>
          <t>STOCKHOLMS LÄN</t>
        </is>
      </c>
      <c r="E295" t="inlineStr">
        <is>
          <t>NORRTÄLJE</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55696-2022</t>
        </is>
      </c>
      <c r="B296" s="1" t="n">
        <v>44888</v>
      </c>
      <c r="C296" s="1" t="n">
        <v>46149</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45541-2022</t>
        </is>
      </c>
      <c r="B297" s="1" t="n">
        <v>44845.47672453704</v>
      </c>
      <c r="C297" s="1" t="n">
        <v>46149</v>
      </c>
      <c r="D297" t="inlineStr">
        <is>
          <t>STOCKHOLMS LÄN</t>
        </is>
      </c>
      <c r="E297" t="inlineStr">
        <is>
          <t>NORRTÄLJE</t>
        </is>
      </c>
      <c r="G297" t="n">
        <v>0.4</v>
      </c>
      <c r="H297" t="n">
        <v>0</v>
      </c>
      <c r="I297" t="n">
        <v>0</v>
      </c>
      <c r="J297" t="n">
        <v>0</v>
      </c>
      <c r="K297" t="n">
        <v>0</v>
      </c>
      <c r="L297" t="n">
        <v>0</v>
      </c>
      <c r="M297" t="n">
        <v>0</v>
      </c>
      <c r="N297" t="n">
        <v>0</v>
      </c>
      <c r="O297" t="n">
        <v>0</v>
      </c>
      <c r="P297" t="n">
        <v>0</v>
      </c>
      <c r="Q297" t="n">
        <v>0</v>
      </c>
      <c r="R297" s="2" t="inlineStr"/>
    </row>
    <row r="298" ht="15" customHeight="1">
      <c r="A298" t="inlineStr">
        <is>
          <t>A 22412-2021</t>
        </is>
      </c>
      <c r="B298" s="1" t="n">
        <v>44326.61967592593</v>
      </c>
      <c r="C298" s="1" t="n">
        <v>46149</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7565-2022</t>
        </is>
      </c>
      <c r="B299" s="1" t="n">
        <v>44607</v>
      </c>
      <c r="C299" s="1" t="n">
        <v>46149</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19706-2023</t>
        </is>
      </c>
      <c r="B300" s="1" t="n">
        <v>45051.455</v>
      </c>
      <c r="C300" s="1" t="n">
        <v>46149</v>
      </c>
      <c r="D300" t="inlineStr">
        <is>
          <t>STOCKHOLMS LÄN</t>
        </is>
      </c>
      <c r="E300" t="inlineStr">
        <is>
          <t>NORRTÄLJE</t>
        </is>
      </c>
      <c r="G300" t="n">
        <v>0.2</v>
      </c>
      <c r="H300" t="n">
        <v>0</v>
      </c>
      <c r="I300" t="n">
        <v>0</v>
      </c>
      <c r="J300" t="n">
        <v>0</v>
      </c>
      <c r="K300" t="n">
        <v>0</v>
      </c>
      <c r="L300" t="n">
        <v>0</v>
      </c>
      <c r="M300" t="n">
        <v>0</v>
      </c>
      <c r="N300" t="n">
        <v>0</v>
      </c>
      <c r="O300" t="n">
        <v>0</v>
      </c>
      <c r="P300" t="n">
        <v>0</v>
      </c>
      <c r="Q300" t="n">
        <v>0</v>
      </c>
      <c r="R300" s="2" t="inlineStr"/>
    </row>
    <row r="301" ht="15" customHeight="1">
      <c r="A301" t="inlineStr">
        <is>
          <t>A 41822-2021</t>
        </is>
      </c>
      <c r="B301" s="1" t="n">
        <v>44425</v>
      </c>
      <c r="C301" s="1" t="n">
        <v>46149</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41823-2021</t>
        </is>
      </c>
      <c r="B302" s="1" t="n">
        <v>44425</v>
      </c>
      <c r="C302" s="1" t="n">
        <v>46149</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20336-2024</t>
        </is>
      </c>
      <c r="B303" s="1" t="n">
        <v>45435.43123842592</v>
      </c>
      <c r="C303" s="1" t="n">
        <v>46149</v>
      </c>
      <c r="D303" t="inlineStr">
        <is>
          <t>STOCKHOLMS LÄN</t>
        </is>
      </c>
      <c r="E303" t="inlineStr">
        <is>
          <t>NORRTÄLJE</t>
        </is>
      </c>
      <c r="G303" t="n">
        <v>1.9</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46149</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15915-2023</t>
        </is>
      </c>
      <c r="B305" s="1" t="n">
        <v>45022</v>
      </c>
      <c r="C305" s="1" t="n">
        <v>46149</v>
      </c>
      <c r="D305" t="inlineStr">
        <is>
          <t>STOCKHOLMS LÄN</t>
        </is>
      </c>
      <c r="E305" t="inlineStr">
        <is>
          <t>NORRTÄLJE</t>
        </is>
      </c>
      <c r="G305" t="n">
        <v>2.9</v>
      </c>
      <c r="H305" t="n">
        <v>0</v>
      </c>
      <c r="I305" t="n">
        <v>0</v>
      </c>
      <c r="J305" t="n">
        <v>0</v>
      </c>
      <c r="K305" t="n">
        <v>0</v>
      </c>
      <c r="L305" t="n">
        <v>0</v>
      </c>
      <c r="M305" t="n">
        <v>0</v>
      </c>
      <c r="N305" t="n">
        <v>0</v>
      </c>
      <c r="O305" t="n">
        <v>0</v>
      </c>
      <c r="P305" t="n">
        <v>0</v>
      </c>
      <c r="Q305" t="n">
        <v>0</v>
      </c>
      <c r="R305" s="2" t="inlineStr"/>
    </row>
    <row r="306" ht="15" customHeight="1">
      <c r="A306" t="inlineStr">
        <is>
          <t>A 17612-2022</t>
        </is>
      </c>
      <c r="B306" s="1" t="n">
        <v>44680</v>
      </c>
      <c r="C306" s="1" t="n">
        <v>46149</v>
      </c>
      <c r="D306" t="inlineStr">
        <is>
          <t>STOCKHOLMS LÄN</t>
        </is>
      </c>
      <c r="E306" t="inlineStr">
        <is>
          <t>NORRTÄLJE</t>
        </is>
      </c>
      <c r="G306" t="n">
        <v>2.6</v>
      </c>
      <c r="H306" t="n">
        <v>0</v>
      </c>
      <c r="I306" t="n">
        <v>0</v>
      </c>
      <c r="J306" t="n">
        <v>0</v>
      </c>
      <c r="K306" t="n">
        <v>0</v>
      </c>
      <c r="L306" t="n">
        <v>0</v>
      </c>
      <c r="M306" t="n">
        <v>0</v>
      </c>
      <c r="N306" t="n">
        <v>0</v>
      </c>
      <c r="O306" t="n">
        <v>0</v>
      </c>
      <c r="P306" t="n">
        <v>0</v>
      </c>
      <c r="Q306" t="n">
        <v>0</v>
      </c>
      <c r="R306" s="2" t="inlineStr"/>
    </row>
    <row r="307" ht="15" customHeight="1">
      <c r="A307" t="inlineStr">
        <is>
          <t>A 1847-2023</t>
        </is>
      </c>
      <c r="B307" s="1" t="n">
        <v>44938</v>
      </c>
      <c r="C307" s="1" t="n">
        <v>46149</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16835-2022</t>
        </is>
      </c>
      <c r="B308" s="1" t="n">
        <v>44673</v>
      </c>
      <c r="C308" s="1" t="n">
        <v>46149</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62765-2022</t>
        </is>
      </c>
      <c r="B309" s="1" t="n">
        <v>44637</v>
      </c>
      <c r="C309" s="1" t="n">
        <v>46149</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58404-2023</t>
        </is>
      </c>
      <c r="B310" s="1" t="n">
        <v>45245</v>
      </c>
      <c r="C310" s="1" t="n">
        <v>46149</v>
      </c>
      <c r="D310" t="inlineStr">
        <is>
          <t>STOCKHOLMS LÄN</t>
        </is>
      </c>
      <c r="E310" t="inlineStr">
        <is>
          <t>NORRTÄLJE</t>
        </is>
      </c>
      <c r="G310" t="n">
        <v>53.5</v>
      </c>
      <c r="H310" t="n">
        <v>0</v>
      </c>
      <c r="I310" t="n">
        <v>0</v>
      </c>
      <c r="J310" t="n">
        <v>0</v>
      </c>
      <c r="K310" t="n">
        <v>0</v>
      </c>
      <c r="L310" t="n">
        <v>0</v>
      </c>
      <c r="M310" t="n">
        <v>0</v>
      </c>
      <c r="N310" t="n">
        <v>0</v>
      </c>
      <c r="O310" t="n">
        <v>0</v>
      </c>
      <c r="P310" t="n">
        <v>0</v>
      </c>
      <c r="Q310" t="n">
        <v>0</v>
      </c>
      <c r="R310" s="2" t="inlineStr"/>
    </row>
    <row r="311" ht="15" customHeight="1">
      <c r="A311" t="inlineStr">
        <is>
          <t>A 8586-2023</t>
        </is>
      </c>
      <c r="B311" s="1" t="n">
        <v>44977</v>
      </c>
      <c r="C311" s="1" t="n">
        <v>46149</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29972-2024</t>
        </is>
      </c>
      <c r="B312" s="1" t="n">
        <v>45485</v>
      </c>
      <c r="C312" s="1" t="n">
        <v>46149</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48716-2023</t>
        </is>
      </c>
      <c r="B313" s="1" t="n">
        <v>45208.69671296296</v>
      </c>
      <c r="C313" s="1" t="n">
        <v>46149</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5027-2025</t>
        </is>
      </c>
      <c r="B314" s="1" t="n">
        <v>45691.41101851852</v>
      </c>
      <c r="C314" s="1" t="n">
        <v>46149</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59721-2024</t>
        </is>
      </c>
      <c r="B315" s="1" t="n">
        <v>45639.47385416667</v>
      </c>
      <c r="C315" s="1" t="n">
        <v>46149</v>
      </c>
      <c r="D315" t="inlineStr">
        <is>
          <t>STOCKHOLMS LÄN</t>
        </is>
      </c>
      <c r="E315" t="inlineStr">
        <is>
          <t>NORRTÄLJE</t>
        </is>
      </c>
      <c r="G315" t="n">
        <v>4.6</v>
      </c>
      <c r="H315" t="n">
        <v>0</v>
      </c>
      <c r="I315" t="n">
        <v>0</v>
      </c>
      <c r="J315" t="n">
        <v>0</v>
      </c>
      <c r="K315" t="n">
        <v>0</v>
      </c>
      <c r="L315" t="n">
        <v>0</v>
      </c>
      <c r="M315" t="n">
        <v>0</v>
      </c>
      <c r="N315" t="n">
        <v>0</v>
      </c>
      <c r="O315" t="n">
        <v>0</v>
      </c>
      <c r="P315" t="n">
        <v>0</v>
      </c>
      <c r="Q315" t="n">
        <v>0</v>
      </c>
      <c r="R315" s="2" t="inlineStr"/>
    </row>
    <row r="316" ht="15" customHeight="1">
      <c r="A316" t="inlineStr">
        <is>
          <t>A 16202-2022</t>
        </is>
      </c>
      <c r="B316" s="1" t="n">
        <v>44670</v>
      </c>
      <c r="C316" s="1" t="n">
        <v>46149</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55018-2024</t>
        </is>
      </c>
      <c r="B317" s="1" t="n">
        <v>45621.35712962963</v>
      </c>
      <c r="C317" s="1" t="n">
        <v>46149</v>
      </c>
      <c r="D317" t="inlineStr">
        <is>
          <t>STOCKHOLMS LÄN</t>
        </is>
      </c>
      <c r="E317" t="inlineStr">
        <is>
          <t>NORRTÄLJE</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64137-2021</t>
        </is>
      </c>
      <c r="B318" s="1" t="n">
        <v>44510.51422453704</v>
      </c>
      <c r="C318" s="1" t="n">
        <v>46149</v>
      </c>
      <c r="D318" t="inlineStr">
        <is>
          <t>STOCKHOLMS LÄN</t>
        </is>
      </c>
      <c r="E318" t="inlineStr">
        <is>
          <t>NORRTÄLJE</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50136-2023</t>
        </is>
      </c>
      <c r="B319" s="1" t="n">
        <v>45215</v>
      </c>
      <c r="C319" s="1" t="n">
        <v>46149</v>
      </c>
      <c r="D319" t="inlineStr">
        <is>
          <t>STOCKHOLMS LÄN</t>
        </is>
      </c>
      <c r="E319" t="inlineStr">
        <is>
          <t>NORRTÄLJE</t>
        </is>
      </c>
      <c r="G319" t="n">
        <v>5.2</v>
      </c>
      <c r="H319" t="n">
        <v>0</v>
      </c>
      <c r="I319" t="n">
        <v>0</v>
      </c>
      <c r="J319" t="n">
        <v>0</v>
      </c>
      <c r="K319" t="n">
        <v>0</v>
      </c>
      <c r="L319" t="n">
        <v>0</v>
      </c>
      <c r="M319" t="n">
        <v>0</v>
      </c>
      <c r="N319" t="n">
        <v>0</v>
      </c>
      <c r="O319" t="n">
        <v>0</v>
      </c>
      <c r="P319" t="n">
        <v>0</v>
      </c>
      <c r="Q319" t="n">
        <v>0</v>
      </c>
      <c r="R319" s="2" t="inlineStr"/>
    </row>
    <row r="320" ht="15" customHeight="1">
      <c r="A320" t="inlineStr">
        <is>
          <t>A 25656-2023</t>
        </is>
      </c>
      <c r="B320" s="1" t="n">
        <v>45089</v>
      </c>
      <c r="C320" s="1" t="n">
        <v>46149</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6003-2025</t>
        </is>
      </c>
      <c r="B321" s="1" t="n">
        <v>45695.57881944445</v>
      </c>
      <c r="C321" s="1" t="n">
        <v>46149</v>
      </c>
      <c r="D321" t="inlineStr">
        <is>
          <t>STOCKHOLMS LÄN</t>
        </is>
      </c>
      <c r="E321" t="inlineStr">
        <is>
          <t>NORRTÄLJE</t>
        </is>
      </c>
      <c r="F321" t="inlineStr">
        <is>
          <t>Holmen skog AB</t>
        </is>
      </c>
      <c r="G321" t="n">
        <v>2.3</v>
      </c>
      <c r="H321" t="n">
        <v>0</v>
      </c>
      <c r="I321" t="n">
        <v>0</v>
      </c>
      <c r="J321" t="n">
        <v>0</v>
      </c>
      <c r="K321" t="n">
        <v>0</v>
      </c>
      <c r="L321" t="n">
        <v>0</v>
      </c>
      <c r="M321" t="n">
        <v>0</v>
      </c>
      <c r="N321" t="n">
        <v>0</v>
      </c>
      <c r="O321" t="n">
        <v>0</v>
      </c>
      <c r="P321" t="n">
        <v>0</v>
      </c>
      <c r="Q321" t="n">
        <v>0</v>
      </c>
      <c r="R321" s="2" t="inlineStr"/>
    </row>
    <row r="322" ht="15" customHeight="1">
      <c r="A322" t="inlineStr">
        <is>
          <t>A 37010-2022</t>
        </is>
      </c>
      <c r="B322" s="1" t="n">
        <v>44806.41576388889</v>
      </c>
      <c r="C322" s="1" t="n">
        <v>46149</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951-2023</t>
        </is>
      </c>
      <c r="B323" s="1" t="n">
        <v>44934</v>
      </c>
      <c r="C323" s="1" t="n">
        <v>46149</v>
      </c>
      <c r="D323" t="inlineStr">
        <is>
          <t>STOCKHOLMS LÄN</t>
        </is>
      </c>
      <c r="E323" t="inlineStr">
        <is>
          <t>NORRTÄLJE</t>
        </is>
      </c>
      <c r="G323" t="n">
        <v>3.7</v>
      </c>
      <c r="H323" t="n">
        <v>0</v>
      </c>
      <c r="I323" t="n">
        <v>0</v>
      </c>
      <c r="J323" t="n">
        <v>0</v>
      </c>
      <c r="K323" t="n">
        <v>0</v>
      </c>
      <c r="L323" t="n">
        <v>0</v>
      </c>
      <c r="M323" t="n">
        <v>0</v>
      </c>
      <c r="N323" t="n">
        <v>0</v>
      </c>
      <c r="O323" t="n">
        <v>0</v>
      </c>
      <c r="P323" t="n">
        <v>0</v>
      </c>
      <c r="Q323" t="n">
        <v>0</v>
      </c>
      <c r="R323" s="2" t="inlineStr"/>
    </row>
    <row r="324" ht="15" customHeight="1">
      <c r="A324" t="inlineStr">
        <is>
          <t>A 11902-2024</t>
        </is>
      </c>
      <c r="B324" s="1" t="n">
        <v>45376.55704861111</v>
      </c>
      <c r="C324" s="1" t="n">
        <v>46149</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38049-2023</t>
        </is>
      </c>
      <c r="B325" s="1" t="n">
        <v>45159</v>
      </c>
      <c r="C325" s="1" t="n">
        <v>46149</v>
      </c>
      <c r="D325" t="inlineStr">
        <is>
          <t>STOCKHOLMS LÄN</t>
        </is>
      </c>
      <c r="E325" t="inlineStr">
        <is>
          <t>NORRTÄLJE</t>
        </is>
      </c>
      <c r="G325" t="n">
        <v>3.6</v>
      </c>
      <c r="H325" t="n">
        <v>0</v>
      </c>
      <c r="I325" t="n">
        <v>0</v>
      </c>
      <c r="J325" t="n">
        <v>0</v>
      </c>
      <c r="K325" t="n">
        <v>0</v>
      </c>
      <c r="L325" t="n">
        <v>0</v>
      </c>
      <c r="M325" t="n">
        <v>0</v>
      </c>
      <c r="N325" t="n">
        <v>0</v>
      </c>
      <c r="O325" t="n">
        <v>0</v>
      </c>
      <c r="P325" t="n">
        <v>0</v>
      </c>
      <c r="Q325" t="n">
        <v>0</v>
      </c>
      <c r="R325" s="2" t="inlineStr"/>
    </row>
    <row r="326" ht="15" customHeight="1">
      <c r="A326" t="inlineStr">
        <is>
          <t>A 59535-2024</t>
        </is>
      </c>
      <c r="B326" s="1" t="n">
        <v>45638.59979166667</v>
      </c>
      <c r="C326" s="1" t="n">
        <v>46149</v>
      </c>
      <c r="D326" t="inlineStr">
        <is>
          <t>STOCKHOLMS LÄN</t>
        </is>
      </c>
      <c r="E326" t="inlineStr">
        <is>
          <t>NORRTÄLJE</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5423-2023</t>
        </is>
      </c>
      <c r="B327" s="1" t="n">
        <v>44959.74533564815</v>
      </c>
      <c r="C327" s="1" t="n">
        <v>46149</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50182-2024</t>
        </is>
      </c>
      <c r="B328" s="1" t="n">
        <v>45600.47275462963</v>
      </c>
      <c r="C328" s="1" t="n">
        <v>46149</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12629-2024</t>
        </is>
      </c>
      <c r="B329" s="1" t="n">
        <v>45383</v>
      </c>
      <c r="C329" s="1" t="n">
        <v>46149</v>
      </c>
      <c r="D329" t="inlineStr">
        <is>
          <t>STOCKHOLMS LÄN</t>
        </is>
      </c>
      <c r="E329" t="inlineStr">
        <is>
          <t>NORRTÄLJE</t>
        </is>
      </c>
      <c r="G329" t="n">
        <v>2.6</v>
      </c>
      <c r="H329" t="n">
        <v>0</v>
      </c>
      <c r="I329" t="n">
        <v>0</v>
      </c>
      <c r="J329" t="n">
        <v>0</v>
      </c>
      <c r="K329" t="n">
        <v>0</v>
      </c>
      <c r="L329" t="n">
        <v>0</v>
      </c>
      <c r="M329" t="n">
        <v>0</v>
      </c>
      <c r="N329" t="n">
        <v>0</v>
      </c>
      <c r="O329" t="n">
        <v>0</v>
      </c>
      <c r="P329" t="n">
        <v>0</v>
      </c>
      <c r="Q329" t="n">
        <v>0</v>
      </c>
      <c r="R329" s="2" t="inlineStr"/>
    </row>
    <row r="330" ht="15" customHeight="1">
      <c r="A330" t="inlineStr">
        <is>
          <t>A 35708-2022</t>
        </is>
      </c>
      <c r="B330" s="1" t="n">
        <v>44799.65013888889</v>
      </c>
      <c r="C330" s="1" t="n">
        <v>46149</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4183-2025</t>
        </is>
      </c>
      <c r="B331" s="1" t="n">
        <v>45685.44592592592</v>
      </c>
      <c r="C331" s="1" t="n">
        <v>46149</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20295-2022</t>
        </is>
      </c>
      <c r="B332" s="1" t="n">
        <v>44698</v>
      </c>
      <c r="C332" s="1" t="n">
        <v>46149</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37415-2021</t>
        </is>
      </c>
      <c r="B333" s="1" t="n">
        <v>44397</v>
      </c>
      <c r="C333" s="1" t="n">
        <v>46149</v>
      </c>
      <c r="D333" t="inlineStr">
        <is>
          <t>STOCKHOLMS LÄN</t>
        </is>
      </c>
      <c r="E333" t="inlineStr">
        <is>
          <t>NORRTÄLJE</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45220-2024</t>
        </is>
      </c>
      <c r="B334" s="1" t="n">
        <v>45575</v>
      </c>
      <c r="C334" s="1" t="n">
        <v>46149</v>
      </c>
      <c r="D334" t="inlineStr">
        <is>
          <t>STOCKHOLMS LÄN</t>
        </is>
      </c>
      <c r="E334" t="inlineStr">
        <is>
          <t>NORRTÄLJE</t>
        </is>
      </c>
      <c r="G334" t="n">
        <v>4.3</v>
      </c>
      <c r="H334" t="n">
        <v>0</v>
      </c>
      <c r="I334" t="n">
        <v>0</v>
      </c>
      <c r="J334" t="n">
        <v>0</v>
      </c>
      <c r="K334" t="n">
        <v>0</v>
      </c>
      <c r="L334" t="n">
        <v>0</v>
      </c>
      <c r="M334" t="n">
        <v>0</v>
      </c>
      <c r="N334" t="n">
        <v>0</v>
      </c>
      <c r="O334" t="n">
        <v>0</v>
      </c>
      <c r="P334" t="n">
        <v>0</v>
      </c>
      <c r="Q334" t="n">
        <v>0</v>
      </c>
      <c r="R334" s="2" t="inlineStr"/>
    </row>
    <row r="335" ht="15" customHeight="1">
      <c r="A335" t="inlineStr">
        <is>
          <t>A 9480-2025</t>
        </is>
      </c>
      <c r="B335" s="1" t="n">
        <v>45715</v>
      </c>
      <c r="C335" s="1" t="n">
        <v>46149</v>
      </c>
      <c r="D335" t="inlineStr">
        <is>
          <t>STOCKHOLMS LÄN</t>
        </is>
      </c>
      <c r="E335" t="inlineStr">
        <is>
          <t>NORRTÄLJE</t>
        </is>
      </c>
      <c r="F335" t="inlineStr">
        <is>
          <t>Övriga Aktiebolag</t>
        </is>
      </c>
      <c r="G335" t="n">
        <v>3.9</v>
      </c>
      <c r="H335" t="n">
        <v>0</v>
      </c>
      <c r="I335" t="n">
        <v>0</v>
      </c>
      <c r="J335" t="n">
        <v>0</v>
      </c>
      <c r="K335" t="n">
        <v>0</v>
      </c>
      <c r="L335" t="n">
        <v>0</v>
      </c>
      <c r="M335" t="n">
        <v>0</v>
      </c>
      <c r="N335" t="n">
        <v>0</v>
      </c>
      <c r="O335" t="n">
        <v>0</v>
      </c>
      <c r="P335" t="n">
        <v>0</v>
      </c>
      <c r="Q335" t="n">
        <v>0</v>
      </c>
      <c r="R335" s="2" t="inlineStr"/>
    </row>
    <row r="336" ht="15" customHeight="1">
      <c r="A336" t="inlineStr">
        <is>
          <t>A 21731-2023</t>
        </is>
      </c>
      <c r="B336" s="1" t="n">
        <v>45063</v>
      </c>
      <c r="C336" s="1" t="n">
        <v>46149</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23266-2023</t>
        </is>
      </c>
      <c r="B337" s="1" t="n">
        <v>45075.90817129629</v>
      </c>
      <c r="C337" s="1" t="n">
        <v>46149</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12268-2022</t>
        </is>
      </c>
      <c r="B338" s="1" t="n">
        <v>44637</v>
      </c>
      <c r="C338" s="1" t="n">
        <v>46149</v>
      </c>
      <c r="D338" t="inlineStr">
        <is>
          <t>STOCKHOLMS LÄN</t>
        </is>
      </c>
      <c r="E338" t="inlineStr">
        <is>
          <t>NORRTÄLJE</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20015-2023</t>
        </is>
      </c>
      <c r="B339" s="1" t="n">
        <v>45054</v>
      </c>
      <c r="C339" s="1" t="n">
        <v>46149</v>
      </c>
      <c r="D339" t="inlineStr">
        <is>
          <t>STOCKHOLMS LÄN</t>
        </is>
      </c>
      <c r="E339" t="inlineStr">
        <is>
          <t>NORRTÄLJE</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3273-2025</t>
        </is>
      </c>
      <c r="B340" s="1" t="n">
        <v>45679</v>
      </c>
      <c r="C340" s="1" t="n">
        <v>46149</v>
      </c>
      <c r="D340" t="inlineStr">
        <is>
          <t>STOCKHOLMS LÄN</t>
        </is>
      </c>
      <c r="E340" t="inlineStr">
        <is>
          <t>NORRTÄLJE</t>
        </is>
      </c>
      <c r="G340" t="n">
        <v>1.2</v>
      </c>
      <c r="H340" t="n">
        <v>0</v>
      </c>
      <c r="I340" t="n">
        <v>0</v>
      </c>
      <c r="J340" t="n">
        <v>0</v>
      </c>
      <c r="K340" t="n">
        <v>0</v>
      </c>
      <c r="L340" t="n">
        <v>0</v>
      </c>
      <c r="M340" t="n">
        <v>0</v>
      </c>
      <c r="N340" t="n">
        <v>0</v>
      </c>
      <c r="O340" t="n">
        <v>0</v>
      </c>
      <c r="P340" t="n">
        <v>0</v>
      </c>
      <c r="Q340" t="n">
        <v>0</v>
      </c>
      <c r="R340" s="2" t="inlineStr"/>
    </row>
    <row r="341" ht="15" customHeight="1">
      <c r="A341" t="inlineStr">
        <is>
          <t>A 24245-2024</t>
        </is>
      </c>
      <c r="B341" s="1" t="n">
        <v>45457</v>
      </c>
      <c r="C341" s="1" t="n">
        <v>46149</v>
      </c>
      <c r="D341" t="inlineStr">
        <is>
          <t>STOCKHOLMS LÄN</t>
        </is>
      </c>
      <c r="E341" t="inlineStr">
        <is>
          <t>NORRTÄLJE</t>
        </is>
      </c>
      <c r="F341" t="inlineStr">
        <is>
          <t>Holmen skog AB</t>
        </is>
      </c>
      <c r="G341" t="n">
        <v>3.4</v>
      </c>
      <c r="H341" t="n">
        <v>0</v>
      </c>
      <c r="I341" t="n">
        <v>0</v>
      </c>
      <c r="J341" t="n">
        <v>0</v>
      </c>
      <c r="K341" t="n">
        <v>0</v>
      </c>
      <c r="L341" t="n">
        <v>0</v>
      </c>
      <c r="M341" t="n">
        <v>0</v>
      </c>
      <c r="N341" t="n">
        <v>0</v>
      </c>
      <c r="O341" t="n">
        <v>0</v>
      </c>
      <c r="P341" t="n">
        <v>0</v>
      </c>
      <c r="Q341" t="n">
        <v>0</v>
      </c>
      <c r="R341" s="2" t="inlineStr"/>
    </row>
    <row r="342" ht="15" customHeight="1">
      <c r="A342" t="inlineStr">
        <is>
          <t>A 47521-2024</t>
        </is>
      </c>
      <c r="B342" s="1" t="n">
        <v>45587.62565972222</v>
      </c>
      <c r="C342" s="1" t="n">
        <v>46149</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58260-2023</t>
        </is>
      </c>
      <c r="B343" s="1" t="n">
        <v>45245</v>
      </c>
      <c r="C343" s="1" t="n">
        <v>46149</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58261-2023</t>
        </is>
      </c>
      <c r="B344" s="1" t="n">
        <v>45245</v>
      </c>
      <c r="C344" s="1" t="n">
        <v>46149</v>
      </c>
      <c r="D344" t="inlineStr">
        <is>
          <t>STOCKHOLMS LÄN</t>
        </is>
      </c>
      <c r="E344" t="inlineStr">
        <is>
          <t>NORRTÄLJE</t>
        </is>
      </c>
      <c r="G344" t="n">
        <v>53.5</v>
      </c>
      <c r="H344" t="n">
        <v>0</v>
      </c>
      <c r="I344" t="n">
        <v>0</v>
      </c>
      <c r="J344" t="n">
        <v>0</v>
      </c>
      <c r="K344" t="n">
        <v>0</v>
      </c>
      <c r="L344" t="n">
        <v>0</v>
      </c>
      <c r="M344" t="n">
        <v>0</v>
      </c>
      <c r="N344" t="n">
        <v>0</v>
      </c>
      <c r="O344" t="n">
        <v>0</v>
      </c>
      <c r="P344" t="n">
        <v>0</v>
      </c>
      <c r="Q344" t="n">
        <v>0</v>
      </c>
      <c r="R344" s="2" t="inlineStr"/>
    </row>
    <row r="345" ht="15" customHeight="1">
      <c r="A345" t="inlineStr">
        <is>
          <t>A 15256-2023</t>
        </is>
      </c>
      <c r="B345" s="1" t="n">
        <v>45019.3959837963</v>
      </c>
      <c r="C345" s="1" t="n">
        <v>46149</v>
      </c>
      <c r="D345" t="inlineStr">
        <is>
          <t>STOCKHOLMS LÄN</t>
        </is>
      </c>
      <c r="E345" t="inlineStr">
        <is>
          <t>NORRTÄLJE</t>
        </is>
      </c>
      <c r="G345" t="n">
        <v>2.4</v>
      </c>
      <c r="H345" t="n">
        <v>0</v>
      </c>
      <c r="I345" t="n">
        <v>0</v>
      </c>
      <c r="J345" t="n">
        <v>0</v>
      </c>
      <c r="K345" t="n">
        <v>0</v>
      </c>
      <c r="L345" t="n">
        <v>0</v>
      </c>
      <c r="M345" t="n">
        <v>0</v>
      </c>
      <c r="N345" t="n">
        <v>0</v>
      </c>
      <c r="O345" t="n">
        <v>0</v>
      </c>
      <c r="P345" t="n">
        <v>0</v>
      </c>
      <c r="Q345" t="n">
        <v>0</v>
      </c>
      <c r="R345" s="2" t="inlineStr"/>
    </row>
    <row r="346" ht="15" customHeight="1">
      <c r="A346" t="inlineStr">
        <is>
          <t>A 20428-2024</t>
        </is>
      </c>
      <c r="B346" s="1" t="n">
        <v>45435</v>
      </c>
      <c r="C346" s="1" t="n">
        <v>46149</v>
      </c>
      <c r="D346" t="inlineStr">
        <is>
          <t>STOCKHOLMS LÄN</t>
        </is>
      </c>
      <c r="E346" t="inlineStr">
        <is>
          <t>NORRTÄLJE</t>
        </is>
      </c>
      <c r="G346" t="n">
        <v>3.7</v>
      </c>
      <c r="H346" t="n">
        <v>0</v>
      </c>
      <c r="I346" t="n">
        <v>0</v>
      </c>
      <c r="J346" t="n">
        <v>0</v>
      </c>
      <c r="K346" t="n">
        <v>0</v>
      </c>
      <c r="L346" t="n">
        <v>0</v>
      </c>
      <c r="M346" t="n">
        <v>0</v>
      </c>
      <c r="N346" t="n">
        <v>0</v>
      </c>
      <c r="O346" t="n">
        <v>0</v>
      </c>
      <c r="P346" t="n">
        <v>0</v>
      </c>
      <c r="Q346" t="n">
        <v>0</v>
      </c>
      <c r="R346" s="2" t="inlineStr"/>
    </row>
    <row r="347" ht="15" customHeight="1">
      <c r="A347" t="inlineStr">
        <is>
          <t>A 30286-2022</t>
        </is>
      </c>
      <c r="B347" s="1" t="n">
        <v>44760</v>
      </c>
      <c r="C347" s="1" t="n">
        <v>46149</v>
      </c>
      <c r="D347" t="inlineStr">
        <is>
          <t>STOCKHOLMS LÄN</t>
        </is>
      </c>
      <c r="E347" t="inlineStr">
        <is>
          <t>NORRTÄLJE</t>
        </is>
      </c>
      <c r="G347" t="n">
        <v>0.3</v>
      </c>
      <c r="H347" t="n">
        <v>0</v>
      </c>
      <c r="I347" t="n">
        <v>0</v>
      </c>
      <c r="J347" t="n">
        <v>0</v>
      </c>
      <c r="K347" t="n">
        <v>0</v>
      </c>
      <c r="L347" t="n">
        <v>0</v>
      </c>
      <c r="M347" t="n">
        <v>0</v>
      </c>
      <c r="N347" t="n">
        <v>0</v>
      </c>
      <c r="O347" t="n">
        <v>0</v>
      </c>
      <c r="P347" t="n">
        <v>0</v>
      </c>
      <c r="Q347" t="n">
        <v>0</v>
      </c>
      <c r="R347" s="2" t="inlineStr"/>
    </row>
    <row r="348" ht="15" customHeight="1">
      <c r="A348" t="inlineStr">
        <is>
          <t>A 8160-2022</t>
        </is>
      </c>
      <c r="B348" s="1" t="n">
        <v>44609</v>
      </c>
      <c r="C348" s="1" t="n">
        <v>46149</v>
      </c>
      <c r="D348" t="inlineStr">
        <is>
          <t>STOCKHOLMS LÄN</t>
        </is>
      </c>
      <c r="E348" t="inlineStr">
        <is>
          <t>NORRTÄLJE</t>
        </is>
      </c>
      <c r="G348" t="n">
        <v>3.9</v>
      </c>
      <c r="H348" t="n">
        <v>0</v>
      </c>
      <c r="I348" t="n">
        <v>0</v>
      </c>
      <c r="J348" t="n">
        <v>0</v>
      </c>
      <c r="K348" t="n">
        <v>0</v>
      </c>
      <c r="L348" t="n">
        <v>0</v>
      </c>
      <c r="M348" t="n">
        <v>0</v>
      </c>
      <c r="N348" t="n">
        <v>0</v>
      </c>
      <c r="O348" t="n">
        <v>0</v>
      </c>
      <c r="P348" t="n">
        <v>0</v>
      </c>
      <c r="Q348" t="n">
        <v>0</v>
      </c>
      <c r="R348" s="2" t="inlineStr"/>
    </row>
    <row r="349" ht="15" customHeight="1">
      <c r="A349" t="inlineStr">
        <is>
          <t>A 13172-2025</t>
        </is>
      </c>
      <c r="B349" s="1" t="n">
        <v>45735.36873842592</v>
      </c>
      <c r="C349" s="1" t="n">
        <v>46149</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24522-2023</t>
        </is>
      </c>
      <c r="B350" s="1" t="n">
        <v>45082.69179398148</v>
      </c>
      <c r="C350" s="1" t="n">
        <v>46149</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25625-2023</t>
        </is>
      </c>
      <c r="B351" s="1" t="n">
        <v>45089</v>
      </c>
      <c r="C351" s="1" t="n">
        <v>46149</v>
      </c>
      <c r="D351" t="inlineStr">
        <is>
          <t>STOCKHOLMS LÄN</t>
        </is>
      </c>
      <c r="E351" t="inlineStr">
        <is>
          <t>NORRTÄLJE</t>
        </is>
      </c>
      <c r="G351" t="n">
        <v>5.5</v>
      </c>
      <c r="H351" t="n">
        <v>0</v>
      </c>
      <c r="I351" t="n">
        <v>0</v>
      </c>
      <c r="J351" t="n">
        <v>0</v>
      </c>
      <c r="K351" t="n">
        <v>0</v>
      </c>
      <c r="L351" t="n">
        <v>0</v>
      </c>
      <c r="M351" t="n">
        <v>0</v>
      </c>
      <c r="N351" t="n">
        <v>0</v>
      </c>
      <c r="O351" t="n">
        <v>0</v>
      </c>
      <c r="P351" t="n">
        <v>0</v>
      </c>
      <c r="Q351" t="n">
        <v>0</v>
      </c>
      <c r="R351" s="2" t="inlineStr"/>
    </row>
    <row r="352" ht="15" customHeight="1">
      <c r="A352" t="inlineStr">
        <is>
          <t>A 37147-2023</t>
        </is>
      </c>
      <c r="B352" s="1" t="n">
        <v>45155</v>
      </c>
      <c r="C352" s="1" t="n">
        <v>46149</v>
      </c>
      <c r="D352" t="inlineStr">
        <is>
          <t>STOCKHOLMS LÄN</t>
        </is>
      </c>
      <c r="E352" t="inlineStr">
        <is>
          <t>NORRTÄLJE</t>
        </is>
      </c>
      <c r="G352" t="n">
        <v>8</v>
      </c>
      <c r="H352" t="n">
        <v>0</v>
      </c>
      <c r="I352" t="n">
        <v>0</v>
      </c>
      <c r="J352" t="n">
        <v>0</v>
      </c>
      <c r="K352" t="n">
        <v>0</v>
      </c>
      <c r="L352" t="n">
        <v>0</v>
      </c>
      <c r="M352" t="n">
        <v>0</v>
      </c>
      <c r="N352" t="n">
        <v>0</v>
      </c>
      <c r="O352" t="n">
        <v>0</v>
      </c>
      <c r="P352" t="n">
        <v>0</v>
      </c>
      <c r="Q352" t="n">
        <v>0</v>
      </c>
      <c r="R352" s="2" t="inlineStr"/>
    </row>
    <row r="353" ht="15" customHeight="1">
      <c r="A353" t="inlineStr">
        <is>
          <t>A 7186-2024</t>
        </is>
      </c>
      <c r="B353" s="1" t="n">
        <v>45344</v>
      </c>
      <c r="C353" s="1" t="n">
        <v>46149</v>
      </c>
      <c r="D353" t="inlineStr">
        <is>
          <t>STOCKHOLMS LÄN</t>
        </is>
      </c>
      <c r="E353" t="inlineStr">
        <is>
          <t>NORRTÄLJE</t>
        </is>
      </c>
      <c r="G353" t="n">
        <v>4.9</v>
      </c>
      <c r="H353" t="n">
        <v>0</v>
      </c>
      <c r="I353" t="n">
        <v>0</v>
      </c>
      <c r="J353" t="n">
        <v>0</v>
      </c>
      <c r="K353" t="n">
        <v>0</v>
      </c>
      <c r="L353" t="n">
        <v>0</v>
      </c>
      <c r="M353" t="n">
        <v>0</v>
      </c>
      <c r="N353" t="n">
        <v>0</v>
      </c>
      <c r="O353" t="n">
        <v>0</v>
      </c>
      <c r="P353" t="n">
        <v>0</v>
      </c>
      <c r="Q353" t="n">
        <v>0</v>
      </c>
      <c r="R353" s="2" t="inlineStr"/>
    </row>
    <row r="354" ht="15" customHeight="1">
      <c r="A354" t="inlineStr">
        <is>
          <t>A 57602-2024</t>
        </is>
      </c>
      <c r="B354" s="1" t="n">
        <v>45630.52866898148</v>
      </c>
      <c r="C354" s="1" t="n">
        <v>46149</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64600-2021</t>
        </is>
      </c>
      <c r="B355" s="1" t="n">
        <v>44511.70518518519</v>
      </c>
      <c r="C355" s="1" t="n">
        <v>46149</v>
      </c>
      <c r="D355" t="inlineStr">
        <is>
          <t>STOCKHOLMS LÄN</t>
        </is>
      </c>
      <c r="E355" t="inlineStr">
        <is>
          <t>NORRTÄLJE</t>
        </is>
      </c>
      <c r="G355" t="n">
        <v>6.2</v>
      </c>
      <c r="H355" t="n">
        <v>0</v>
      </c>
      <c r="I355" t="n">
        <v>0</v>
      </c>
      <c r="J355" t="n">
        <v>0</v>
      </c>
      <c r="K355" t="n">
        <v>0</v>
      </c>
      <c r="L355" t="n">
        <v>0</v>
      </c>
      <c r="M355" t="n">
        <v>0</v>
      </c>
      <c r="N355" t="n">
        <v>0</v>
      </c>
      <c r="O355" t="n">
        <v>0</v>
      </c>
      <c r="P355" t="n">
        <v>0</v>
      </c>
      <c r="Q355" t="n">
        <v>0</v>
      </c>
      <c r="R355" s="2" t="inlineStr"/>
    </row>
    <row r="356" ht="15" customHeight="1">
      <c r="A356" t="inlineStr">
        <is>
          <t>A 50602-2021</t>
        </is>
      </c>
      <c r="B356" s="1" t="n">
        <v>44459</v>
      </c>
      <c r="C356" s="1" t="n">
        <v>46149</v>
      </c>
      <c r="D356" t="inlineStr">
        <is>
          <t>STOCKHOLMS LÄN</t>
        </is>
      </c>
      <c r="E356" t="inlineStr">
        <is>
          <t>NORRTÄLJE</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26365-2024</t>
        </is>
      </c>
      <c r="B357" s="1" t="n">
        <v>45469</v>
      </c>
      <c r="C357" s="1" t="n">
        <v>46149</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39319-2022</t>
        </is>
      </c>
      <c r="B358" s="1" t="n">
        <v>44817.70516203704</v>
      </c>
      <c r="C358" s="1" t="n">
        <v>46149</v>
      </c>
      <c r="D358" t="inlineStr">
        <is>
          <t>STOCKHOLMS LÄN</t>
        </is>
      </c>
      <c r="E358" t="inlineStr">
        <is>
          <t>NORRTÄLJE</t>
        </is>
      </c>
      <c r="G358" t="n">
        <v>1.4</v>
      </c>
      <c r="H358" t="n">
        <v>0</v>
      </c>
      <c r="I358" t="n">
        <v>0</v>
      </c>
      <c r="J358" t="n">
        <v>0</v>
      </c>
      <c r="K358" t="n">
        <v>0</v>
      </c>
      <c r="L358" t="n">
        <v>0</v>
      </c>
      <c r="M358" t="n">
        <v>0</v>
      </c>
      <c r="N358" t="n">
        <v>0</v>
      </c>
      <c r="O358" t="n">
        <v>0</v>
      </c>
      <c r="P358" t="n">
        <v>0</v>
      </c>
      <c r="Q358" t="n">
        <v>0</v>
      </c>
      <c r="R358" s="2" t="inlineStr"/>
    </row>
    <row r="359" ht="15" customHeight="1">
      <c r="A359" t="inlineStr">
        <is>
          <t>A 64145-2021</t>
        </is>
      </c>
      <c r="B359" s="1" t="n">
        <v>44510</v>
      </c>
      <c r="C359" s="1" t="n">
        <v>46149</v>
      </c>
      <c r="D359" t="inlineStr">
        <is>
          <t>STOCKHOLMS LÄN</t>
        </is>
      </c>
      <c r="E359" t="inlineStr">
        <is>
          <t>NORRTÄLJE</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29266-2022</t>
        </is>
      </c>
      <c r="B360" s="1" t="n">
        <v>44750.66068287037</v>
      </c>
      <c r="C360" s="1" t="n">
        <v>46149</v>
      </c>
      <c r="D360" t="inlineStr">
        <is>
          <t>STOCKHOLMS LÄN</t>
        </is>
      </c>
      <c r="E360" t="inlineStr">
        <is>
          <t>NORRTÄLJE</t>
        </is>
      </c>
      <c r="G360" t="n">
        <v>1.8</v>
      </c>
      <c r="H360" t="n">
        <v>0</v>
      </c>
      <c r="I360" t="n">
        <v>0</v>
      </c>
      <c r="J360" t="n">
        <v>0</v>
      </c>
      <c r="K360" t="n">
        <v>0</v>
      </c>
      <c r="L360" t="n">
        <v>0</v>
      </c>
      <c r="M360" t="n">
        <v>0</v>
      </c>
      <c r="N360" t="n">
        <v>0</v>
      </c>
      <c r="O360" t="n">
        <v>0</v>
      </c>
      <c r="P360" t="n">
        <v>0</v>
      </c>
      <c r="Q360" t="n">
        <v>0</v>
      </c>
      <c r="R360" s="2" t="inlineStr"/>
    </row>
    <row r="361" ht="15" customHeight="1">
      <c r="A361" t="inlineStr">
        <is>
          <t>A 29278-2022</t>
        </is>
      </c>
      <c r="B361" s="1" t="n">
        <v>44750</v>
      </c>
      <c r="C361" s="1" t="n">
        <v>46149</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1740-2023</t>
        </is>
      </c>
      <c r="B362" s="1" t="n">
        <v>44938</v>
      </c>
      <c r="C362" s="1" t="n">
        <v>46149</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4596-2023</t>
        </is>
      </c>
      <c r="B363" s="1" t="n">
        <v>44956</v>
      </c>
      <c r="C363" s="1" t="n">
        <v>46149</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37273-2024</t>
        </is>
      </c>
      <c r="B364" s="1" t="n">
        <v>45540</v>
      </c>
      <c r="C364" s="1" t="n">
        <v>46149</v>
      </c>
      <c r="D364" t="inlineStr">
        <is>
          <t>STOCKHOLMS LÄN</t>
        </is>
      </c>
      <c r="E364" t="inlineStr">
        <is>
          <t>NORRTÄLJE</t>
        </is>
      </c>
      <c r="F364" t="inlineStr">
        <is>
          <t>Sveaskog</t>
        </is>
      </c>
      <c r="G364" t="n">
        <v>12.5</v>
      </c>
      <c r="H364" t="n">
        <v>0</v>
      </c>
      <c r="I364" t="n">
        <v>0</v>
      </c>
      <c r="J364" t="n">
        <v>0</v>
      </c>
      <c r="K364" t="n">
        <v>0</v>
      </c>
      <c r="L364" t="n">
        <v>0</v>
      </c>
      <c r="M364" t="n">
        <v>0</v>
      </c>
      <c r="N364" t="n">
        <v>0</v>
      </c>
      <c r="O364" t="n">
        <v>0</v>
      </c>
      <c r="P364" t="n">
        <v>0</v>
      </c>
      <c r="Q364" t="n">
        <v>0</v>
      </c>
      <c r="R364" s="2" t="inlineStr"/>
    </row>
    <row r="365" ht="15" customHeight="1">
      <c r="A365" t="inlineStr">
        <is>
          <t>A 12908-2025</t>
        </is>
      </c>
      <c r="B365" s="1" t="n">
        <v>45733.82105324074</v>
      </c>
      <c r="C365" s="1" t="n">
        <v>46149</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26640-2023</t>
        </is>
      </c>
      <c r="B366" s="1" t="n">
        <v>45092</v>
      </c>
      <c r="C366" s="1" t="n">
        <v>46149</v>
      </c>
      <c r="D366" t="inlineStr">
        <is>
          <t>STOCKHOLMS LÄN</t>
        </is>
      </c>
      <c r="E366" t="inlineStr">
        <is>
          <t>NORRTÄLJE</t>
        </is>
      </c>
      <c r="G366" t="n">
        <v>5.7</v>
      </c>
      <c r="H366" t="n">
        <v>0</v>
      </c>
      <c r="I366" t="n">
        <v>0</v>
      </c>
      <c r="J366" t="n">
        <v>0</v>
      </c>
      <c r="K366" t="n">
        <v>0</v>
      </c>
      <c r="L366" t="n">
        <v>0</v>
      </c>
      <c r="M366" t="n">
        <v>0</v>
      </c>
      <c r="N366" t="n">
        <v>0</v>
      </c>
      <c r="O366" t="n">
        <v>0</v>
      </c>
      <c r="P366" t="n">
        <v>0</v>
      </c>
      <c r="Q366" t="n">
        <v>0</v>
      </c>
      <c r="R366" s="2" t="inlineStr"/>
    </row>
    <row r="367" ht="15" customHeight="1">
      <c r="A367" t="inlineStr">
        <is>
          <t>A 31827-2023</t>
        </is>
      </c>
      <c r="B367" s="1" t="n">
        <v>45118</v>
      </c>
      <c r="C367" s="1" t="n">
        <v>46149</v>
      </c>
      <c r="D367" t="inlineStr">
        <is>
          <t>STOCKHOLMS LÄN</t>
        </is>
      </c>
      <c r="E367" t="inlineStr">
        <is>
          <t>NORRTÄLJE</t>
        </is>
      </c>
      <c r="F367" t="inlineStr">
        <is>
          <t>Kyrkan</t>
        </is>
      </c>
      <c r="G367" t="n">
        <v>4.9</v>
      </c>
      <c r="H367" t="n">
        <v>0</v>
      </c>
      <c r="I367" t="n">
        <v>0</v>
      </c>
      <c r="J367" t="n">
        <v>0</v>
      </c>
      <c r="K367" t="n">
        <v>0</v>
      </c>
      <c r="L367" t="n">
        <v>0</v>
      </c>
      <c r="M367" t="n">
        <v>0</v>
      </c>
      <c r="N367" t="n">
        <v>0</v>
      </c>
      <c r="O367" t="n">
        <v>0</v>
      </c>
      <c r="P367" t="n">
        <v>0</v>
      </c>
      <c r="Q367" t="n">
        <v>0</v>
      </c>
      <c r="R367" s="2" t="inlineStr"/>
    </row>
    <row r="368" ht="15" customHeight="1">
      <c r="A368" t="inlineStr">
        <is>
          <t>A 58993-2022</t>
        </is>
      </c>
      <c r="B368" s="1" t="n">
        <v>44903</v>
      </c>
      <c r="C368" s="1" t="n">
        <v>46149</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10676-2025</t>
        </is>
      </c>
      <c r="B369" s="1" t="n">
        <v>45721.88684027778</v>
      </c>
      <c r="C369" s="1" t="n">
        <v>46149</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20852-2023</t>
        </is>
      </c>
      <c r="B370" s="1" t="n">
        <v>45058.78607638889</v>
      </c>
      <c r="C370" s="1" t="n">
        <v>46149</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28900-2022</t>
        </is>
      </c>
      <c r="B371" s="1" t="n">
        <v>44749.55258101852</v>
      </c>
      <c r="C371" s="1" t="n">
        <v>46149</v>
      </c>
      <c r="D371" t="inlineStr">
        <is>
          <t>STOCKHOLMS LÄN</t>
        </is>
      </c>
      <c r="E371" t="inlineStr">
        <is>
          <t>NORRTÄLJE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17574-2025</t>
        </is>
      </c>
      <c r="B372" s="1" t="n">
        <v>45757.65178240741</v>
      </c>
      <c r="C372" s="1" t="n">
        <v>46149</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23060-2023</t>
        </is>
      </c>
      <c r="B373" s="1" t="n">
        <v>45075</v>
      </c>
      <c r="C373" s="1" t="n">
        <v>46149</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22456-2023</t>
        </is>
      </c>
      <c r="B374" s="1" t="n">
        <v>45070</v>
      </c>
      <c r="C374" s="1" t="n">
        <v>46149</v>
      </c>
      <c r="D374" t="inlineStr">
        <is>
          <t>STOCKHOLMS LÄN</t>
        </is>
      </c>
      <c r="E374" t="inlineStr">
        <is>
          <t>NORRTÄLJE</t>
        </is>
      </c>
      <c r="G374" t="n">
        <v>3.1</v>
      </c>
      <c r="H374" t="n">
        <v>0</v>
      </c>
      <c r="I374" t="n">
        <v>0</v>
      </c>
      <c r="J374" t="n">
        <v>0</v>
      </c>
      <c r="K374" t="n">
        <v>0</v>
      </c>
      <c r="L374" t="n">
        <v>0</v>
      </c>
      <c r="M374" t="n">
        <v>0</v>
      </c>
      <c r="N374" t="n">
        <v>0</v>
      </c>
      <c r="O374" t="n">
        <v>0</v>
      </c>
      <c r="P374" t="n">
        <v>0</v>
      </c>
      <c r="Q374" t="n">
        <v>0</v>
      </c>
      <c r="R374" s="2" t="inlineStr"/>
    </row>
    <row r="375" ht="15" customHeight="1">
      <c r="A375" t="inlineStr">
        <is>
          <t>A 56219-2021</t>
        </is>
      </c>
      <c r="B375" s="1" t="n">
        <v>44477</v>
      </c>
      <c r="C375" s="1" t="n">
        <v>46149</v>
      </c>
      <c r="D375" t="inlineStr">
        <is>
          <t>STOCKHOLMS LÄN</t>
        </is>
      </c>
      <c r="E375" t="inlineStr">
        <is>
          <t>NORRTÄLJE</t>
        </is>
      </c>
      <c r="F375" t="inlineStr">
        <is>
          <t>Kommuner</t>
        </is>
      </c>
      <c r="G375" t="n">
        <v>2.3</v>
      </c>
      <c r="H375" t="n">
        <v>0</v>
      </c>
      <c r="I375" t="n">
        <v>0</v>
      </c>
      <c r="J375" t="n">
        <v>0</v>
      </c>
      <c r="K375" t="n">
        <v>0</v>
      </c>
      <c r="L375" t="n">
        <v>0</v>
      </c>
      <c r="M375" t="n">
        <v>0</v>
      </c>
      <c r="N375" t="n">
        <v>0</v>
      </c>
      <c r="O375" t="n">
        <v>0</v>
      </c>
      <c r="P375" t="n">
        <v>0</v>
      </c>
      <c r="Q375" t="n">
        <v>0</v>
      </c>
      <c r="R375" s="2" t="inlineStr"/>
    </row>
    <row r="376" ht="15" customHeight="1">
      <c r="A376" t="inlineStr">
        <is>
          <t>A 17785-2024</t>
        </is>
      </c>
      <c r="B376" s="1" t="n">
        <v>45418.6968287037</v>
      </c>
      <c r="C376" s="1" t="n">
        <v>46149</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58297-2023</t>
        </is>
      </c>
      <c r="B377" s="1" t="n">
        <v>45245</v>
      </c>
      <c r="C377" s="1" t="n">
        <v>46149</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20304-2023</t>
        </is>
      </c>
      <c r="B378" s="1" t="n">
        <v>45056</v>
      </c>
      <c r="C378" s="1" t="n">
        <v>46149</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12299-2025</t>
        </is>
      </c>
      <c r="B379" s="1" t="n">
        <v>45729.71065972222</v>
      </c>
      <c r="C379" s="1" t="n">
        <v>46149</v>
      </c>
      <c r="D379" t="inlineStr">
        <is>
          <t>STOCKHOLMS LÄN</t>
        </is>
      </c>
      <c r="E379" t="inlineStr">
        <is>
          <t>NORRTÄLJE</t>
        </is>
      </c>
      <c r="F379" t="inlineStr">
        <is>
          <t>Holmen skog AB</t>
        </is>
      </c>
      <c r="G379" t="n">
        <v>6.9</v>
      </c>
      <c r="H379" t="n">
        <v>0</v>
      </c>
      <c r="I379" t="n">
        <v>0</v>
      </c>
      <c r="J379" t="n">
        <v>0</v>
      </c>
      <c r="K379" t="n">
        <v>0</v>
      </c>
      <c r="L379" t="n">
        <v>0</v>
      </c>
      <c r="M379" t="n">
        <v>0</v>
      </c>
      <c r="N379" t="n">
        <v>0</v>
      </c>
      <c r="O379" t="n">
        <v>0</v>
      </c>
      <c r="P379" t="n">
        <v>0</v>
      </c>
      <c r="Q379" t="n">
        <v>0</v>
      </c>
      <c r="R379" s="2" t="inlineStr"/>
    </row>
    <row r="380" ht="15" customHeight="1">
      <c r="A380" t="inlineStr">
        <is>
          <t>A 22157-2023</t>
        </is>
      </c>
      <c r="B380" s="1" t="n">
        <v>45069</v>
      </c>
      <c r="C380" s="1" t="n">
        <v>46149</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c r="U380">
        <f>HYPERLINK("https://klasma.github.io/Logging_0188/knärot/A 22157-2023 karta knärot.png", "A 22157-2023")</f>
        <v/>
      </c>
      <c r="V380">
        <f>HYPERLINK("https://klasma.github.io/Logging_0188/klagomål/A 22157-2023 FSC-klagomål.docx", "A 22157-2023")</f>
        <v/>
      </c>
      <c r="W380">
        <f>HYPERLINK("https://klasma.github.io/Logging_0188/klagomålsmail/A 22157-2023 FSC-klagomål mail.docx", "A 22157-2023")</f>
        <v/>
      </c>
      <c r="X380">
        <f>HYPERLINK("https://klasma.github.io/Logging_0188/tillsyn/A 22157-2023 tillsynsbegäran.docx", "A 22157-2023")</f>
        <v/>
      </c>
      <c r="Y380">
        <f>HYPERLINK("https://klasma.github.io/Logging_0188/tillsynsmail/A 22157-2023 tillsynsbegäran mail.docx", "A 22157-2023")</f>
        <v/>
      </c>
    </row>
    <row r="381" ht="15" customHeight="1">
      <c r="A381" t="inlineStr">
        <is>
          <t>A 6678-2025</t>
        </is>
      </c>
      <c r="B381" s="1" t="n">
        <v>45700</v>
      </c>
      <c r="C381" s="1" t="n">
        <v>46149</v>
      </c>
      <c r="D381" t="inlineStr">
        <is>
          <t>STOCKHOLMS LÄN</t>
        </is>
      </c>
      <c r="E381" t="inlineStr">
        <is>
          <t>NORRTÄLJE</t>
        </is>
      </c>
      <c r="F381" t="inlineStr">
        <is>
          <t>Övriga Aktiebolag</t>
        </is>
      </c>
      <c r="G381" t="n">
        <v>6.6</v>
      </c>
      <c r="H381" t="n">
        <v>0</v>
      </c>
      <c r="I381" t="n">
        <v>0</v>
      </c>
      <c r="J381" t="n">
        <v>0</v>
      </c>
      <c r="K381" t="n">
        <v>0</v>
      </c>
      <c r="L381" t="n">
        <v>0</v>
      </c>
      <c r="M381" t="n">
        <v>0</v>
      </c>
      <c r="N381" t="n">
        <v>0</v>
      </c>
      <c r="O381" t="n">
        <v>0</v>
      </c>
      <c r="P381" t="n">
        <v>0</v>
      </c>
      <c r="Q381" t="n">
        <v>0</v>
      </c>
      <c r="R381" s="2" t="inlineStr"/>
    </row>
    <row r="382" ht="15" customHeight="1">
      <c r="A382" t="inlineStr">
        <is>
          <t>A 32103-2022</t>
        </is>
      </c>
      <c r="B382" s="1" t="n">
        <v>44778</v>
      </c>
      <c r="C382" s="1" t="n">
        <v>46149</v>
      </c>
      <c r="D382" t="inlineStr">
        <is>
          <t>STOCKHOLMS LÄN</t>
        </is>
      </c>
      <c r="E382" t="inlineStr">
        <is>
          <t>NORRTÄLJE</t>
        </is>
      </c>
      <c r="G382" t="n">
        <v>3.4</v>
      </c>
      <c r="H382" t="n">
        <v>0</v>
      </c>
      <c r="I382" t="n">
        <v>0</v>
      </c>
      <c r="J382" t="n">
        <v>0</v>
      </c>
      <c r="K382" t="n">
        <v>0</v>
      </c>
      <c r="L382" t="n">
        <v>0</v>
      </c>
      <c r="M382" t="n">
        <v>0</v>
      </c>
      <c r="N382" t="n">
        <v>0</v>
      </c>
      <c r="O382" t="n">
        <v>0</v>
      </c>
      <c r="P382" t="n">
        <v>0</v>
      </c>
      <c r="Q382" t="n">
        <v>0</v>
      </c>
      <c r="R382" s="2" t="inlineStr"/>
    </row>
    <row r="383" ht="15" customHeight="1">
      <c r="A383" t="inlineStr">
        <is>
          <t>A 6401-2024</t>
        </is>
      </c>
      <c r="B383" s="1" t="n">
        <v>45338</v>
      </c>
      <c r="C383" s="1" t="n">
        <v>46149</v>
      </c>
      <c r="D383" t="inlineStr">
        <is>
          <t>STOCKHOLMS LÄN</t>
        </is>
      </c>
      <c r="E383" t="inlineStr">
        <is>
          <t>NORRTÄLJE</t>
        </is>
      </c>
      <c r="G383" t="n">
        <v>2.2</v>
      </c>
      <c r="H383" t="n">
        <v>0</v>
      </c>
      <c r="I383" t="n">
        <v>0</v>
      </c>
      <c r="J383" t="n">
        <v>0</v>
      </c>
      <c r="K383" t="n">
        <v>0</v>
      </c>
      <c r="L383" t="n">
        <v>0</v>
      </c>
      <c r="M383" t="n">
        <v>0</v>
      </c>
      <c r="N383" t="n">
        <v>0</v>
      </c>
      <c r="O383" t="n">
        <v>0</v>
      </c>
      <c r="P383" t="n">
        <v>0</v>
      </c>
      <c r="Q383" t="n">
        <v>0</v>
      </c>
      <c r="R383" s="2" t="inlineStr"/>
    </row>
    <row r="384" ht="15" customHeight="1">
      <c r="A384" t="inlineStr">
        <is>
          <t>A 11929-2024</t>
        </is>
      </c>
      <c r="B384" s="1" t="n">
        <v>45376.64532407407</v>
      </c>
      <c r="C384" s="1" t="n">
        <v>46149</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59504-2023</t>
        </is>
      </c>
      <c r="B385" s="1" t="n">
        <v>45254</v>
      </c>
      <c r="C385" s="1" t="n">
        <v>46149</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19982-2022</t>
        </is>
      </c>
      <c r="B386" s="1" t="n">
        <v>44697</v>
      </c>
      <c r="C386" s="1" t="n">
        <v>46149</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42075-2023</t>
        </is>
      </c>
      <c r="B387" s="1" t="n">
        <v>45177</v>
      </c>
      <c r="C387" s="1" t="n">
        <v>46149</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50108-2021</t>
        </is>
      </c>
      <c r="B388" s="1" t="n">
        <v>44456</v>
      </c>
      <c r="C388" s="1" t="n">
        <v>46149</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8296-2023</t>
        </is>
      </c>
      <c r="B389" s="1" t="n">
        <v>44974</v>
      </c>
      <c r="C389" s="1" t="n">
        <v>46149</v>
      </c>
      <c r="D389" t="inlineStr">
        <is>
          <t>STOCKHOLMS LÄN</t>
        </is>
      </c>
      <c r="E389" t="inlineStr">
        <is>
          <t>NORRTÄLJE</t>
        </is>
      </c>
      <c r="G389" t="n">
        <v>3.8</v>
      </c>
      <c r="H389" t="n">
        <v>0</v>
      </c>
      <c r="I389" t="n">
        <v>0</v>
      </c>
      <c r="J389" t="n">
        <v>0</v>
      </c>
      <c r="K389" t="n">
        <v>0</v>
      </c>
      <c r="L389" t="n">
        <v>0</v>
      </c>
      <c r="M389" t="n">
        <v>0</v>
      </c>
      <c r="N389" t="n">
        <v>0</v>
      </c>
      <c r="O389" t="n">
        <v>0</v>
      </c>
      <c r="P389" t="n">
        <v>0</v>
      </c>
      <c r="Q389" t="n">
        <v>0</v>
      </c>
      <c r="R389" s="2" t="inlineStr"/>
    </row>
    <row r="390" ht="15" customHeight="1">
      <c r="A390" t="inlineStr">
        <is>
          <t>A 24575-2024</t>
        </is>
      </c>
      <c r="B390" s="1" t="n">
        <v>45460.45523148148</v>
      </c>
      <c r="C390" s="1" t="n">
        <v>46149</v>
      </c>
      <c r="D390" t="inlineStr">
        <is>
          <t>STOCKHOLMS LÄN</t>
        </is>
      </c>
      <c r="E390" t="inlineStr">
        <is>
          <t>NORRTÄLJE</t>
        </is>
      </c>
      <c r="G390" t="n">
        <v>2.6</v>
      </c>
      <c r="H390" t="n">
        <v>0</v>
      </c>
      <c r="I390" t="n">
        <v>0</v>
      </c>
      <c r="J390" t="n">
        <v>0</v>
      </c>
      <c r="K390" t="n">
        <v>0</v>
      </c>
      <c r="L390" t="n">
        <v>0</v>
      </c>
      <c r="M390" t="n">
        <v>0</v>
      </c>
      <c r="N390" t="n">
        <v>0</v>
      </c>
      <c r="O390" t="n">
        <v>0</v>
      </c>
      <c r="P390" t="n">
        <v>0</v>
      </c>
      <c r="Q390" t="n">
        <v>0</v>
      </c>
      <c r="R390" s="2" t="inlineStr"/>
    </row>
    <row r="391" ht="15" customHeight="1">
      <c r="A391" t="inlineStr">
        <is>
          <t>A 64899-2023</t>
        </is>
      </c>
      <c r="B391" s="1" t="n">
        <v>45282</v>
      </c>
      <c r="C391" s="1" t="n">
        <v>46149</v>
      </c>
      <c r="D391" t="inlineStr">
        <is>
          <t>STOCKHOLMS LÄN</t>
        </is>
      </c>
      <c r="E391" t="inlineStr">
        <is>
          <t>NORRTÄLJE</t>
        </is>
      </c>
      <c r="G391" t="n">
        <v>6.3</v>
      </c>
      <c r="H391" t="n">
        <v>0</v>
      </c>
      <c r="I391" t="n">
        <v>0</v>
      </c>
      <c r="J391" t="n">
        <v>0</v>
      </c>
      <c r="K391" t="n">
        <v>0</v>
      </c>
      <c r="L391" t="n">
        <v>0</v>
      </c>
      <c r="M391" t="n">
        <v>0</v>
      </c>
      <c r="N391" t="n">
        <v>0</v>
      </c>
      <c r="O391" t="n">
        <v>0</v>
      </c>
      <c r="P391" t="n">
        <v>0</v>
      </c>
      <c r="Q391" t="n">
        <v>0</v>
      </c>
      <c r="R391" s="2" t="inlineStr"/>
    </row>
    <row r="392" ht="15" customHeight="1">
      <c r="A392" t="inlineStr">
        <is>
          <t>A 52321-2024</t>
        </is>
      </c>
      <c r="B392" s="1" t="n">
        <v>45608</v>
      </c>
      <c r="C392" s="1" t="n">
        <v>46149</v>
      </c>
      <c r="D392" t="inlineStr">
        <is>
          <t>STOCKHOLMS LÄN</t>
        </is>
      </c>
      <c r="E392" t="inlineStr">
        <is>
          <t>NORRTÄLJE</t>
        </is>
      </c>
      <c r="G392" t="n">
        <v>18.1</v>
      </c>
      <c r="H392" t="n">
        <v>0</v>
      </c>
      <c r="I392" t="n">
        <v>0</v>
      </c>
      <c r="J392" t="n">
        <v>0</v>
      </c>
      <c r="K392" t="n">
        <v>0</v>
      </c>
      <c r="L392" t="n">
        <v>0</v>
      </c>
      <c r="M392" t="n">
        <v>0</v>
      </c>
      <c r="N392" t="n">
        <v>0</v>
      </c>
      <c r="O392" t="n">
        <v>0</v>
      </c>
      <c r="P392" t="n">
        <v>0</v>
      </c>
      <c r="Q392" t="n">
        <v>0</v>
      </c>
      <c r="R392" s="2" t="inlineStr"/>
    </row>
    <row r="393" ht="15" customHeight="1">
      <c r="A393" t="inlineStr">
        <is>
          <t>A 48151-2024</t>
        </is>
      </c>
      <c r="B393" s="1" t="n">
        <v>45589.68289351852</v>
      </c>
      <c r="C393" s="1" t="n">
        <v>46149</v>
      </c>
      <c r="D393" t="inlineStr">
        <is>
          <t>STOCKHOLMS LÄN</t>
        </is>
      </c>
      <c r="E393" t="inlineStr">
        <is>
          <t>NORRTÄLJE</t>
        </is>
      </c>
      <c r="G393" t="n">
        <v>1.6</v>
      </c>
      <c r="H393" t="n">
        <v>0</v>
      </c>
      <c r="I393" t="n">
        <v>0</v>
      </c>
      <c r="J393" t="n">
        <v>0</v>
      </c>
      <c r="K393" t="n">
        <v>0</v>
      </c>
      <c r="L393" t="n">
        <v>0</v>
      </c>
      <c r="M393" t="n">
        <v>0</v>
      </c>
      <c r="N393" t="n">
        <v>0</v>
      </c>
      <c r="O393" t="n">
        <v>0</v>
      </c>
      <c r="P393" t="n">
        <v>0</v>
      </c>
      <c r="Q393" t="n">
        <v>0</v>
      </c>
      <c r="R393" s="2" t="inlineStr"/>
    </row>
    <row r="394" ht="15" customHeight="1">
      <c r="A394" t="inlineStr">
        <is>
          <t>A 52593-2024</t>
        </is>
      </c>
      <c r="B394" s="1" t="n">
        <v>45609.70778935185</v>
      </c>
      <c r="C394" s="1" t="n">
        <v>46149</v>
      </c>
      <c r="D394" t="inlineStr">
        <is>
          <t>STOCKHOLMS LÄN</t>
        </is>
      </c>
      <c r="E394" t="inlineStr">
        <is>
          <t>NORRTÄLJE</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52617-2024</t>
        </is>
      </c>
      <c r="B395" s="1" t="n">
        <v>45609.85146990741</v>
      </c>
      <c r="C395" s="1" t="n">
        <v>46149</v>
      </c>
      <c r="D395" t="inlineStr">
        <is>
          <t>STOCKHOLMS LÄN</t>
        </is>
      </c>
      <c r="E395" t="inlineStr">
        <is>
          <t>NORRTÄLJE</t>
        </is>
      </c>
      <c r="G395" t="n">
        <v>0.8</v>
      </c>
      <c r="H395" t="n">
        <v>0</v>
      </c>
      <c r="I395" t="n">
        <v>0</v>
      </c>
      <c r="J395" t="n">
        <v>0</v>
      </c>
      <c r="K395" t="n">
        <v>0</v>
      </c>
      <c r="L395" t="n">
        <v>0</v>
      </c>
      <c r="M395" t="n">
        <v>0</v>
      </c>
      <c r="N395" t="n">
        <v>0</v>
      </c>
      <c r="O395" t="n">
        <v>0</v>
      </c>
      <c r="P395" t="n">
        <v>0</v>
      </c>
      <c r="Q395" t="n">
        <v>0</v>
      </c>
      <c r="R395" s="2" t="inlineStr"/>
    </row>
    <row r="396" ht="15" customHeight="1">
      <c r="A396" t="inlineStr">
        <is>
          <t>A 67921-2021</t>
        </is>
      </c>
      <c r="B396" s="1" t="n">
        <v>44525</v>
      </c>
      <c r="C396" s="1" t="n">
        <v>46149</v>
      </c>
      <c r="D396" t="inlineStr">
        <is>
          <t>STOCKHOLMS LÄN</t>
        </is>
      </c>
      <c r="E396" t="inlineStr">
        <is>
          <t>NORRTÄLJE</t>
        </is>
      </c>
      <c r="G396" t="n">
        <v>6.3</v>
      </c>
      <c r="H396" t="n">
        <v>0</v>
      </c>
      <c r="I396" t="n">
        <v>0</v>
      </c>
      <c r="J396" t="n">
        <v>0</v>
      </c>
      <c r="K396" t="n">
        <v>0</v>
      </c>
      <c r="L396" t="n">
        <v>0</v>
      </c>
      <c r="M396" t="n">
        <v>0</v>
      </c>
      <c r="N396" t="n">
        <v>0</v>
      </c>
      <c r="O396" t="n">
        <v>0</v>
      </c>
      <c r="P396" t="n">
        <v>0</v>
      </c>
      <c r="Q396" t="n">
        <v>0</v>
      </c>
      <c r="R396" s="2" t="inlineStr"/>
    </row>
    <row r="397" ht="15" customHeight="1">
      <c r="A397" t="inlineStr">
        <is>
          <t>A 50355-2024</t>
        </is>
      </c>
      <c r="B397" s="1" t="n">
        <v>45600.86128472222</v>
      </c>
      <c r="C397" s="1" t="n">
        <v>46149</v>
      </c>
      <c r="D397" t="inlineStr">
        <is>
          <t>STOCKHOLMS LÄN</t>
        </is>
      </c>
      <c r="E397" t="inlineStr">
        <is>
          <t>NORRTÄLJE</t>
        </is>
      </c>
      <c r="F397" t="inlineStr">
        <is>
          <t>Kommuner</t>
        </is>
      </c>
      <c r="G397" t="n">
        <v>1</v>
      </c>
      <c r="H397" t="n">
        <v>0</v>
      </c>
      <c r="I397" t="n">
        <v>0</v>
      </c>
      <c r="J397" t="n">
        <v>0</v>
      </c>
      <c r="K397" t="n">
        <v>0</v>
      </c>
      <c r="L397" t="n">
        <v>0</v>
      </c>
      <c r="M397" t="n">
        <v>0</v>
      </c>
      <c r="N397" t="n">
        <v>0</v>
      </c>
      <c r="O397" t="n">
        <v>0</v>
      </c>
      <c r="P397" t="n">
        <v>0</v>
      </c>
      <c r="Q397" t="n">
        <v>0</v>
      </c>
      <c r="R397" s="2" t="inlineStr"/>
    </row>
    <row r="398" ht="15" customHeight="1">
      <c r="A398" t="inlineStr">
        <is>
          <t>A 22816-2021</t>
        </is>
      </c>
      <c r="B398" s="1" t="n">
        <v>44325</v>
      </c>
      <c r="C398" s="1" t="n">
        <v>46149</v>
      </c>
      <c r="D398" t="inlineStr">
        <is>
          <t>STOCKHOLMS LÄN</t>
        </is>
      </c>
      <c r="E398" t="inlineStr">
        <is>
          <t>NORRTÄLJE</t>
        </is>
      </c>
      <c r="G398" t="n">
        <v>4.5</v>
      </c>
      <c r="H398" t="n">
        <v>0</v>
      </c>
      <c r="I398" t="n">
        <v>0</v>
      </c>
      <c r="J398" t="n">
        <v>0</v>
      </c>
      <c r="K398" t="n">
        <v>0</v>
      </c>
      <c r="L398" t="n">
        <v>0</v>
      </c>
      <c r="M398" t="n">
        <v>0</v>
      </c>
      <c r="N398" t="n">
        <v>0</v>
      </c>
      <c r="O398" t="n">
        <v>0</v>
      </c>
      <c r="P398" t="n">
        <v>0</v>
      </c>
      <c r="Q398" t="n">
        <v>0</v>
      </c>
      <c r="R398" s="2" t="inlineStr"/>
    </row>
    <row r="399" ht="15" customHeight="1">
      <c r="A399" t="inlineStr">
        <is>
          <t>A 59904-2023</t>
        </is>
      </c>
      <c r="B399" s="1" t="n">
        <v>45257</v>
      </c>
      <c r="C399" s="1" t="n">
        <v>46149</v>
      </c>
      <c r="D399" t="inlineStr">
        <is>
          <t>STOCKHOLMS LÄN</t>
        </is>
      </c>
      <c r="E399" t="inlineStr">
        <is>
          <t>NORRTÄLJE</t>
        </is>
      </c>
      <c r="G399" t="n">
        <v>17.4</v>
      </c>
      <c r="H399" t="n">
        <v>0</v>
      </c>
      <c r="I399" t="n">
        <v>0</v>
      </c>
      <c r="J399" t="n">
        <v>0</v>
      </c>
      <c r="K399" t="n">
        <v>0</v>
      </c>
      <c r="L399" t="n">
        <v>0</v>
      </c>
      <c r="M399" t="n">
        <v>0</v>
      </c>
      <c r="N399" t="n">
        <v>0</v>
      </c>
      <c r="O399" t="n">
        <v>0</v>
      </c>
      <c r="P399" t="n">
        <v>0</v>
      </c>
      <c r="Q399" t="n">
        <v>0</v>
      </c>
      <c r="R399" s="2" t="inlineStr"/>
    </row>
    <row r="400" ht="15" customHeight="1">
      <c r="A400" t="inlineStr">
        <is>
          <t>A 9914-2023</t>
        </is>
      </c>
      <c r="B400" s="1" t="n">
        <v>44985</v>
      </c>
      <c r="C400" s="1" t="n">
        <v>46149</v>
      </c>
      <c r="D400" t="inlineStr">
        <is>
          <t>STOCKHOLMS LÄN</t>
        </is>
      </c>
      <c r="E400" t="inlineStr">
        <is>
          <t>NORRTÄLJE</t>
        </is>
      </c>
      <c r="G400" t="n">
        <v>4.2</v>
      </c>
      <c r="H400" t="n">
        <v>0</v>
      </c>
      <c r="I400" t="n">
        <v>0</v>
      </c>
      <c r="J400" t="n">
        <v>0</v>
      </c>
      <c r="K400" t="n">
        <v>0</v>
      </c>
      <c r="L400" t="n">
        <v>0</v>
      </c>
      <c r="M400" t="n">
        <v>0</v>
      </c>
      <c r="N400" t="n">
        <v>0</v>
      </c>
      <c r="O400" t="n">
        <v>0</v>
      </c>
      <c r="P400" t="n">
        <v>0</v>
      </c>
      <c r="Q400" t="n">
        <v>0</v>
      </c>
      <c r="R400" s="2" t="inlineStr"/>
    </row>
    <row r="401" ht="15" customHeight="1">
      <c r="A401" t="inlineStr">
        <is>
          <t>A 20370-2025</t>
        </is>
      </c>
      <c r="B401" s="1" t="n">
        <v>45775.41451388889</v>
      </c>
      <c r="C401" s="1" t="n">
        <v>46149</v>
      </c>
      <c r="D401" t="inlineStr">
        <is>
          <t>STOCKHOLMS LÄN</t>
        </is>
      </c>
      <c r="E401" t="inlineStr">
        <is>
          <t>NORRTÄLJE</t>
        </is>
      </c>
      <c r="G401" t="n">
        <v>2.9</v>
      </c>
      <c r="H401" t="n">
        <v>0</v>
      </c>
      <c r="I401" t="n">
        <v>0</v>
      </c>
      <c r="J401" t="n">
        <v>0</v>
      </c>
      <c r="K401" t="n">
        <v>0</v>
      </c>
      <c r="L401" t="n">
        <v>0</v>
      </c>
      <c r="M401" t="n">
        <v>0</v>
      </c>
      <c r="N401" t="n">
        <v>0</v>
      </c>
      <c r="O401" t="n">
        <v>0</v>
      </c>
      <c r="P401" t="n">
        <v>0</v>
      </c>
      <c r="Q401" t="n">
        <v>0</v>
      </c>
      <c r="R401" s="2" t="inlineStr"/>
    </row>
    <row r="402" ht="15" customHeight="1">
      <c r="A402" t="inlineStr">
        <is>
          <t>A 44917-2022</t>
        </is>
      </c>
      <c r="B402" s="1" t="n">
        <v>44841.52804398148</v>
      </c>
      <c r="C402" s="1" t="n">
        <v>46149</v>
      </c>
      <c r="D402" t="inlineStr">
        <is>
          <t>STOCKHOLMS LÄN</t>
        </is>
      </c>
      <c r="E402" t="inlineStr">
        <is>
          <t>NORRTÄLJE</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19580-2022</t>
        </is>
      </c>
      <c r="B403" s="1" t="n">
        <v>44693</v>
      </c>
      <c r="C403" s="1" t="n">
        <v>46149</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11062-2024</t>
        </is>
      </c>
      <c r="B404" s="1" t="n">
        <v>45370</v>
      </c>
      <c r="C404" s="1" t="n">
        <v>46149</v>
      </c>
      <c r="D404" t="inlineStr">
        <is>
          <t>STOCKHOLMS LÄN</t>
        </is>
      </c>
      <c r="E404" t="inlineStr">
        <is>
          <t>NORRTÄLJE</t>
        </is>
      </c>
      <c r="G404" t="n">
        <v>3.2</v>
      </c>
      <c r="H404" t="n">
        <v>0</v>
      </c>
      <c r="I404" t="n">
        <v>0</v>
      </c>
      <c r="J404" t="n">
        <v>0</v>
      </c>
      <c r="K404" t="n">
        <v>0</v>
      </c>
      <c r="L404" t="n">
        <v>0</v>
      </c>
      <c r="M404" t="n">
        <v>0</v>
      </c>
      <c r="N404" t="n">
        <v>0</v>
      </c>
      <c r="O404" t="n">
        <v>0</v>
      </c>
      <c r="P404" t="n">
        <v>0</v>
      </c>
      <c r="Q404" t="n">
        <v>0</v>
      </c>
      <c r="R404" s="2" t="inlineStr"/>
    </row>
    <row r="405" ht="15" customHeight="1">
      <c r="A405" t="inlineStr">
        <is>
          <t>A 33569-2023</t>
        </is>
      </c>
      <c r="B405" s="1" t="n">
        <v>45131.666875</v>
      </c>
      <c r="C405" s="1" t="n">
        <v>46149</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55058-2021</t>
        </is>
      </c>
      <c r="B406" s="1" t="n">
        <v>44474.62141203704</v>
      </c>
      <c r="C406" s="1" t="n">
        <v>46149</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15905-2023</t>
        </is>
      </c>
      <c r="B407" s="1" t="n">
        <v>45022</v>
      </c>
      <c r="C407" s="1" t="n">
        <v>46149</v>
      </c>
      <c r="D407" t="inlineStr">
        <is>
          <t>STOCKHOLMS LÄN</t>
        </is>
      </c>
      <c r="E407" t="inlineStr">
        <is>
          <t>NORRTÄLJE</t>
        </is>
      </c>
      <c r="G407" t="n">
        <v>3.2</v>
      </c>
      <c r="H407" t="n">
        <v>0</v>
      </c>
      <c r="I407" t="n">
        <v>0</v>
      </c>
      <c r="J407" t="n">
        <v>0</v>
      </c>
      <c r="K407" t="n">
        <v>0</v>
      </c>
      <c r="L407" t="n">
        <v>0</v>
      </c>
      <c r="M407" t="n">
        <v>0</v>
      </c>
      <c r="N407" t="n">
        <v>0</v>
      </c>
      <c r="O407" t="n">
        <v>0</v>
      </c>
      <c r="P407" t="n">
        <v>0</v>
      </c>
      <c r="Q407" t="n">
        <v>0</v>
      </c>
      <c r="R407" s="2" t="inlineStr"/>
    </row>
    <row r="408" ht="15" customHeight="1">
      <c r="A408" t="inlineStr">
        <is>
          <t>A 30731-2023</t>
        </is>
      </c>
      <c r="B408" s="1" t="n">
        <v>45112</v>
      </c>
      <c r="C408" s="1" t="n">
        <v>46149</v>
      </c>
      <c r="D408" t="inlineStr">
        <is>
          <t>STOCKHOLMS LÄN</t>
        </is>
      </c>
      <c r="E408" t="inlineStr">
        <is>
          <t>NORRTÄLJE</t>
        </is>
      </c>
      <c r="G408" t="n">
        <v>1.6</v>
      </c>
      <c r="H408" t="n">
        <v>0</v>
      </c>
      <c r="I408" t="n">
        <v>0</v>
      </c>
      <c r="J408" t="n">
        <v>0</v>
      </c>
      <c r="K408" t="n">
        <v>0</v>
      </c>
      <c r="L408" t="n">
        <v>0</v>
      </c>
      <c r="M408" t="n">
        <v>0</v>
      </c>
      <c r="N408" t="n">
        <v>0</v>
      </c>
      <c r="O408" t="n">
        <v>0</v>
      </c>
      <c r="P408" t="n">
        <v>0</v>
      </c>
      <c r="Q408" t="n">
        <v>0</v>
      </c>
      <c r="R408" s="2" t="inlineStr"/>
    </row>
    <row r="409" ht="15" customHeight="1">
      <c r="A409" t="inlineStr">
        <is>
          <t>A 4580-2025</t>
        </is>
      </c>
      <c r="B409" s="1" t="n">
        <v>45687.5038425926</v>
      </c>
      <c r="C409" s="1" t="n">
        <v>46149</v>
      </c>
      <c r="D409" t="inlineStr">
        <is>
          <t>STOCKHOLMS LÄN</t>
        </is>
      </c>
      <c r="E409" t="inlineStr">
        <is>
          <t>NORRTÄLJE</t>
        </is>
      </c>
      <c r="F409" t="inlineStr">
        <is>
          <t>Holmen skog AB</t>
        </is>
      </c>
      <c r="G409" t="n">
        <v>4.8</v>
      </c>
      <c r="H409" t="n">
        <v>0</v>
      </c>
      <c r="I409" t="n">
        <v>0</v>
      </c>
      <c r="J409" t="n">
        <v>0</v>
      </c>
      <c r="K409" t="n">
        <v>0</v>
      </c>
      <c r="L409" t="n">
        <v>0</v>
      </c>
      <c r="M409" t="n">
        <v>0</v>
      </c>
      <c r="N409" t="n">
        <v>0</v>
      </c>
      <c r="O409" t="n">
        <v>0</v>
      </c>
      <c r="P409" t="n">
        <v>0</v>
      </c>
      <c r="Q409" t="n">
        <v>0</v>
      </c>
      <c r="R409" s="2" t="inlineStr"/>
    </row>
    <row r="410" ht="15" customHeight="1">
      <c r="A410" t="inlineStr">
        <is>
          <t>A 15956-2023</t>
        </is>
      </c>
      <c r="B410" s="1" t="n">
        <v>45022.61003472222</v>
      </c>
      <c r="C410" s="1" t="n">
        <v>46149</v>
      </c>
      <c r="D410" t="inlineStr">
        <is>
          <t>STOCKHOLMS LÄN</t>
        </is>
      </c>
      <c r="E410" t="inlineStr">
        <is>
          <t>NORRTÄLJE</t>
        </is>
      </c>
      <c r="G410" t="n">
        <v>2.3</v>
      </c>
      <c r="H410" t="n">
        <v>0</v>
      </c>
      <c r="I410" t="n">
        <v>0</v>
      </c>
      <c r="J410" t="n">
        <v>0</v>
      </c>
      <c r="K410" t="n">
        <v>0</v>
      </c>
      <c r="L410" t="n">
        <v>0</v>
      </c>
      <c r="M410" t="n">
        <v>0</v>
      </c>
      <c r="N410" t="n">
        <v>0</v>
      </c>
      <c r="O410" t="n">
        <v>0</v>
      </c>
      <c r="P410" t="n">
        <v>0</v>
      </c>
      <c r="Q410" t="n">
        <v>0</v>
      </c>
      <c r="R410" s="2" t="inlineStr"/>
    </row>
    <row r="411" ht="15" customHeight="1">
      <c r="A411" t="inlineStr">
        <is>
          <t>A 31057-2022</t>
        </is>
      </c>
      <c r="B411" s="1" t="n">
        <v>44769</v>
      </c>
      <c r="C411" s="1" t="n">
        <v>46149</v>
      </c>
      <c r="D411" t="inlineStr">
        <is>
          <t>STOCKHOLMS LÄN</t>
        </is>
      </c>
      <c r="E411" t="inlineStr">
        <is>
          <t>NORRTÄLJE</t>
        </is>
      </c>
      <c r="G411" t="n">
        <v>6.5</v>
      </c>
      <c r="H411" t="n">
        <v>0</v>
      </c>
      <c r="I411" t="n">
        <v>0</v>
      </c>
      <c r="J411" t="n">
        <v>0</v>
      </c>
      <c r="K411" t="n">
        <v>0</v>
      </c>
      <c r="L411" t="n">
        <v>0</v>
      </c>
      <c r="M411" t="n">
        <v>0</v>
      </c>
      <c r="N411" t="n">
        <v>0</v>
      </c>
      <c r="O411" t="n">
        <v>0</v>
      </c>
      <c r="P411" t="n">
        <v>0</v>
      </c>
      <c r="Q411" t="n">
        <v>0</v>
      </c>
      <c r="R411" s="2" t="inlineStr"/>
    </row>
    <row r="412" ht="15" customHeight="1">
      <c r="A412" t="inlineStr">
        <is>
          <t>A 55012-2024</t>
        </is>
      </c>
      <c r="B412" s="1" t="n">
        <v>45621.34813657407</v>
      </c>
      <c r="C412" s="1" t="n">
        <v>46149</v>
      </c>
      <c r="D412" t="inlineStr">
        <is>
          <t>STOCKHOLMS LÄN</t>
        </is>
      </c>
      <c r="E412" t="inlineStr">
        <is>
          <t>NORRTÄLJE</t>
        </is>
      </c>
      <c r="F412" t="inlineStr">
        <is>
          <t>Sveaskog</t>
        </is>
      </c>
      <c r="G412" t="n">
        <v>5.2</v>
      </c>
      <c r="H412" t="n">
        <v>0</v>
      </c>
      <c r="I412" t="n">
        <v>0</v>
      </c>
      <c r="J412" t="n">
        <v>0</v>
      </c>
      <c r="K412" t="n">
        <v>0</v>
      </c>
      <c r="L412" t="n">
        <v>0</v>
      </c>
      <c r="M412" t="n">
        <v>0</v>
      </c>
      <c r="N412" t="n">
        <v>0</v>
      </c>
      <c r="O412" t="n">
        <v>0</v>
      </c>
      <c r="P412" t="n">
        <v>0</v>
      </c>
      <c r="Q412" t="n">
        <v>0</v>
      </c>
      <c r="R412" s="2" t="inlineStr"/>
    </row>
    <row r="413" ht="15" customHeight="1">
      <c r="A413" t="inlineStr">
        <is>
          <t>A 47626-2022</t>
        </is>
      </c>
      <c r="B413" s="1" t="n">
        <v>44854</v>
      </c>
      <c r="C413" s="1" t="n">
        <v>46149</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65499-2021</t>
        </is>
      </c>
      <c r="B414" s="1" t="n">
        <v>44516</v>
      </c>
      <c r="C414" s="1" t="n">
        <v>46149</v>
      </c>
      <c r="D414" t="inlineStr">
        <is>
          <t>STOCKHOLMS LÄN</t>
        </is>
      </c>
      <c r="E414" t="inlineStr">
        <is>
          <t>NORRTÄLJE</t>
        </is>
      </c>
      <c r="F414" t="inlineStr">
        <is>
          <t>Kommuner</t>
        </is>
      </c>
      <c r="G414" t="n">
        <v>5.2</v>
      </c>
      <c r="H414" t="n">
        <v>0</v>
      </c>
      <c r="I414" t="n">
        <v>0</v>
      </c>
      <c r="J414" t="n">
        <v>0</v>
      </c>
      <c r="K414" t="n">
        <v>0</v>
      </c>
      <c r="L414" t="n">
        <v>0</v>
      </c>
      <c r="M414" t="n">
        <v>0</v>
      </c>
      <c r="N414" t="n">
        <v>0</v>
      </c>
      <c r="O414" t="n">
        <v>0</v>
      </c>
      <c r="P414" t="n">
        <v>0</v>
      </c>
      <c r="Q414" t="n">
        <v>0</v>
      </c>
      <c r="R414" s="2" t="inlineStr"/>
    </row>
    <row r="415" ht="15" customHeight="1">
      <c r="A415" t="inlineStr">
        <is>
          <t>A 62206-2022</t>
        </is>
      </c>
      <c r="B415" s="1" t="n">
        <v>44922</v>
      </c>
      <c r="C415" s="1" t="n">
        <v>46149</v>
      </c>
      <c r="D415" t="inlineStr">
        <is>
          <t>STOCKHOLMS LÄN</t>
        </is>
      </c>
      <c r="E415" t="inlineStr">
        <is>
          <t>NORRTÄLJE</t>
        </is>
      </c>
      <c r="G415" t="n">
        <v>2.9</v>
      </c>
      <c r="H415" t="n">
        <v>0</v>
      </c>
      <c r="I415" t="n">
        <v>0</v>
      </c>
      <c r="J415" t="n">
        <v>0</v>
      </c>
      <c r="K415" t="n">
        <v>0</v>
      </c>
      <c r="L415" t="n">
        <v>0</v>
      </c>
      <c r="M415" t="n">
        <v>0</v>
      </c>
      <c r="N415" t="n">
        <v>0</v>
      </c>
      <c r="O415" t="n">
        <v>0</v>
      </c>
      <c r="P415" t="n">
        <v>0</v>
      </c>
      <c r="Q415" t="n">
        <v>0</v>
      </c>
      <c r="R415" s="2" t="inlineStr"/>
    </row>
    <row r="416" ht="15" customHeight="1">
      <c r="A416" t="inlineStr">
        <is>
          <t>A 31140-2023</t>
        </is>
      </c>
      <c r="B416" s="1" t="n">
        <v>45113</v>
      </c>
      <c r="C416" s="1" t="n">
        <v>46149</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31149-2023</t>
        </is>
      </c>
      <c r="B417" s="1" t="n">
        <v>45113</v>
      </c>
      <c r="C417" s="1" t="n">
        <v>46149</v>
      </c>
      <c r="D417" t="inlineStr">
        <is>
          <t>STOCKHOLMS LÄN</t>
        </is>
      </c>
      <c r="E417" t="inlineStr">
        <is>
          <t>NORRTÄLJE</t>
        </is>
      </c>
      <c r="G417" t="n">
        <v>7.1</v>
      </c>
      <c r="H417" t="n">
        <v>0</v>
      </c>
      <c r="I417" t="n">
        <v>0</v>
      </c>
      <c r="J417" t="n">
        <v>0</v>
      </c>
      <c r="K417" t="n">
        <v>0</v>
      </c>
      <c r="L417" t="n">
        <v>0</v>
      </c>
      <c r="M417" t="n">
        <v>0</v>
      </c>
      <c r="N417" t="n">
        <v>0</v>
      </c>
      <c r="O417" t="n">
        <v>0</v>
      </c>
      <c r="P417" t="n">
        <v>0</v>
      </c>
      <c r="Q417" t="n">
        <v>0</v>
      </c>
      <c r="R417" s="2" t="inlineStr"/>
    </row>
    <row r="418" ht="15" customHeight="1">
      <c r="A418" t="inlineStr">
        <is>
          <t>A 20618-2022</t>
        </is>
      </c>
      <c r="B418" s="1" t="n">
        <v>44700.50659722222</v>
      </c>
      <c r="C418" s="1" t="n">
        <v>46149</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40192-2023</t>
        </is>
      </c>
      <c r="B419" s="1" t="n">
        <v>45169</v>
      </c>
      <c r="C419" s="1" t="n">
        <v>46149</v>
      </c>
      <c r="D419" t="inlineStr">
        <is>
          <t>STOCKHOLMS LÄN</t>
        </is>
      </c>
      <c r="E419" t="inlineStr">
        <is>
          <t>NORRTÄLJE</t>
        </is>
      </c>
      <c r="F419" t="inlineStr">
        <is>
          <t>Kyrkan</t>
        </is>
      </c>
      <c r="G419" t="n">
        <v>0.7</v>
      </c>
      <c r="H419" t="n">
        <v>0</v>
      </c>
      <c r="I419" t="n">
        <v>0</v>
      </c>
      <c r="J419" t="n">
        <v>0</v>
      </c>
      <c r="K419" t="n">
        <v>0</v>
      </c>
      <c r="L419" t="n">
        <v>0</v>
      </c>
      <c r="M419" t="n">
        <v>0</v>
      </c>
      <c r="N419" t="n">
        <v>0</v>
      </c>
      <c r="O419" t="n">
        <v>0</v>
      </c>
      <c r="P419" t="n">
        <v>0</v>
      </c>
      <c r="Q419" t="n">
        <v>0</v>
      </c>
      <c r="R419" s="2" t="inlineStr"/>
    </row>
    <row r="420" ht="15" customHeight="1">
      <c r="A420" t="inlineStr">
        <is>
          <t>A 4658-2024</t>
        </is>
      </c>
      <c r="B420" s="1" t="n">
        <v>45328.46336805556</v>
      </c>
      <c r="C420" s="1" t="n">
        <v>46149</v>
      </c>
      <c r="D420" t="inlineStr">
        <is>
          <t>STOCKHOLMS LÄN</t>
        </is>
      </c>
      <c r="E420" t="inlineStr">
        <is>
          <t>NORRTÄLJE</t>
        </is>
      </c>
      <c r="G420" t="n">
        <v>2.8</v>
      </c>
      <c r="H420" t="n">
        <v>0</v>
      </c>
      <c r="I420" t="n">
        <v>0</v>
      </c>
      <c r="J420" t="n">
        <v>0</v>
      </c>
      <c r="K420" t="n">
        <v>0</v>
      </c>
      <c r="L420" t="n">
        <v>0</v>
      </c>
      <c r="M420" t="n">
        <v>0</v>
      </c>
      <c r="N420" t="n">
        <v>0</v>
      </c>
      <c r="O420" t="n">
        <v>0</v>
      </c>
      <c r="P420" t="n">
        <v>0</v>
      </c>
      <c r="Q420" t="n">
        <v>0</v>
      </c>
      <c r="R420" s="2" t="inlineStr"/>
    </row>
    <row r="421" ht="15" customHeight="1">
      <c r="A421" t="inlineStr">
        <is>
          <t>A 19131-2025</t>
        </is>
      </c>
      <c r="B421" s="1" t="n">
        <v>45769</v>
      </c>
      <c r="C421" s="1" t="n">
        <v>46149</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11900-2022</t>
        </is>
      </c>
      <c r="B422" s="1" t="n">
        <v>44635</v>
      </c>
      <c r="C422" s="1" t="n">
        <v>46149</v>
      </c>
      <c r="D422" t="inlineStr">
        <is>
          <t>STOCKHOLMS LÄN</t>
        </is>
      </c>
      <c r="E422" t="inlineStr">
        <is>
          <t>NORRTÄLJE</t>
        </is>
      </c>
      <c r="G422" t="n">
        <v>2.4</v>
      </c>
      <c r="H422" t="n">
        <v>0</v>
      </c>
      <c r="I422" t="n">
        <v>0</v>
      </c>
      <c r="J422" t="n">
        <v>0</v>
      </c>
      <c r="K422" t="n">
        <v>0</v>
      </c>
      <c r="L422" t="n">
        <v>0</v>
      </c>
      <c r="M422" t="n">
        <v>0</v>
      </c>
      <c r="N422" t="n">
        <v>0</v>
      </c>
      <c r="O422" t="n">
        <v>0</v>
      </c>
      <c r="P422" t="n">
        <v>0</v>
      </c>
      <c r="Q422" t="n">
        <v>0</v>
      </c>
      <c r="R422" s="2" t="inlineStr"/>
    </row>
    <row r="423" ht="15" customHeight="1">
      <c r="A423" t="inlineStr">
        <is>
          <t>A 7413-2024</t>
        </is>
      </c>
      <c r="B423" s="1" t="n">
        <v>45345.6059837963</v>
      </c>
      <c r="C423" s="1" t="n">
        <v>46149</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12251-2025</t>
        </is>
      </c>
      <c r="B424" s="1" t="n">
        <v>45729.60859953704</v>
      </c>
      <c r="C424" s="1" t="n">
        <v>46149</v>
      </c>
      <c r="D424" t="inlineStr">
        <is>
          <t>STOCKHOLMS LÄN</t>
        </is>
      </c>
      <c r="E424" t="inlineStr">
        <is>
          <t>NORRTÄLJE</t>
        </is>
      </c>
      <c r="F424" t="inlineStr">
        <is>
          <t>Holmen skog AB</t>
        </is>
      </c>
      <c r="G424" t="n">
        <v>5.9</v>
      </c>
      <c r="H424" t="n">
        <v>0</v>
      </c>
      <c r="I424" t="n">
        <v>0</v>
      </c>
      <c r="J424" t="n">
        <v>0</v>
      </c>
      <c r="K424" t="n">
        <v>0</v>
      </c>
      <c r="L424" t="n">
        <v>0</v>
      </c>
      <c r="M424" t="n">
        <v>0</v>
      </c>
      <c r="N424" t="n">
        <v>0</v>
      </c>
      <c r="O424" t="n">
        <v>0</v>
      </c>
      <c r="P424" t="n">
        <v>0</v>
      </c>
      <c r="Q424" t="n">
        <v>0</v>
      </c>
      <c r="R424" s="2" t="inlineStr"/>
    </row>
    <row r="425" ht="15" customHeight="1">
      <c r="A425" t="inlineStr">
        <is>
          <t>A 10973-2025</t>
        </is>
      </c>
      <c r="B425" s="1" t="n">
        <v>45723</v>
      </c>
      <c r="C425" s="1" t="n">
        <v>46149</v>
      </c>
      <c r="D425" t="inlineStr">
        <is>
          <t>STOCKHOLMS LÄN</t>
        </is>
      </c>
      <c r="E425" t="inlineStr">
        <is>
          <t>NORRTÄLJE</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58863-2024</t>
        </is>
      </c>
      <c r="B426" s="1" t="n">
        <v>45636.41572916666</v>
      </c>
      <c r="C426" s="1" t="n">
        <v>46149</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27885-2022</t>
        </is>
      </c>
      <c r="B427" s="1" t="n">
        <v>44743.67418981482</v>
      </c>
      <c r="C427" s="1" t="n">
        <v>46149</v>
      </c>
      <c r="D427" t="inlineStr">
        <is>
          <t>STOCKHOLMS LÄN</t>
        </is>
      </c>
      <c r="E427" t="inlineStr">
        <is>
          <t>NORRTÄLJE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50154-2024</t>
        </is>
      </c>
      <c r="B428" s="1" t="n">
        <v>45600.4558912037</v>
      </c>
      <c r="C428" s="1" t="n">
        <v>46149</v>
      </c>
      <c r="D428" t="inlineStr">
        <is>
          <t>STOCKHOLMS LÄN</t>
        </is>
      </c>
      <c r="E428" t="inlineStr">
        <is>
          <t>NORRTÄLJE</t>
        </is>
      </c>
      <c r="G428" t="n">
        <v>2.5</v>
      </c>
      <c r="H428" t="n">
        <v>0</v>
      </c>
      <c r="I428" t="n">
        <v>0</v>
      </c>
      <c r="J428" t="n">
        <v>0</v>
      </c>
      <c r="K428" t="n">
        <v>0</v>
      </c>
      <c r="L428" t="n">
        <v>0</v>
      </c>
      <c r="M428" t="n">
        <v>0</v>
      </c>
      <c r="N428" t="n">
        <v>0</v>
      </c>
      <c r="O428" t="n">
        <v>0</v>
      </c>
      <c r="P428" t="n">
        <v>0</v>
      </c>
      <c r="Q428" t="n">
        <v>0</v>
      </c>
      <c r="R428" s="2" t="inlineStr"/>
    </row>
    <row r="429" ht="15" customHeight="1">
      <c r="A429" t="inlineStr">
        <is>
          <t>A 11900-2024</t>
        </is>
      </c>
      <c r="B429" s="1" t="n">
        <v>45376.55484953704</v>
      </c>
      <c r="C429" s="1" t="n">
        <v>46149</v>
      </c>
      <c r="D429" t="inlineStr">
        <is>
          <t>STOCKHOLMS LÄN</t>
        </is>
      </c>
      <c r="E429" t="inlineStr">
        <is>
          <t>NORRTÄLJE</t>
        </is>
      </c>
      <c r="G429" t="n">
        <v>4.2</v>
      </c>
      <c r="H429" t="n">
        <v>0</v>
      </c>
      <c r="I429" t="n">
        <v>0</v>
      </c>
      <c r="J429" t="n">
        <v>0</v>
      </c>
      <c r="K429" t="n">
        <v>0</v>
      </c>
      <c r="L429" t="n">
        <v>0</v>
      </c>
      <c r="M429" t="n">
        <v>0</v>
      </c>
      <c r="N429" t="n">
        <v>0</v>
      </c>
      <c r="O429" t="n">
        <v>0</v>
      </c>
      <c r="P429" t="n">
        <v>0</v>
      </c>
      <c r="Q429" t="n">
        <v>0</v>
      </c>
      <c r="R429" s="2" t="inlineStr"/>
    </row>
    <row r="430" ht="15" customHeight="1">
      <c r="A430" t="inlineStr">
        <is>
          <t>A 7571-2024</t>
        </is>
      </c>
      <c r="B430" s="1" t="n">
        <v>45348.46300925926</v>
      </c>
      <c r="C430" s="1" t="n">
        <v>46149</v>
      </c>
      <c r="D430" t="inlineStr">
        <is>
          <t>STOCKHOLMS LÄN</t>
        </is>
      </c>
      <c r="E430" t="inlineStr">
        <is>
          <t>NORRTÄLJE</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42867-2022</t>
        </is>
      </c>
      <c r="B431" s="1" t="n">
        <v>44832</v>
      </c>
      <c r="C431" s="1" t="n">
        <v>46149</v>
      </c>
      <c r="D431" t="inlineStr">
        <is>
          <t>STOCKHOLMS LÄN</t>
        </is>
      </c>
      <c r="E431" t="inlineStr">
        <is>
          <t>NORRTÄLJE</t>
        </is>
      </c>
      <c r="G431" t="n">
        <v>6.4</v>
      </c>
      <c r="H431" t="n">
        <v>0</v>
      </c>
      <c r="I431" t="n">
        <v>0</v>
      </c>
      <c r="J431" t="n">
        <v>0</v>
      </c>
      <c r="K431" t="n">
        <v>0</v>
      </c>
      <c r="L431" t="n">
        <v>0</v>
      </c>
      <c r="M431" t="n">
        <v>0</v>
      </c>
      <c r="N431" t="n">
        <v>0</v>
      </c>
      <c r="O431" t="n">
        <v>0</v>
      </c>
      <c r="P431" t="n">
        <v>0</v>
      </c>
      <c r="Q431" t="n">
        <v>0</v>
      </c>
      <c r="R431" s="2" t="inlineStr"/>
    </row>
    <row r="432" ht="15" customHeight="1">
      <c r="A432" t="inlineStr">
        <is>
          <t>A 11849-2025</t>
        </is>
      </c>
      <c r="B432" s="1" t="n">
        <v>45728.38409722222</v>
      </c>
      <c r="C432" s="1" t="n">
        <v>46149</v>
      </c>
      <c r="D432" t="inlineStr">
        <is>
          <t>STOCKHOLMS LÄN</t>
        </is>
      </c>
      <c r="E432" t="inlineStr">
        <is>
          <t>NORRTÄLJE</t>
        </is>
      </c>
      <c r="G432" t="n">
        <v>1.7</v>
      </c>
      <c r="H432" t="n">
        <v>0</v>
      </c>
      <c r="I432" t="n">
        <v>0</v>
      </c>
      <c r="J432" t="n">
        <v>0</v>
      </c>
      <c r="K432" t="n">
        <v>0</v>
      </c>
      <c r="L432" t="n">
        <v>0</v>
      </c>
      <c r="M432" t="n">
        <v>0</v>
      </c>
      <c r="N432" t="n">
        <v>0</v>
      </c>
      <c r="O432" t="n">
        <v>0</v>
      </c>
      <c r="P432" t="n">
        <v>0</v>
      </c>
      <c r="Q432" t="n">
        <v>0</v>
      </c>
      <c r="R432" s="2" t="inlineStr"/>
    </row>
    <row r="433" ht="15" customHeight="1">
      <c r="A433" t="inlineStr">
        <is>
          <t>A 38720-2025</t>
        </is>
      </c>
      <c r="B433" s="1" t="n">
        <v>45886</v>
      </c>
      <c r="C433" s="1" t="n">
        <v>46149</v>
      </c>
      <c r="D433" t="inlineStr">
        <is>
          <t>STOCKHOLMS LÄN</t>
        </is>
      </c>
      <c r="E433" t="inlineStr">
        <is>
          <t>NORRTÄLJE</t>
        </is>
      </c>
      <c r="G433" t="n">
        <v>1.6</v>
      </c>
      <c r="H433" t="n">
        <v>0</v>
      </c>
      <c r="I433" t="n">
        <v>0</v>
      </c>
      <c r="J433" t="n">
        <v>0</v>
      </c>
      <c r="K433" t="n">
        <v>0</v>
      </c>
      <c r="L433" t="n">
        <v>0</v>
      </c>
      <c r="M433" t="n">
        <v>0</v>
      </c>
      <c r="N433" t="n">
        <v>0</v>
      </c>
      <c r="O433" t="n">
        <v>0</v>
      </c>
      <c r="P433" t="n">
        <v>0</v>
      </c>
      <c r="Q433" t="n">
        <v>0</v>
      </c>
      <c r="R433" s="2" t="inlineStr"/>
    </row>
    <row r="434" ht="15" customHeight="1">
      <c r="A434" t="inlineStr">
        <is>
          <t>A 40425-2021</t>
        </is>
      </c>
      <c r="B434" s="1" t="n">
        <v>44419</v>
      </c>
      <c r="C434" s="1" t="n">
        <v>46149</v>
      </c>
      <c r="D434" t="inlineStr">
        <is>
          <t>STOCKHOLMS LÄN</t>
        </is>
      </c>
      <c r="E434" t="inlineStr">
        <is>
          <t>NORRTÄLJE</t>
        </is>
      </c>
      <c r="G434" t="n">
        <v>5</v>
      </c>
      <c r="H434" t="n">
        <v>0</v>
      </c>
      <c r="I434" t="n">
        <v>0</v>
      </c>
      <c r="J434" t="n">
        <v>0</v>
      </c>
      <c r="K434" t="n">
        <v>0</v>
      </c>
      <c r="L434" t="n">
        <v>0</v>
      </c>
      <c r="M434" t="n">
        <v>0</v>
      </c>
      <c r="N434" t="n">
        <v>0</v>
      </c>
      <c r="O434" t="n">
        <v>0</v>
      </c>
      <c r="P434" t="n">
        <v>0</v>
      </c>
      <c r="Q434" t="n">
        <v>0</v>
      </c>
      <c r="R434" s="2" t="inlineStr"/>
    </row>
    <row r="435" ht="15" customHeight="1">
      <c r="A435" t="inlineStr">
        <is>
          <t>A 58990-2021</t>
        </is>
      </c>
      <c r="B435" s="1" t="n">
        <v>44490.03621527777</v>
      </c>
      <c r="C435" s="1" t="n">
        <v>46149</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23749-2024</t>
        </is>
      </c>
      <c r="B436" s="1" t="n">
        <v>45455.33037037037</v>
      </c>
      <c r="C436" s="1" t="n">
        <v>46149</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58277-2023</t>
        </is>
      </c>
      <c r="B437" s="1" t="n">
        <v>45245</v>
      </c>
      <c r="C437" s="1" t="n">
        <v>46149</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60224-2023</t>
        </is>
      </c>
      <c r="B438" s="1" t="n">
        <v>45257</v>
      </c>
      <c r="C438" s="1" t="n">
        <v>46149</v>
      </c>
      <c r="D438" t="inlineStr">
        <is>
          <t>STOCKHOLMS LÄN</t>
        </is>
      </c>
      <c r="E438" t="inlineStr">
        <is>
          <t>NORRTÄLJE</t>
        </is>
      </c>
      <c r="G438" t="n">
        <v>8.1</v>
      </c>
      <c r="H438" t="n">
        <v>0</v>
      </c>
      <c r="I438" t="n">
        <v>0</v>
      </c>
      <c r="J438" t="n">
        <v>0</v>
      </c>
      <c r="K438" t="n">
        <v>0</v>
      </c>
      <c r="L438" t="n">
        <v>0</v>
      </c>
      <c r="M438" t="n">
        <v>0</v>
      </c>
      <c r="N438" t="n">
        <v>0</v>
      </c>
      <c r="O438" t="n">
        <v>0</v>
      </c>
      <c r="P438" t="n">
        <v>0</v>
      </c>
      <c r="Q438" t="n">
        <v>0</v>
      </c>
      <c r="R438" s="2" t="inlineStr"/>
    </row>
    <row r="439" ht="15" customHeight="1">
      <c r="A439" t="inlineStr">
        <is>
          <t>A 5158-2024</t>
        </is>
      </c>
      <c r="B439" s="1" t="n">
        <v>45330.50098379629</v>
      </c>
      <c r="C439" s="1" t="n">
        <v>46149</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32705-2022</t>
        </is>
      </c>
      <c r="B440" s="1" t="n">
        <v>44783</v>
      </c>
      <c r="C440" s="1" t="n">
        <v>46149</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47481-2024</t>
        </is>
      </c>
      <c r="B441" s="1" t="n">
        <v>45587</v>
      </c>
      <c r="C441" s="1" t="n">
        <v>46149</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57037-2022</t>
        </is>
      </c>
      <c r="B442" s="1" t="n">
        <v>44895</v>
      </c>
      <c r="C442" s="1" t="n">
        <v>46149</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20790-2025</t>
        </is>
      </c>
      <c r="B443" s="1" t="n">
        <v>45776.62563657408</v>
      </c>
      <c r="C443" s="1" t="n">
        <v>46149</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11940-2023</t>
        </is>
      </c>
      <c r="B444" s="1" t="n">
        <v>44995</v>
      </c>
      <c r="C444" s="1" t="n">
        <v>46149</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20699-2025</t>
        </is>
      </c>
      <c r="B445" s="1" t="n">
        <v>45776.47346064815</v>
      </c>
      <c r="C445" s="1" t="n">
        <v>46149</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3152-2024</t>
        </is>
      </c>
      <c r="B446" s="1" t="n">
        <v>45316.60306712963</v>
      </c>
      <c r="C446" s="1" t="n">
        <v>46149</v>
      </c>
      <c r="D446" t="inlineStr">
        <is>
          <t>STOCKHOLMS LÄN</t>
        </is>
      </c>
      <c r="E446" t="inlineStr">
        <is>
          <t>NORRTÄLJE</t>
        </is>
      </c>
      <c r="G446" t="n">
        <v>7.9</v>
      </c>
      <c r="H446" t="n">
        <v>0</v>
      </c>
      <c r="I446" t="n">
        <v>0</v>
      </c>
      <c r="J446" t="n">
        <v>0</v>
      </c>
      <c r="K446" t="n">
        <v>0</v>
      </c>
      <c r="L446" t="n">
        <v>0</v>
      </c>
      <c r="M446" t="n">
        <v>0</v>
      </c>
      <c r="N446" t="n">
        <v>0</v>
      </c>
      <c r="O446" t="n">
        <v>0</v>
      </c>
      <c r="P446" t="n">
        <v>0</v>
      </c>
      <c r="Q446" t="n">
        <v>0</v>
      </c>
      <c r="R446" s="2" t="inlineStr"/>
    </row>
    <row r="447" ht="15" customHeight="1">
      <c r="A447" t="inlineStr">
        <is>
          <t>A 59326-2023</t>
        </is>
      </c>
      <c r="B447" s="1" t="n">
        <v>45253.63089120371</v>
      </c>
      <c r="C447" s="1" t="n">
        <v>46149</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9130-2025</t>
        </is>
      </c>
      <c r="B448" s="1" t="n">
        <v>45713.92623842593</v>
      </c>
      <c r="C448" s="1" t="n">
        <v>46149</v>
      </c>
      <c r="D448" t="inlineStr">
        <is>
          <t>STOCKHOLMS LÄN</t>
        </is>
      </c>
      <c r="E448" t="inlineStr">
        <is>
          <t>NORRTÄLJE</t>
        </is>
      </c>
      <c r="G448" t="n">
        <v>16</v>
      </c>
      <c r="H448" t="n">
        <v>0</v>
      </c>
      <c r="I448" t="n">
        <v>0</v>
      </c>
      <c r="J448" t="n">
        <v>0</v>
      </c>
      <c r="K448" t="n">
        <v>0</v>
      </c>
      <c r="L448" t="n">
        <v>0</v>
      </c>
      <c r="M448" t="n">
        <v>0</v>
      </c>
      <c r="N448" t="n">
        <v>0</v>
      </c>
      <c r="O448" t="n">
        <v>0</v>
      </c>
      <c r="P448" t="n">
        <v>0</v>
      </c>
      <c r="Q448" t="n">
        <v>0</v>
      </c>
      <c r="R448" s="2" t="inlineStr"/>
    </row>
    <row r="449" ht="15" customHeight="1">
      <c r="A449" t="inlineStr">
        <is>
          <t>A 44836-2023</t>
        </is>
      </c>
      <c r="B449" s="1" t="n">
        <v>45190.55609953704</v>
      </c>
      <c r="C449" s="1" t="n">
        <v>46149</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2281-2024</t>
        </is>
      </c>
      <c r="B450" s="1" t="n">
        <v>45310.40628472222</v>
      </c>
      <c r="C450" s="1" t="n">
        <v>46149</v>
      </c>
      <c r="D450" t="inlineStr">
        <is>
          <t>STOCKHOLMS LÄN</t>
        </is>
      </c>
      <c r="E450" t="inlineStr">
        <is>
          <t>NORRTÄLJE</t>
        </is>
      </c>
      <c r="G450" t="n">
        <v>2.7</v>
      </c>
      <c r="H450" t="n">
        <v>0</v>
      </c>
      <c r="I450" t="n">
        <v>0</v>
      </c>
      <c r="J450" t="n">
        <v>0</v>
      </c>
      <c r="K450" t="n">
        <v>0</v>
      </c>
      <c r="L450" t="n">
        <v>0</v>
      </c>
      <c r="M450" t="n">
        <v>0</v>
      </c>
      <c r="N450" t="n">
        <v>0</v>
      </c>
      <c r="O450" t="n">
        <v>0</v>
      </c>
      <c r="P450" t="n">
        <v>0</v>
      </c>
      <c r="Q450" t="n">
        <v>0</v>
      </c>
      <c r="R450" s="2" t="inlineStr"/>
    </row>
    <row r="451" ht="15" customHeight="1">
      <c r="A451" t="inlineStr">
        <is>
          <t>A 20779-2025</t>
        </is>
      </c>
      <c r="B451" s="1" t="n">
        <v>45776.59871527777</v>
      </c>
      <c r="C451" s="1" t="n">
        <v>46149</v>
      </c>
      <c r="D451" t="inlineStr">
        <is>
          <t>STOCKHOLMS LÄN</t>
        </is>
      </c>
      <c r="E451" t="inlineStr">
        <is>
          <t>NORRTÄLJE</t>
        </is>
      </c>
      <c r="G451" t="n">
        <v>6.9</v>
      </c>
      <c r="H451" t="n">
        <v>0</v>
      </c>
      <c r="I451" t="n">
        <v>0</v>
      </c>
      <c r="J451" t="n">
        <v>0</v>
      </c>
      <c r="K451" t="n">
        <v>0</v>
      </c>
      <c r="L451" t="n">
        <v>0</v>
      </c>
      <c r="M451" t="n">
        <v>0</v>
      </c>
      <c r="N451" t="n">
        <v>0</v>
      </c>
      <c r="O451" t="n">
        <v>0</v>
      </c>
      <c r="P451" t="n">
        <v>0</v>
      </c>
      <c r="Q451" t="n">
        <v>0</v>
      </c>
      <c r="R451" s="2" t="inlineStr"/>
    </row>
    <row r="452" ht="15" customHeight="1">
      <c r="A452" t="inlineStr">
        <is>
          <t>A 60525-2022</t>
        </is>
      </c>
      <c r="B452" s="1" t="n">
        <v>44904</v>
      </c>
      <c r="C452" s="1" t="n">
        <v>46149</v>
      </c>
      <c r="D452" t="inlineStr">
        <is>
          <t>STOCKHOLMS LÄN</t>
        </is>
      </c>
      <c r="E452" t="inlineStr">
        <is>
          <t>NORRTÄLJE</t>
        </is>
      </c>
      <c r="G452" t="n">
        <v>13.4</v>
      </c>
      <c r="H452" t="n">
        <v>0</v>
      </c>
      <c r="I452" t="n">
        <v>0</v>
      </c>
      <c r="J452" t="n">
        <v>0</v>
      </c>
      <c r="K452" t="n">
        <v>0</v>
      </c>
      <c r="L452" t="n">
        <v>0</v>
      </c>
      <c r="M452" t="n">
        <v>0</v>
      </c>
      <c r="N452" t="n">
        <v>0</v>
      </c>
      <c r="O452" t="n">
        <v>0</v>
      </c>
      <c r="P452" t="n">
        <v>0</v>
      </c>
      <c r="Q452" t="n">
        <v>0</v>
      </c>
      <c r="R452" s="2" t="inlineStr"/>
    </row>
    <row r="453" ht="15" customHeight="1">
      <c r="A453" t="inlineStr">
        <is>
          <t>A 17551-2025</t>
        </is>
      </c>
      <c r="B453" s="1" t="n">
        <v>45757.61421296297</v>
      </c>
      <c r="C453" s="1" t="n">
        <v>46149</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55010-2024</t>
        </is>
      </c>
      <c r="B454" s="1" t="n">
        <v>45621.34425925926</v>
      </c>
      <c r="C454" s="1" t="n">
        <v>46149</v>
      </c>
      <c r="D454" t="inlineStr">
        <is>
          <t>STOCKHOLMS LÄN</t>
        </is>
      </c>
      <c r="E454" t="inlineStr">
        <is>
          <t>NORRTÄLJE</t>
        </is>
      </c>
      <c r="F454" t="inlineStr">
        <is>
          <t>Sveaskog</t>
        </is>
      </c>
      <c r="G454" t="n">
        <v>5.7</v>
      </c>
      <c r="H454" t="n">
        <v>0</v>
      </c>
      <c r="I454" t="n">
        <v>0</v>
      </c>
      <c r="J454" t="n">
        <v>0</v>
      </c>
      <c r="K454" t="n">
        <v>0</v>
      </c>
      <c r="L454" t="n">
        <v>0</v>
      </c>
      <c r="M454" t="n">
        <v>0</v>
      </c>
      <c r="N454" t="n">
        <v>0</v>
      </c>
      <c r="O454" t="n">
        <v>0</v>
      </c>
      <c r="P454" t="n">
        <v>0</v>
      </c>
      <c r="Q454" t="n">
        <v>0</v>
      </c>
      <c r="R454" s="2" t="inlineStr"/>
    </row>
    <row r="455" ht="15" customHeight="1">
      <c r="A455" t="inlineStr">
        <is>
          <t>A 31105-2022</t>
        </is>
      </c>
      <c r="B455" s="1" t="n">
        <v>44769.66039351852</v>
      </c>
      <c r="C455" s="1" t="n">
        <v>46149</v>
      </c>
      <c r="D455" t="inlineStr">
        <is>
          <t>STOCKHOLMS LÄN</t>
        </is>
      </c>
      <c r="E455" t="inlineStr">
        <is>
          <t>NORRTÄLJE</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39213-2022</t>
        </is>
      </c>
      <c r="B456" s="1" t="n">
        <v>44817.56120370371</v>
      </c>
      <c r="C456" s="1" t="n">
        <v>46149</v>
      </c>
      <c r="D456" t="inlineStr">
        <is>
          <t>STOCKHOLMS LÄN</t>
        </is>
      </c>
      <c r="E456" t="inlineStr">
        <is>
          <t>NORRTÄLJE</t>
        </is>
      </c>
      <c r="G456" t="n">
        <v>3.4</v>
      </c>
      <c r="H456" t="n">
        <v>0</v>
      </c>
      <c r="I456" t="n">
        <v>0</v>
      </c>
      <c r="J456" t="n">
        <v>0</v>
      </c>
      <c r="K456" t="n">
        <v>0</v>
      </c>
      <c r="L456" t="n">
        <v>0</v>
      </c>
      <c r="M456" t="n">
        <v>0</v>
      </c>
      <c r="N456" t="n">
        <v>0</v>
      </c>
      <c r="O456" t="n">
        <v>0</v>
      </c>
      <c r="P456" t="n">
        <v>0</v>
      </c>
      <c r="Q456" t="n">
        <v>0</v>
      </c>
      <c r="R456" s="2" t="inlineStr"/>
    </row>
    <row r="457" ht="15" customHeight="1">
      <c r="A457" t="inlineStr">
        <is>
          <t>A 21771-2025</t>
        </is>
      </c>
      <c r="B457" s="1" t="n">
        <v>45783</v>
      </c>
      <c r="C457" s="1" t="n">
        <v>46149</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41976-2024</t>
        </is>
      </c>
      <c r="B458" s="1" t="n">
        <v>45561.62141203704</v>
      </c>
      <c r="C458" s="1" t="n">
        <v>46149</v>
      </c>
      <c r="D458" t="inlineStr">
        <is>
          <t>STOCKHOLMS LÄN</t>
        </is>
      </c>
      <c r="E458" t="inlineStr">
        <is>
          <t>NORRTÄLJE</t>
        </is>
      </c>
      <c r="G458" t="n">
        <v>2.5</v>
      </c>
      <c r="H458" t="n">
        <v>0</v>
      </c>
      <c r="I458" t="n">
        <v>0</v>
      </c>
      <c r="J458" t="n">
        <v>0</v>
      </c>
      <c r="K458" t="n">
        <v>0</v>
      </c>
      <c r="L458" t="n">
        <v>0</v>
      </c>
      <c r="M458" t="n">
        <v>0</v>
      </c>
      <c r="N458" t="n">
        <v>0</v>
      </c>
      <c r="O458" t="n">
        <v>0</v>
      </c>
      <c r="P458" t="n">
        <v>0</v>
      </c>
      <c r="Q458" t="n">
        <v>0</v>
      </c>
      <c r="R458" s="2" t="inlineStr"/>
    </row>
    <row r="459" ht="15" customHeight="1">
      <c r="A459" t="inlineStr">
        <is>
          <t>A 38593-2025</t>
        </is>
      </c>
      <c r="B459" s="1" t="n">
        <v>45884.48696759259</v>
      </c>
      <c r="C459" s="1" t="n">
        <v>46149</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51325-2023</t>
        </is>
      </c>
      <c r="B460" s="1" t="n">
        <v>45219</v>
      </c>
      <c r="C460" s="1" t="n">
        <v>46149</v>
      </c>
      <c r="D460" t="inlineStr">
        <is>
          <t>STOCKHOLMS LÄN</t>
        </is>
      </c>
      <c r="E460" t="inlineStr">
        <is>
          <t>NORRTÄLJE</t>
        </is>
      </c>
      <c r="G460" t="n">
        <v>2.2</v>
      </c>
      <c r="H460" t="n">
        <v>0</v>
      </c>
      <c r="I460" t="n">
        <v>0</v>
      </c>
      <c r="J460" t="n">
        <v>0</v>
      </c>
      <c r="K460" t="n">
        <v>0</v>
      </c>
      <c r="L460" t="n">
        <v>0</v>
      </c>
      <c r="M460" t="n">
        <v>0</v>
      </c>
      <c r="N460" t="n">
        <v>0</v>
      </c>
      <c r="O460" t="n">
        <v>0</v>
      </c>
      <c r="P460" t="n">
        <v>0</v>
      </c>
      <c r="Q460" t="n">
        <v>0</v>
      </c>
      <c r="R460" s="2" t="inlineStr"/>
    </row>
    <row r="461" ht="15" customHeight="1">
      <c r="A461" t="inlineStr">
        <is>
          <t>A 30620-2022</t>
        </is>
      </c>
      <c r="B461" s="1" t="n">
        <v>44763.40914351852</v>
      </c>
      <c r="C461" s="1" t="n">
        <v>46149</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50113-2024</t>
        </is>
      </c>
      <c r="B462" s="1" t="n">
        <v>45600.411875</v>
      </c>
      <c r="C462" s="1" t="n">
        <v>46149</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28365-2022</t>
        </is>
      </c>
      <c r="B463" s="1" t="n">
        <v>44747</v>
      </c>
      <c r="C463" s="1" t="n">
        <v>46149</v>
      </c>
      <c r="D463" t="inlineStr">
        <is>
          <t>STOCKHOLMS LÄN</t>
        </is>
      </c>
      <c r="E463" t="inlineStr">
        <is>
          <t>NORRTÄLJE</t>
        </is>
      </c>
      <c r="G463" t="n">
        <v>5.1</v>
      </c>
      <c r="H463" t="n">
        <v>0</v>
      </c>
      <c r="I463" t="n">
        <v>0</v>
      </c>
      <c r="J463" t="n">
        <v>0</v>
      </c>
      <c r="K463" t="n">
        <v>0</v>
      </c>
      <c r="L463" t="n">
        <v>0</v>
      </c>
      <c r="M463" t="n">
        <v>0</v>
      </c>
      <c r="N463" t="n">
        <v>0</v>
      </c>
      <c r="O463" t="n">
        <v>0</v>
      </c>
      <c r="P463" t="n">
        <v>0</v>
      </c>
      <c r="Q463" t="n">
        <v>0</v>
      </c>
      <c r="R463" s="2" t="inlineStr"/>
    </row>
    <row r="464" ht="15" customHeight="1">
      <c r="A464" t="inlineStr">
        <is>
          <t>A 59534-2024</t>
        </is>
      </c>
      <c r="B464" s="1" t="n">
        <v>45638.5987037037</v>
      </c>
      <c r="C464" s="1" t="n">
        <v>46149</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31107-2022</t>
        </is>
      </c>
      <c r="B465" s="1" t="n">
        <v>44769.66864583334</v>
      </c>
      <c r="C465" s="1" t="n">
        <v>46149</v>
      </c>
      <c r="D465" t="inlineStr">
        <is>
          <t>STOCKHOLMS LÄN</t>
        </is>
      </c>
      <c r="E465" t="inlineStr">
        <is>
          <t>NORRTÄLJE</t>
        </is>
      </c>
      <c r="G465" t="n">
        <v>3.8</v>
      </c>
      <c r="H465" t="n">
        <v>0</v>
      </c>
      <c r="I465" t="n">
        <v>0</v>
      </c>
      <c r="J465" t="n">
        <v>0</v>
      </c>
      <c r="K465" t="n">
        <v>0</v>
      </c>
      <c r="L465" t="n">
        <v>0</v>
      </c>
      <c r="M465" t="n">
        <v>0</v>
      </c>
      <c r="N465" t="n">
        <v>0</v>
      </c>
      <c r="O465" t="n">
        <v>0</v>
      </c>
      <c r="P465" t="n">
        <v>0</v>
      </c>
      <c r="Q465" t="n">
        <v>0</v>
      </c>
      <c r="R465" s="2" t="inlineStr"/>
    </row>
    <row r="466" ht="15" customHeight="1">
      <c r="A466" t="inlineStr">
        <is>
          <t>A 13860-2023</t>
        </is>
      </c>
      <c r="B466" s="1" t="n">
        <v>45007</v>
      </c>
      <c r="C466" s="1" t="n">
        <v>46149</v>
      </c>
      <c r="D466" t="inlineStr">
        <is>
          <t>STOCKHOLMS LÄN</t>
        </is>
      </c>
      <c r="E466" t="inlineStr">
        <is>
          <t>NORRTÄLJE</t>
        </is>
      </c>
      <c r="G466" t="n">
        <v>1.6</v>
      </c>
      <c r="H466" t="n">
        <v>0</v>
      </c>
      <c r="I466" t="n">
        <v>0</v>
      </c>
      <c r="J466" t="n">
        <v>0</v>
      </c>
      <c r="K466" t="n">
        <v>0</v>
      </c>
      <c r="L466" t="n">
        <v>0</v>
      </c>
      <c r="M466" t="n">
        <v>0</v>
      </c>
      <c r="N466" t="n">
        <v>0</v>
      </c>
      <c r="O466" t="n">
        <v>0</v>
      </c>
      <c r="P466" t="n">
        <v>0</v>
      </c>
      <c r="Q466" t="n">
        <v>0</v>
      </c>
      <c r="R466" s="2" t="inlineStr"/>
    </row>
    <row r="467" ht="15" customHeight="1">
      <c r="A467" t="inlineStr">
        <is>
          <t>A 6855-2025</t>
        </is>
      </c>
      <c r="B467" s="1" t="n">
        <v>45700</v>
      </c>
      <c r="C467" s="1" t="n">
        <v>46149</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42955-2022</t>
        </is>
      </c>
      <c r="B468" s="1" t="n">
        <v>44833.40876157407</v>
      </c>
      <c r="C468" s="1" t="n">
        <v>46149</v>
      </c>
      <c r="D468" t="inlineStr">
        <is>
          <t>STOCKHOLMS LÄN</t>
        </is>
      </c>
      <c r="E468" t="inlineStr">
        <is>
          <t>NORRTÄLJE</t>
        </is>
      </c>
      <c r="G468" t="n">
        <v>13.1</v>
      </c>
      <c r="H468" t="n">
        <v>0</v>
      </c>
      <c r="I468" t="n">
        <v>0</v>
      </c>
      <c r="J468" t="n">
        <v>0</v>
      </c>
      <c r="K468" t="n">
        <v>0</v>
      </c>
      <c r="L468" t="n">
        <v>0</v>
      </c>
      <c r="M468" t="n">
        <v>0</v>
      </c>
      <c r="N468" t="n">
        <v>0</v>
      </c>
      <c r="O468" t="n">
        <v>0</v>
      </c>
      <c r="P468" t="n">
        <v>0</v>
      </c>
      <c r="Q468" t="n">
        <v>0</v>
      </c>
      <c r="R468" s="2" t="inlineStr"/>
    </row>
    <row r="469" ht="15" customHeight="1">
      <c r="A469" t="inlineStr">
        <is>
          <t>A 21778-2025</t>
        </is>
      </c>
      <c r="B469" s="1" t="n">
        <v>45783.66429398148</v>
      </c>
      <c r="C469" s="1" t="n">
        <v>46149</v>
      </c>
      <c r="D469" t="inlineStr">
        <is>
          <t>STOCKHOLMS LÄN</t>
        </is>
      </c>
      <c r="E469" t="inlineStr">
        <is>
          <t>NORRTÄLJE</t>
        </is>
      </c>
      <c r="G469" t="n">
        <v>2</v>
      </c>
      <c r="H469" t="n">
        <v>0</v>
      </c>
      <c r="I469" t="n">
        <v>0</v>
      </c>
      <c r="J469" t="n">
        <v>0</v>
      </c>
      <c r="K469" t="n">
        <v>0</v>
      </c>
      <c r="L469" t="n">
        <v>0</v>
      </c>
      <c r="M469" t="n">
        <v>0</v>
      </c>
      <c r="N469" t="n">
        <v>0</v>
      </c>
      <c r="O469" t="n">
        <v>0</v>
      </c>
      <c r="P469" t="n">
        <v>0</v>
      </c>
      <c r="Q469" t="n">
        <v>0</v>
      </c>
      <c r="R469" s="2" t="inlineStr"/>
    </row>
    <row r="470" ht="15" customHeight="1">
      <c r="A470" t="inlineStr">
        <is>
          <t>A 1283-2025</t>
        </is>
      </c>
      <c r="B470" s="1" t="n">
        <v>45667.49878472222</v>
      </c>
      <c r="C470" s="1" t="n">
        <v>46149</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13314-2025</t>
        </is>
      </c>
      <c r="B471" s="1" t="n">
        <v>45735.59287037037</v>
      </c>
      <c r="C471" s="1" t="n">
        <v>46149</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34432-2021</t>
        </is>
      </c>
      <c r="B472" s="1" t="n">
        <v>44380.77346064815</v>
      </c>
      <c r="C472" s="1" t="n">
        <v>46149</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27677-2025</t>
        </is>
      </c>
      <c r="B473" s="1" t="n">
        <v>45813.63650462963</v>
      </c>
      <c r="C473" s="1" t="n">
        <v>46149</v>
      </c>
      <c r="D473" t="inlineStr">
        <is>
          <t>STOCKHOLMS LÄN</t>
        </is>
      </c>
      <c r="E473" t="inlineStr">
        <is>
          <t>NORRTÄLJE</t>
        </is>
      </c>
      <c r="G473" t="n">
        <v>2</v>
      </c>
      <c r="H473" t="n">
        <v>0</v>
      </c>
      <c r="I473" t="n">
        <v>0</v>
      </c>
      <c r="J473" t="n">
        <v>0</v>
      </c>
      <c r="K473" t="n">
        <v>0</v>
      </c>
      <c r="L473" t="n">
        <v>0</v>
      </c>
      <c r="M473" t="n">
        <v>0</v>
      </c>
      <c r="N473" t="n">
        <v>0</v>
      </c>
      <c r="O473" t="n">
        <v>0</v>
      </c>
      <c r="P473" t="n">
        <v>0</v>
      </c>
      <c r="Q473" t="n">
        <v>0</v>
      </c>
      <c r="R473" s="2" t="inlineStr"/>
    </row>
    <row r="474" ht="15" customHeight="1">
      <c r="A474" t="inlineStr">
        <is>
          <t>A 39152-2025</t>
        </is>
      </c>
      <c r="B474" s="1" t="n">
        <v>45888</v>
      </c>
      <c r="C474" s="1" t="n">
        <v>46149</v>
      </c>
      <c r="D474" t="inlineStr">
        <is>
          <t>STOCKHOLMS LÄN</t>
        </is>
      </c>
      <c r="E474" t="inlineStr">
        <is>
          <t>NORRTÄLJE</t>
        </is>
      </c>
      <c r="G474" t="n">
        <v>4.6</v>
      </c>
      <c r="H474" t="n">
        <v>0</v>
      </c>
      <c r="I474" t="n">
        <v>0</v>
      </c>
      <c r="J474" t="n">
        <v>0</v>
      </c>
      <c r="K474" t="n">
        <v>0</v>
      </c>
      <c r="L474" t="n">
        <v>0</v>
      </c>
      <c r="M474" t="n">
        <v>0</v>
      </c>
      <c r="N474" t="n">
        <v>0</v>
      </c>
      <c r="O474" t="n">
        <v>0</v>
      </c>
      <c r="P474" t="n">
        <v>0</v>
      </c>
      <c r="Q474" t="n">
        <v>0</v>
      </c>
      <c r="R474" s="2" t="inlineStr"/>
    </row>
    <row r="475" ht="15" customHeight="1">
      <c r="A475" t="inlineStr">
        <is>
          <t>A 13767-2025</t>
        </is>
      </c>
      <c r="B475" s="1" t="n">
        <v>45737.43347222222</v>
      </c>
      <c r="C475" s="1" t="n">
        <v>46149</v>
      </c>
      <c r="D475" t="inlineStr">
        <is>
          <t>STOCKHOLMS LÄN</t>
        </is>
      </c>
      <c r="E475" t="inlineStr">
        <is>
          <t>NORRTÄLJE</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20013-2025</t>
        </is>
      </c>
      <c r="B476" s="1" t="n">
        <v>45772.30436342592</v>
      </c>
      <c r="C476" s="1" t="n">
        <v>46149</v>
      </c>
      <c r="D476" t="inlineStr">
        <is>
          <t>STOCKHOLMS LÄN</t>
        </is>
      </c>
      <c r="E476" t="inlineStr">
        <is>
          <t>NORRTÄLJE</t>
        </is>
      </c>
      <c r="G476" t="n">
        <v>2.3</v>
      </c>
      <c r="H476" t="n">
        <v>0</v>
      </c>
      <c r="I476" t="n">
        <v>0</v>
      </c>
      <c r="J476" t="n">
        <v>0</v>
      </c>
      <c r="K476" t="n">
        <v>0</v>
      </c>
      <c r="L476" t="n">
        <v>0</v>
      </c>
      <c r="M476" t="n">
        <v>0</v>
      </c>
      <c r="N476" t="n">
        <v>0</v>
      </c>
      <c r="O476" t="n">
        <v>0</v>
      </c>
      <c r="P476" t="n">
        <v>0</v>
      </c>
      <c r="Q476" t="n">
        <v>0</v>
      </c>
      <c r="R476" s="2" t="inlineStr"/>
    </row>
    <row r="477" ht="15" customHeight="1">
      <c r="A477" t="inlineStr">
        <is>
          <t>A 53362-2023</t>
        </is>
      </c>
      <c r="B477" s="1" t="n">
        <v>45223</v>
      </c>
      <c r="C477" s="1" t="n">
        <v>46149</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15422-2024</t>
        </is>
      </c>
      <c r="B478" s="1" t="n">
        <v>45401.3653125</v>
      </c>
      <c r="C478" s="1" t="n">
        <v>46149</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30508-2023</t>
        </is>
      </c>
      <c r="B479" s="1" t="n">
        <v>45111</v>
      </c>
      <c r="C479" s="1" t="n">
        <v>46149</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39149-2025</t>
        </is>
      </c>
      <c r="B480" s="1" t="n">
        <v>45888.60714120371</v>
      </c>
      <c r="C480" s="1" t="n">
        <v>46149</v>
      </c>
      <c r="D480" t="inlineStr">
        <is>
          <t>STOCKHOLMS LÄN</t>
        </is>
      </c>
      <c r="E480" t="inlineStr">
        <is>
          <t>NORRTÄLJE</t>
        </is>
      </c>
      <c r="G480" t="n">
        <v>3.5</v>
      </c>
      <c r="H480" t="n">
        <v>0</v>
      </c>
      <c r="I480" t="n">
        <v>0</v>
      </c>
      <c r="J480" t="n">
        <v>0</v>
      </c>
      <c r="K480" t="n">
        <v>0</v>
      </c>
      <c r="L480" t="n">
        <v>0</v>
      </c>
      <c r="M480" t="n">
        <v>0</v>
      </c>
      <c r="N480" t="n">
        <v>0</v>
      </c>
      <c r="O480" t="n">
        <v>0</v>
      </c>
      <c r="P480" t="n">
        <v>0</v>
      </c>
      <c r="Q480" t="n">
        <v>0</v>
      </c>
      <c r="R480" s="2" t="inlineStr"/>
    </row>
    <row r="481" ht="15" customHeight="1">
      <c r="A481" t="inlineStr">
        <is>
          <t>A 16008-2025</t>
        </is>
      </c>
      <c r="B481" s="1" t="n">
        <v>45749</v>
      </c>
      <c r="C481" s="1" t="n">
        <v>46149</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22202-2025</t>
        </is>
      </c>
      <c r="B482" s="1" t="n">
        <v>45785.65300925926</v>
      </c>
      <c r="C482" s="1" t="n">
        <v>46149</v>
      </c>
      <c r="D482" t="inlineStr">
        <is>
          <t>STOCKHOLMS LÄN</t>
        </is>
      </c>
      <c r="E482" t="inlineStr">
        <is>
          <t>NORRTÄLJE</t>
        </is>
      </c>
      <c r="G482" t="n">
        <v>10.2</v>
      </c>
      <c r="H482" t="n">
        <v>0</v>
      </c>
      <c r="I482" t="n">
        <v>0</v>
      </c>
      <c r="J482" t="n">
        <v>0</v>
      </c>
      <c r="K482" t="n">
        <v>0</v>
      </c>
      <c r="L482" t="n">
        <v>0</v>
      </c>
      <c r="M482" t="n">
        <v>0</v>
      </c>
      <c r="N482" t="n">
        <v>0</v>
      </c>
      <c r="O482" t="n">
        <v>0</v>
      </c>
      <c r="P482" t="n">
        <v>0</v>
      </c>
      <c r="Q482" t="n">
        <v>0</v>
      </c>
      <c r="R482" s="2" t="inlineStr"/>
    </row>
    <row r="483" ht="15" customHeight="1">
      <c r="A483" t="inlineStr">
        <is>
          <t>A 39692-2025</t>
        </is>
      </c>
      <c r="B483" s="1" t="n">
        <v>45890.68083333333</v>
      </c>
      <c r="C483" s="1" t="n">
        <v>46149</v>
      </c>
      <c r="D483" t="inlineStr">
        <is>
          <t>STOCKHOLMS LÄN</t>
        </is>
      </c>
      <c r="E483" t="inlineStr">
        <is>
          <t>NORRTÄLJE</t>
        </is>
      </c>
      <c r="G483" t="n">
        <v>10.5</v>
      </c>
      <c r="H483" t="n">
        <v>0</v>
      </c>
      <c r="I483" t="n">
        <v>0</v>
      </c>
      <c r="J483" t="n">
        <v>0</v>
      </c>
      <c r="K483" t="n">
        <v>0</v>
      </c>
      <c r="L483" t="n">
        <v>0</v>
      </c>
      <c r="M483" t="n">
        <v>0</v>
      </c>
      <c r="N483" t="n">
        <v>0</v>
      </c>
      <c r="O483" t="n">
        <v>0</v>
      </c>
      <c r="P483" t="n">
        <v>0</v>
      </c>
      <c r="Q483" t="n">
        <v>0</v>
      </c>
      <c r="R483" s="2" t="inlineStr"/>
    </row>
    <row r="484" ht="15" customHeight="1">
      <c r="A484" t="inlineStr">
        <is>
          <t>A 21158-2022</t>
        </is>
      </c>
      <c r="B484" s="1" t="n">
        <v>44704</v>
      </c>
      <c r="C484" s="1" t="n">
        <v>46149</v>
      </c>
      <c r="D484" t="inlineStr">
        <is>
          <t>STOCKHOLMS LÄN</t>
        </is>
      </c>
      <c r="E484" t="inlineStr">
        <is>
          <t>NORRTÄLJE</t>
        </is>
      </c>
      <c r="G484" t="n">
        <v>17.8</v>
      </c>
      <c r="H484" t="n">
        <v>0</v>
      </c>
      <c r="I484" t="n">
        <v>0</v>
      </c>
      <c r="J484" t="n">
        <v>0</v>
      </c>
      <c r="K484" t="n">
        <v>0</v>
      </c>
      <c r="L484" t="n">
        <v>0</v>
      </c>
      <c r="M484" t="n">
        <v>0</v>
      </c>
      <c r="N484" t="n">
        <v>0</v>
      </c>
      <c r="O484" t="n">
        <v>0</v>
      </c>
      <c r="P484" t="n">
        <v>0</v>
      </c>
      <c r="Q484" t="n">
        <v>0</v>
      </c>
      <c r="R484" s="2" t="inlineStr"/>
    </row>
    <row r="485" ht="15" customHeight="1">
      <c r="A485" t="inlineStr">
        <is>
          <t>A 23149-2024</t>
        </is>
      </c>
      <c r="B485" s="1" t="n">
        <v>45450.64208333333</v>
      </c>
      <c r="C485" s="1" t="n">
        <v>46149</v>
      </c>
      <c r="D485" t="inlineStr">
        <is>
          <t>STOCKHOLMS LÄN</t>
        </is>
      </c>
      <c r="E485" t="inlineStr">
        <is>
          <t>NORRTÄLJE</t>
        </is>
      </c>
      <c r="F485" t="inlineStr">
        <is>
          <t>Kommuner</t>
        </is>
      </c>
      <c r="G485" t="n">
        <v>1.3</v>
      </c>
      <c r="H485" t="n">
        <v>0</v>
      </c>
      <c r="I485" t="n">
        <v>0</v>
      </c>
      <c r="J485" t="n">
        <v>0</v>
      </c>
      <c r="K485" t="n">
        <v>0</v>
      </c>
      <c r="L485" t="n">
        <v>0</v>
      </c>
      <c r="M485" t="n">
        <v>0</v>
      </c>
      <c r="N485" t="n">
        <v>0</v>
      </c>
      <c r="O485" t="n">
        <v>0</v>
      </c>
      <c r="P485" t="n">
        <v>0</v>
      </c>
      <c r="Q485" t="n">
        <v>0</v>
      </c>
      <c r="R485" s="2" t="inlineStr"/>
    </row>
    <row r="486" ht="15" customHeight="1">
      <c r="A486" t="inlineStr">
        <is>
          <t>A 23151-2024</t>
        </is>
      </c>
      <c r="B486" s="1" t="n">
        <v>45450</v>
      </c>
      <c r="C486" s="1" t="n">
        <v>46149</v>
      </c>
      <c r="D486" t="inlineStr">
        <is>
          <t>STOCKHOLMS LÄN</t>
        </is>
      </c>
      <c r="E486" t="inlineStr">
        <is>
          <t>NORRTÄLJE</t>
        </is>
      </c>
      <c r="F486" t="inlineStr">
        <is>
          <t>Kommuner</t>
        </is>
      </c>
      <c r="G486" t="n">
        <v>1.2</v>
      </c>
      <c r="H486" t="n">
        <v>0</v>
      </c>
      <c r="I486" t="n">
        <v>0</v>
      </c>
      <c r="J486" t="n">
        <v>0</v>
      </c>
      <c r="K486" t="n">
        <v>0</v>
      </c>
      <c r="L486" t="n">
        <v>0</v>
      </c>
      <c r="M486" t="n">
        <v>0</v>
      </c>
      <c r="N486" t="n">
        <v>0</v>
      </c>
      <c r="O486" t="n">
        <v>0</v>
      </c>
      <c r="P486" t="n">
        <v>0</v>
      </c>
      <c r="Q486" t="n">
        <v>0</v>
      </c>
      <c r="R486" s="2" t="inlineStr"/>
    </row>
    <row r="487" ht="15" customHeight="1">
      <c r="A487" t="inlineStr">
        <is>
          <t>A 32101-2022</t>
        </is>
      </c>
      <c r="B487" s="1" t="n">
        <v>44778.69210648148</v>
      </c>
      <c r="C487" s="1" t="n">
        <v>46149</v>
      </c>
      <c r="D487" t="inlineStr">
        <is>
          <t>STOCKHOLMS LÄN</t>
        </is>
      </c>
      <c r="E487" t="inlineStr">
        <is>
          <t>NORRTÄLJE</t>
        </is>
      </c>
      <c r="G487" t="n">
        <v>4.4</v>
      </c>
      <c r="H487" t="n">
        <v>0</v>
      </c>
      <c r="I487" t="n">
        <v>0</v>
      </c>
      <c r="J487" t="n">
        <v>0</v>
      </c>
      <c r="K487" t="n">
        <v>0</v>
      </c>
      <c r="L487" t="n">
        <v>0</v>
      </c>
      <c r="M487" t="n">
        <v>0</v>
      </c>
      <c r="N487" t="n">
        <v>0</v>
      </c>
      <c r="O487" t="n">
        <v>0</v>
      </c>
      <c r="P487" t="n">
        <v>0</v>
      </c>
      <c r="Q487" t="n">
        <v>0</v>
      </c>
      <c r="R487" s="2" t="inlineStr"/>
    </row>
    <row r="488" ht="15" customHeight="1">
      <c r="A488" t="inlineStr">
        <is>
          <t>A 52001-2023</t>
        </is>
      </c>
      <c r="B488" s="1" t="n">
        <v>45223</v>
      </c>
      <c r="C488" s="1" t="n">
        <v>46149</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23150-2024</t>
        </is>
      </c>
      <c r="B489" s="1" t="n">
        <v>45450.64643518518</v>
      </c>
      <c r="C489" s="1" t="n">
        <v>46149</v>
      </c>
      <c r="D489" t="inlineStr">
        <is>
          <t>STOCKHOLMS LÄN</t>
        </is>
      </c>
      <c r="E489" t="inlineStr">
        <is>
          <t>NORRTÄLJE</t>
        </is>
      </c>
      <c r="F489" t="inlineStr">
        <is>
          <t>Kommuner</t>
        </is>
      </c>
      <c r="G489" t="n">
        <v>2.7</v>
      </c>
      <c r="H489" t="n">
        <v>0</v>
      </c>
      <c r="I489" t="n">
        <v>0</v>
      </c>
      <c r="J489" t="n">
        <v>0</v>
      </c>
      <c r="K489" t="n">
        <v>0</v>
      </c>
      <c r="L489" t="n">
        <v>0</v>
      </c>
      <c r="M489" t="n">
        <v>0</v>
      </c>
      <c r="N489" t="n">
        <v>0</v>
      </c>
      <c r="O489" t="n">
        <v>0</v>
      </c>
      <c r="P489" t="n">
        <v>0</v>
      </c>
      <c r="Q489" t="n">
        <v>0</v>
      </c>
      <c r="R489" s="2" t="inlineStr"/>
    </row>
    <row r="490" ht="15" customHeight="1">
      <c r="A490" t="inlineStr">
        <is>
          <t>A 35639-2025</t>
        </is>
      </c>
      <c r="B490" s="1" t="n">
        <v>45859</v>
      </c>
      <c r="C490" s="1" t="n">
        <v>46149</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24933-2023</t>
        </is>
      </c>
      <c r="B491" s="1" t="n">
        <v>45085.5309375</v>
      </c>
      <c r="C491" s="1" t="n">
        <v>46149</v>
      </c>
      <c r="D491" t="inlineStr">
        <is>
          <t>STOCKHOLMS LÄN</t>
        </is>
      </c>
      <c r="E491" t="inlineStr">
        <is>
          <t>NORRTÄLJE</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60185-2024</t>
        </is>
      </c>
      <c r="B492" s="1" t="n">
        <v>45642.64634259259</v>
      </c>
      <c r="C492" s="1" t="n">
        <v>46149</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16620-2024</t>
        </is>
      </c>
      <c r="B493" s="1" t="n">
        <v>45408.57707175926</v>
      </c>
      <c r="C493" s="1" t="n">
        <v>46149</v>
      </c>
      <c r="D493" t="inlineStr">
        <is>
          <t>STOCKHOLMS LÄN</t>
        </is>
      </c>
      <c r="E493" t="inlineStr">
        <is>
          <t>NORRTÄLJE</t>
        </is>
      </c>
      <c r="G493" t="n">
        <v>2.7</v>
      </c>
      <c r="H493" t="n">
        <v>0</v>
      </c>
      <c r="I493" t="n">
        <v>0</v>
      </c>
      <c r="J493" t="n">
        <v>0</v>
      </c>
      <c r="K493" t="n">
        <v>0</v>
      </c>
      <c r="L493" t="n">
        <v>0</v>
      </c>
      <c r="M493" t="n">
        <v>0</v>
      </c>
      <c r="N493" t="n">
        <v>0</v>
      </c>
      <c r="O493" t="n">
        <v>0</v>
      </c>
      <c r="P493" t="n">
        <v>0</v>
      </c>
      <c r="Q493" t="n">
        <v>0</v>
      </c>
      <c r="R493" s="2" t="inlineStr"/>
    </row>
    <row r="494" ht="15" customHeight="1">
      <c r="A494" t="inlineStr">
        <is>
          <t>A 48686-2023</t>
        </is>
      </c>
      <c r="B494" s="1" t="n">
        <v>45208</v>
      </c>
      <c r="C494" s="1" t="n">
        <v>46149</v>
      </c>
      <c r="D494" t="inlineStr">
        <is>
          <t>STOCKHOLMS LÄN</t>
        </is>
      </c>
      <c r="E494" t="inlineStr">
        <is>
          <t>NORRTÄLJE</t>
        </is>
      </c>
      <c r="G494" t="n">
        <v>6</v>
      </c>
      <c r="H494" t="n">
        <v>0</v>
      </c>
      <c r="I494" t="n">
        <v>0</v>
      </c>
      <c r="J494" t="n">
        <v>0</v>
      </c>
      <c r="K494" t="n">
        <v>0</v>
      </c>
      <c r="L494" t="n">
        <v>0</v>
      </c>
      <c r="M494" t="n">
        <v>0</v>
      </c>
      <c r="N494" t="n">
        <v>0</v>
      </c>
      <c r="O494" t="n">
        <v>0</v>
      </c>
      <c r="P494" t="n">
        <v>0</v>
      </c>
      <c r="Q494" t="n">
        <v>0</v>
      </c>
      <c r="R494" s="2" t="inlineStr"/>
    </row>
    <row r="495" ht="15" customHeight="1">
      <c r="A495" t="inlineStr">
        <is>
          <t>A 48691-2023</t>
        </is>
      </c>
      <c r="B495" s="1" t="n">
        <v>45208</v>
      </c>
      <c r="C495" s="1" t="n">
        <v>46149</v>
      </c>
      <c r="D495" t="inlineStr">
        <is>
          <t>STOCKHOLMS LÄN</t>
        </is>
      </c>
      <c r="E495" t="inlineStr">
        <is>
          <t>NORRTÄLJE</t>
        </is>
      </c>
      <c r="G495" t="n">
        <v>5.8</v>
      </c>
      <c r="H495" t="n">
        <v>0</v>
      </c>
      <c r="I495" t="n">
        <v>0</v>
      </c>
      <c r="J495" t="n">
        <v>0</v>
      </c>
      <c r="K495" t="n">
        <v>0</v>
      </c>
      <c r="L495" t="n">
        <v>0</v>
      </c>
      <c r="M495" t="n">
        <v>0</v>
      </c>
      <c r="N495" t="n">
        <v>0</v>
      </c>
      <c r="O495" t="n">
        <v>0</v>
      </c>
      <c r="P495" t="n">
        <v>0</v>
      </c>
      <c r="Q495" t="n">
        <v>0</v>
      </c>
      <c r="R495" s="2" t="inlineStr"/>
    </row>
    <row r="496" ht="15" customHeight="1">
      <c r="A496" t="inlineStr">
        <is>
          <t>A 56631-2024</t>
        </is>
      </c>
      <c r="B496" s="1" t="n">
        <v>45625</v>
      </c>
      <c r="C496" s="1" t="n">
        <v>46149</v>
      </c>
      <c r="D496" t="inlineStr">
        <is>
          <t>STOCKHOLMS LÄN</t>
        </is>
      </c>
      <c r="E496" t="inlineStr">
        <is>
          <t>NORRTÄLJE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652-2025</t>
        </is>
      </c>
      <c r="B497" s="1" t="n">
        <v>45664</v>
      </c>
      <c r="C497" s="1" t="n">
        <v>46149</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35636-2025</t>
        </is>
      </c>
      <c r="B498" s="1" t="n">
        <v>45859</v>
      </c>
      <c r="C498" s="1" t="n">
        <v>46149</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22416-2025</t>
        </is>
      </c>
      <c r="B499" s="1" t="n">
        <v>45786.55645833333</v>
      </c>
      <c r="C499" s="1" t="n">
        <v>46149</v>
      </c>
      <c r="D499" t="inlineStr">
        <is>
          <t>STOCKHOLMS LÄN</t>
        </is>
      </c>
      <c r="E499" t="inlineStr">
        <is>
          <t>NORRTÄLJE</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40172-2025</t>
        </is>
      </c>
      <c r="B500" s="1" t="n">
        <v>45894.6353125</v>
      </c>
      <c r="C500" s="1" t="n">
        <v>46149</v>
      </c>
      <c r="D500" t="inlineStr">
        <is>
          <t>STOCKHOLMS LÄN</t>
        </is>
      </c>
      <c r="E500" t="inlineStr">
        <is>
          <t>NORRTÄLJE</t>
        </is>
      </c>
      <c r="G500" t="n">
        <v>6</v>
      </c>
      <c r="H500" t="n">
        <v>0</v>
      </c>
      <c r="I500" t="n">
        <v>0</v>
      </c>
      <c r="J500" t="n">
        <v>0</v>
      </c>
      <c r="K500" t="n">
        <v>0</v>
      </c>
      <c r="L500" t="n">
        <v>0</v>
      </c>
      <c r="M500" t="n">
        <v>0</v>
      </c>
      <c r="N500" t="n">
        <v>0</v>
      </c>
      <c r="O500" t="n">
        <v>0</v>
      </c>
      <c r="P500" t="n">
        <v>0</v>
      </c>
      <c r="Q500" t="n">
        <v>0</v>
      </c>
      <c r="R500" s="2" t="inlineStr"/>
    </row>
    <row r="501" ht="15" customHeight="1">
      <c r="A501" t="inlineStr">
        <is>
          <t>A 40033-2025</t>
        </is>
      </c>
      <c r="B501" s="1" t="n">
        <v>45893</v>
      </c>
      <c r="C501" s="1" t="n">
        <v>46149</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40032-2025</t>
        </is>
      </c>
      <c r="B502" s="1" t="n">
        <v>45893</v>
      </c>
      <c r="C502" s="1" t="n">
        <v>46149</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40292-2025</t>
        </is>
      </c>
      <c r="B503" s="1" t="n">
        <v>45895.3867824074</v>
      </c>
      <c r="C503" s="1" t="n">
        <v>46149</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40294-2025</t>
        </is>
      </c>
      <c r="B504" s="1" t="n">
        <v>45895.38778935185</v>
      </c>
      <c r="C504" s="1" t="n">
        <v>46149</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40228-2025</t>
        </is>
      </c>
      <c r="B505" s="1" t="n">
        <v>45894.70854166667</v>
      </c>
      <c r="C505" s="1" t="n">
        <v>46149</v>
      </c>
      <c r="D505" t="inlineStr">
        <is>
          <t>STOCKHOLMS LÄN</t>
        </is>
      </c>
      <c r="E505" t="inlineStr">
        <is>
          <t>NORRTÄLJE</t>
        </is>
      </c>
      <c r="G505" t="n">
        <v>2.1</v>
      </c>
      <c r="H505" t="n">
        <v>0</v>
      </c>
      <c r="I505" t="n">
        <v>0</v>
      </c>
      <c r="J505" t="n">
        <v>0</v>
      </c>
      <c r="K505" t="n">
        <v>0</v>
      </c>
      <c r="L505" t="n">
        <v>0</v>
      </c>
      <c r="M505" t="n">
        <v>0</v>
      </c>
      <c r="N505" t="n">
        <v>0</v>
      </c>
      <c r="O505" t="n">
        <v>0</v>
      </c>
      <c r="P505" t="n">
        <v>0</v>
      </c>
      <c r="Q505" t="n">
        <v>0</v>
      </c>
      <c r="R505" s="2" t="inlineStr"/>
    </row>
    <row r="506" ht="15" customHeight="1">
      <c r="A506" t="inlineStr">
        <is>
          <t>A 21726-2022</t>
        </is>
      </c>
      <c r="B506" s="1" t="n">
        <v>44708</v>
      </c>
      <c r="C506" s="1" t="n">
        <v>46149</v>
      </c>
      <c r="D506" t="inlineStr">
        <is>
          <t>STOCKHOLMS LÄN</t>
        </is>
      </c>
      <c r="E506" t="inlineStr">
        <is>
          <t>NORRTÄLJE</t>
        </is>
      </c>
      <c r="G506" t="n">
        <v>0.2</v>
      </c>
      <c r="H506" t="n">
        <v>0</v>
      </c>
      <c r="I506" t="n">
        <v>0</v>
      </c>
      <c r="J506" t="n">
        <v>0</v>
      </c>
      <c r="K506" t="n">
        <v>0</v>
      </c>
      <c r="L506" t="n">
        <v>0</v>
      </c>
      <c r="M506" t="n">
        <v>0</v>
      </c>
      <c r="N506" t="n">
        <v>0</v>
      </c>
      <c r="O506" t="n">
        <v>0</v>
      </c>
      <c r="P506" t="n">
        <v>0</v>
      </c>
      <c r="Q506" t="n">
        <v>0</v>
      </c>
      <c r="R506" s="2" t="inlineStr"/>
    </row>
    <row r="507" ht="15" customHeight="1">
      <c r="A507" t="inlineStr">
        <is>
          <t>A 21739-2022</t>
        </is>
      </c>
      <c r="B507" s="1" t="n">
        <v>44708.36708333333</v>
      </c>
      <c r="C507" s="1" t="n">
        <v>46149</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58785-2024</t>
        </is>
      </c>
      <c r="B508" s="1" t="n">
        <v>45635.88849537037</v>
      </c>
      <c r="C508" s="1" t="n">
        <v>46149</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35210-2023</t>
        </is>
      </c>
      <c r="B509" s="1" t="n">
        <v>45145.63584490741</v>
      </c>
      <c r="C509" s="1" t="n">
        <v>46149</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40230-2025</t>
        </is>
      </c>
      <c r="B510" s="1" t="n">
        <v>45894.71101851852</v>
      </c>
      <c r="C510" s="1" t="n">
        <v>46149</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2182-2022</t>
        </is>
      </c>
      <c r="B511" s="1" t="n">
        <v>44578</v>
      </c>
      <c r="C511" s="1" t="n">
        <v>46149</v>
      </c>
      <c r="D511" t="inlineStr">
        <is>
          <t>STOCKHOLMS LÄN</t>
        </is>
      </c>
      <c r="E511" t="inlineStr">
        <is>
          <t>NORRTÄLJE</t>
        </is>
      </c>
      <c r="G511" t="n">
        <v>7.2</v>
      </c>
      <c r="H511" t="n">
        <v>0</v>
      </c>
      <c r="I511" t="n">
        <v>0</v>
      </c>
      <c r="J511" t="n">
        <v>0</v>
      </c>
      <c r="K511" t="n">
        <v>0</v>
      </c>
      <c r="L511" t="n">
        <v>0</v>
      </c>
      <c r="M511" t="n">
        <v>0</v>
      </c>
      <c r="N511" t="n">
        <v>0</v>
      </c>
      <c r="O511" t="n">
        <v>0</v>
      </c>
      <c r="P511" t="n">
        <v>0</v>
      </c>
      <c r="Q511" t="n">
        <v>0</v>
      </c>
      <c r="R511" s="2" t="inlineStr"/>
    </row>
    <row r="512" ht="15" customHeight="1">
      <c r="A512" t="inlineStr">
        <is>
          <t>A 59767-2022</t>
        </is>
      </c>
      <c r="B512" s="1" t="n">
        <v>44900</v>
      </c>
      <c r="C512" s="1" t="n">
        <v>46149</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40217-2025</t>
        </is>
      </c>
      <c r="B513" s="1" t="n">
        <v>45894.68864583333</v>
      </c>
      <c r="C513" s="1" t="n">
        <v>46149</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5823-2023</t>
        </is>
      </c>
      <c r="B514" s="1" t="n">
        <v>44963</v>
      </c>
      <c r="C514" s="1" t="n">
        <v>46149</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13268-2025</t>
        </is>
      </c>
      <c r="B515" s="1" t="n">
        <v>45735</v>
      </c>
      <c r="C515" s="1" t="n">
        <v>46149</v>
      </c>
      <c r="D515" t="inlineStr">
        <is>
          <t>STOCKHOLMS LÄN</t>
        </is>
      </c>
      <c r="E515" t="inlineStr">
        <is>
          <t>NORRTÄLJE</t>
        </is>
      </c>
      <c r="G515" t="n">
        <v>11.4</v>
      </c>
      <c r="H515" t="n">
        <v>0</v>
      </c>
      <c r="I515" t="n">
        <v>0</v>
      </c>
      <c r="J515" t="n">
        <v>0</v>
      </c>
      <c r="K515" t="n">
        <v>0</v>
      </c>
      <c r="L515" t="n">
        <v>0</v>
      </c>
      <c r="M515" t="n">
        <v>0</v>
      </c>
      <c r="N515" t="n">
        <v>0</v>
      </c>
      <c r="O515" t="n">
        <v>0</v>
      </c>
      <c r="P515" t="n">
        <v>0</v>
      </c>
      <c r="Q515" t="n">
        <v>0</v>
      </c>
      <c r="R515" s="2" t="inlineStr"/>
    </row>
    <row r="516" ht="15" customHeight="1">
      <c r="A516" t="inlineStr">
        <is>
          <t>A 19915-2024</t>
        </is>
      </c>
      <c r="B516" s="1" t="n">
        <v>45433.58431712963</v>
      </c>
      <c r="C516" s="1" t="n">
        <v>46149</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15217-2023</t>
        </is>
      </c>
      <c r="B517" s="1" t="n">
        <v>45019.28847222222</v>
      </c>
      <c r="C517" s="1" t="n">
        <v>46149</v>
      </c>
      <c r="D517" t="inlineStr">
        <is>
          <t>STOCKHOLMS LÄN</t>
        </is>
      </c>
      <c r="E517" t="inlineStr">
        <is>
          <t>NORRTÄLJE</t>
        </is>
      </c>
      <c r="G517" t="n">
        <v>3.6</v>
      </c>
      <c r="H517" t="n">
        <v>0</v>
      </c>
      <c r="I517" t="n">
        <v>0</v>
      </c>
      <c r="J517" t="n">
        <v>0</v>
      </c>
      <c r="K517" t="n">
        <v>0</v>
      </c>
      <c r="L517" t="n">
        <v>0</v>
      </c>
      <c r="M517" t="n">
        <v>0</v>
      </c>
      <c r="N517" t="n">
        <v>0</v>
      </c>
      <c r="O517" t="n">
        <v>0</v>
      </c>
      <c r="P517" t="n">
        <v>0</v>
      </c>
      <c r="Q517" t="n">
        <v>0</v>
      </c>
      <c r="R517" s="2" t="inlineStr"/>
    </row>
    <row r="518" ht="15" customHeight="1">
      <c r="A518" t="inlineStr">
        <is>
          <t>A 8414-2025</t>
        </is>
      </c>
      <c r="B518" s="1" t="n">
        <v>45709.39361111111</v>
      </c>
      <c r="C518" s="1" t="n">
        <v>46149</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40097-2025</t>
        </is>
      </c>
      <c r="B519" s="1" t="n">
        <v>45894.48322916667</v>
      </c>
      <c r="C519" s="1" t="n">
        <v>46149</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36625-2024</t>
        </is>
      </c>
      <c r="B520" s="1" t="n">
        <v>45537</v>
      </c>
      <c r="C520" s="1" t="n">
        <v>46149</v>
      </c>
      <c r="D520" t="inlineStr">
        <is>
          <t>STOCKHOLMS LÄN</t>
        </is>
      </c>
      <c r="E520" t="inlineStr">
        <is>
          <t>NORRTÄLJE</t>
        </is>
      </c>
      <c r="G520" t="n">
        <v>3.8</v>
      </c>
      <c r="H520" t="n">
        <v>0</v>
      </c>
      <c r="I520" t="n">
        <v>0</v>
      </c>
      <c r="J520" t="n">
        <v>0</v>
      </c>
      <c r="K520" t="n">
        <v>0</v>
      </c>
      <c r="L520" t="n">
        <v>0</v>
      </c>
      <c r="M520" t="n">
        <v>0</v>
      </c>
      <c r="N520" t="n">
        <v>0</v>
      </c>
      <c r="O520" t="n">
        <v>0</v>
      </c>
      <c r="P520" t="n">
        <v>0</v>
      </c>
      <c r="Q520" t="n">
        <v>0</v>
      </c>
      <c r="R520" s="2" t="inlineStr"/>
    </row>
    <row r="521" ht="15" customHeight="1">
      <c r="A521" t="inlineStr">
        <is>
          <t>A 44891-2023</t>
        </is>
      </c>
      <c r="B521" s="1" t="n">
        <v>45187</v>
      </c>
      <c r="C521" s="1" t="n">
        <v>46149</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12902-2024</t>
        </is>
      </c>
      <c r="B522" s="1" t="n">
        <v>45385.38146990741</v>
      </c>
      <c r="C522" s="1" t="n">
        <v>46149</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44032-2024</t>
        </is>
      </c>
      <c r="B523" s="1" t="n">
        <v>45572.57828703704</v>
      </c>
      <c r="C523" s="1" t="n">
        <v>46149</v>
      </c>
      <c r="D523" t="inlineStr">
        <is>
          <t>STOCKHOLMS LÄN</t>
        </is>
      </c>
      <c r="E523" t="inlineStr">
        <is>
          <t>NORRTÄLJE</t>
        </is>
      </c>
      <c r="G523" t="n">
        <v>8.6</v>
      </c>
      <c r="H523" t="n">
        <v>0</v>
      </c>
      <c r="I523" t="n">
        <v>0</v>
      </c>
      <c r="J523" t="n">
        <v>0</v>
      </c>
      <c r="K523" t="n">
        <v>0</v>
      </c>
      <c r="L523" t="n">
        <v>0</v>
      </c>
      <c r="M523" t="n">
        <v>0</v>
      </c>
      <c r="N523" t="n">
        <v>0</v>
      </c>
      <c r="O523" t="n">
        <v>0</v>
      </c>
      <c r="P523" t="n">
        <v>0</v>
      </c>
      <c r="Q523" t="n">
        <v>0</v>
      </c>
      <c r="R523" s="2" t="inlineStr"/>
    </row>
    <row r="524" ht="15" customHeight="1">
      <c r="A524" t="inlineStr">
        <is>
          <t>A 24563-2024</t>
        </is>
      </c>
      <c r="B524" s="1" t="n">
        <v>45460.44347222222</v>
      </c>
      <c r="C524" s="1" t="n">
        <v>46149</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50143-2023</t>
        </is>
      </c>
      <c r="B525" s="1" t="n">
        <v>45215</v>
      </c>
      <c r="C525" s="1" t="n">
        <v>46149</v>
      </c>
      <c r="D525" t="inlineStr">
        <is>
          <t>STOCKHOLMS LÄN</t>
        </is>
      </c>
      <c r="E525" t="inlineStr">
        <is>
          <t>NORRTÄLJE</t>
        </is>
      </c>
      <c r="G525" t="n">
        <v>10.3</v>
      </c>
      <c r="H525" t="n">
        <v>0</v>
      </c>
      <c r="I525" t="n">
        <v>0</v>
      </c>
      <c r="J525" t="n">
        <v>0</v>
      </c>
      <c r="K525" t="n">
        <v>0</v>
      </c>
      <c r="L525" t="n">
        <v>0</v>
      </c>
      <c r="M525" t="n">
        <v>0</v>
      </c>
      <c r="N525" t="n">
        <v>0</v>
      </c>
      <c r="O525" t="n">
        <v>0</v>
      </c>
      <c r="P525" t="n">
        <v>0</v>
      </c>
      <c r="Q525" t="n">
        <v>0</v>
      </c>
      <c r="R525" s="2" t="inlineStr"/>
    </row>
    <row r="526" ht="15" customHeight="1">
      <c r="A526" t="inlineStr">
        <is>
          <t>A 39237-2024</t>
        </is>
      </c>
      <c r="B526" s="1" t="n">
        <v>45549</v>
      </c>
      <c r="C526" s="1" t="n">
        <v>46149</v>
      </c>
      <c r="D526" t="inlineStr">
        <is>
          <t>STOCKHOLMS LÄN</t>
        </is>
      </c>
      <c r="E526" t="inlineStr">
        <is>
          <t>NORRTÄLJE</t>
        </is>
      </c>
      <c r="G526" t="n">
        <v>13.3</v>
      </c>
      <c r="H526" t="n">
        <v>0</v>
      </c>
      <c r="I526" t="n">
        <v>0</v>
      </c>
      <c r="J526" t="n">
        <v>0</v>
      </c>
      <c r="K526" t="n">
        <v>0</v>
      </c>
      <c r="L526" t="n">
        <v>0</v>
      </c>
      <c r="M526" t="n">
        <v>0</v>
      </c>
      <c r="N526" t="n">
        <v>0</v>
      </c>
      <c r="O526" t="n">
        <v>0</v>
      </c>
      <c r="P526" t="n">
        <v>0</v>
      </c>
      <c r="Q526" t="n">
        <v>0</v>
      </c>
      <c r="R526" s="2" t="inlineStr"/>
    </row>
    <row r="527" ht="15" customHeight="1">
      <c r="A527" t="inlineStr">
        <is>
          <t>A 45746-2024</t>
        </is>
      </c>
      <c r="B527" s="1" t="n">
        <v>45579</v>
      </c>
      <c r="C527" s="1" t="n">
        <v>46149</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8400-2024</t>
        </is>
      </c>
      <c r="B528" s="1" t="n">
        <v>45352.74090277778</v>
      </c>
      <c r="C528" s="1" t="n">
        <v>46149</v>
      </c>
      <c r="D528" t="inlineStr">
        <is>
          <t>STOCKHOLMS LÄN</t>
        </is>
      </c>
      <c r="E528" t="inlineStr">
        <is>
          <t>NORRTÄLJE</t>
        </is>
      </c>
      <c r="G528" t="n">
        <v>4.7</v>
      </c>
      <c r="H528" t="n">
        <v>0</v>
      </c>
      <c r="I528" t="n">
        <v>0</v>
      </c>
      <c r="J528" t="n">
        <v>0</v>
      </c>
      <c r="K528" t="n">
        <v>0</v>
      </c>
      <c r="L528" t="n">
        <v>0</v>
      </c>
      <c r="M528" t="n">
        <v>0</v>
      </c>
      <c r="N528" t="n">
        <v>0</v>
      </c>
      <c r="O528" t="n">
        <v>0</v>
      </c>
      <c r="P528" t="n">
        <v>0</v>
      </c>
      <c r="Q528" t="n">
        <v>0</v>
      </c>
      <c r="R528" s="2" t="inlineStr"/>
    </row>
    <row r="529" ht="15" customHeight="1">
      <c r="A529" t="inlineStr">
        <is>
          <t>A 29176-2024</t>
        </is>
      </c>
      <c r="B529" s="1" t="n">
        <v>45482.53388888889</v>
      </c>
      <c r="C529" s="1" t="n">
        <v>46149</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40829-2025</t>
        </is>
      </c>
      <c r="B530" s="1" t="n">
        <v>45897.50802083333</v>
      </c>
      <c r="C530" s="1" t="n">
        <v>46149</v>
      </c>
      <c r="D530" t="inlineStr">
        <is>
          <t>STOCKHOLMS LÄN</t>
        </is>
      </c>
      <c r="E530" t="inlineStr">
        <is>
          <t>NORRTÄLJE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36430-2024</t>
        </is>
      </c>
      <c r="B531" s="1" t="n">
        <v>45536</v>
      </c>
      <c r="C531" s="1" t="n">
        <v>46149</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5389-2025</t>
        </is>
      </c>
      <c r="B532" s="1" t="n">
        <v>45692</v>
      </c>
      <c r="C532" s="1" t="n">
        <v>46149</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51312-2023</t>
        </is>
      </c>
      <c r="B533" s="1" t="n">
        <v>45219.56697916667</v>
      </c>
      <c r="C533" s="1" t="n">
        <v>46149</v>
      </c>
      <c r="D533" t="inlineStr">
        <is>
          <t>STOCKHOLMS LÄN</t>
        </is>
      </c>
      <c r="E533" t="inlineStr">
        <is>
          <t>NORRTÄLJE</t>
        </is>
      </c>
      <c r="G533" t="n">
        <v>1.9</v>
      </c>
      <c r="H533" t="n">
        <v>0</v>
      </c>
      <c r="I533" t="n">
        <v>0</v>
      </c>
      <c r="J533" t="n">
        <v>0</v>
      </c>
      <c r="K533" t="n">
        <v>0</v>
      </c>
      <c r="L533" t="n">
        <v>0</v>
      </c>
      <c r="M533" t="n">
        <v>0</v>
      </c>
      <c r="N533" t="n">
        <v>0</v>
      </c>
      <c r="O533" t="n">
        <v>0</v>
      </c>
      <c r="P533" t="n">
        <v>0</v>
      </c>
      <c r="Q533" t="n">
        <v>0</v>
      </c>
      <c r="R533" s="2" t="inlineStr"/>
    </row>
    <row r="534" ht="15" customHeight="1">
      <c r="A534" t="inlineStr">
        <is>
          <t>A 40837-2025</t>
        </is>
      </c>
      <c r="B534" s="1" t="n">
        <v>45897.51328703704</v>
      </c>
      <c r="C534" s="1" t="n">
        <v>46149</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35640-2024</t>
        </is>
      </c>
      <c r="B535" s="1" t="n">
        <v>45531</v>
      </c>
      <c r="C535" s="1" t="n">
        <v>46149</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40529-2025</t>
        </is>
      </c>
      <c r="B536" s="1" t="n">
        <v>45896.38466435186</v>
      </c>
      <c r="C536" s="1" t="n">
        <v>46149</v>
      </c>
      <c r="D536" t="inlineStr">
        <is>
          <t>STOCKHOLMS LÄN</t>
        </is>
      </c>
      <c r="E536" t="inlineStr">
        <is>
          <t>NORRTÄLJE</t>
        </is>
      </c>
      <c r="G536" t="n">
        <v>0.5</v>
      </c>
      <c r="H536" t="n">
        <v>0</v>
      </c>
      <c r="I536" t="n">
        <v>0</v>
      </c>
      <c r="J536" t="n">
        <v>0</v>
      </c>
      <c r="K536" t="n">
        <v>0</v>
      </c>
      <c r="L536" t="n">
        <v>0</v>
      </c>
      <c r="M536" t="n">
        <v>0</v>
      </c>
      <c r="N536" t="n">
        <v>0</v>
      </c>
      <c r="O536" t="n">
        <v>0</v>
      </c>
      <c r="P536" t="n">
        <v>0</v>
      </c>
      <c r="Q536" t="n">
        <v>0</v>
      </c>
      <c r="R536" s="2" t="inlineStr"/>
    </row>
    <row r="537" ht="15" customHeight="1">
      <c r="A537" t="inlineStr">
        <is>
          <t>A 40831-2025</t>
        </is>
      </c>
      <c r="B537" s="1" t="n">
        <v>45897.51077546296</v>
      </c>
      <c r="C537" s="1" t="n">
        <v>46149</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43212-2022</t>
        </is>
      </c>
      <c r="B538" s="1" t="n">
        <v>44834.38636574074</v>
      </c>
      <c r="C538" s="1" t="n">
        <v>46149</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51653-2022</t>
        </is>
      </c>
      <c r="B539" s="1" t="n">
        <v>44867</v>
      </c>
      <c r="C539" s="1" t="n">
        <v>46149</v>
      </c>
      <c r="D539" t="inlineStr">
        <is>
          <t>STOCKHOLMS LÄN</t>
        </is>
      </c>
      <c r="E539" t="inlineStr">
        <is>
          <t>NORRTÄLJE</t>
        </is>
      </c>
      <c r="G539" t="n">
        <v>6.6</v>
      </c>
      <c r="H539" t="n">
        <v>0</v>
      </c>
      <c r="I539" t="n">
        <v>0</v>
      </c>
      <c r="J539" t="n">
        <v>0</v>
      </c>
      <c r="K539" t="n">
        <v>0</v>
      </c>
      <c r="L539" t="n">
        <v>0</v>
      </c>
      <c r="M539" t="n">
        <v>0</v>
      </c>
      <c r="N539" t="n">
        <v>0</v>
      </c>
      <c r="O539" t="n">
        <v>0</v>
      </c>
      <c r="P539" t="n">
        <v>0</v>
      </c>
      <c r="Q539" t="n">
        <v>0</v>
      </c>
      <c r="R539" s="2" t="inlineStr"/>
    </row>
    <row r="540" ht="15" customHeight="1">
      <c r="A540" t="inlineStr">
        <is>
          <t>A 11499-2023</t>
        </is>
      </c>
      <c r="B540" s="1" t="n">
        <v>44993.66707175926</v>
      </c>
      <c r="C540" s="1" t="n">
        <v>46149</v>
      </c>
      <c r="D540" t="inlineStr">
        <is>
          <t>STOCKHOLMS LÄN</t>
        </is>
      </c>
      <c r="E540" t="inlineStr">
        <is>
          <t>NORRTÄLJE</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4322-2023</t>
        </is>
      </c>
      <c r="B541" s="1" t="n">
        <v>44953.69298611111</v>
      </c>
      <c r="C541" s="1" t="n">
        <v>46149</v>
      </c>
      <c r="D541" t="inlineStr">
        <is>
          <t>STOCKHOLMS LÄN</t>
        </is>
      </c>
      <c r="E541" t="inlineStr">
        <is>
          <t>NORRTÄLJE</t>
        </is>
      </c>
      <c r="G541" t="n">
        <v>1.3</v>
      </c>
      <c r="H541" t="n">
        <v>0</v>
      </c>
      <c r="I541" t="n">
        <v>0</v>
      </c>
      <c r="J541" t="n">
        <v>0</v>
      </c>
      <c r="K541" t="n">
        <v>0</v>
      </c>
      <c r="L541" t="n">
        <v>0</v>
      </c>
      <c r="M541" t="n">
        <v>0</v>
      </c>
      <c r="N541" t="n">
        <v>0</v>
      </c>
      <c r="O541" t="n">
        <v>0</v>
      </c>
      <c r="P541" t="n">
        <v>0</v>
      </c>
      <c r="Q541" t="n">
        <v>0</v>
      </c>
      <c r="R541" s="2" t="inlineStr"/>
    </row>
    <row r="542" ht="15" customHeight="1">
      <c r="A542" t="inlineStr">
        <is>
          <t>A 576-2023</t>
        </is>
      </c>
      <c r="B542" s="1" t="n">
        <v>44925</v>
      </c>
      <c r="C542" s="1" t="n">
        <v>46149</v>
      </c>
      <c r="D542" t="inlineStr">
        <is>
          <t>STOCKHOLMS LÄN</t>
        </is>
      </c>
      <c r="E542" t="inlineStr">
        <is>
          <t>NORRTÄLJE</t>
        </is>
      </c>
      <c r="G542" t="n">
        <v>7.2</v>
      </c>
      <c r="H542" t="n">
        <v>0</v>
      </c>
      <c r="I542" t="n">
        <v>0</v>
      </c>
      <c r="J542" t="n">
        <v>0</v>
      </c>
      <c r="K542" t="n">
        <v>0</v>
      </c>
      <c r="L542" t="n">
        <v>0</v>
      </c>
      <c r="M542" t="n">
        <v>0</v>
      </c>
      <c r="N542" t="n">
        <v>0</v>
      </c>
      <c r="O542" t="n">
        <v>0</v>
      </c>
      <c r="P542" t="n">
        <v>0</v>
      </c>
      <c r="Q542" t="n">
        <v>0</v>
      </c>
      <c r="R542" s="2" t="inlineStr"/>
    </row>
    <row r="543" ht="15" customHeight="1">
      <c r="A543" t="inlineStr">
        <is>
          <t>A 10678-2025</t>
        </is>
      </c>
      <c r="B543" s="1" t="n">
        <v>45721.89123842592</v>
      </c>
      <c r="C543" s="1" t="n">
        <v>46149</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31936-2022</t>
        </is>
      </c>
      <c r="B544" s="1" t="n">
        <v>44777</v>
      </c>
      <c r="C544" s="1" t="n">
        <v>46149</v>
      </c>
      <c r="D544" t="inlineStr">
        <is>
          <t>STOCKHOLMS LÄN</t>
        </is>
      </c>
      <c r="E544" t="inlineStr">
        <is>
          <t>NORRTÄLJE</t>
        </is>
      </c>
      <c r="G544" t="n">
        <v>5.2</v>
      </c>
      <c r="H544" t="n">
        <v>0</v>
      </c>
      <c r="I544" t="n">
        <v>0</v>
      </c>
      <c r="J544" t="n">
        <v>0</v>
      </c>
      <c r="K544" t="n">
        <v>0</v>
      </c>
      <c r="L544" t="n">
        <v>0</v>
      </c>
      <c r="M544" t="n">
        <v>0</v>
      </c>
      <c r="N544" t="n">
        <v>0</v>
      </c>
      <c r="O544" t="n">
        <v>0</v>
      </c>
      <c r="P544" t="n">
        <v>0</v>
      </c>
      <c r="Q544" t="n">
        <v>0</v>
      </c>
      <c r="R544" s="2" t="inlineStr"/>
    </row>
    <row r="545" ht="15" customHeight="1">
      <c r="A545" t="inlineStr">
        <is>
          <t>A 38990-2022</t>
        </is>
      </c>
      <c r="B545" s="1" t="n">
        <v>44816</v>
      </c>
      <c r="C545" s="1" t="n">
        <v>46149</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17956-2025</t>
        </is>
      </c>
      <c r="B546" s="1" t="n">
        <v>45760.91174768518</v>
      </c>
      <c r="C546" s="1" t="n">
        <v>46149</v>
      </c>
      <c r="D546" t="inlineStr">
        <is>
          <t>STOCKHOLMS LÄN</t>
        </is>
      </c>
      <c r="E546" t="inlineStr">
        <is>
          <t>NORRTÄLJE</t>
        </is>
      </c>
      <c r="G546" t="n">
        <v>4.3</v>
      </c>
      <c r="H546" t="n">
        <v>0</v>
      </c>
      <c r="I546" t="n">
        <v>0</v>
      </c>
      <c r="J546" t="n">
        <v>0</v>
      </c>
      <c r="K546" t="n">
        <v>0</v>
      </c>
      <c r="L546" t="n">
        <v>0</v>
      </c>
      <c r="M546" t="n">
        <v>0</v>
      </c>
      <c r="N546" t="n">
        <v>0</v>
      </c>
      <c r="O546" t="n">
        <v>0</v>
      </c>
      <c r="P546" t="n">
        <v>0</v>
      </c>
      <c r="Q546" t="n">
        <v>0</v>
      </c>
      <c r="R546" s="2" t="inlineStr"/>
    </row>
    <row r="547" ht="15" customHeight="1">
      <c r="A547" t="inlineStr">
        <is>
          <t>A 875-2023</t>
        </is>
      </c>
      <c r="B547" s="1" t="n">
        <v>44931.65626157408</v>
      </c>
      <c r="C547" s="1" t="n">
        <v>46149</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59873-2024</t>
        </is>
      </c>
      <c r="B548" s="1" t="n">
        <v>45640.57305555556</v>
      </c>
      <c r="C548" s="1" t="n">
        <v>46149</v>
      </c>
      <c r="D548" t="inlineStr">
        <is>
          <t>STOCKHOLMS LÄN</t>
        </is>
      </c>
      <c r="E548" t="inlineStr">
        <is>
          <t>NORRTÄLJE</t>
        </is>
      </c>
      <c r="G548" t="n">
        <v>3.3</v>
      </c>
      <c r="H548" t="n">
        <v>0</v>
      </c>
      <c r="I548" t="n">
        <v>0</v>
      </c>
      <c r="J548" t="n">
        <v>0</v>
      </c>
      <c r="K548" t="n">
        <v>0</v>
      </c>
      <c r="L548" t="n">
        <v>0</v>
      </c>
      <c r="M548" t="n">
        <v>0</v>
      </c>
      <c r="N548" t="n">
        <v>0</v>
      </c>
      <c r="O548" t="n">
        <v>0</v>
      </c>
      <c r="P548" t="n">
        <v>0</v>
      </c>
      <c r="Q548" t="n">
        <v>0</v>
      </c>
      <c r="R548" s="2" t="inlineStr"/>
    </row>
    <row r="549" ht="15" customHeight="1">
      <c r="A549" t="inlineStr">
        <is>
          <t>A 31236-2022</t>
        </is>
      </c>
      <c r="B549" s="1" t="n">
        <v>44771</v>
      </c>
      <c r="C549" s="1" t="n">
        <v>46149</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8315-2025</t>
        </is>
      </c>
      <c r="B550" s="1" t="n">
        <v>45708.61761574074</v>
      </c>
      <c r="C550" s="1" t="n">
        <v>46149</v>
      </c>
      <c r="D550" t="inlineStr">
        <is>
          <t>STOCKHOLMS LÄN</t>
        </is>
      </c>
      <c r="E550" t="inlineStr">
        <is>
          <t>NORRTÄLJE</t>
        </is>
      </c>
      <c r="G550" t="n">
        <v>3.9</v>
      </c>
      <c r="H550" t="n">
        <v>0</v>
      </c>
      <c r="I550" t="n">
        <v>0</v>
      </c>
      <c r="J550" t="n">
        <v>0</v>
      </c>
      <c r="K550" t="n">
        <v>0</v>
      </c>
      <c r="L550" t="n">
        <v>0</v>
      </c>
      <c r="M550" t="n">
        <v>0</v>
      </c>
      <c r="N550" t="n">
        <v>0</v>
      </c>
      <c r="O550" t="n">
        <v>0</v>
      </c>
      <c r="P550" t="n">
        <v>0</v>
      </c>
      <c r="Q550" t="n">
        <v>0</v>
      </c>
      <c r="R550" s="2" t="inlineStr"/>
    </row>
    <row r="551" ht="15" customHeight="1">
      <c r="A551" t="inlineStr">
        <is>
          <t>A 35916-2024</t>
        </is>
      </c>
      <c r="B551" s="1" t="n">
        <v>45533</v>
      </c>
      <c r="C551" s="1" t="n">
        <v>46149</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41158-2025</t>
        </is>
      </c>
      <c r="B552" s="1" t="n">
        <v>45898.5315625</v>
      </c>
      <c r="C552" s="1" t="n">
        <v>46149</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10098-2022</t>
        </is>
      </c>
      <c r="B553" s="1" t="n">
        <v>44621</v>
      </c>
      <c r="C553" s="1" t="n">
        <v>46149</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15733-2025</t>
        </is>
      </c>
      <c r="B554" s="1" t="n">
        <v>45748</v>
      </c>
      <c r="C554" s="1" t="n">
        <v>46149</v>
      </c>
      <c r="D554" t="inlineStr">
        <is>
          <t>STOCKHOLMS LÄN</t>
        </is>
      </c>
      <c r="E554" t="inlineStr">
        <is>
          <t>NORRTÄLJE</t>
        </is>
      </c>
      <c r="G554" t="n">
        <v>13.3</v>
      </c>
      <c r="H554" t="n">
        <v>0</v>
      </c>
      <c r="I554" t="n">
        <v>0</v>
      </c>
      <c r="J554" t="n">
        <v>0</v>
      </c>
      <c r="K554" t="n">
        <v>0</v>
      </c>
      <c r="L554" t="n">
        <v>0</v>
      </c>
      <c r="M554" t="n">
        <v>0</v>
      </c>
      <c r="N554" t="n">
        <v>0</v>
      </c>
      <c r="O554" t="n">
        <v>0</v>
      </c>
      <c r="P554" t="n">
        <v>0</v>
      </c>
      <c r="Q554" t="n">
        <v>0</v>
      </c>
      <c r="R554" s="2" t="inlineStr"/>
    </row>
    <row r="555" ht="15" customHeight="1">
      <c r="A555" t="inlineStr">
        <is>
          <t>A 63161-2023</t>
        </is>
      </c>
      <c r="B555" s="1" t="n">
        <v>45273</v>
      </c>
      <c r="C555" s="1" t="n">
        <v>46149</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18665-2022</t>
        </is>
      </c>
      <c r="B556" s="1" t="n">
        <v>44687</v>
      </c>
      <c r="C556" s="1" t="n">
        <v>46149</v>
      </c>
      <c r="D556" t="inlineStr">
        <is>
          <t>STOCKHOLMS LÄN</t>
        </is>
      </c>
      <c r="E556" t="inlineStr">
        <is>
          <t>NORRTÄLJE</t>
        </is>
      </c>
      <c r="F556" t="inlineStr">
        <is>
          <t>Kyrkan</t>
        </is>
      </c>
      <c r="G556" t="n">
        <v>1.1</v>
      </c>
      <c r="H556" t="n">
        <v>0</v>
      </c>
      <c r="I556" t="n">
        <v>0</v>
      </c>
      <c r="J556" t="n">
        <v>0</v>
      </c>
      <c r="K556" t="n">
        <v>0</v>
      </c>
      <c r="L556" t="n">
        <v>0</v>
      </c>
      <c r="M556" t="n">
        <v>0</v>
      </c>
      <c r="N556" t="n">
        <v>0</v>
      </c>
      <c r="O556" t="n">
        <v>0</v>
      </c>
      <c r="P556" t="n">
        <v>0</v>
      </c>
      <c r="Q556" t="n">
        <v>0</v>
      </c>
      <c r="R556" s="2" t="inlineStr"/>
    </row>
    <row r="557" ht="15" customHeight="1">
      <c r="A557" t="inlineStr">
        <is>
          <t>A 7796-2025</t>
        </is>
      </c>
      <c r="B557" s="1" t="n">
        <v>45706.60130787037</v>
      </c>
      <c r="C557" s="1" t="n">
        <v>46149</v>
      </c>
      <c r="D557" t="inlineStr">
        <is>
          <t>STOCKHOLMS LÄN</t>
        </is>
      </c>
      <c r="E557" t="inlineStr">
        <is>
          <t>NORRTÄLJE</t>
        </is>
      </c>
      <c r="F557" t="inlineStr">
        <is>
          <t>Holmen skog AB</t>
        </is>
      </c>
      <c r="G557" t="n">
        <v>2.4</v>
      </c>
      <c r="H557" t="n">
        <v>0</v>
      </c>
      <c r="I557" t="n">
        <v>0</v>
      </c>
      <c r="J557" t="n">
        <v>0</v>
      </c>
      <c r="K557" t="n">
        <v>0</v>
      </c>
      <c r="L557" t="n">
        <v>0</v>
      </c>
      <c r="M557" t="n">
        <v>0</v>
      </c>
      <c r="N557" t="n">
        <v>0</v>
      </c>
      <c r="O557" t="n">
        <v>0</v>
      </c>
      <c r="P557" t="n">
        <v>0</v>
      </c>
      <c r="Q557" t="n">
        <v>0</v>
      </c>
      <c r="R557" s="2" t="inlineStr"/>
    </row>
    <row r="558" ht="15" customHeight="1">
      <c r="A558" t="inlineStr">
        <is>
          <t>A 58040-2024</t>
        </is>
      </c>
      <c r="B558" s="1" t="n">
        <v>45631.73952546297</v>
      </c>
      <c r="C558" s="1" t="n">
        <v>46149</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58041-2024</t>
        </is>
      </c>
      <c r="B559" s="1" t="n">
        <v>45631.74673611111</v>
      </c>
      <c r="C559" s="1" t="n">
        <v>46149</v>
      </c>
      <c r="D559" t="inlineStr">
        <is>
          <t>STOCKHOLMS LÄN</t>
        </is>
      </c>
      <c r="E559" t="inlineStr">
        <is>
          <t>NORRTÄLJE</t>
        </is>
      </c>
      <c r="G559" t="n">
        <v>0.7</v>
      </c>
      <c r="H559" t="n">
        <v>0</v>
      </c>
      <c r="I559" t="n">
        <v>0</v>
      </c>
      <c r="J559" t="n">
        <v>0</v>
      </c>
      <c r="K559" t="n">
        <v>0</v>
      </c>
      <c r="L559" t="n">
        <v>0</v>
      </c>
      <c r="M559" t="n">
        <v>0</v>
      </c>
      <c r="N559" t="n">
        <v>0</v>
      </c>
      <c r="O559" t="n">
        <v>0</v>
      </c>
      <c r="P559" t="n">
        <v>0</v>
      </c>
      <c r="Q559" t="n">
        <v>0</v>
      </c>
      <c r="R559" s="2" t="inlineStr"/>
    </row>
    <row r="560" ht="15" customHeight="1">
      <c r="A560" t="inlineStr">
        <is>
          <t>A 19058-2024</t>
        </is>
      </c>
      <c r="B560" s="1" t="n">
        <v>45427.89121527778</v>
      </c>
      <c r="C560" s="1" t="n">
        <v>46149</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30268-2024</t>
        </is>
      </c>
      <c r="B561" s="1" t="n">
        <v>45490.60572916667</v>
      </c>
      <c r="C561" s="1" t="n">
        <v>46149</v>
      </c>
      <c r="D561" t="inlineStr">
        <is>
          <t>STOCKHOLMS LÄN</t>
        </is>
      </c>
      <c r="E561" t="inlineStr">
        <is>
          <t>NORRTÄLJE</t>
        </is>
      </c>
      <c r="G561" t="n">
        <v>5.6</v>
      </c>
      <c r="H561" t="n">
        <v>0</v>
      </c>
      <c r="I561" t="n">
        <v>0</v>
      </c>
      <c r="J561" t="n">
        <v>0</v>
      </c>
      <c r="K561" t="n">
        <v>0</v>
      </c>
      <c r="L561" t="n">
        <v>0</v>
      </c>
      <c r="M561" t="n">
        <v>0</v>
      </c>
      <c r="N561" t="n">
        <v>0</v>
      </c>
      <c r="O561" t="n">
        <v>0</v>
      </c>
      <c r="P561" t="n">
        <v>0</v>
      </c>
      <c r="Q561" t="n">
        <v>0</v>
      </c>
      <c r="R561" s="2" t="inlineStr"/>
    </row>
    <row r="562" ht="15" customHeight="1">
      <c r="A562" t="inlineStr">
        <is>
          <t>A 12407-2025</t>
        </is>
      </c>
      <c r="B562" s="1" t="n">
        <v>45730.42851851852</v>
      </c>
      <c r="C562" s="1" t="n">
        <v>46149</v>
      </c>
      <c r="D562" t="inlineStr">
        <is>
          <t>STOCKHOLMS LÄN</t>
        </is>
      </c>
      <c r="E562" t="inlineStr">
        <is>
          <t>NORRTÄLJE</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58302-2022</t>
        </is>
      </c>
      <c r="B563" s="1" t="n">
        <v>44901</v>
      </c>
      <c r="C563" s="1" t="n">
        <v>46149</v>
      </c>
      <c r="D563" t="inlineStr">
        <is>
          <t>STOCKHOLMS LÄN</t>
        </is>
      </c>
      <c r="E563" t="inlineStr">
        <is>
          <t>NORRTÄLJE</t>
        </is>
      </c>
      <c r="G563" t="n">
        <v>3.9</v>
      </c>
      <c r="H563" t="n">
        <v>0</v>
      </c>
      <c r="I563" t="n">
        <v>0</v>
      </c>
      <c r="J563" t="n">
        <v>0</v>
      </c>
      <c r="K563" t="n">
        <v>0</v>
      </c>
      <c r="L563" t="n">
        <v>0</v>
      </c>
      <c r="M563" t="n">
        <v>0</v>
      </c>
      <c r="N563" t="n">
        <v>0</v>
      </c>
      <c r="O563" t="n">
        <v>0</v>
      </c>
      <c r="P563" t="n">
        <v>0</v>
      </c>
      <c r="Q563" t="n">
        <v>0</v>
      </c>
      <c r="R563" s="2" t="inlineStr"/>
    </row>
    <row r="564" ht="15" customHeight="1">
      <c r="A564" t="inlineStr">
        <is>
          <t>A 19025-2025</t>
        </is>
      </c>
      <c r="B564" s="1" t="n">
        <v>45764.6359837963</v>
      </c>
      <c r="C564" s="1" t="n">
        <v>46149</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62998-2023</t>
        </is>
      </c>
      <c r="B565" s="1" t="n">
        <v>45272.64479166667</v>
      </c>
      <c r="C565" s="1" t="n">
        <v>46149</v>
      </c>
      <c r="D565" t="inlineStr">
        <is>
          <t>STOCKHOLMS LÄN</t>
        </is>
      </c>
      <c r="E565" t="inlineStr">
        <is>
          <t>NORRTÄLJE</t>
        </is>
      </c>
      <c r="G565" t="n">
        <v>16.3</v>
      </c>
      <c r="H565" t="n">
        <v>0</v>
      </c>
      <c r="I565" t="n">
        <v>0</v>
      </c>
      <c r="J565" t="n">
        <v>0</v>
      </c>
      <c r="K565" t="n">
        <v>0</v>
      </c>
      <c r="L565" t="n">
        <v>0</v>
      </c>
      <c r="M565" t="n">
        <v>0</v>
      </c>
      <c r="N565" t="n">
        <v>0</v>
      </c>
      <c r="O565" t="n">
        <v>0</v>
      </c>
      <c r="P565" t="n">
        <v>0</v>
      </c>
      <c r="Q565" t="n">
        <v>0</v>
      </c>
      <c r="R565" s="2" t="inlineStr"/>
    </row>
    <row r="566" ht="15" customHeight="1">
      <c r="A566" t="inlineStr">
        <is>
          <t>A 63015-2023</t>
        </is>
      </c>
      <c r="B566" s="1" t="n">
        <v>45272</v>
      </c>
      <c r="C566" s="1" t="n">
        <v>46149</v>
      </c>
      <c r="D566" t="inlineStr">
        <is>
          <t>STOCKHOLMS LÄN</t>
        </is>
      </c>
      <c r="E566" t="inlineStr">
        <is>
          <t>NORRTÄLJE</t>
        </is>
      </c>
      <c r="G566" t="n">
        <v>13.1</v>
      </c>
      <c r="H566" t="n">
        <v>0</v>
      </c>
      <c r="I566" t="n">
        <v>0</v>
      </c>
      <c r="J566" t="n">
        <v>0</v>
      </c>
      <c r="K566" t="n">
        <v>0</v>
      </c>
      <c r="L566" t="n">
        <v>0</v>
      </c>
      <c r="M566" t="n">
        <v>0</v>
      </c>
      <c r="N566" t="n">
        <v>0</v>
      </c>
      <c r="O566" t="n">
        <v>0</v>
      </c>
      <c r="P566" t="n">
        <v>0</v>
      </c>
      <c r="Q566" t="n">
        <v>0</v>
      </c>
      <c r="R566" s="2" t="inlineStr"/>
    </row>
    <row r="567" ht="15" customHeight="1">
      <c r="A567" t="inlineStr">
        <is>
          <t>A 54276-2021</t>
        </is>
      </c>
      <c r="B567" s="1" t="n">
        <v>44470</v>
      </c>
      <c r="C567" s="1" t="n">
        <v>46149</v>
      </c>
      <c r="D567" t="inlineStr">
        <is>
          <t>STOCKHOLMS LÄN</t>
        </is>
      </c>
      <c r="E567" t="inlineStr">
        <is>
          <t>NORRTÄLJE</t>
        </is>
      </c>
      <c r="G567" t="n">
        <v>7.3</v>
      </c>
      <c r="H567" t="n">
        <v>0</v>
      </c>
      <c r="I567" t="n">
        <v>0</v>
      </c>
      <c r="J567" t="n">
        <v>0</v>
      </c>
      <c r="K567" t="n">
        <v>0</v>
      </c>
      <c r="L567" t="n">
        <v>0</v>
      </c>
      <c r="M567" t="n">
        <v>0</v>
      </c>
      <c r="N567" t="n">
        <v>0</v>
      </c>
      <c r="O567" t="n">
        <v>0</v>
      </c>
      <c r="P567" t="n">
        <v>0</v>
      </c>
      <c r="Q567" t="n">
        <v>0</v>
      </c>
      <c r="R567" s="2" t="inlineStr"/>
    </row>
    <row r="568" ht="15" customHeight="1">
      <c r="A568" t="inlineStr">
        <is>
          <t>A 4316-2023</t>
        </is>
      </c>
      <c r="B568" s="1" t="n">
        <v>44953.67443287037</v>
      </c>
      <c r="C568" s="1" t="n">
        <v>46149</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27831-2024</t>
        </is>
      </c>
      <c r="B569" s="1" t="n">
        <v>45475.61896990741</v>
      </c>
      <c r="C569" s="1" t="n">
        <v>46149</v>
      </c>
      <c r="D569" t="inlineStr">
        <is>
          <t>STOCKHOLMS LÄN</t>
        </is>
      </c>
      <c r="E569" t="inlineStr">
        <is>
          <t>NORRTÄLJE</t>
        </is>
      </c>
      <c r="G569" t="n">
        <v>3.8</v>
      </c>
      <c r="H569" t="n">
        <v>0</v>
      </c>
      <c r="I569" t="n">
        <v>0</v>
      </c>
      <c r="J569" t="n">
        <v>0</v>
      </c>
      <c r="K569" t="n">
        <v>0</v>
      </c>
      <c r="L569" t="n">
        <v>0</v>
      </c>
      <c r="M569" t="n">
        <v>0</v>
      </c>
      <c r="N569" t="n">
        <v>0</v>
      </c>
      <c r="O569" t="n">
        <v>0</v>
      </c>
      <c r="P569" t="n">
        <v>0</v>
      </c>
      <c r="Q569" t="n">
        <v>0</v>
      </c>
      <c r="R569" s="2" t="inlineStr"/>
    </row>
    <row r="570" ht="15" customHeight="1">
      <c r="A570" t="inlineStr">
        <is>
          <t>A 41587-2023</t>
        </is>
      </c>
      <c r="B570" s="1" t="n">
        <v>45175</v>
      </c>
      <c r="C570" s="1" t="n">
        <v>46149</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38591-2023</t>
        </is>
      </c>
      <c r="B571" s="1" t="n">
        <v>45162</v>
      </c>
      <c r="C571" s="1" t="n">
        <v>46149</v>
      </c>
      <c r="D571" t="inlineStr">
        <is>
          <t>STOCKHOLMS LÄN</t>
        </is>
      </c>
      <c r="E571" t="inlineStr">
        <is>
          <t>NORRTÄLJE</t>
        </is>
      </c>
      <c r="F571" t="inlineStr">
        <is>
          <t>Övriga Aktiebolag</t>
        </is>
      </c>
      <c r="G571" t="n">
        <v>3.1</v>
      </c>
      <c r="H571" t="n">
        <v>0</v>
      </c>
      <c r="I571" t="n">
        <v>0</v>
      </c>
      <c r="J571" t="n">
        <v>0</v>
      </c>
      <c r="K571" t="n">
        <v>0</v>
      </c>
      <c r="L571" t="n">
        <v>0</v>
      </c>
      <c r="M571" t="n">
        <v>0</v>
      </c>
      <c r="N571" t="n">
        <v>0</v>
      </c>
      <c r="O571" t="n">
        <v>0</v>
      </c>
      <c r="P571" t="n">
        <v>0</v>
      </c>
      <c r="Q571" t="n">
        <v>0</v>
      </c>
      <c r="R571" s="2" t="inlineStr"/>
    </row>
    <row r="572" ht="15" customHeight="1">
      <c r="A572" t="inlineStr">
        <is>
          <t>A 30338-2022</t>
        </is>
      </c>
      <c r="B572" s="1" t="n">
        <v>44760</v>
      </c>
      <c r="C572" s="1" t="n">
        <v>46149</v>
      </c>
      <c r="D572" t="inlineStr">
        <is>
          <t>STOCKHOLMS LÄN</t>
        </is>
      </c>
      <c r="E572" t="inlineStr">
        <is>
          <t>NORRTÄLJE</t>
        </is>
      </c>
      <c r="G572" t="n">
        <v>0.3</v>
      </c>
      <c r="H572" t="n">
        <v>0</v>
      </c>
      <c r="I572" t="n">
        <v>0</v>
      </c>
      <c r="J572" t="n">
        <v>0</v>
      </c>
      <c r="K572" t="n">
        <v>0</v>
      </c>
      <c r="L572" t="n">
        <v>0</v>
      </c>
      <c r="M572" t="n">
        <v>0</v>
      </c>
      <c r="N572" t="n">
        <v>0</v>
      </c>
      <c r="O572" t="n">
        <v>0</v>
      </c>
      <c r="P572" t="n">
        <v>0</v>
      </c>
      <c r="Q572" t="n">
        <v>0</v>
      </c>
      <c r="R572" s="2" t="inlineStr"/>
    </row>
    <row r="573" ht="15" customHeight="1">
      <c r="A573" t="inlineStr">
        <is>
          <t>A 2888-2022</t>
        </is>
      </c>
      <c r="B573" s="1" t="n">
        <v>44581</v>
      </c>
      <c r="C573" s="1" t="n">
        <v>46149</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33175-2024</t>
        </is>
      </c>
      <c r="B574" s="1" t="n">
        <v>45518</v>
      </c>
      <c r="C574" s="1" t="n">
        <v>46149</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52686-2024</t>
        </is>
      </c>
      <c r="B575" s="1" t="n">
        <v>45610.39271990741</v>
      </c>
      <c r="C575" s="1" t="n">
        <v>46149</v>
      </c>
      <c r="D575" t="inlineStr">
        <is>
          <t>STOCKHOLMS LÄN</t>
        </is>
      </c>
      <c r="E575" t="inlineStr">
        <is>
          <t>NORRTÄLJE</t>
        </is>
      </c>
      <c r="G575" t="n">
        <v>5.7</v>
      </c>
      <c r="H575" t="n">
        <v>0</v>
      </c>
      <c r="I575" t="n">
        <v>0</v>
      </c>
      <c r="J575" t="n">
        <v>0</v>
      </c>
      <c r="K575" t="n">
        <v>0</v>
      </c>
      <c r="L575" t="n">
        <v>0</v>
      </c>
      <c r="M575" t="n">
        <v>0</v>
      </c>
      <c r="N575" t="n">
        <v>0</v>
      </c>
      <c r="O575" t="n">
        <v>0</v>
      </c>
      <c r="P575" t="n">
        <v>0</v>
      </c>
      <c r="Q575" t="n">
        <v>0</v>
      </c>
      <c r="R575" s="2" t="inlineStr"/>
    </row>
    <row r="576" ht="15" customHeight="1">
      <c r="A576" t="inlineStr">
        <is>
          <t>A 20343-2024</t>
        </is>
      </c>
      <c r="B576" s="1" t="n">
        <v>45435.43466435185</v>
      </c>
      <c r="C576" s="1" t="n">
        <v>46149</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20345-2024</t>
        </is>
      </c>
      <c r="B577" s="1" t="n">
        <v>45435.43820601852</v>
      </c>
      <c r="C577" s="1" t="n">
        <v>46149</v>
      </c>
      <c r="D577" t="inlineStr">
        <is>
          <t>STOCKHOLMS LÄN</t>
        </is>
      </c>
      <c r="E577" t="inlineStr">
        <is>
          <t>NORRTÄLJE</t>
        </is>
      </c>
      <c r="G577" t="n">
        <v>3.8</v>
      </c>
      <c r="H577" t="n">
        <v>0</v>
      </c>
      <c r="I577" t="n">
        <v>0</v>
      </c>
      <c r="J577" t="n">
        <v>0</v>
      </c>
      <c r="K577" t="n">
        <v>0</v>
      </c>
      <c r="L577" t="n">
        <v>0</v>
      </c>
      <c r="M577" t="n">
        <v>0</v>
      </c>
      <c r="N577" t="n">
        <v>0</v>
      </c>
      <c r="O577" t="n">
        <v>0</v>
      </c>
      <c r="P577" t="n">
        <v>0</v>
      </c>
      <c r="Q577" t="n">
        <v>0</v>
      </c>
      <c r="R577" s="2" t="inlineStr"/>
    </row>
    <row r="578" ht="15" customHeight="1">
      <c r="A578" t="inlineStr">
        <is>
          <t>A 21803-2022</t>
        </is>
      </c>
      <c r="B578" s="1" t="n">
        <v>44708.67822916667</v>
      </c>
      <c r="C578" s="1" t="n">
        <v>46149</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9765-2024</t>
        </is>
      </c>
      <c r="B579" s="1" t="n">
        <v>45362.62811342593</v>
      </c>
      <c r="C579" s="1" t="n">
        <v>46149</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20730-2024</t>
        </is>
      </c>
      <c r="B580" s="1" t="n">
        <v>45436</v>
      </c>
      <c r="C580" s="1" t="n">
        <v>46149</v>
      </c>
      <c r="D580" t="inlineStr">
        <is>
          <t>STOCKHOLMS LÄN</t>
        </is>
      </c>
      <c r="E580" t="inlineStr">
        <is>
          <t>NORRTÄLJE</t>
        </is>
      </c>
      <c r="G580" t="n">
        <v>7.3</v>
      </c>
      <c r="H580" t="n">
        <v>0</v>
      </c>
      <c r="I580" t="n">
        <v>0</v>
      </c>
      <c r="J580" t="n">
        <v>0</v>
      </c>
      <c r="K580" t="n">
        <v>0</v>
      </c>
      <c r="L580" t="n">
        <v>0</v>
      </c>
      <c r="M580" t="n">
        <v>0</v>
      </c>
      <c r="N580" t="n">
        <v>0</v>
      </c>
      <c r="O580" t="n">
        <v>0</v>
      </c>
      <c r="P580" t="n">
        <v>0</v>
      </c>
      <c r="Q580" t="n">
        <v>0</v>
      </c>
      <c r="R580" s="2" t="inlineStr"/>
    </row>
    <row r="581" ht="15" customHeight="1">
      <c r="A581" t="inlineStr">
        <is>
          <t>A 59875-2024</t>
        </is>
      </c>
      <c r="B581" s="1" t="n">
        <v>45640.58716435185</v>
      </c>
      <c r="C581" s="1" t="n">
        <v>46149</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17304-2024</t>
        </is>
      </c>
      <c r="B582" s="1" t="n">
        <v>45414</v>
      </c>
      <c r="C582" s="1" t="n">
        <v>46149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11-2024</t>
        </is>
      </c>
      <c r="B583" s="1" t="n">
        <v>45293</v>
      </c>
      <c r="C583" s="1" t="n">
        <v>46149</v>
      </c>
      <c r="D583" t="inlineStr">
        <is>
          <t>STOCKHOLMS LÄN</t>
        </is>
      </c>
      <c r="E583" t="inlineStr">
        <is>
          <t>NORRTÄLJE</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14559-2024</t>
        </is>
      </c>
      <c r="B584" s="1" t="n">
        <v>45394.72869212963</v>
      </c>
      <c r="C584" s="1" t="n">
        <v>46149</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8433-2022</t>
        </is>
      </c>
      <c r="B585" s="1" t="n">
        <v>44611</v>
      </c>
      <c r="C585" s="1" t="n">
        <v>46149</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11280-2023</t>
        </is>
      </c>
      <c r="B586" s="1" t="n">
        <v>44992</v>
      </c>
      <c r="C586" s="1" t="n">
        <v>46149</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12901-2024</t>
        </is>
      </c>
      <c r="B587" s="1" t="n">
        <v>45385.37922453704</v>
      </c>
      <c r="C587" s="1" t="n">
        <v>46149</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8950-2025</t>
        </is>
      </c>
      <c r="B588" s="1" t="n">
        <v>45713</v>
      </c>
      <c r="C588" s="1" t="n">
        <v>46149</v>
      </c>
      <c r="D588" t="inlineStr">
        <is>
          <t>STOCKHOLMS LÄN</t>
        </is>
      </c>
      <c r="E588" t="inlineStr">
        <is>
          <t>NORRTÄLJE</t>
        </is>
      </c>
      <c r="F588" t="inlineStr">
        <is>
          <t>Övriga Aktiebolag</t>
        </is>
      </c>
      <c r="G588" t="n">
        <v>3.6</v>
      </c>
      <c r="H588" t="n">
        <v>0</v>
      </c>
      <c r="I588" t="n">
        <v>0</v>
      </c>
      <c r="J588" t="n">
        <v>0</v>
      </c>
      <c r="K588" t="n">
        <v>0</v>
      </c>
      <c r="L588" t="n">
        <v>0</v>
      </c>
      <c r="M588" t="n">
        <v>0</v>
      </c>
      <c r="N588" t="n">
        <v>0</v>
      </c>
      <c r="O588" t="n">
        <v>0</v>
      </c>
      <c r="P588" t="n">
        <v>0</v>
      </c>
      <c r="Q588" t="n">
        <v>0</v>
      </c>
      <c r="R588" s="2" t="inlineStr"/>
    </row>
    <row r="589" ht="15" customHeight="1">
      <c r="A589" t="inlineStr">
        <is>
          <t>A 25525-2022</t>
        </is>
      </c>
      <c r="B589" s="1" t="n">
        <v>44732</v>
      </c>
      <c r="C589" s="1" t="n">
        <v>46149</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12302-2025</t>
        </is>
      </c>
      <c r="B590" s="1" t="n">
        <v>45729.72851851852</v>
      </c>
      <c r="C590" s="1" t="n">
        <v>46149</v>
      </c>
      <c r="D590" t="inlineStr">
        <is>
          <t>STOCKHOLMS LÄN</t>
        </is>
      </c>
      <c r="E590" t="inlineStr">
        <is>
          <t>NORRTÄLJE</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26668-2024</t>
        </is>
      </c>
      <c r="B591" s="1" t="n">
        <v>45469</v>
      </c>
      <c r="C591" s="1" t="n">
        <v>46149</v>
      </c>
      <c r="D591" t="inlineStr">
        <is>
          <t>STOCKHOLMS LÄN</t>
        </is>
      </c>
      <c r="E591" t="inlineStr">
        <is>
          <t>NORRTÄLJE</t>
        </is>
      </c>
      <c r="G591" t="n">
        <v>4.8</v>
      </c>
      <c r="H591" t="n">
        <v>0</v>
      </c>
      <c r="I591" t="n">
        <v>0</v>
      </c>
      <c r="J591" t="n">
        <v>0</v>
      </c>
      <c r="K591" t="n">
        <v>0</v>
      </c>
      <c r="L591" t="n">
        <v>0</v>
      </c>
      <c r="M591" t="n">
        <v>0</v>
      </c>
      <c r="N591" t="n">
        <v>0</v>
      </c>
      <c r="O591" t="n">
        <v>0</v>
      </c>
      <c r="P591" t="n">
        <v>0</v>
      </c>
      <c r="Q591" t="n">
        <v>0</v>
      </c>
      <c r="R591" s="2" t="inlineStr"/>
    </row>
    <row r="592" ht="15" customHeight="1">
      <c r="A592" t="inlineStr">
        <is>
          <t>A 41053-2025</t>
        </is>
      </c>
      <c r="B592" s="1" t="n">
        <v>45898.40480324074</v>
      </c>
      <c r="C592" s="1" t="n">
        <v>46149</v>
      </c>
      <c r="D592" t="inlineStr">
        <is>
          <t>STOCKHOLMS LÄN</t>
        </is>
      </c>
      <c r="E592" t="inlineStr">
        <is>
          <t>NORRTÄLJE</t>
        </is>
      </c>
      <c r="F592" t="inlineStr">
        <is>
          <t>Holmen skog AB</t>
        </is>
      </c>
      <c r="G592" t="n">
        <v>2.5</v>
      </c>
      <c r="H592" t="n">
        <v>0</v>
      </c>
      <c r="I592" t="n">
        <v>0</v>
      </c>
      <c r="J592" t="n">
        <v>0</v>
      </c>
      <c r="K592" t="n">
        <v>0</v>
      </c>
      <c r="L592" t="n">
        <v>0</v>
      </c>
      <c r="M592" t="n">
        <v>0</v>
      </c>
      <c r="N592" t="n">
        <v>0</v>
      </c>
      <c r="O592" t="n">
        <v>0</v>
      </c>
      <c r="P592" t="n">
        <v>0</v>
      </c>
      <c r="Q592" t="n">
        <v>0</v>
      </c>
      <c r="R592" s="2" t="inlineStr"/>
    </row>
    <row r="593" ht="15" customHeight="1">
      <c r="A593" t="inlineStr">
        <is>
          <t>A 12301-2025</t>
        </is>
      </c>
      <c r="B593" s="1" t="n">
        <v>45729.7271875</v>
      </c>
      <c r="C593" s="1" t="n">
        <v>46149</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38889-2024</t>
        </is>
      </c>
      <c r="B594" s="1" t="n">
        <v>45547</v>
      </c>
      <c r="C594" s="1" t="n">
        <v>46149</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45451-2024</t>
        </is>
      </c>
      <c r="B595" s="1" t="n">
        <v>45576</v>
      </c>
      <c r="C595" s="1" t="n">
        <v>46149</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24351-2025</t>
        </is>
      </c>
      <c r="B596" s="1" t="n">
        <v>45797.58399305555</v>
      </c>
      <c r="C596" s="1" t="n">
        <v>46149</v>
      </c>
      <c r="D596" t="inlineStr">
        <is>
          <t>STOCKHOLMS LÄN</t>
        </is>
      </c>
      <c r="E596" t="inlineStr">
        <is>
          <t>NORRTÄLJE</t>
        </is>
      </c>
      <c r="G596" t="n">
        <v>1.5</v>
      </c>
      <c r="H596" t="n">
        <v>0</v>
      </c>
      <c r="I596" t="n">
        <v>0</v>
      </c>
      <c r="J596" t="n">
        <v>0</v>
      </c>
      <c r="K596" t="n">
        <v>0</v>
      </c>
      <c r="L596" t="n">
        <v>0</v>
      </c>
      <c r="M596" t="n">
        <v>0</v>
      </c>
      <c r="N596" t="n">
        <v>0</v>
      </c>
      <c r="O596" t="n">
        <v>0</v>
      </c>
      <c r="P596" t="n">
        <v>0</v>
      </c>
      <c r="Q596" t="n">
        <v>0</v>
      </c>
      <c r="R596" s="2" t="inlineStr"/>
    </row>
    <row r="597" ht="15" customHeight="1">
      <c r="A597" t="inlineStr">
        <is>
          <t>A 13283-2025</t>
        </is>
      </c>
      <c r="B597" s="1" t="n">
        <v>45735</v>
      </c>
      <c r="C597" s="1" t="n">
        <v>46149</v>
      </c>
      <c r="D597" t="inlineStr">
        <is>
          <t>STOCKHOLMS LÄN</t>
        </is>
      </c>
      <c r="E597" t="inlineStr">
        <is>
          <t>NORRTÄLJE</t>
        </is>
      </c>
      <c r="G597" t="n">
        <v>4.9</v>
      </c>
      <c r="H597" t="n">
        <v>0</v>
      </c>
      <c r="I597" t="n">
        <v>0</v>
      </c>
      <c r="J597" t="n">
        <v>0</v>
      </c>
      <c r="K597" t="n">
        <v>0</v>
      </c>
      <c r="L597" t="n">
        <v>0</v>
      </c>
      <c r="M597" t="n">
        <v>0</v>
      </c>
      <c r="N597" t="n">
        <v>0</v>
      </c>
      <c r="O597" t="n">
        <v>0</v>
      </c>
      <c r="P597" t="n">
        <v>0</v>
      </c>
      <c r="Q597" t="n">
        <v>0</v>
      </c>
      <c r="R597" s="2" t="inlineStr"/>
    </row>
    <row r="598" ht="15" customHeight="1">
      <c r="A598" t="inlineStr">
        <is>
          <t>A 41275-2025</t>
        </is>
      </c>
      <c r="B598" s="1" t="n">
        <v>45898.62625</v>
      </c>
      <c r="C598" s="1" t="n">
        <v>46149</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31926-2022</t>
        </is>
      </c>
      <c r="B599" s="1" t="n">
        <v>44777</v>
      </c>
      <c r="C599" s="1" t="n">
        <v>46149</v>
      </c>
      <c r="D599" t="inlineStr">
        <is>
          <t>STOCKHOLMS LÄN</t>
        </is>
      </c>
      <c r="E599" t="inlineStr">
        <is>
          <t>NORRTÄLJE</t>
        </is>
      </c>
      <c r="G599" t="n">
        <v>5.2</v>
      </c>
      <c r="H599" t="n">
        <v>0</v>
      </c>
      <c r="I599" t="n">
        <v>0</v>
      </c>
      <c r="J599" t="n">
        <v>0</v>
      </c>
      <c r="K599" t="n">
        <v>0</v>
      </c>
      <c r="L599" t="n">
        <v>0</v>
      </c>
      <c r="M599" t="n">
        <v>0</v>
      </c>
      <c r="N599" t="n">
        <v>0</v>
      </c>
      <c r="O599" t="n">
        <v>0</v>
      </c>
      <c r="P599" t="n">
        <v>0</v>
      </c>
      <c r="Q599" t="n">
        <v>0</v>
      </c>
      <c r="R599" s="2" t="inlineStr"/>
    </row>
    <row r="600" ht="15" customHeight="1">
      <c r="A600" t="inlineStr">
        <is>
          <t>A 24687-2025</t>
        </is>
      </c>
      <c r="B600" s="1" t="n">
        <v>45798.66767361111</v>
      </c>
      <c r="C600" s="1" t="n">
        <v>46149</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21480-2022</t>
        </is>
      </c>
      <c r="B601" s="1" t="n">
        <v>44704</v>
      </c>
      <c r="C601" s="1" t="n">
        <v>46149</v>
      </c>
      <c r="D601" t="inlineStr">
        <is>
          <t>STOCKHOLMS LÄN</t>
        </is>
      </c>
      <c r="E601" t="inlineStr">
        <is>
          <t>NORRTÄLJE</t>
        </is>
      </c>
      <c r="G601" t="n">
        <v>2.8</v>
      </c>
      <c r="H601" t="n">
        <v>0</v>
      </c>
      <c r="I601" t="n">
        <v>0</v>
      </c>
      <c r="J601" t="n">
        <v>0</v>
      </c>
      <c r="K601" t="n">
        <v>0</v>
      </c>
      <c r="L601" t="n">
        <v>0</v>
      </c>
      <c r="M601" t="n">
        <v>0</v>
      </c>
      <c r="N601" t="n">
        <v>0</v>
      </c>
      <c r="O601" t="n">
        <v>0</v>
      </c>
      <c r="P601" t="n">
        <v>0</v>
      </c>
      <c r="Q601" t="n">
        <v>0</v>
      </c>
      <c r="R601" s="2" t="inlineStr"/>
    </row>
    <row r="602" ht="15" customHeight="1">
      <c r="A602" t="inlineStr">
        <is>
          <t>A 41272-2025</t>
        </is>
      </c>
      <c r="B602" s="1" t="n">
        <v>45898.62373842593</v>
      </c>
      <c r="C602" s="1" t="n">
        <v>46149</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11041-2025</t>
        </is>
      </c>
      <c r="B603" s="1" t="n">
        <v>45723</v>
      </c>
      <c r="C603" s="1" t="n">
        <v>46149</v>
      </c>
      <c r="D603" t="inlineStr">
        <is>
          <t>STOCKHOLMS LÄN</t>
        </is>
      </c>
      <c r="E603" t="inlineStr">
        <is>
          <t>NORRTÄLJE</t>
        </is>
      </c>
      <c r="F603" t="inlineStr">
        <is>
          <t>Övriga Aktiebolag</t>
        </is>
      </c>
      <c r="G603" t="n">
        <v>1.8</v>
      </c>
      <c r="H603" t="n">
        <v>0</v>
      </c>
      <c r="I603" t="n">
        <v>0</v>
      </c>
      <c r="J603" t="n">
        <v>0</v>
      </c>
      <c r="K603" t="n">
        <v>0</v>
      </c>
      <c r="L603" t="n">
        <v>0</v>
      </c>
      <c r="M603" t="n">
        <v>0</v>
      </c>
      <c r="N603" t="n">
        <v>0</v>
      </c>
      <c r="O603" t="n">
        <v>0</v>
      </c>
      <c r="P603" t="n">
        <v>0</v>
      </c>
      <c r="Q603" t="n">
        <v>0</v>
      </c>
      <c r="R603" s="2" t="inlineStr"/>
    </row>
    <row r="604" ht="15" customHeight="1">
      <c r="A604" t="inlineStr">
        <is>
          <t>A 24024-2024</t>
        </is>
      </c>
      <c r="B604" s="1" t="n">
        <v>45456</v>
      </c>
      <c r="C604" s="1" t="n">
        <v>46149</v>
      </c>
      <c r="D604" t="inlineStr">
        <is>
          <t>STOCKHOLMS LÄN</t>
        </is>
      </c>
      <c r="E604" t="inlineStr">
        <is>
          <t>NORRTÄLJE</t>
        </is>
      </c>
      <c r="G604" t="n">
        <v>1.9</v>
      </c>
      <c r="H604" t="n">
        <v>0</v>
      </c>
      <c r="I604" t="n">
        <v>0</v>
      </c>
      <c r="J604" t="n">
        <v>0</v>
      </c>
      <c r="K604" t="n">
        <v>0</v>
      </c>
      <c r="L604" t="n">
        <v>0</v>
      </c>
      <c r="M604" t="n">
        <v>0</v>
      </c>
      <c r="N604" t="n">
        <v>0</v>
      </c>
      <c r="O604" t="n">
        <v>0</v>
      </c>
      <c r="P604" t="n">
        <v>0</v>
      </c>
      <c r="Q604" t="n">
        <v>0</v>
      </c>
      <c r="R604" s="2" t="inlineStr"/>
    </row>
    <row r="605" ht="15" customHeight="1">
      <c r="A605" t="inlineStr">
        <is>
          <t>A 28809-2023</t>
        </is>
      </c>
      <c r="B605" s="1" t="n">
        <v>45104</v>
      </c>
      <c r="C605" s="1" t="n">
        <v>46149</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28813-2023</t>
        </is>
      </c>
      <c r="B606" s="1" t="n">
        <v>45104</v>
      </c>
      <c r="C606" s="1" t="n">
        <v>46149</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40656-2022</t>
        </is>
      </c>
      <c r="B607" s="1" t="n">
        <v>44824.36069444445</v>
      </c>
      <c r="C607" s="1" t="n">
        <v>46149</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24638-2025</t>
        </is>
      </c>
      <c r="B608" s="1" t="n">
        <v>45798</v>
      </c>
      <c r="C608" s="1" t="n">
        <v>46149</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26644-2024</t>
        </is>
      </c>
      <c r="B609" s="1" t="n">
        <v>45469</v>
      </c>
      <c r="C609" s="1" t="n">
        <v>46149</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60694-2024</t>
        </is>
      </c>
      <c r="B610" s="1" t="n">
        <v>45644.47878472223</v>
      </c>
      <c r="C610" s="1" t="n">
        <v>46149</v>
      </c>
      <c r="D610" t="inlineStr">
        <is>
          <t>STOCKHOLMS LÄN</t>
        </is>
      </c>
      <c r="E610" t="inlineStr">
        <is>
          <t>NORRTÄLJE</t>
        </is>
      </c>
      <c r="G610" t="n">
        <v>1.1</v>
      </c>
      <c r="H610" t="n">
        <v>0</v>
      </c>
      <c r="I610" t="n">
        <v>0</v>
      </c>
      <c r="J610" t="n">
        <v>0</v>
      </c>
      <c r="K610" t="n">
        <v>0</v>
      </c>
      <c r="L610" t="n">
        <v>0</v>
      </c>
      <c r="M610" t="n">
        <v>0</v>
      </c>
      <c r="N610" t="n">
        <v>0</v>
      </c>
      <c r="O610" t="n">
        <v>0</v>
      </c>
      <c r="P610" t="n">
        <v>0</v>
      </c>
      <c r="Q610" t="n">
        <v>0</v>
      </c>
      <c r="R610" s="2" t="inlineStr"/>
    </row>
    <row r="611" ht="15" customHeight="1">
      <c r="A611" t="inlineStr">
        <is>
          <t>A 28603-2024</t>
        </is>
      </c>
      <c r="B611" s="1" t="n">
        <v>45478.42887731481</v>
      </c>
      <c r="C611" s="1" t="n">
        <v>46149</v>
      </c>
      <c r="D611" t="inlineStr">
        <is>
          <t>STOCKHOLMS LÄN</t>
        </is>
      </c>
      <c r="E611" t="inlineStr">
        <is>
          <t>NORRTÄLJE</t>
        </is>
      </c>
      <c r="G611" t="n">
        <v>5.6</v>
      </c>
      <c r="H611" t="n">
        <v>0</v>
      </c>
      <c r="I611" t="n">
        <v>0</v>
      </c>
      <c r="J611" t="n">
        <v>0</v>
      </c>
      <c r="K611" t="n">
        <v>0</v>
      </c>
      <c r="L611" t="n">
        <v>0</v>
      </c>
      <c r="M611" t="n">
        <v>0</v>
      </c>
      <c r="N611" t="n">
        <v>0</v>
      </c>
      <c r="O611" t="n">
        <v>0</v>
      </c>
      <c r="P611" t="n">
        <v>0</v>
      </c>
      <c r="Q611" t="n">
        <v>0</v>
      </c>
      <c r="R611" s="2" t="inlineStr"/>
    </row>
    <row r="612" ht="15" customHeight="1">
      <c r="A612" t="inlineStr">
        <is>
          <t>A 2982-2023</t>
        </is>
      </c>
      <c r="B612" s="1" t="n">
        <v>44945.67409722223</v>
      </c>
      <c r="C612" s="1" t="n">
        <v>46149</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12535-2025</t>
        </is>
      </c>
      <c r="B613" s="1" t="n">
        <v>45730.69502314815</v>
      </c>
      <c r="C613" s="1" t="n">
        <v>46149</v>
      </c>
      <c r="D613" t="inlineStr">
        <is>
          <t>STOCKHOLMS LÄN</t>
        </is>
      </c>
      <c r="E613" t="inlineStr">
        <is>
          <t>NORRTÄLJE</t>
        </is>
      </c>
      <c r="G613" t="n">
        <v>7.1</v>
      </c>
      <c r="H613" t="n">
        <v>0</v>
      </c>
      <c r="I613" t="n">
        <v>0</v>
      </c>
      <c r="J613" t="n">
        <v>0</v>
      </c>
      <c r="K613" t="n">
        <v>0</v>
      </c>
      <c r="L613" t="n">
        <v>0</v>
      </c>
      <c r="M613" t="n">
        <v>0</v>
      </c>
      <c r="N613" t="n">
        <v>0</v>
      </c>
      <c r="O613" t="n">
        <v>0</v>
      </c>
      <c r="P613" t="n">
        <v>0</v>
      </c>
      <c r="Q613" t="n">
        <v>0</v>
      </c>
      <c r="R613" s="2" t="inlineStr"/>
    </row>
    <row r="614" ht="15" customHeight="1">
      <c r="A614" t="inlineStr">
        <is>
          <t>A 19450-2025</t>
        </is>
      </c>
      <c r="B614" s="1" t="n">
        <v>45770</v>
      </c>
      <c r="C614" s="1" t="n">
        <v>46149</v>
      </c>
      <c r="D614" t="inlineStr">
        <is>
          <t>STOCKHOLMS LÄN</t>
        </is>
      </c>
      <c r="E614" t="inlineStr">
        <is>
          <t>NORRTÄLJE</t>
        </is>
      </c>
      <c r="G614" t="n">
        <v>5.3</v>
      </c>
      <c r="H614" t="n">
        <v>0</v>
      </c>
      <c r="I614" t="n">
        <v>0</v>
      </c>
      <c r="J614" t="n">
        <v>0</v>
      </c>
      <c r="K614" t="n">
        <v>0</v>
      </c>
      <c r="L614" t="n">
        <v>0</v>
      </c>
      <c r="M614" t="n">
        <v>0</v>
      </c>
      <c r="N614" t="n">
        <v>0</v>
      </c>
      <c r="O614" t="n">
        <v>0</v>
      </c>
      <c r="P614" t="n">
        <v>0</v>
      </c>
      <c r="Q614" t="n">
        <v>0</v>
      </c>
      <c r="R614" s="2" t="inlineStr"/>
    </row>
    <row r="615" ht="15" customHeight="1">
      <c r="A615" t="inlineStr">
        <is>
          <t>A 37136-2023</t>
        </is>
      </c>
      <c r="B615" s="1" t="n">
        <v>45155</v>
      </c>
      <c r="C615" s="1" t="n">
        <v>46149</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24690-2025</t>
        </is>
      </c>
      <c r="B616" s="1" t="n">
        <v>45798.67082175926</v>
      </c>
      <c r="C616" s="1" t="n">
        <v>46149</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18787-2022</t>
        </is>
      </c>
      <c r="B617" s="1" t="n">
        <v>44687</v>
      </c>
      <c r="C617" s="1" t="n">
        <v>46149</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13718-2022</t>
        </is>
      </c>
      <c r="B618" s="1" t="n">
        <v>44649</v>
      </c>
      <c r="C618" s="1" t="n">
        <v>46149</v>
      </c>
      <c r="D618" t="inlineStr">
        <is>
          <t>STOCKHOLMS LÄN</t>
        </is>
      </c>
      <c r="E618" t="inlineStr">
        <is>
          <t>NORRTÄLJE</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47259-2024</t>
        </is>
      </c>
      <c r="B619" s="1" t="n">
        <v>45586</v>
      </c>
      <c r="C619" s="1" t="n">
        <v>46149</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25702-2025</t>
        </is>
      </c>
      <c r="B620" s="1" t="n">
        <v>45800</v>
      </c>
      <c r="C620" s="1" t="n">
        <v>46149</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25621-2022</t>
        </is>
      </c>
      <c r="B621" s="1" t="n">
        <v>44732</v>
      </c>
      <c r="C621" s="1" t="n">
        <v>46149</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41301-2025</t>
        </is>
      </c>
      <c r="B622" s="1" t="n">
        <v>45898.68826388889</v>
      </c>
      <c r="C622" s="1" t="n">
        <v>46149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36269-2022</t>
        </is>
      </c>
      <c r="B623" s="1" t="n">
        <v>44803</v>
      </c>
      <c r="C623" s="1" t="n">
        <v>46149</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36308-2022</t>
        </is>
      </c>
      <c r="B624" s="1" t="n">
        <v>44803</v>
      </c>
      <c r="C624" s="1" t="n">
        <v>46149</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25712-2025</t>
        </is>
      </c>
      <c r="B625" s="1" t="n">
        <v>45803.69228009259</v>
      </c>
      <c r="C625" s="1" t="n">
        <v>46149</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25733-2025</t>
        </is>
      </c>
      <c r="B626" s="1" t="n">
        <v>45800</v>
      </c>
      <c r="C626" s="1" t="n">
        <v>46149</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39238-2024</t>
        </is>
      </c>
      <c r="B627" s="1" t="n">
        <v>45549</v>
      </c>
      <c r="C627" s="1" t="n">
        <v>46149</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6919-2025</t>
        </is>
      </c>
      <c r="B628" s="1" t="n">
        <v>45701.44372685185</v>
      </c>
      <c r="C628" s="1" t="n">
        <v>46149</v>
      </c>
      <c r="D628" t="inlineStr">
        <is>
          <t>STOCKHOLMS LÄN</t>
        </is>
      </c>
      <c r="E628" t="inlineStr">
        <is>
          <t>NORRTÄLJE</t>
        </is>
      </c>
      <c r="G628" t="n">
        <v>3.5</v>
      </c>
      <c r="H628" t="n">
        <v>0</v>
      </c>
      <c r="I628" t="n">
        <v>0</v>
      </c>
      <c r="J628" t="n">
        <v>0</v>
      </c>
      <c r="K628" t="n">
        <v>0</v>
      </c>
      <c r="L628" t="n">
        <v>0</v>
      </c>
      <c r="M628" t="n">
        <v>0</v>
      </c>
      <c r="N628" t="n">
        <v>0</v>
      </c>
      <c r="O628" t="n">
        <v>0</v>
      </c>
      <c r="P628" t="n">
        <v>0</v>
      </c>
      <c r="Q628" t="n">
        <v>0</v>
      </c>
      <c r="R628" s="2" t="inlineStr"/>
    </row>
    <row r="629" ht="15" customHeight="1">
      <c r="A629" t="inlineStr">
        <is>
          <t>A 32100-2022</t>
        </is>
      </c>
      <c r="B629" s="1" t="n">
        <v>44778</v>
      </c>
      <c r="C629" s="1" t="n">
        <v>46149</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25571-2025</t>
        </is>
      </c>
      <c r="B630" s="1" t="n">
        <v>45803.4675</v>
      </c>
      <c r="C630" s="1" t="n">
        <v>46149</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25721-2025</t>
        </is>
      </c>
      <c r="B631" s="1" t="n">
        <v>45800</v>
      </c>
      <c r="C631" s="1" t="n">
        <v>46149</v>
      </c>
      <c r="D631" t="inlineStr">
        <is>
          <t>STOCKHOLMS LÄN</t>
        </is>
      </c>
      <c r="E631" t="inlineStr">
        <is>
          <t>NORRTÄLJE</t>
        </is>
      </c>
      <c r="G631" t="n">
        <v>6</v>
      </c>
      <c r="H631" t="n">
        <v>0</v>
      </c>
      <c r="I631" t="n">
        <v>0</v>
      </c>
      <c r="J631" t="n">
        <v>0</v>
      </c>
      <c r="K631" t="n">
        <v>0</v>
      </c>
      <c r="L631" t="n">
        <v>0</v>
      </c>
      <c r="M631" t="n">
        <v>0</v>
      </c>
      <c r="N631" t="n">
        <v>0</v>
      </c>
      <c r="O631" t="n">
        <v>0</v>
      </c>
      <c r="P631" t="n">
        <v>0</v>
      </c>
      <c r="Q631" t="n">
        <v>0</v>
      </c>
      <c r="R631" s="2" t="inlineStr"/>
    </row>
    <row r="632" ht="15" customHeight="1">
      <c r="A632" t="inlineStr">
        <is>
          <t>A 11332-2025</t>
        </is>
      </c>
      <c r="B632" s="1" t="n">
        <v>45726.48152777777</v>
      </c>
      <c r="C632" s="1" t="n">
        <v>46149</v>
      </c>
      <c r="D632" t="inlineStr">
        <is>
          <t>STOCKHOLMS LÄN</t>
        </is>
      </c>
      <c r="E632" t="inlineStr">
        <is>
          <t>NORRTÄLJE</t>
        </is>
      </c>
      <c r="G632" t="n">
        <v>4.6</v>
      </c>
      <c r="H632" t="n">
        <v>0</v>
      </c>
      <c r="I632" t="n">
        <v>0</v>
      </c>
      <c r="J632" t="n">
        <v>0</v>
      </c>
      <c r="K632" t="n">
        <v>0</v>
      </c>
      <c r="L632" t="n">
        <v>0</v>
      </c>
      <c r="M632" t="n">
        <v>0</v>
      </c>
      <c r="N632" t="n">
        <v>0</v>
      </c>
      <c r="O632" t="n">
        <v>0</v>
      </c>
      <c r="P632" t="n">
        <v>0</v>
      </c>
      <c r="Q632" t="n">
        <v>0</v>
      </c>
      <c r="R632" s="2" t="inlineStr"/>
    </row>
    <row r="633" ht="15" customHeight="1">
      <c r="A633" t="inlineStr">
        <is>
          <t>A 37444-2021</t>
        </is>
      </c>
      <c r="B633" s="1" t="n">
        <v>44398</v>
      </c>
      <c r="C633" s="1" t="n">
        <v>46149</v>
      </c>
      <c r="D633" t="inlineStr">
        <is>
          <t>STOCKHOLMS LÄN</t>
        </is>
      </c>
      <c r="E633" t="inlineStr">
        <is>
          <t>NORRTÄLJE</t>
        </is>
      </c>
      <c r="F633" t="inlineStr">
        <is>
          <t>Holmen skog AB</t>
        </is>
      </c>
      <c r="G633" t="n">
        <v>3.2</v>
      </c>
      <c r="H633" t="n">
        <v>0</v>
      </c>
      <c r="I633" t="n">
        <v>0</v>
      </c>
      <c r="J633" t="n">
        <v>0</v>
      </c>
      <c r="K633" t="n">
        <v>0</v>
      </c>
      <c r="L633" t="n">
        <v>0</v>
      </c>
      <c r="M633" t="n">
        <v>0</v>
      </c>
      <c r="N633" t="n">
        <v>0</v>
      </c>
      <c r="O633" t="n">
        <v>0</v>
      </c>
      <c r="P633" t="n">
        <v>0</v>
      </c>
      <c r="Q633" t="n">
        <v>0</v>
      </c>
      <c r="R633" s="2" t="inlineStr"/>
    </row>
    <row r="634" ht="15" customHeight="1">
      <c r="A634" t="inlineStr">
        <is>
          <t>A 30886-2022</t>
        </is>
      </c>
      <c r="B634" s="1" t="n">
        <v>44767.60601851852</v>
      </c>
      <c r="C634" s="1" t="n">
        <v>46149</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25697-2025</t>
        </is>
      </c>
      <c r="B635" s="1" t="n">
        <v>45803.66587962963</v>
      </c>
      <c r="C635" s="1" t="n">
        <v>46149</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41218-2024</t>
        </is>
      </c>
      <c r="B636" s="1" t="n">
        <v>45559.54706018518</v>
      </c>
      <c r="C636" s="1" t="n">
        <v>46149</v>
      </c>
      <c r="D636" t="inlineStr">
        <is>
          <t>STOCKHOLMS LÄN</t>
        </is>
      </c>
      <c r="E636" t="inlineStr">
        <is>
          <t>NORRTÄLJE</t>
        </is>
      </c>
      <c r="G636" t="n">
        <v>6</v>
      </c>
      <c r="H636" t="n">
        <v>0</v>
      </c>
      <c r="I636" t="n">
        <v>0</v>
      </c>
      <c r="J636" t="n">
        <v>0</v>
      </c>
      <c r="K636" t="n">
        <v>0</v>
      </c>
      <c r="L636" t="n">
        <v>0</v>
      </c>
      <c r="M636" t="n">
        <v>0</v>
      </c>
      <c r="N636" t="n">
        <v>0</v>
      </c>
      <c r="O636" t="n">
        <v>0</v>
      </c>
      <c r="P636" t="n">
        <v>0</v>
      </c>
      <c r="Q636" t="n">
        <v>0</v>
      </c>
      <c r="R636" s="2" t="inlineStr"/>
    </row>
    <row r="637" ht="15" customHeight="1">
      <c r="A637" t="inlineStr">
        <is>
          <t>A 9654-2022</t>
        </is>
      </c>
      <c r="B637" s="1" t="n">
        <v>44617</v>
      </c>
      <c r="C637" s="1" t="n">
        <v>46149</v>
      </c>
      <c r="D637" t="inlineStr">
        <is>
          <t>STOCKHOLMS LÄN</t>
        </is>
      </c>
      <c r="E637" t="inlineStr">
        <is>
          <t>NORRTÄLJE</t>
        </is>
      </c>
      <c r="G637" t="n">
        <v>6.4</v>
      </c>
      <c r="H637" t="n">
        <v>0</v>
      </c>
      <c r="I637" t="n">
        <v>0</v>
      </c>
      <c r="J637" t="n">
        <v>0</v>
      </c>
      <c r="K637" t="n">
        <v>0</v>
      </c>
      <c r="L637" t="n">
        <v>0</v>
      </c>
      <c r="M637" t="n">
        <v>0</v>
      </c>
      <c r="N637" t="n">
        <v>0</v>
      </c>
      <c r="O637" t="n">
        <v>0</v>
      </c>
      <c r="P637" t="n">
        <v>0</v>
      </c>
      <c r="Q637" t="n">
        <v>0</v>
      </c>
      <c r="R637" s="2" t="inlineStr"/>
    </row>
    <row r="638" ht="15" customHeight="1">
      <c r="A638" t="inlineStr">
        <is>
          <t>A 33353-2023</t>
        </is>
      </c>
      <c r="B638" s="1" t="n">
        <v>45128</v>
      </c>
      <c r="C638" s="1" t="n">
        <v>46149</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38449-2022</t>
        </is>
      </c>
      <c r="B639" s="1" t="n">
        <v>44813</v>
      </c>
      <c r="C639" s="1" t="n">
        <v>46149</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1453-2025</t>
        </is>
      </c>
      <c r="B640" s="1" t="n">
        <v>45670.3079050926</v>
      </c>
      <c r="C640" s="1" t="n">
        <v>46149</v>
      </c>
      <c r="D640" t="inlineStr">
        <is>
          <t>STOCKHOLMS LÄN</t>
        </is>
      </c>
      <c r="E640" t="inlineStr">
        <is>
          <t>NORRTÄLJE</t>
        </is>
      </c>
      <c r="G640" t="n">
        <v>2.6</v>
      </c>
      <c r="H640" t="n">
        <v>0</v>
      </c>
      <c r="I640" t="n">
        <v>0</v>
      </c>
      <c r="J640" t="n">
        <v>0</v>
      </c>
      <c r="K640" t="n">
        <v>0</v>
      </c>
      <c r="L640" t="n">
        <v>0</v>
      </c>
      <c r="M640" t="n">
        <v>0</v>
      </c>
      <c r="N640" t="n">
        <v>0</v>
      </c>
      <c r="O640" t="n">
        <v>0</v>
      </c>
      <c r="P640" t="n">
        <v>0</v>
      </c>
      <c r="Q640" t="n">
        <v>0</v>
      </c>
      <c r="R640" s="2" t="inlineStr"/>
    </row>
    <row r="641" ht="15" customHeight="1">
      <c r="A641" t="inlineStr">
        <is>
          <t>A 5804-2025</t>
        </is>
      </c>
      <c r="B641" s="1" t="n">
        <v>45694.68207175926</v>
      </c>
      <c r="C641" s="1" t="n">
        <v>46149</v>
      </c>
      <c r="D641" t="inlineStr">
        <is>
          <t>STOCKHOLMS LÄN</t>
        </is>
      </c>
      <c r="E641" t="inlineStr">
        <is>
          <t>NORRTÄLJE</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3966-2024</t>
        </is>
      </c>
      <c r="B642" s="1" t="n">
        <v>45322</v>
      </c>
      <c r="C642" s="1" t="n">
        <v>46149</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50907-2022</t>
        </is>
      </c>
      <c r="B643" s="1" t="n">
        <v>44867.62090277778</v>
      </c>
      <c r="C643" s="1" t="n">
        <v>46149</v>
      </c>
      <c r="D643" t="inlineStr">
        <is>
          <t>STOCKHOLMS LÄN</t>
        </is>
      </c>
      <c r="E643" t="inlineStr">
        <is>
          <t>NORRTÄLJE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29003-2023</t>
        </is>
      </c>
      <c r="B644" s="1" t="n">
        <v>45104</v>
      </c>
      <c r="C644" s="1" t="n">
        <v>46149</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33295-2023</t>
        </is>
      </c>
      <c r="B645" s="1" t="n">
        <v>45127.69371527778</v>
      </c>
      <c r="C645" s="1" t="n">
        <v>46149</v>
      </c>
      <c r="D645" t="inlineStr">
        <is>
          <t>STOCKHOLMS LÄN</t>
        </is>
      </c>
      <c r="E645" t="inlineStr">
        <is>
          <t>NORRTÄLJE</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14127-2025</t>
        </is>
      </c>
      <c r="B646" s="1" t="n">
        <v>45740.47055555556</v>
      </c>
      <c r="C646" s="1" t="n">
        <v>46149</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16980-2023</t>
        </is>
      </c>
      <c r="B647" s="1" t="n">
        <v>45033</v>
      </c>
      <c r="C647" s="1" t="n">
        <v>46149</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53561-2023</t>
        </is>
      </c>
      <c r="B648" s="1" t="n">
        <v>45224</v>
      </c>
      <c r="C648" s="1" t="n">
        <v>46149</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32595-2023</t>
        </is>
      </c>
      <c r="B649" s="1" t="n">
        <v>45121</v>
      </c>
      <c r="C649" s="1" t="n">
        <v>46149</v>
      </c>
      <c r="D649" t="inlineStr">
        <is>
          <t>STOCKHOLMS LÄN</t>
        </is>
      </c>
      <c r="E649" t="inlineStr">
        <is>
          <t>NORRTÄLJE</t>
        </is>
      </c>
      <c r="G649" t="n">
        <v>2.4</v>
      </c>
      <c r="H649" t="n">
        <v>0</v>
      </c>
      <c r="I649" t="n">
        <v>0</v>
      </c>
      <c r="J649" t="n">
        <v>0</v>
      </c>
      <c r="K649" t="n">
        <v>0</v>
      </c>
      <c r="L649" t="n">
        <v>0</v>
      </c>
      <c r="M649" t="n">
        <v>0</v>
      </c>
      <c r="N649" t="n">
        <v>0</v>
      </c>
      <c r="O649" t="n">
        <v>0</v>
      </c>
      <c r="P649" t="n">
        <v>0</v>
      </c>
      <c r="Q649" t="n">
        <v>0</v>
      </c>
      <c r="R649" s="2" t="inlineStr"/>
    </row>
    <row r="650" ht="15" customHeight="1">
      <c r="A650" t="inlineStr">
        <is>
          <t>A 23262-2023</t>
        </is>
      </c>
      <c r="B650" s="1" t="n">
        <v>45075.90270833333</v>
      </c>
      <c r="C650" s="1" t="n">
        <v>46149</v>
      </c>
      <c r="D650" t="inlineStr">
        <is>
          <t>STOCKHOLMS LÄN</t>
        </is>
      </c>
      <c r="E650" t="inlineStr">
        <is>
          <t>NORRTÄLJE</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23268-2023</t>
        </is>
      </c>
      <c r="B651" s="1" t="n">
        <v>45075.91042824074</v>
      </c>
      <c r="C651" s="1" t="n">
        <v>46149</v>
      </c>
      <c r="D651" t="inlineStr">
        <is>
          <t>STOCKHOLMS LÄN</t>
        </is>
      </c>
      <c r="E651" t="inlineStr">
        <is>
          <t>NORRTÄLJE</t>
        </is>
      </c>
      <c r="G651" t="n">
        <v>3.3</v>
      </c>
      <c r="H651" t="n">
        <v>0</v>
      </c>
      <c r="I651" t="n">
        <v>0</v>
      </c>
      <c r="J651" t="n">
        <v>0</v>
      </c>
      <c r="K651" t="n">
        <v>0</v>
      </c>
      <c r="L651" t="n">
        <v>0</v>
      </c>
      <c r="M651" t="n">
        <v>0</v>
      </c>
      <c r="N651" t="n">
        <v>0</v>
      </c>
      <c r="O651" t="n">
        <v>0</v>
      </c>
      <c r="P651" t="n">
        <v>0</v>
      </c>
      <c r="Q651" t="n">
        <v>0</v>
      </c>
      <c r="R651" s="2" t="inlineStr"/>
    </row>
    <row r="652" ht="15" customHeight="1">
      <c r="A652" t="inlineStr">
        <is>
          <t>A 23270-2023</t>
        </is>
      </c>
      <c r="B652" s="1" t="n">
        <v>45075.91265046296</v>
      </c>
      <c r="C652" s="1" t="n">
        <v>46149</v>
      </c>
      <c r="D652" t="inlineStr">
        <is>
          <t>STOCKHOLMS LÄN</t>
        </is>
      </c>
      <c r="E652" t="inlineStr">
        <is>
          <t>NORRTÄLJE</t>
        </is>
      </c>
      <c r="G652" t="n">
        <v>12.3</v>
      </c>
      <c r="H652" t="n">
        <v>0</v>
      </c>
      <c r="I652" t="n">
        <v>0</v>
      </c>
      <c r="J652" t="n">
        <v>0</v>
      </c>
      <c r="K652" t="n">
        <v>0</v>
      </c>
      <c r="L652" t="n">
        <v>0</v>
      </c>
      <c r="M652" t="n">
        <v>0</v>
      </c>
      <c r="N652" t="n">
        <v>0</v>
      </c>
      <c r="O652" t="n">
        <v>0</v>
      </c>
      <c r="P652" t="n">
        <v>0</v>
      </c>
      <c r="Q652" t="n">
        <v>0</v>
      </c>
      <c r="R652" s="2" t="inlineStr"/>
    </row>
    <row r="653" ht="15" customHeight="1">
      <c r="A653" t="inlineStr">
        <is>
          <t>A 23274-2023</t>
        </is>
      </c>
      <c r="B653" s="1" t="n">
        <v>45075.92153935185</v>
      </c>
      <c r="C653" s="1" t="n">
        <v>46149</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37550-2022</t>
        </is>
      </c>
      <c r="B654" s="1" t="n">
        <v>44809</v>
      </c>
      <c r="C654" s="1" t="n">
        <v>46149</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26051-2025</t>
        </is>
      </c>
      <c r="B655" s="1" t="n">
        <v>45804.74479166666</v>
      </c>
      <c r="C655" s="1" t="n">
        <v>46149</v>
      </c>
      <c r="D655" t="inlineStr">
        <is>
          <t>STOCKHOLMS LÄN</t>
        </is>
      </c>
      <c r="E655" t="inlineStr">
        <is>
          <t>NORRTÄLJE</t>
        </is>
      </c>
      <c r="G655" t="n">
        <v>3.2</v>
      </c>
      <c r="H655" t="n">
        <v>0</v>
      </c>
      <c r="I655" t="n">
        <v>0</v>
      </c>
      <c r="J655" t="n">
        <v>0</v>
      </c>
      <c r="K655" t="n">
        <v>0</v>
      </c>
      <c r="L655" t="n">
        <v>0</v>
      </c>
      <c r="M655" t="n">
        <v>0</v>
      </c>
      <c r="N655" t="n">
        <v>0</v>
      </c>
      <c r="O655" t="n">
        <v>0</v>
      </c>
      <c r="P655" t="n">
        <v>0</v>
      </c>
      <c r="Q655" t="n">
        <v>0</v>
      </c>
      <c r="R655" s="2" t="inlineStr"/>
    </row>
    <row r="656" ht="15" customHeight="1">
      <c r="A656" t="inlineStr">
        <is>
          <t>A 17843-2024</t>
        </is>
      </c>
      <c r="B656" s="1" t="n">
        <v>45418</v>
      </c>
      <c r="C656" s="1" t="n">
        <v>46149</v>
      </c>
      <c r="D656" t="inlineStr">
        <is>
          <t>STOCKHOLMS LÄN</t>
        </is>
      </c>
      <c r="E656" t="inlineStr">
        <is>
          <t>NORRTÄLJE</t>
        </is>
      </c>
      <c r="G656" t="n">
        <v>5.4</v>
      </c>
      <c r="H656" t="n">
        <v>0</v>
      </c>
      <c r="I656" t="n">
        <v>0</v>
      </c>
      <c r="J656" t="n">
        <v>0</v>
      </c>
      <c r="K656" t="n">
        <v>0</v>
      </c>
      <c r="L656" t="n">
        <v>0</v>
      </c>
      <c r="M656" t="n">
        <v>0</v>
      </c>
      <c r="N656" t="n">
        <v>0</v>
      </c>
      <c r="O656" t="n">
        <v>0</v>
      </c>
      <c r="P656" t="n">
        <v>0</v>
      </c>
      <c r="Q656" t="n">
        <v>0</v>
      </c>
      <c r="R656" s="2" t="inlineStr"/>
    </row>
    <row r="657" ht="15" customHeight="1">
      <c r="A657" t="inlineStr">
        <is>
          <t>A 41174-2025</t>
        </is>
      </c>
      <c r="B657" s="1" t="n">
        <v>45898.54921296296</v>
      </c>
      <c r="C657" s="1" t="n">
        <v>46149</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26636-2023</t>
        </is>
      </c>
      <c r="B658" s="1" t="n">
        <v>45092</v>
      </c>
      <c r="C658" s="1" t="n">
        <v>46149</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26637-2023</t>
        </is>
      </c>
      <c r="B659" s="1" t="n">
        <v>45092</v>
      </c>
      <c r="C659" s="1" t="n">
        <v>46149</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48161-2022</t>
        </is>
      </c>
      <c r="B660" s="1" t="n">
        <v>44858</v>
      </c>
      <c r="C660" s="1" t="n">
        <v>46149</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48798-2021</t>
        </is>
      </c>
      <c r="B661" s="1" t="n">
        <v>44452</v>
      </c>
      <c r="C661" s="1" t="n">
        <v>46149</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72704-2021</t>
        </is>
      </c>
      <c r="B662" s="1" t="n">
        <v>44546</v>
      </c>
      <c r="C662" s="1" t="n">
        <v>46149</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52743-2024</t>
        </is>
      </c>
      <c r="B663" s="1" t="n">
        <v>45610.47414351852</v>
      </c>
      <c r="C663" s="1" t="n">
        <v>46149</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16852-2024</t>
        </is>
      </c>
      <c r="B664" s="1" t="n">
        <v>45411.54768518519</v>
      </c>
      <c r="C664" s="1" t="n">
        <v>46149</v>
      </c>
      <c r="D664" t="inlineStr">
        <is>
          <t>STOCKHOLMS LÄN</t>
        </is>
      </c>
      <c r="E664" t="inlineStr">
        <is>
          <t>NORRTÄLJE</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41030-2025</t>
        </is>
      </c>
      <c r="B665" s="1" t="n">
        <v>45898.37636574074</v>
      </c>
      <c r="C665" s="1" t="n">
        <v>46149</v>
      </c>
      <c r="D665" t="inlineStr">
        <is>
          <t>STOCKHOLMS LÄN</t>
        </is>
      </c>
      <c r="E665" t="inlineStr">
        <is>
          <t>NORRTÄLJE</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26708-2025</t>
        </is>
      </c>
      <c r="B666" s="1" t="n">
        <v>45810.45633101852</v>
      </c>
      <c r="C666" s="1" t="n">
        <v>46149</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41036-2025</t>
        </is>
      </c>
      <c r="B667" s="1" t="n">
        <v>45898.38552083333</v>
      </c>
      <c r="C667" s="1" t="n">
        <v>46149</v>
      </c>
      <c r="D667" t="inlineStr">
        <is>
          <t>STOCKHOLMS LÄN</t>
        </is>
      </c>
      <c r="E667" t="inlineStr">
        <is>
          <t>NORRTÄLJE</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41106-2025</t>
        </is>
      </c>
      <c r="B668" s="1" t="n">
        <v>45898.45636574074</v>
      </c>
      <c r="C668" s="1" t="n">
        <v>46149</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26702-2025</t>
        </is>
      </c>
      <c r="B669" s="1" t="n">
        <v>45810.45236111111</v>
      </c>
      <c r="C669" s="1" t="n">
        <v>46149</v>
      </c>
      <c r="D669" t="inlineStr">
        <is>
          <t>STOCKHOLMS LÄN</t>
        </is>
      </c>
      <c r="E669" t="inlineStr">
        <is>
          <t>NORRTÄLJE</t>
        </is>
      </c>
      <c r="G669" t="n">
        <v>7.3</v>
      </c>
      <c r="H669" t="n">
        <v>0</v>
      </c>
      <c r="I669" t="n">
        <v>0</v>
      </c>
      <c r="J669" t="n">
        <v>0</v>
      </c>
      <c r="K669" t="n">
        <v>0</v>
      </c>
      <c r="L669" t="n">
        <v>0</v>
      </c>
      <c r="M669" t="n">
        <v>0</v>
      </c>
      <c r="N669" t="n">
        <v>0</v>
      </c>
      <c r="O669" t="n">
        <v>0</v>
      </c>
      <c r="P669" t="n">
        <v>0</v>
      </c>
      <c r="Q669" t="n">
        <v>0</v>
      </c>
      <c r="R669" s="2" t="inlineStr"/>
    </row>
    <row r="670" ht="15" customHeight="1">
      <c r="A670" t="inlineStr">
        <is>
          <t>A 41110-2025</t>
        </is>
      </c>
      <c r="B670" s="1" t="n">
        <v>45898.45976851852</v>
      </c>
      <c r="C670" s="1" t="n">
        <v>46149</v>
      </c>
      <c r="D670" t="inlineStr">
        <is>
          <t>STOCKHOLMS LÄN</t>
        </is>
      </c>
      <c r="E670" t="inlineStr">
        <is>
          <t>NORRTÄLJE</t>
        </is>
      </c>
      <c r="F670" t="inlineStr">
        <is>
          <t>Holmen skog AB</t>
        </is>
      </c>
      <c r="G670" t="n">
        <v>6.7</v>
      </c>
      <c r="H670" t="n">
        <v>0</v>
      </c>
      <c r="I670" t="n">
        <v>0</v>
      </c>
      <c r="J670" t="n">
        <v>0</v>
      </c>
      <c r="K670" t="n">
        <v>0</v>
      </c>
      <c r="L670" t="n">
        <v>0</v>
      </c>
      <c r="M670" t="n">
        <v>0</v>
      </c>
      <c r="N670" t="n">
        <v>0</v>
      </c>
      <c r="O670" t="n">
        <v>0</v>
      </c>
      <c r="P670" t="n">
        <v>0</v>
      </c>
      <c r="Q670" t="n">
        <v>0</v>
      </c>
      <c r="R670" s="2" t="inlineStr"/>
    </row>
    <row r="671" ht="15" customHeight="1">
      <c r="A671" t="inlineStr">
        <is>
          <t>A 41259-2025</t>
        </is>
      </c>
      <c r="B671" s="1" t="n">
        <v>45898.61054398148</v>
      </c>
      <c r="C671" s="1" t="n">
        <v>46149</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23061-2025</t>
        </is>
      </c>
      <c r="B672" s="1" t="n">
        <v>45790.81410879629</v>
      </c>
      <c r="C672" s="1" t="n">
        <v>46149</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10511-2025</t>
        </is>
      </c>
      <c r="B673" s="1" t="n">
        <v>45721.40780092592</v>
      </c>
      <c r="C673" s="1" t="n">
        <v>46149</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27040-2025</t>
        </is>
      </c>
      <c r="B674" s="1" t="n">
        <v>45811.60451388889</v>
      </c>
      <c r="C674" s="1" t="n">
        <v>46149</v>
      </c>
      <c r="D674" t="inlineStr">
        <is>
          <t>STOCKHOLMS LÄN</t>
        </is>
      </c>
      <c r="E674" t="inlineStr">
        <is>
          <t>NORRTÄLJE</t>
        </is>
      </c>
      <c r="G674" t="n">
        <v>4.3</v>
      </c>
      <c r="H674" t="n">
        <v>0</v>
      </c>
      <c r="I674" t="n">
        <v>0</v>
      </c>
      <c r="J674" t="n">
        <v>0</v>
      </c>
      <c r="K674" t="n">
        <v>0</v>
      </c>
      <c r="L674" t="n">
        <v>0</v>
      </c>
      <c r="M674" t="n">
        <v>0</v>
      </c>
      <c r="N674" t="n">
        <v>0</v>
      </c>
      <c r="O674" t="n">
        <v>0</v>
      </c>
      <c r="P674" t="n">
        <v>0</v>
      </c>
      <c r="Q674" t="n">
        <v>0</v>
      </c>
      <c r="R674" s="2" t="inlineStr"/>
    </row>
    <row r="675" ht="15" customHeight="1">
      <c r="A675" t="inlineStr">
        <is>
          <t>A 26747-2025</t>
        </is>
      </c>
      <c r="B675" s="1" t="n">
        <v>45810.5333912037</v>
      </c>
      <c r="C675" s="1" t="n">
        <v>46149</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55755-2023</t>
        </is>
      </c>
      <c r="B676" s="1" t="n">
        <v>45239</v>
      </c>
      <c r="C676" s="1" t="n">
        <v>46149</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54776-2023</t>
        </is>
      </c>
      <c r="B677" s="1" t="n">
        <v>45236.46369212963</v>
      </c>
      <c r="C677" s="1" t="n">
        <v>46149</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19057-2024</t>
        </is>
      </c>
      <c r="B678" s="1" t="n">
        <v>45427.88731481481</v>
      </c>
      <c r="C678" s="1" t="n">
        <v>46149</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57442-2021</t>
        </is>
      </c>
      <c r="B679" s="1" t="n">
        <v>44483</v>
      </c>
      <c r="C679" s="1" t="n">
        <v>46149</v>
      </c>
      <c r="D679" t="inlineStr">
        <is>
          <t>STOCKHOLMS LÄN</t>
        </is>
      </c>
      <c r="E679" t="inlineStr">
        <is>
          <t>NORRTÄLJE</t>
        </is>
      </c>
      <c r="G679" t="n">
        <v>3.3</v>
      </c>
      <c r="H679" t="n">
        <v>0</v>
      </c>
      <c r="I679" t="n">
        <v>0</v>
      </c>
      <c r="J679" t="n">
        <v>0</v>
      </c>
      <c r="K679" t="n">
        <v>0</v>
      </c>
      <c r="L679" t="n">
        <v>0</v>
      </c>
      <c r="M679" t="n">
        <v>0</v>
      </c>
      <c r="N679" t="n">
        <v>0</v>
      </c>
      <c r="O679" t="n">
        <v>0</v>
      </c>
      <c r="P679" t="n">
        <v>0</v>
      </c>
      <c r="Q679" t="n">
        <v>0</v>
      </c>
      <c r="R679" s="2" t="inlineStr"/>
    </row>
    <row r="680" ht="15" customHeight="1">
      <c r="A680" t="inlineStr">
        <is>
          <t>A 55952-2024</t>
        </is>
      </c>
      <c r="B680" s="1" t="n">
        <v>45623.62563657408</v>
      </c>
      <c r="C680" s="1" t="n">
        <v>46149</v>
      </c>
      <c r="D680" t="inlineStr">
        <is>
          <t>STOCKHOLMS LÄN</t>
        </is>
      </c>
      <c r="E680" t="inlineStr">
        <is>
          <t>NORRTÄLJE</t>
        </is>
      </c>
      <c r="F680" t="inlineStr">
        <is>
          <t>Holmen skog AB</t>
        </is>
      </c>
      <c r="G680" t="n">
        <v>2.8</v>
      </c>
      <c r="H680" t="n">
        <v>0</v>
      </c>
      <c r="I680" t="n">
        <v>0</v>
      </c>
      <c r="J680" t="n">
        <v>0</v>
      </c>
      <c r="K680" t="n">
        <v>0</v>
      </c>
      <c r="L680" t="n">
        <v>0</v>
      </c>
      <c r="M680" t="n">
        <v>0</v>
      </c>
      <c r="N680" t="n">
        <v>0</v>
      </c>
      <c r="O680" t="n">
        <v>0</v>
      </c>
      <c r="P680" t="n">
        <v>0</v>
      </c>
      <c r="Q680" t="n">
        <v>0</v>
      </c>
      <c r="R680" s="2" t="inlineStr"/>
    </row>
    <row r="681" ht="15" customHeight="1">
      <c r="A681" t="inlineStr">
        <is>
          <t>A 26675-2025</t>
        </is>
      </c>
      <c r="B681" s="1" t="n">
        <v>45810.42393518519</v>
      </c>
      <c r="C681" s="1" t="n">
        <v>46149</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8135-2025</t>
        </is>
      </c>
      <c r="B682" s="1" t="n">
        <v>45707.84997685185</v>
      </c>
      <c r="C682" s="1" t="n">
        <v>46149</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3383-2023</t>
        </is>
      </c>
      <c r="B683" s="1" t="n">
        <v>44949</v>
      </c>
      <c r="C683" s="1" t="n">
        <v>46149</v>
      </c>
      <c r="D683" t="inlineStr">
        <is>
          <t>STOCKHOLMS LÄN</t>
        </is>
      </c>
      <c r="E683" t="inlineStr">
        <is>
          <t>NORRTÄLJE</t>
        </is>
      </c>
      <c r="G683" t="n">
        <v>14.6</v>
      </c>
      <c r="H683" t="n">
        <v>0</v>
      </c>
      <c r="I683" t="n">
        <v>0</v>
      </c>
      <c r="J683" t="n">
        <v>0</v>
      </c>
      <c r="K683" t="n">
        <v>0</v>
      </c>
      <c r="L683" t="n">
        <v>0</v>
      </c>
      <c r="M683" t="n">
        <v>0</v>
      </c>
      <c r="N683" t="n">
        <v>0</v>
      </c>
      <c r="O683" t="n">
        <v>0</v>
      </c>
      <c r="P683" t="n">
        <v>0</v>
      </c>
      <c r="Q683" t="n">
        <v>0</v>
      </c>
      <c r="R683" s="2" t="inlineStr"/>
    </row>
    <row r="684" ht="15" customHeight="1">
      <c r="A684" t="inlineStr">
        <is>
          <t>A 17348-2024</t>
        </is>
      </c>
      <c r="B684" s="1" t="n">
        <v>45414.58650462963</v>
      </c>
      <c r="C684" s="1" t="n">
        <v>46149</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27554-2025</t>
        </is>
      </c>
      <c r="B685" s="1" t="n">
        <v>45813.4709375</v>
      </c>
      <c r="C685" s="1" t="n">
        <v>46149</v>
      </c>
      <c r="D685" t="inlineStr">
        <is>
          <t>STOCKHOLMS LÄN</t>
        </is>
      </c>
      <c r="E685" t="inlineStr">
        <is>
          <t>NORRTÄLJE</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21732-2023</t>
        </is>
      </c>
      <c r="B686" s="1" t="n">
        <v>45063</v>
      </c>
      <c r="C686" s="1" t="n">
        <v>46149</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23307-2024</t>
        </is>
      </c>
      <c r="B687" s="1" t="n">
        <v>45453</v>
      </c>
      <c r="C687" s="1" t="n">
        <v>46149</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41966-2025</t>
        </is>
      </c>
      <c r="B688" s="1" t="n">
        <v>45903.47456018518</v>
      </c>
      <c r="C688" s="1" t="n">
        <v>46149</v>
      </c>
      <c r="D688" t="inlineStr">
        <is>
          <t>STOCKHOLMS LÄN</t>
        </is>
      </c>
      <c r="E688" t="inlineStr">
        <is>
          <t>NORRTÄLJE</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42038-2025</t>
        </is>
      </c>
      <c r="B689" s="1" t="n">
        <v>45903.61431712963</v>
      </c>
      <c r="C689" s="1" t="n">
        <v>46149</v>
      </c>
      <c r="D689" t="inlineStr">
        <is>
          <t>STOCKHOLMS LÄN</t>
        </is>
      </c>
      <c r="E689" t="inlineStr">
        <is>
          <t>NORRTÄLJE</t>
        </is>
      </c>
      <c r="F689" t="inlineStr">
        <is>
          <t>Sveaskog</t>
        </is>
      </c>
      <c r="G689" t="n">
        <v>6.4</v>
      </c>
      <c r="H689" t="n">
        <v>0</v>
      </c>
      <c r="I689" t="n">
        <v>0</v>
      </c>
      <c r="J689" t="n">
        <v>0</v>
      </c>
      <c r="K689" t="n">
        <v>0</v>
      </c>
      <c r="L689" t="n">
        <v>0</v>
      </c>
      <c r="M689" t="n">
        <v>0</v>
      </c>
      <c r="N689" t="n">
        <v>0</v>
      </c>
      <c r="O689" t="n">
        <v>0</v>
      </c>
      <c r="P689" t="n">
        <v>0</v>
      </c>
      <c r="Q689" t="n">
        <v>0</v>
      </c>
      <c r="R689" s="2" t="inlineStr"/>
    </row>
    <row r="690" ht="15" customHeight="1">
      <c r="A690" t="inlineStr">
        <is>
          <t>A 27700-2025</t>
        </is>
      </c>
      <c r="B690" s="1" t="n">
        <v>45813.6799537037</v>
      </c>
      <c r="C690" s="1" t="n">
        <v>46149</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27697-2025</t>
        </is>
      </c>
      <c r="B691" s="1" t="n">
        <v>45813.66961805556</v>
      </c>
      <c r="C691" s="1" t="n">
        <v>46149</v>
      </c>
      <c r="D691" t="inlineStr">
        <is>
          <t>STOCKHOLMS LÄN</t>
        </is>
      </c>
      <c r="E691" t="inlineStr">
        <is>
          <t>NORRTÄLJE</t>
        </is>
      </c>
      <c r="G691" t="n">
        <v>6.2</v>
      </c>
      <c r="H691" t="n">
        <v>0</v>
      </c>
      <c r="I691" t="n">
        <v>0</v>
      </c>
      <c r="J691" t="n">
        <v>0</v>
      </c>
      <c r="K691" t="n">
        <v>0</v>
      </c>
      <c r="L691" t="n">
        <v>0</v>
      </c>
      <c r="M691" t="n">
        <v>0</v>
      </c>
      <c r="N691" t="n">
        <v>0</v>
      </c>
      <c r="O691" t="n">
        <v>0</v>
      </c>
      <c r="P691" t="n">
        <v>0</v>
      </c>
      <c r="Q691" t="n">
        <v>0</v>
      </c>
      <c r="R691" s="2" t="inlineStr"/>
    </row>
    <row r="692" ht="15" customHeight="1">
      <c r="A692" t="inlineStr">
        <is>
          <t>A 41964-2025</t>
        </is>
      </c>
      <c r="B692" s="1" t="n">
        <v>45903.47270833333</v>
      </c>
      <c r="C692" s="1" t="n">
        <v>46149</v>
      </c>
      <c r="D692" t="inlineStr">
        <is>
          <t>STOCKHOLMS LÄN</t>
        </is>
      </c>
      <c r="E692" t="inlineStr">
        <is>
          <t>NORRTÄLJE</t>
        </is>
      </c>
      <c r="F692" t="inlineStr">
        <is>
          <t>Sveaskog</t>
        </is>
      </c>
      <c r="G692" t="n">
        <v>4</v>
      </c>
      <c r="H692" t="n">
        <v>0</v>
      </c>
      <c r="I692" t="n">
        <v>0</v>
      </c>
      <c r="J692" t="n">
        <v>0</v>
      </c>
      <c r="K692" t="n">
        <v>0</v>
      </c>
      <c r="L692" t="n">
        <v>0</v>
      </c>
      <c r="M692" t="n">
        <v>0</v>
      </c>
      <c r="N692" t="n">
        <v>0</v>
      </c>
      <c r="O692" t="n">
        <v>0</v>
      </c>
      <c r="P692" t="n">
        <v>0</v>
      </c>
      <c r="Q692" t="n">
        <v>0</v>
      </c>
      <c r="R692" s="2" t="inlineStr"/>
    </row>
    <row r="693" ht="15" customHeight="1">
      <c r="A693" t="inlineStr">
        <is>
          <t>A 13089-2022</t>
        </is>
      </c>
      <c r="B693" s="1" t="n">
        <v>44643</v>
      </c>
      <c r="C693" s="1" t="n">
        <v>46149</v>
      </c>
      <c r="D693" t="inlineStr">
        <is>
          <t>STOCKHOLMS LÄN</t>
        </is>
      </c>
      <c r="E693" t="inlineStr">
        <is>
          <t>NORRTÄLJE</t>
        </is>
      </c>
      <c r="G693" t="n">
        <v>4.5</v>
      </c>
      <c r="H693" t="n">
        <v>0</v>
      </c>
      <c r="I693" t="n">
        <v>0</v>
      </c>
      <c r="J693" t="n">
        <v>0</v>
      </c>
      <c r="K693" t="n">
        <v>0</v>
      </c>
      <c r="L693" t="n">
        <v>0</v>
      </c>
      <c r="M693" t="n">
        <v>0</v>
      </c>
      <c r="N693" t="n">
        <v>0</v>
      </c>
      <c r="O693" t="n">
        <v>0</v>
      </c>
      <c r="P693" t="n">
        <v>0</v>
      </c>
      <c r="Q693" t="n">
        <v>0</v>
      </c>
      <c r="R693" s="2" t="inlineStr"/>
    </row>
    <row r="694" ht="15" customHeight="1">
      <c r="A694" t="inlineStr">
        <is>
          <t>A 27802-2025</t>
        </is>
      </c>
      <c r="B694" s="1" t="n">
        <v>45817.2565625</v>
      </c>
      <c r="C694" s="1" t="n">
        <v>46149</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27806-2025</t>
        </is>
      </c>
      <c r="B695" s="1" t="n">
        <v>45817.30329861111</v>
      </c>
      <c r="C695" s="1" t="n">
        <v>46149</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27808-2025</t>
        </is>
      </c>
      <c r="B696" s="1" t="n">
        <v>45817.31085648148</v>
      </c>
      <c r="C696" s="1" t="n">
        <v>46149</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27810-2025</t>
        </is>
      </c>
      <c r="B697" s="1" t="n">
        <v>45817.31708333334</v>
      </c>
      <c r="C697" s="1" t="n">
        <v>46149</v>
      </c>
      <c r="D697" t="inlineStr">
        <is>
          <t>STOCKHOLMS LÄN</t>
        </is>
      </c>
      <c r="E697" t="inlineStr">
        <is>
          <t>NORRTÄLJE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27811-2025</t>
        </is>
      </c>
      <c r="B698" s="1" t="n">
        <v>45817.31986111111</v>
      </c>
      <c r="C698" s="1" t="n">
        <v>46149</v>
      </c>
      <c r="D698" t="inlineStr">
        <is>
          <t>STOCKHOLMS LÄN</t>
        </is>
      </c>
      <c r="E698" t="inlineStr">
        <is>
          <t>NORRTÄLJE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27818-2025</t>
        </is>
      </c>
      <c r="B699" s="1" t="n">
        <v>45817.33503472222</v>
      </c>
      <c r="C699" s="1" t="n">
        <v>46149</v>
      </c>
      <c r="D699" t="inlineStr">
        <is>
          <t>STOCKHOLMS LÄN</t>
        </is>
      </c>
      <c r="E699" t="inlineStr">
        <is>
          <t>NORRTÄLJE</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37085-2021</t>
        </is>
      </c>
      <c r="B700" s="1" t="n">
        <v>44395</v>
      </c>
      <c r="C700" s="1" t="n">
        <v>46149</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48145-2024</t>
        </is>
      </c>
      <c r="B701" s="1" t="n">
        <v>45589.6756712963</v>
      </c>
      <c r="C701" s="1" t="n">
        <v>46149</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56428-2023</t>
        </is>
      </c>
      <c r="B702" s="1" t="n">
        <v>45243.45289351852</v>
      </c>
      <c r="C702" s="1" t="n">
        <v>46149</v>
      </c>
      <c r="D702" t="inlineStr">
        <is>
          <t>STOCKHOLMS LÄN</t>
        </is>
      </c>
      <c r="E702" t="inlineStr">
        <is>
          <t>NORRTÄLJE</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23998-2024</t>
        </is>
      </c>
      <c r="B703" s="1" t="n">
        <v>45456</v>
      </c>
      <c r="C703" s="1" t="n">
        <v>46149</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27801-2025</t>
        </is>
      </c>
      <c r="B704" s="1" t="n">
        <v>45817.25471064815</v>
      </c>
      <c r="C704" s="1" t="n">
        <v>46149</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15447-2023</t>
        </is>
      </c>
      <c r="B705" s="1" t="n">
        <v>45020</v>
      </c>
      <c r="C705" s="1" t="n">
        <v>46149</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17556-2025</t>
        </is>
      </c>
      <c r="B706" s="1" t="n">
        <v>45757.62482638889</v>
      </c>
      <c r="C706" s="1" t="n">
        <v>46149</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27803-2025</t>
        </is>
      </c>
      <c r="B707" s="1" t="n">
        <v>45817.291875</v>
      </c>
      <c r="C707" s="1" t="n">
        <v>46149</v>
      </c>
      <c r="D707" t="inlineStr">
        <is>
          <t>STOCKHOLMS LÄN</t>
        </is>
      </c>
      <c r="E707" t="inlineStr">
        <is>
          <t>NORRTÄLJE</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27813-2025</t>
        </is>
      </c>
      <c r="B708" s="1" t="n">
        <v>45817.32538194444</v>
      </c>
      <c r="C708" s="1" t="n">
        <v>46149</v>
      </c>
      <c r="D708" t="inlineStr">
        <is>
          <t>STOCKHOLMS LÄN</t>
        </is>
      </c>
      <c r="E708" t="inlineStr">
        <is>
          <t>NORRTÄLJE</t>
        </is>
      </c>
      <c r="G708" t="n">
        <v>1.6</v>
      </c>
      <c r="H708" t="n">
        <v>0</v>
      </c>
      <c r="I708" t="n">
        <v>0</v>
      </c>
      <c r="J708" t="n">
        <v>0</v>
      </c>
      <c r="K708" t="n">
        <v>0</v>
      </c>
      <c r="L708" t="n">
        <v>0</v>
      </c>
      <c r="M708" t="n">
        <v>0</v>
      </c>
      <c r="N708" t="n">
        <v>0</v>
      </c>
      <c r="O708" t="n">
        <v>0</v>
      </c>
      <c r="P708" t="n">
        <v>0</v>
      </c>
      <c r="Q708" t="n">
        <v>0</v>
      </c>
      <c r="R708" s="2" t="inlineStr"/>
    </row>
    <row r="709" ht="15" customHeight="1">
      <c r="A709" t="inlineStr">
        <is>
          <t>A 30699-2025</t>
        </is>
      </c>
      <c r="B709" s="1" t="n">
        <v>45831.54618055555</v>
      </c>
      <c r="C709" s="1" t="n">
        <v>46149</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27821-2025</t>
        </is>
      </c>
      <c r="B710" s="1" t="n">
        <v>45817.34083333334</v>
      </c>
      <c r="C710" s="1" t="n">
        <v>46149</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row>
    <row r="711" ht="15" customHeight="1">
      <c r="A711" t="inlineStr">
        <is>
          <t>A 42094-2023</t>
        </is>
      </c>
      <c r="B711" s="1" t="n">
        <v>45177.61498842593</v>
      </c>
      <c r="C711" s="1" t="n">
        <v>46149</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54358-2022</t>
        </is>
      </c>
      <c r="B712" s="1" t="n">
        <v>44882</v>
      </c>
      <c r="C712" s="1" t="n">
        <v>46149</v>
      </c>
      <c r="D712" t="inlineStr">
        <is>
          <t>STOCKHOLMS LÄN</t>
        </is>
      </c>
      <c r="E712" t="inlineStr">
        <is>
          <t>NORRTÄLJE</t>
        </is>
      </c>
      <c r="G712" t="n">
        <v>3.3</v>
      </c>
      <c r="H712" t="n">
        <v>0</v>
      </c>
      <c r="I712" t="n">
        <v>0</v>
      </c>
      <c r="J712" t="n">
        <v>0</v>
      </c>
      <c r="K712" t="n">
        <v>0</v>
      </c>
      <c r="L712" t="n">
        <v>0</v>
      </c>
      <c r="M712" t="n">
        <v>0</v>
      </c>
      <c r="N712" t="n">
        <v>0</v>
      </c>
      <c r="O712" t="n">
        <v>0</v>
      </c>
      <c r="P712" t="n">
        <v>0</v>
      </c>
      <c r="Q712" t="n">
        <v>0</v>
      </c>
      <c r="R712" s="2" t="inlineStr"/>
    </row>
    <row r="713" ht="15" customHeight="1">
      <c r="A713" t="inlineStr">
        <is>
          <t>A 15528-2025</t>
        </is>
      </c>
      <c r="B713" s="1" t="n">
        <v>45747.63471064815</v>
      </c>
      <c r="C713" s="1" t="n">
        <v>46149</v>
      </c>
      <c r="D713" t="inlineStr">
        <is>
          <t>STOCKHOLMS LÄN</t>
        </is>
      </c>
      <c r="E713" t="inlineStr">
        <is>
          <t>NORRTÄLJE</t>
        </is>
      </c>
      <c r="G713" t="n">
        <v>10</v>
      </c>
      <c r="H713" t="n">
        <v>0</v>
      </c>
      <c r="I713" t="n">
        <v>0</v>
      </c>
      <c r="J713" t="n">
        <v>0</v>
      </c>
      <c r="K713" t="n">
        <v>0</v>
      </c>
      <c r="L713" t="n">
        <v>0</v>
      </c>
      <c r="M713" t="n">
        <v>0</v>
      </c>
      <c r="N713" t="n">
        <v>0</v>
      </c>
      <c r="O713" t="n">
        <v>0</v>
      </c>
      <c r="P713" t="n">
        <v>0</v>
      </c>
      <c r="Q713" t="n">
        <v>0</v>
      </c>
      <c r="R713" s="2" t="inlineStr"/>
    </row>
    <row r="714" ht="15" customHeight="1">
      <c r="A714" t="inlineStr">
        <is>
          <t>A 11901-2024</t>
        </is>
      </c>
      <c r="B714" s="1" t="n">
        <v>45376.55638888889</v>
      </c>
      <c r="C714" s="1" t="n">
        <v>46149</v>
      </c>
      <c r="D714" t="inlineStr">
        <is>
          <t>STOCKHOLMS LÄN</t>
        </is>
      </c>
      <c r="E714" t="inlineStr">
        <is>
          <t>NORRTÄLJE</t>
        </is>
      </c>
      <c r="F714" t="inlineStr">
        <is>
          <t>Holmen skog AB</t>
        </is>
      </c>
      <c r="G714" t="n">
        <v>3.5</v>
      </c>
      <c r="H714" t="n">
        <v>0</v>
      </c>
      <c r="I714" t="n">
        <v>0</v>
      </c>
      <c r="J714" t="n">
        <v>0</v>
      </c>
      <c r="K714" t="n">
        <v>0</v>
      </c>
      <c r="L714" t="n">
        <v>0</v>
      </c>
      <c r="M714" t="n">
        <v>0</v>
      </c>
      <c r="N714" t="n">
        <v>0</v>
      </c>
      <c r="O714" t="n">
        <v>0</v>
      </c>
      <c r="P714" t="n">
        <v>0</v>
      </c>
      <c r="Q714" t="n">
        <v>0</v>
      </c>
      <c r="R714" s="2" t="inlineStr"/>
    </row>
    <row r="715" ht="15" customHeight="1">
      <c r="A715" t="inlineStr">
        <is>
          <t>A 8370-2025</t>
        </is>
      </c>
      <c r="B715" s="1" t="n">
        <v>45708</v>
      </c>
      <c r="C715" s="1" t="n">
        <v>46149</v>
      </c>
      <c r="D715" t="inlineStr">
        <is>
          <t>STOCKHOLMS LÄN</t>
        </is>
      </c>
      <c r="E715" t="inlineStr">
        <is>
          <t>NORRTÄLJE</t>
        </is>
      </c>
      <c r="F715" t="inlineStr">
        <is>
          <t>Övriga Aktiebolag</t>
        </is>
      </c>
      <c r="G715" t="n">
        <v>5.6</v>
      </c>
      <c r="H715" t="n">
        <v>0</v>
      </c>
      <c r="I715" t="n">
        <v>0</v>
      </c>
      <c r="J715" t="n">
        <v>0</v>
      </c>
      <c r="K715" t="n">
        <v>0</v>
      </c>
      <c r="L715" t="n">
        <v>0</v>
      </c>
      <c r="M715" t="n">
        <v>0</v>
      </c>
      <c r="N715" t="n">
        <v>0</v>
      </c>
      <c r="O715" t="n">
        <v>0</v>
      </c>
      <c r="P715" t="n">
        <v>0</v>
      </c>
      <c r="Q715" t="n">
        <v>0</v>
      </c>
      <c r="R715" s="2" t="inlineStr"/>
    </row>
    <row r="716" ht="15" customHeight="1">
      <c r="A716" t="inlineStr">
        <is>
          <t>A 3299-2022</t>
        </is>
      </c>
      <c r="B716" s="1" t="n">
        <v>44584.91001157407</v>
      </c>
      <c r="C716" s="1" t="n">
        <v>46149</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12348-2025</t>
        </is>
      </c>
      <c r="B717" s="1" t="n">
        <v>45730.35026620371</v>
      </c>
      <c r="C717" s="1" t="n">
        <v>46149</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17545-2025</t>
        </is>
      </c>
      <c r="B718" s="1" t="n">
        <v>45757.60658564815</v>
      </c>
      <c r="C718" s="1" t="n">
        <v>46149</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23263-2023</t>
        </is>
      </c>
      <c r="B719" s="1" t="n">
        <v>45075</v>
      </c>
      <c r="C719" s="1" t="n">
        <v>46149</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23264-2023</t>
        </is>
      </c>
      <c r="B720" s="1" t="n">
        <v>45075</v>
      </c>
      <c r="C720" s="1" t="n">
        <v>46149</v>
      </c>
      <c r="D720" t="inlineStr">
        <is>
          <t>STOCKHOLMS LÄN</t>
        </is>
      </c>
      <c r="E720" t="inlineStr">
        <is>
          <t>NORRTÄLJE</t>
        </is>
      </c>
      <c r="G720" t="n">
        <v>2.9</v>
      </c>
      <c r="H720" t="n">
        <v>0</v>
      </c>
      <c r="I720" t="n">
        <v>0</v>
      </c>
      <c r="J720" t="n">
        <v>0</v>
      </c>
      <c r="K720" t="n">
        <v>0</v>
      </c>
      <c r="L720" t="n">
        <v>0</v>
      </c>
      <c r="M720" t="n">
        <v>0</v>
      </c>
      <c r="N720" t="n">
        <v>0</v>
      </c>
      <c r="O720" t="n">
        <v>0</v>
      </c>
      <c r="P720" t="n">
        <v>0</v>
      </c>
      <c r="Q720" t="n">
        <v>0</v>
      </c>
      <c r="R720" s="2" t="inlineStr"/>
    </row>
    <row r="721" ht="15" customHeight="1">
      <c r="A721" t="inlineStr">
        <is>
          <t>A 23267-2023</t>
        </is>
      </c>
      <c r="B721" s="1" t="n">
        <v>45075.90934027778</v>
      </c>
      <c r="C721" s="1" t="n">
        <v>46149</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23269-2023</t>
        </is>
      </c>
      <c r="B722" s="1" t="n">
        <v>45075.91148148148</v>
      </c>
      <c r="C722" s="1" t="n">
        <v>46149</v>
      </c>
      <c r="D722" t="inlineStr">
        <is>
          <t>STOCKHOLMS LÄN</t>
        </is>
      </c>
      <c r="E722" t="inlineStr">
        <is>
          <t>NORRTÄLJE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44075-2023</t>
        </is>
      </c>
      <c r="B723" s="1" t="n">
        <v>45188.41637731482</v>
      </c>
      <c r="C723" s="1" t="n">
        <v>46149</v>
      </c>
      <c r="D723" t="inlineStr">
        <is>
          <t>STOCKHOLMS LÄN</t>
        </is>
      </c>
      <c r="E723" t="inlineStr">
        <is>
          <t>NORRTÄLJE</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19911-2025</t>
        </is>
      </c>
      <c r="B724" s="1" t="n">
        <v>45771</v>
      </c>
      <c r="C724" s="1" t="n">
        <v>46149</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5831-2022</t>
        </is>
      </c>
      <c r="B725" s="1" t="n">
        <v>44596</v>
      </c>
      <c r="C725" s="1" t="n">
        <v>46149</v>
      </c>
      <c r="D725" t="inlineStr">
        <is>
          <t>STOCKHOLMS LÄN</t>
        </is>
      </c>
      <c r="E725" t="inlineStr">
        <is>
          <t>NORRTÄLJE</t>
        </is>
      </c>
      <c r="G725" t="n">
        <v>4.8</v>
      </c>
      <c r="H725" t="n">
        <v>0</v>
      </c>
      <c r="I725" t="n">
        <v>0</v>
      </c>
      <c r="J725" t="n">
        <v>0</v>
      </c>
      <c r="K725" t="n">
        <v>0</v>
      </c>
      <c r="L725" t="n">
        <v>0</v>
      </c>
      <c r="M725" t="n">
        <v>0</v>
      </c>
      <c r="N725" t="n">
        <v>0</v>
      </c>
      <c r="O725" t="n">
        <v>0</v>
      </c>
      <c r="P725" t="n">
        <v>0</v>
      </c>
      <c r="Q725" t="n">
        <v>0</v>
      </c>
      <c r="R725" s="2" t="inlineStr"/>
    </row>
    <row r="726" ht="15" customHeight="1">
      <c r="A726" t="inlineStr">
        <is>
          <t>A 5867-2022</t>
        </is>
      </c>
      <c r="B726" s="1" t="n">
        <v>44596.66335648148</v>
      </c>
      <c r="C726" s="1" t="n">
        <v>46149</v>
      </c>
      <c r="D726" t="inlineStr">
        <is>
          <t>STOCKHOLMS LÄN</t>
        </is>
      </c>
      <c r="E726" t="inlineStr">
        <is>
          <t>NORRTÄLJE</t>
        </is>
      </c>
      <c r="F726" t="inlineStr">
        <is>
          <t>Naturvårdsverket</t>
        </is>
      </c>
      <c r="G726" t="n">
        <v>1.6</v>
      </c>
      <c r="H726" t="n">
        <v>0</v>
      </c>
      <c r="I726" t="n">
        <v>0</v>
      </c>
      <c r="J726" t="n">
        <v>0</v>
      </c>
      <c r="K726" t="n">
        <v>0</v>
      </c>
      <c r="L726" t="n">
        <v>0</v>
      </c>
      <c r="M726" t="n">
        <v>0</v>
      </c>
      <c r="N726" t="n">
        <v>0</v>
      </c>
      <c r="O726" t="n">
        <v>0</v>
      </c>
      <c r="P726" t="n">
        <v>0</v>
      </c>
      <c r="Q726" t="n">
        <v>0</v>
      </c>
      <c r="R726" s="2" t="inlineStr"/>
    </row>
    <row r="727" ht="15" customHeight="1">
      <c r="A727" t="inlineStr">
        <is>
          <t>A 25094-2023</t>
        </is>
      </c>
      <c r="B727" s="1" t="n">
        <v>45086.3629050926</v>
      </c>
      <c r="C727" s="1" t="n">
        <v>46149</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36157-2024</t>
        </is>
      </c>
      <c r="B728" s="1" t="n">
        <v>45534.38240740741</v>
      </c>
      <c r="C728" s="1" t="n">
        <v>46149</v>
      </c>
      <c r="D728" t="inlineStr">
        <is>
          <t>STOCKHOLMS LÄN</t>
        </is>
      </c>
      <c r="E728" t="inlineStr">
        <is>
          <t>NORRTÄLJE</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20011-2025</t>
        </is>
      </c>
      <c r="B729" s="1" t="n">
        <v>45772.29622685185</v>
      </c>
      <c r="C729" s="1" t="n">
        <v>46149</v>
      </c>
      <c r="D729" t="inlineStr">
        <is>
          <t>STOCKHOLMS LÄN</t>
        </is>
      </c>
      <c r="E729" t="inlineStr">
        <is>
          <t>NORRTÄLJE</t>
        </is>
      </c>
      <c r="G729" t="n">
        <v>3.5</v>
      </c>
      <c r="H729" t="n">
        <v>0</v>
      </c>
      <c r="I729" t="n">
        <v>0</v>
      </c>
      <c r="J729" t="n">
        <v>0</v>
      </c>
      <c r="K729" t="n">
        <v>0</v>
      </c>
      <c r="L729" t="n">
        <v>0</v>
      </c>
      <c r="M729" t="n">
        <v>0</v>
      </c>
      <c r="N729" t="n">
        <v>0</v>
      </c>
      <c r="O729" t="n">
        <v>0</v>
      </c>
      <c r="P729" t="n">
        <v>0</v>
      </c>
      <c r="Q729" t="n">
        <v>0</v>
      </c>
      <c r="R729" s="2" t="inlineStr"/>
    </row>
    <row r="730" ht="15" customHeight="1">
      <c r="A730" t="inlineStr">
        <is>
          <t>A 47694-2023</t>
        </is>
      </c>
      <c r="B730" s="1" t="n">
        <v>45203.63303240741</v>
      </c>
      <c r="C730" s="1" t="n">
        <v>46149</v>
      </c>
      <c r="D730" t="inlineStr">
        <is>
          <t>STOCKHOLMS LÄN</t>
        </is>
      </c>
      <c r="E730" t="inlineStr">
        <is>
          <t>NORRTÄLJE</t>
        </is>
      </c>
      <c r="G730" t="n">
        <v>5.2</v>
      </c>
      <c r="H730" t="n">
        <v>0</v>
      </c>
      <c r="I730" t="n">
        <v>0</v>
      </c>
      <c r="J730" t="n">
        <v>0</v>
      </c>
      <c r="K730" t="n">
        <v>0</v>
      </c>
      <c r="L730" t="n">
        <v>0</v>
      </c>
      <c r="M730" t="n">
        <v>0</v>
      </c>
      <c r="N730" t="n">
        <v>0</v>
      </c>
      <c r="O730" t="n">
        <v>0</v>
      </c>
      <c r="P730" t="n">
        <v>0</v>
      </c>
      <c r="Q730" t="n">
        <v>0</v>
      </c>
      <c r="R730" s="2" t="inlineStr"/>
    </row>
    <row r="731" ht="15" customHeight="1">
      <c r="A731" t="inlineStr">
        <is>
          <t>A 20244-2025</t>
        </is>
      </c>
      <c r="B731" s="1" t="n">
        <v>45772.71221064815</v>
      </c>
      <c r="C731" s="1" t="n">
        <v>46149</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48633-2023</t>
        </is>
      </c>
      <c r="B732" s="1" t="n">
        <v>45208.58004629629</v>
      </c>
      <c r="C732" s="1" t="n">
        <v>46149</v>
      </c>
      <c r="D732" t="inlineStr">
        <is>
          <t>STOCKHOLMS LÄN</t>
        </is>
      </c>
      <c r="E732" t="inlineStr">
        <is>
          <t>NORRTÄLJE</t>
        </is>
      </c>
      <c r="G732" t="n">
        <v>3.3</v>
      </c>
      <c r="H732" t="n">
        <v>0</v>
      </c>
      <c r="I732" t="n">
        <v>0</v>
      </c>
      <c r="J732" t="n">
        <v>0</v>
      </c>
      <c r="K732" t="n">
        <v>0</v>
      </c>
      <c r="L732" t="n">
        <v>0</v>
      </c>
      <c r="M732" t="n">
        <v>0</v>
      </c>
      <c r="N732" t="n">
        <v>0</v>
      </c>
      <c r="O732" t="n">
        <v>0</v>
      </c>
      <c r="P732" t="n">
        <v>0</v>
      </c>
      <c r="Q732" t="n">
        <v>0</v>
      </c>
      <c r="R732" s="2" t="inlineStr"/>
    </row>
    <row r="733" ht="15" customHeight="1">
      <c r="A733" t="inlineStr">
        <is>
          <t>A 42856-2025</t>
        </is>
      </c>
      <c r="B733" s="1" t="n">
        <v>45908</v>
      </c>
      <c r="C733" s="1" t="n">
        <v>46149</v>
      </c>
      <c r="D733" t="inlineStr">
        <is>
          <t>STOCKHOLMS LÄN</t>
        </is>
      </c>
      <c r="E733" t="inlineStr">
        <is>
          <t>NORRTÄLJE</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35532-2024</t>
        </is>
      </c>
      <c r="B734" s="1" t="n">
        <v>45531</v>
      </c>
      <c r="C734" s="1" t="n">
        <v>46149</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1654-2025</t>
        </is>
      </c>
      <c r="B735" s="1" t="n">
        <v>45670.65921296296</v>
      </c>
      <c r="C735" s="1" t="n">
        <v>46149</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62644-2023</t>
        </is>
      </c>
      <c r="B736" s="1" t="n">
        <v>45271</v>
      </c>
      <c r="C736" s="1" t="n">
        <v>46149</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39669-2024</t>
        </is>
      </c>
      <c r="B737" s="1" t="n">
        <v>45552.52827546297</v>
      </c>
      <c r="C737" s="1" t="n">
        <v>46149</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11229-2022</t>
        </is>
      </c>
      <c r="B738" s="1" t="n">
        <v>44629</v>
      </c>
      <c r="C738" s="1" t="n">
        <v>46149</v>
      </c>
      <c r="D738" t="inlineStr">
        <is>
          <t>STOCKHOLMS LÄN</t>
        </is>
      </c>
      <c r="E738" t="inlineStr">
        <is>
          <t>NORRTÄLJE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29250-2025</t>
        </is>
      </c>
      <c r="B739" s="1" t="n">
        <v>45824.37275462963</v>
      </c>
      <c r="C739" s="1" t="n">
        <v>46149</v>
      </c>
      <c r="D739" t="inlineStr">
        <is>
          <t>STOCKHOLMS LÄN</t>
        </is>
      </c>
      <c r="E739" t="inlineStr">
        <is>
          <t>NORRTÄLJE</t>
        </is>
      </c>
      <c r="F739" t="inlineStr">
        <is>
          <t>Sveaskog</t>
        </is>
      </c>
      <c r="G739" t="n">
        <v>6.4</v>
      </c>
      <c r="H739" t="n">
        <v>0</v>
      </c>
      <c r="I739" t="n">
        <v>0</v>
      </c>
      <c r="J739" t="n">
        <v>0</v>
      </c>
      <c r="K739" t="n">
        <v>0</v>
      </c>
      <c r="L739" t="n">
        <v>0</v>
      </c>
      <c r="M739" t="n">
        <v>0</v>
      </c>
      <c r="N739" t="n">
        <v>0</v>
      </c>
      <c r="O739" t="n">
        <v>0</v>
      </c>
      <c r="P739" t="n">
        <v>0</v>
      </c>
      <c r="Q739" t="n">
        <v>0</v>
      </c>
      <c r="R739" s="2" t="inlineStr"/>
    </row>
    <row r="740" ht="15" customHeight="1">
      <c r="A740" t="inlineStr">
        <is>
          <t>A 57353-2024</t>
        </is>
      </c>
      <c r="B740" s="1" t="n">
        <v>45629.65143518519</v>
      </c>
      <c r="C740" s="1" t="n">
        <v>46149</v>
      </c>
      <c r="D740" t="inlineStr">
        <is>
          <t>STOCKHOLMS LÄN</t>
        </is>
      </c>
      <c r="E740" t="inlineStr">
        <is>
          <t>NORRTÄLJE</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48587-2023</t>
        </is>
      </c>
      <c r="B741" s="1" t="n">
        <v>45208</v>
      </c>
      <c r="C741" s="1" t="n">
        <v>46149</v>
      </c>
      <c r="D741" t="inlineStr">
        <is>
          <t>STOCKHOLMS LÄN</t>
        </is>
      </c>
      <c r="E741" t="inlineStr">
        <is>
          <t>NORRTÄLJE</t>
        </is>
      </c>
      <c r="G741" t="n">
        <v>7</v>
      </c>
      <c r="H741" t="n">
        <v>0</v>
      </c>
      <c r="I741" t="n">
        <v>0</v>
      </c>
      <c r="J741" t="n">
        <v>0</v>
      </c>
      <c r="K741" t="n">
        <v>0</v>
      </c>
      <c r="L741" t="n">
        <v>0</v>
      </c>
      <c r="M741" t="n">
        <v>0</v>
      </c>
      <c r="N741" t="n">
        <v>0</v>
      </c>
      <c r="O741" t="n">
        <v>0</v>
      </c>
      <c r="P741" t="n">
        <v>0</v>
      </c>
      <c r="Q741" t="n">
        <v>0</v>
      </c>
      <c r="R741" s="2" t="inlineStr"/>
    </row>
    <row r="742" ht="15" customHeight="1">
      <c r="A742" t="inlineStr">
        <is>
          <t>A 43170-2023</t>
        </is>
      </c>
      <c r="B742" s="1" t="n">
        <v>45183</v>
      </c>
      <c r="C742" s="1" t="n">
        <v>46149</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2549-2022</t>
        </is>
      </c>
      <c r="B743" s="1" t="n">
        <v>44580</v>
      </c>
      <c r="C743" s="1" t="n">
        <v>46149</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9-2024</t>
        </is>
      </c>
      <c r="B744" s="1" t="n">
        <v>45293</v>
      </c>
      <c r="C744" s="1" t="n">
        <v>46149</v>
      </c>
      <c r="D744" t="inlineStr">
        <is>
          <t>STOCKHOLMS LÄN</t>
        </is>
      </c>
      <c r="E744" t="inlineStr">
        <is>
          <t>NORRTÄLJE</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4438-2023</t>
        </is>
      </c>
      <c r="B745" s="1" t="n">
        <v>44956</v>
      </c>
      <c r="C745" s="1" t="n">
        <v>46149</v>
      </c>
      <c r="D745" t="inlineStr">
        <is>
          <t>STOCKHOLMS LÄN</t>
        </is>
      </c>
      <c r="E745" t="inlineStr">
        <is>
          <t>NORRTÄLJE</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22832-2021</t>
        </is>
      </c>
      <c r="B746" s="1" t="n">
        <v>44325</v>
      </c>
      <c r="C746" s="1" t="n">
        <v>46149</v>
      </c>
      <c r="D746" t="inlineStr">
        <is>
          <t>STOCKHOLMS LÄN</t>
        </is>
      </c>
      <c r="E746" t="inlineStr">
        <is>
          <t>NORRTÄLJE</t>
        </is>
      </c>
      <c r="G746" t="n">
        <v>6.8</v>
      </c>
      <c r="H746" t="n">
        <v>0</v>
      </c>
      <c r="I746" t="n">
        <v>0</v>
      </c>
      <c r="J746" t="n">
        <v>0</v>
      </c>
      <c r="K746" t="n">
        <v>0</v>
      </c>
      <c r="L746" t="n">
        <v>0</v>
      </c>
      <c r="M746" t="n">
        <v>0</v>
      </c>
      <c r="N746" t="n">
        <v>0</v>
      </c>
      <c r="O746" t="n">
        <v>0</v>
      </c>
      <c r="P746" t="n">
        <v>0</v>
      </c>
      <c r="Q746" t="n">
        <v>0</v>
      </c>
      <c r="R746" s="2" t="inlineStr"/>
    </row>
    <row r="747" ht="15" customHeight="1">
      <c r="A747" t="inlineStr">
        <is>
          <t>A 16913-2025</t>
        </is>
      </c>
      <c r="B747" s="1" t="n">
        <v>45755.36583333334</v>
      </c>
      <c r="C747" s="1" t="n">
        <v>46149</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4035-2023</t>
        </is>
      </c>
      <c r="B748" s="1" t="n">
        <v>44952.57989583333</v>
      </c>
      <c r="C748" s="1" t="n">
        <v>46149</v>
      </c>
      <c r="D748" t="inlineStr">
        <is>
          <t>STOCKHOLMS LÄN</t>
        </is>
      </c>
      <c r="E748" t="inlineStr">
        <is>
          <t>NORRTÄLJE</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47758-2023</t>
        </is>
      </c>
      <c r="B749" s="1" t="n">
        <v>45203.83891203703</v>
      </c>
      <c r="C749" s="1" t="n">
        <v>46149</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33793-2022</t>
        </is>
      </c>
      <c r="B750" s="1" t="n">
        <v>44790</v>
      </c>
      <c r="C750" s="1" t="n">
        <v>46149</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53600-2022</t>
        </is>
      </c>
      <c r="B751" s="1" t="n">
        <v>44879.70518518519</v>
      </c>
      <c r="C751" s="1" t="n">
        <v>46149</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7697-2025</t>
        </is>
      </c>
      <c r="B752" s="1" t="n">
        <v>45706.40086805556</v>
      </c>
      <c r="C752" s="1" t="n">
        <v>46149</v>
      </c>
      <c r="D752" t="inlineStr">
        <is>
          <t>STOCKHOLMS LÄN</t>
        </is>
      </c>
      <c r="E752" t="inlineStr">
        <is>
          <t>NORRTÄLJE</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30221-2024</t>
        </is>
      </c>
      <c r="B753" s="1" t="n">
        <v>45490.45342592592</v>
      </c>
      <c r="C753" s="1" t="n">
        <v>46149</v>
      </c>
      <c r="D753" t="inlineStr">
        <is>
          <t>STOCKHOLMS LÄN</t>
        </is>
      </c>
      <c r="E753" t="inlineStr">
        <is>
          <t>NORRTÄLJE</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51061-2023</t>
        </is>
      </c>
      <c r="B754" s="1" t="n">
        <v>45218.65849537037</v>
      </c>
      <c r="C754" s="1" t="n">
        <v>46149</v>
      </c>
      <c r="D754" t="inlineStr">
        <is>
          <t>STOCKHOLMS LÄN</t>
        </is>
      </c>
      <c r="E754" t="inlineStr">
        <is>
          <t>NORRTÄLJE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22697-2022</t>
        </is>
      </c>
      <c r="B755" s="1" t="n">
        <v>44714.56040509259</v>
      </c>
      <c r="C755" s="1" t="n">
        <v>46149</v>
      </c>
      <c r="D755" t="inlineStr">
        <is>
          <t>STOCKHOLMS LÄN</t>
        </is>
      </c>
      <c r="E755" t="inlineStr">
        <is>
          <t>NORRTÄLJE</t>
        </is>
      </c>
      <c r="G755" t="n">
        <v>5.6</v>
      </c>
      <c r="H755" t="n">
        <v>0</v>
      </c>
      <c r="I755" t="n">
        <v>0</v>
      </c>
      <c r="J755" t="n">
        <v>0</v>
      </c>
      <c r="K755" t="n">
        <v>0</v>
      </c>
      <c r="L755" t="n">
        <v>0</v>
      </c>
      <c r="M755" t="n">
        <v>0</v>
      </c>
      <c r="N755" t="n">
        <v>0</v>
      </c>
      <c r="O755" t="n">
        <v>0</v>
      </c>
      <c r="P755" t="n">
        <v>0</v>
      </c>
      <c r="Q755" t="n">
        <v>0</v>
      </c>
      <c r="R755" s="2" t="inlineStr"/>
    </row>
    <row r="756" ht="15" customHeight="1">
      <c r="A756" t="inlineStr">
        <is>
          <t>A 45549-2022</t>
        </is>
      </c>
      <c r="B756" s="1" t="n">
        <v>44845.48064814815</v>
      </c>
      <c r="C756" s="1" t="n">
        <v>46149</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54396-2021</t>
        </is>
      </c>
      <c r="B757" s="1" t="n">
        <v>44472</v>
      </c>
      <c r="C757" s="1" t="n">
        <v>46149</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13-2024</t>
        </is>
      </c>
      <c r="B758" s="1" t="n">
        <v>45293.37263888889</v>
      </c>
      <c r="C758" s="1" t="n">
        <v>46149</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19-2024</t>
        </is>
      </c>
      <c r="B759" s="1" t="n">
        <v>45293</v>
      </c>
      <c r="C759" s="1" t="n">
        <v>46149</v>
      </c>
      <c r="D759" t="inlineStr">
        <is>
          <t>STOCKHOLMS LÄN</t>
        </is>
      </c>
      <c r="E759" t="inlineStr">
        <is>
          <t>NORRTÄLJE</t>
        </is>
      </c>
      <c r="G759" t="n">
        <v>0.3</v>
      </c>
      <c r="H759" t="n">
        <v>0</v>
      </c>
      <c r="I759" t="n">
        <v>0</v>
      </c>
      <c r="J759" t="n">
        <v>0</v>
      </c>
      <c r="K759" t="n">
        <v>0</v>
      </c>
      <c r="L759" t="n">
        <v>0</v>
      </c>
      <c r="M759" t="n">
        <v>0</v>
      </c>
      <c r="N759" t="n">
        <v>0</v>
      </c>
      <c r="O759" t="n">
        <v>0</v>
      </c>
      <c r="P759" t="n">
        <v>0</v>
      </c>
      <c r="Q759" t="n">
        <v>0</v>
      </c>
      <c r="R759" s="2" t="inlineStr"/>
    </row>
    <row r="760" ht="15" customHeight="1">
      <c r="A760" t="inlineStr">
        <is>
          <t>A 24727-2023</t>
        </is>
      </c>
      <c r="B760" s="1" t="n">
        <v>45084.57695601852</v>
      </c>
      <c r="C760" s="1" t="n">
        <v>46149</v>
      </c>
      <c r="D760" t="inlineStr">
        <is>
          <t>STOCKHOLMS LÄN</t>
        </is>
      </c>
      <c r="E760" t="inlineStr">
        <is>
          <t>NORRTÄLJE</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31559-2022</t>
        </is>
      </c>
      <c r="B761" s="1" t="n">
        <v>44775</v>
      </c>
      <c r="C761" s="1" t="n">
        <v>46149</v>
      </c>
      <c r="D761" t="inlineStr">
        <is>
          <t>STOCKHOLMS LÄN</t>
        </is>
      </c>
      <c r="E761" t="inlineStr">
        <is>
          <t>NORRTÄLJE</t>
        </is>
      </c>
      <c r="G761" t="n">
        <v>5.6</v>
      </c>
      <c r="H761" t="n">
        <v>0</v>
      </c>
      <c r="I761" t="n">
        <v>0</v>
      </c>
      <c r="J761" t="n">
        <v>0</v>
      </c>
      <c r="K761" t="n">
        <v>0</v>
      </c>
      <c r="L761" t="n">
        <v>0</v>
      </c>
      <c r="M761" t="n">
        <v>0</v>
      </c>
      <c r="N761" t="n">
        <v>0</v>
      </c>
      <c r="O761" t="n">
        <v>0</v>
      </c>
      <c r="P761" t="n">
        <v>0</v>
      </c>
      <c r="Q761" t="n">
        <v>0</v>
      </c>
      <c r="R761" s="2" t="inlineStr"/>
    </row>
    <row r="762" ht="15" customHeight="1">
      <c r="A762" t="inlineStr">
        <is>
          <t>A 8419-2025</t>
        </is>
      </c>
      <c r="B762" s="1" t="n">
        <v>45709.40231481481</v>
      </c>
      <c r="C762" s="1" t="n">
        <v>46149</v>
      </c>
      <c r="D762" t="inlineStr">
        <is>
          <t>STOCKHOLMS LÄN</t>
        </is>
      </c>
      <c r="E762" t="inlineStr">
        <is>
          <t>NORRTÄLJE</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48722-2023</t>
        </is>
      </c>
      <c r="B763" s="1" t="n">
        <v>45208.70996527778</v>
      </c>
      <c r="C763" s="1" t="n">
        <v>46149</v>
      </c>
      <c r="D763" t="inlineStr">
        <is>
          <t>STOCKHOLMS LÄN</t>
        </is>
      </c>
      <c r="E763" t="inlineStr">
        <is>
          <t>NORRTÄLJE</t>
        </is>
      </c>
      <c r="G763" t="n">
        <v>0.3</v>
      </c>
      <c r="H763" t="n">
        <v>0</v>
      </c>
      <c r="I763" t="n">
        <v>0</v>
      </c>
      <c r="J763" t="n">
        <v>0</v>
      </c>
      <c r="K763" t="n">
        <v>0</v>
      </c>
      <c r="L763" t="n">
        <v>0</v>
      </c>
      <c r="M763" t="n">
        <v>0</v>
      </c>
      <c r="N763" t="n">
        <v>0</v>
      </c>
      <c r="O763" t="n">
        <v>0</v>
      </c>
      <c r="P763" t="n">
        <v>0</v>
      </c>
      <c r="Q763" t="n">
        <v>0</v>
      </c>
      <c r="R763" s="2" t="inlineStr"/>
    </row>
    <row r="764" ht="15" customHeight="1">
      <c r="A764" t="inlineStr">
        <is>
          <t>A 35235-2024</t>
        </is>
      </c>
      <c r="B764" s="1" t="n">
        <v>45530</v>
      </c>
      <c r="C764" s="1" t="n">
        <v>46149</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1448-2023</t>
        </is>
      </c>
      <c r="B765" s="1" t="n">
        <v>44937</v>
      </c>
      <c r="C765" s="1" t="n">
        <v>46149</v>
      </c>
      <c r="D765" t="inlineStr">
        <is>
          <t>STOCKHOLMS LÄN</t>
        </is>
      </c>
      <c r="E765" t="inlineStr">
        <is>
          <t>NORRTÄLJE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35161-2022</t>
        </is>
      </c>
      <c r="B766" s="1" t="n">
        <v>44797</v>
      </c>
      <c r="C766" s="1" t="n">
        <v>46149</v>
      </c>
      <c r="D766" t="inlineStr">
        <is>
          <t>STOCKHOLMS LÄN</t>
        </is>
      </c>
      <c r="E766" t="inlineStr">
        <is>
          <t>NORRTÄLJE</t>
        </is>
      </c>
      <c r="G766" t="n">
        <v>6</v>
      </c>
      <c r="H766" t="n">
        <v>0</v>
      </c>
      <c r="I766" t="n">
        <v>0</v>
      </c>
      <c r="J766" t="n">
        <v>0</v>
      </c>
      <c r="K766" t="n">
        <v>0</v>
      </c>
      <c r="L766" t="n">
        <v>0</v>
      </c>
      <c r="M766" t="n">
        <v>0</v>
      </c>
      <c r="N766" t="n">
        <v>0</v>
      </c>
      <c r="O766" t="n">
        <v>0</v>
      </c>
      <c r="P766" t="n">
        <v>0</v>
      </c>
      <c r="Q766" t="n">
        <v>0</v>
      </c>
      <c r="R766" s="2" t="inlineStr"/>
    </row>
    <row r="767" ht="15" customHeight="1">
      <c r="A767" t="inlineStr">
        <is>
          <t>A 8736-2024</t>
        </is>
      </c>
      <c r="B767" s="1" t="n">
        <v>45356.4722800926</v>
      </c>
      <c r="C767" s="1" t="n">
        <v>46149</v>
      </c>
      <c r="D767" t="inlineStr">
        <is>
          <t>STOCKHOLMS LÄN</t>
        </is>
      </c>
      <c r="E767" t="inlineStr">
        <is>
          <t>NORRTÄLJE</t>
        </is>
      </c>
      <c r="G767" t="n">
        <v>8.9</v>
      </c>
      <c r="H767" t="n">
        <v>0</v>
      </c>
      <c r="I767" t="n">
        <v>0</v>
      </c>
      <c r="J767" t="n">
        <v>0</v>
      </c>
      <c r="K767" t="n">
        <v>0</v>
      </c>
      <c r="L767" t="n">
        <v>0</v>
      </c>
      <c r="M767" t="n">
        <v>0</v>
      </c>
      <c r="N767" t="n">
        <v>0</v>
      </c>
      <c r="O767" t="n">
        <v>0</v>
      </c>
      <c r="P767" t="n">
        <v>0</v>
      </c>
      <c r="Q767" t="n">
        <v>0</v>
      </c>
      <c r="R767" s="2" t="inlineStr"/>
    </row>
    <row r="768" ht="15" customHeight="1">
      <c r="A768" t="inlineStr">
        <is>
          <t>A 30639-2025</t>
        </is>
      </c>
      <c r="B768" s="1" t="n">
        <v>45831.4844212963</v>
      </c>
      <c r="C768" s="1" t="n">
        <v>46149</v>
      </c>
      <c r="D768" t="inlineStr">
        <is>
          <t>STOCKHOLMS LÄN</t>
        </is>
      </c>
      <c r="E768" t="inlineStr">
        <is>
          <t>NORRTÄLJE</t>
        </is>
      </c>
      <c r="G768" t="n">
        <v>2</v>
      </c>
      <c r="H768" t="n">
        <v>0</v>
      </c>
      <c r="I768" t="n">
        <v>0</v>
      </c>
      <c r="J768" t="n">
        <v>0</v>
      </c>
      <c r="K768" t="n">
        <v>0</v>
      </c>
      <c r="L768" t="n">
        <v>0</v>
      </c>
      <c r="M768" t="n">
        <v>0</v>
      </c>
      <c r="N768" t="n">
        <v>0</v>
      </c>
      <c r="O768" t="n">
        <v>0</v>
      </c>
      <c r="P768" t="n">
        <v>0</v>
      </c>
      <c r="Q768" t="n">
        <v>0</v>
      </c>
      <c r="R768" s="2" t="inlineStr"/>
    </row>
    <row r="769" ht="15" customHeight="1">
      <c r="A769" t="inlineStr">
        <is>
          <t>A 30668-2025</t>
        </is>
      </c>
      <c r="B769" s="1" t="n">
        <v>45831.51659722222</v>
      </c>
      <c r="C769" s="1" t="n">
        <v>46149</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58989-2021</t>
        </is>
      </c>
      <c r="B770" s="1" t="n">
        <v>44490.02482638889</v>
      </c>
      <c r="C770" s="1" t="n">
        <v>46149</v>
      </c>
      <c r="D770" t="inlineStr">
        <is>
          <t>STOCKHOLMS LÄN</t>
        </is>
      </c>
      <c r="E770" t="inlineStr">
        <is>
          <t>NORRTÄLJE</t>
        </is>
      </c>
      <c r="G770" t="n">
        <v>0.3</v>
      </c>
      <c r="H770" t="n">
        <v>0</v>
      </c>
      <c r="I770" t="n">
        <v>0</v>
      </c>
      <c r="J770" t="n">
        <v>0</v>
      </c>
      <c r="K770" t="n">
        <v>0</v>
      </c>
      <c r="L770" t="n">
        <v>0</v>
      </c>
      <c r="M770" t="n">
        <v>0</v>
      </c>
      <c r="N770" t="n">
        <v>0</v>
      </c>
      <c r="O770" t="n">
        <v>0</v>
      </c>
      <c r="P770" t="n">
        <v>0</v>
      </c>
      <c r="Q770" t="n">
        <v>0</v>
      </c>
      <c r="R770" s="2" t="inlineStr"/>
    </row>
    <row r="771" ht="15" customHeight="1">
      <c r="A771" t="inlineStr">
        <is>
          <t>A 33149-2022</t>
        </is>
      </c>
      <c r="B771" s="1" t="n">
        <v>44785</v>
      </c>
      <c r="C771" s="1" t="n">
        <v>46149</v>
      </c>
      <c r="D771" t="inlineStr">
        <is>
          <t>STOCKHOLMS LÄN</t>
        </is>
      </c>
      <c r="E771" t="inlineStr">
        <is>
          <t>NORRTÄLJE</t>
        </is>
      </c>
      <c r="F771" t="inlineStr">
        <is>
          <t>Holmen skog AB</t>
        </is>
      </c>
      <c r="G771" t="n">
        <v>4.4</v>
      </c>
      <c r="H771" t="n">
        <v>0</v>
      </c>
      <c r="I771" t="n">
        <v>0</v>
      </c>
      <c r="J771" t="n">
        <v>0</v>
      </c>
      <c r="K771" t="n">
        <v>0</v>
      </c>
      <c r="L771" t="n">
        <v>0</v>
      </c>
      <c r="M771" t="n">
        <v>0</v>
      </c>
      <c r="N771" t="n">
        <v>0</v>
      </c>
      <c r="O771" t="n">
        <v>0</v>
      </c>
      <c r="P771" t="n">
        <v>0</v>
      </c>
      <c r="Q771" t="n">
        <v>0</v>
      </c>
      <c r="R771" s="2" t="inlineStr"/>
    </row>
    <row r="772" ht="15" customHeight="1">
      <c r="A772" t="inlineStr">
        <is>
          <t>A 46988-2024</t>
        </is>
      </c>
      <c r="B772" s="1" t="n">
        <v>45586</v>
      </c>
      <c r="C772" s="1" t="n">
        <v>46149</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46149</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24835-2025</t>
        </is>
      </c>
      <c r="B774" s="1" t="n">
        <v>45799</v>
      </c>
      <c r="C774" s="1" t="n">
        <v>46149</v>
      </c>
      <c r="D774" t="inlineStr">
        <is>
          <t>STOCKHOLMS LÄN</t>
        </is>
      </c>
      <c r="E774" t="inlineStr">
        <is>
          <t>NORRTÄLJE</t>
        </is>
      </c>
      <c r="G774" t="n">
        <v>2.5</v>
      </c>
      <c r="H774" t="n">
        <v>0</v>
      </c>
      <c r="I774" t="n">
        <v>0</v>
      </c>
      <c r="J774" t="n">
        <v>0</v>
      </c>
      <c r="K774" t="n">
        <v>0</v>
      </c>
      <c r="L774" t="n">
        <v>0</v>
      </c>
      <c r="M774" t="n">
        <v>0</v>
      </c>
      <c r="N774" t="n">
        <v>0</v>
      </c>
      <c r="O774" t="n">
        <v>0</v>
      </c>
      <c r="P774" t="n">
        <v>0</v>
      </c>
      <c r="Q774" t="n">
        <v>0</v>
      </c>
      <c r="R774" s="2" t="inlineStr"/>
    </row>
    <row r="775" ht="15" customHeight="1">
      <c r="A775" t="inlineStr">
        <is>
          <t>A 31170-2025</t>
        </is>
      </c>
      <c r="B775" s="1" t="n">
        <v>45832.66385416667</v>
      </c>
      <c r="C775" s="1" t="n">
        <v>46149</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14132-2025</t>
        </is>
      </c>
      <c r="B776" s="1" t="n">
        <v>45740.47550925926</v>
      </c>
      <c r="C776" s="1" t="n">
        <v>46149</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14133-2025</t>
        </is>
      </c>
      <c r="B777" s="1" t="n">
        <v>45740.47724537037</v>
      </c>
      <c r="C777" s="1" t="n">
        <v>46149</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8792-2025</t>
        </is>
      </c>
      <c r="B778" s="1" t="n">
        <v>45712</v>
      </c>
      <c r="C778" s="1" t="n">
        <v>46149</v>
      </c>
      <c r="D778" t="inlineStr">
        <is>
          <t>STOCKHOLMS LÄN</t>
        </is>
      </c>
      <c r="E778" t="inlineStr">
        <is>
          <t>NORRTÄLJE</t>
        </is>
      </c>
      <c r="F778" t="inlineStr">
        <is>
          <t>Övriga Aktiebolag</t>
        </is>
      </c>
      <c r="G778" t="n">
        <v>6.6</v>
      </c>
      <c r="H778" t="n">
        <v>0</v>
      </c>
      <c r="I778" t="n">
        <v>0</v>
      </c>
      <c r="J778" t="n">
        <v>0</v>
      </c>
      <c r="K778" t="n">
        <v>0</v>
      </c>
      <c r="L778" t="n">
        <v>0</v>
      </c>
      <c r="M778" t="n">
        <v>0</v>
      </c>
      <c r="N778" t="n">
        <v>0</v>
      </c>
      <c r="O778" t="n">
        <v>0</v>
      </c>
      <c r="P778" t="n">
        <v>0</v>
      </c>
      <c r="Q778" t="n">
        <v>0</v>
      </c>
      <c r="R778" s="2" t="inlineStr"/>
    </row>
    <row r="779" ht="15" customHeight="1">
      <c r="A779" t="inlineStr">
        <is>
          <t>A 24887-2023</t>
        </is>
      </c>
      <c r="B779" s="1" t="n">
        <v>45085</v>
      </c>
      <c r="C779" s="1" t="n">
        <v>46149</v>
      </c>
      <c r="D779" t="inlineStr">
        <is>
          <t>STOCKHOLMS LÄN</t>
        </is>
      </c>
      <c r="E779" t="inlineStr">
        <is>
          <t>NORRTÄLJE</t>
        </is>
      </c>
      <c r="G779" t="n">
        <v>13.9</v>
      </c>
      <c r="H779" t="n">
        <v>0</v>
      </c>
      <c r="I779" t="n">
        <v>0</v>
      </c>
      <c r="J779" t="n">
        <v>0</v>
      </c>
      <c r="K779" t="n">
        <v>0</v>
      </c>
      <c r="L779" t="n">
        <v>0</v>
      </c>
      <c r="M779" t="n">
        <v>0</v>
      </c>
      <c r="N779" t="n">
        <v>0</v>
      </c>
      <c r="O779" t="n">
        <v>0</v>
      </c>
      <c r="P779" t="n">
        <v>0</v>
      </c>
      <c r="Q779" t="n">
        <v>0</v>
      </c>
      <c r="R779" s="2" t="inlineStr"/>
    </row>
    <row r="780" ht="15" customHeight="1">
      <c r="A780" t="inlineStr">
        <is>
          <t>A 31880-2025</t>
        </is>
      </c>
      <c r="B780" s="1" t="n">
        <v>45834.65538194445</v>
      </c>
      <c r="C780" s="1" t="n">
        <v>46149</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32122-2025</t>
        </is>
      </c>
      <c r="B781" s="1" t="n">
        <v>45835.4928125</v>
      </c>
      <c r="C781" s="1" t="n">
        <v>46149</v>
      </c>
      <c r="D781" t="inlineStr">
        <is>
          <t>STOCKHOLMS LÄN</t>
        </is>
      </c>
      <c r="E781" t="inlineStr">
        <is>
          <t>NORRTÄLJE</t>
        </is>
      </c>
      <c r="F781" t="inlineStr">
        <is>
          <t>Holmen skog AB</t>
        </is>
      </c>
      <c r="G781" t="n">
        <v>1.9</v>
      </c>
      <c r="H781" t="n">
        <v>0</v>
      </c>
      <c r="I781" t="n">
        <v>0</v>
      </c>
      <c r="J781" t="n">
        <v>0</v>
      </c>
      <c r="K781" t="n">
        <v>0</v>
      </c>
      <c r="L781" t="n">
        <v>0</v>
      </c>
      <c r="M781" t="n">
        <v>0</v>
      </c>
      <c r="N781" t="n">
        <v>0</v>
      </c>
      <c r="O781" t="n">
        <v>0</v>
      </c>
      <c r="P781" t="n">
        <v>0</v>
      </c>
      <c r="Q781" t="n">
        <v>0</v>
      </c>
      <c r="R781" s="2" t="inlineStr"/>
    </row>
    <row r="782" ht="15" customHeight="1">
      <c r="A782" t="inlineStr">
        <is>
          <t>A 31868-2025</t>
        </is>
      </c>
      <c r="B782" s="1" t="n">
        <v>45834.6447337963</v>
      </c>
      <c r="C782" s="1" t="n">
        <v>46149</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38612-2022</t>
        </is>
      </c>
      <c r="B783" s="1" t="n">
        <v>44813</v>
      </c>
      <c r="C783" s="1" t="n">
        <v>46149</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6413-2025</t>
        </is>
      </c>
      <c r="B784" s="1" t="n">
        <v>45699.46283564815</v>
      </c>
      <c r="C784" s="1" t="n">
        <v>46149</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4326-2023</t>
        </is>
      </c>
      <c r="B785" s="1" t="n">
        <v>44953.70481481482</v>
      </c>
      <c r="C785" s="1" t="n">
        <v>46149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54504-2024</t>
        </is>
      </c>
      <c r="B786" s="1" t="n">
        <v>45617.58453703704</v>
      </c>
      <c r="C786" s="1" t="n">
        <v>46149</v>
      </c>
      <c r="D786" t="inlineStr">
        <is>
          <t>STOCKHOLMS LÄN</t>
        </is>
      </c>
      <c r="E786" t="inlineStr">
        <is>
          <t>NORRTÄLJE</t>
        </is>
      </c>
      <c r="G786" t="n">
        <v>3.4</v>
      </c>
      <c r="H786" t="n">
        <v>0</v>
      </c>
      <c r="I786" t="n">
        <v>0</v>
      </c>
      <c r="J786" t="n">
        <v>0</v>
      </c>
      <c r="K786" t="n">
        <v>0</v>
      </c>
      <c r="L786" t="n">
        <v>0</v>
      </c>
      <c r="M786" t="n">
        <v>0</v>
      </c>
      <c r="N786" t="n">
        <v>0</v>
      </c>
      <c r="O786" t="n">
        <v>0</v>
      </c>
      <c r="P786" t="n">
        <v>0</v>
      </c>
      <c r="Q786" t="n">
        <v>0</v>
      </c>
      <c r="R786" s="2" t="inlineStr"/>
    </row>
    <row r="787" ht="15" customHeight="1">
      <c r="A787" t="inlineStr">
        <is>
          <t>A 6537-2024</t>
        </is>
      </c>
      <c r="B787" s="1" t="n">
        <v>45341.39853009259</v>
      </c>
      <c r="C787" s="1" t="n">
        <v>46149</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32016-2025</t>
        </is>
      </c>
      <c r="B788" s="1" t="n">
        <v>45835</v>
      </c>
      <c r="C788" s="1" t="n">
        <v>46149</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40175-2024</t>
        </is>
      </c>
      <c r="B789" s="1" t="n">
        <v>45554.55707175926</v>
      </c>
      <c r="C789" s="1" t="n">
        <v>46149</v>
      </c>
      <c r="D789" t="inlineStr">
        <is>
          <t>STOCKHOLMS LÄN</t>
        </is>
      </c>
      <c r="E789" t="inlineStr">
        <is>
          <t>NORRTÄLJE</t>
        </is>
      </c>
      <c r="G789" t="n">
        <v>7.7</v>
      </c>
      <c r="H789" t="n">
        <v>0</v>
      </c>
      <c r="I789" t="n">
        <v>0</v>
      </c>
      <c r="J789" t="n">
        <v>0</v>
      </c>
      <c r="K789" t="n">
        <v>0</v>
      </c>
      <c r="L789" t="n">
        <v>0</v>
      </c>
      <c r="M789" t="n">
        <v>0</v>
      </c>
      <c r="N789" t="n">
        <v>0</v>
      </c>
      <c r="O789" t="n">
        <v>0</v>
      </c>
      <c r="P789" t="n">
        <v>0</v>
      </c>
      <c r="Q789" t="n">
        <v>0</v>
      </c>
      <c r="R789" s="2" t="inlineStr"/>
    </row>
    <row r="790" ht="15" customHeight="1">
      <c r="A790" t="inlineStr">
        <is>
          <t>A 32283-2025</t>
        </is>
      </c>
      <c r="B790" s="1" t="n">
        <v>45835.68076388889</v>
      </c>
      <c r="C790" s="1" t="n">
        <v>46149</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54558-2024</t>
        </is>
      </c>
      <c r="B791" s="1" t="n">
        <v>45617.62358796296</v>
      </c>
      <c r="C791" s="1" t="n">
        <v>46149</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23056-2023</t>
        </is>
      </c>
      <c r="B792" s="1" t="n">
        <v>45075</v>
      </c>
      <c r="C792" s="1" t="n">
        <v>46149</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31874-2025</t>
        </is>
      </c>
      <c r="B793" s="1" t="n">
        <v>45834</v>
      </c>
      <c r="C793" s="1" t="n">
        <v>46149</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21745-2023</t>
        </is>
      </c>
      <c r="B794" s="1" t="n">
        <v>45065.55917824074</v>
      </c>
      <c r="C794" s="1" t="n">
        <v>46149</v>
      </c>
      <c r="D794" t="inlineStr">
        <is>
          <t>STOCKHOLMS LÄN</t>
        </is>
      </c>
      <c r="E794" t="inlineStr">
        <is>
          <t>NORRTÄLJE</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32094-2025</t>
        </is>
      </c>
      <c r="B795" s="1" t="n">
        <v>45835.46034722222</v>
      </c>
      <c r="C795" s="1" t="n">
        <v>46149</v>
      </c>
      <c r="D795" t="inlineStr">
        <is>
          <t>STOCKHOLMS LÄN</t>
        </is>
      </c>
      <c r="E795" t="inlineStr">
        <is>
          <t>NORRTÄLJE</t>
        </is>
      </c>
      <c r="F795" t="inlineStr">
        <is>
          <t>Holmen skog AB</t>
        </is>
      </c>
      <c r="G795" t="n">
        <v>2.9</v>
      </c>
      <c r="H795" t="n">
        <v>0</v>
      </c>
      <c r="I795" t="n">
        <v>0</v>
      </c>
      <c r="J795" t="n">
        <v>0</v>
      </c>
      <c r="K795" t="n">
        <v>0</v>
      </c>
      <c r="L795" t="n">
        <v>0</v>
      </c>
      <c r="M795" t="n">
        <v>0</v>
      </c>
      <c r="N795" t="n">
        <v>0</v>
      </c>
      <c r="O795" t="n">
        <v>0</v>
      </c>
      <c r="P795" t="n">
        <v>0</v>
      </c>
      <c r="Q795" t="n">
        <v>0</v>
      </c>
      <c r="R795" s="2" t="inlineStr"/>
    </row>
    <row r="796" ht="15" customHeight="1">
      <c r="A796" t="inlineStr">
        <is>
          <t>A 21894-2023</t>
        </is>
      </c>
      <c r="B796" s="1" t="n">
        <v>45068.51783564815</v>
      </c>
      <c r="C796" s="1" t="n">
        <v>46149</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13276-2022</t>
        </is>
      </c>
      <c r="B797" s="1" t="n">
        <v>44644</v>
      </c>
      <c r="C797" s="1" t="n">
        <v>46149</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13546-2026</t>
        </is>
      </c>
      <c r="B798" s="1" t="n">
        <v>46094.69196759259</v>
      </c>
      <c r="C798" s="1" t="n">
        <v>46149</v>
      </c>
      <c r="D798" t="inlineStr">
        <is>
          <t>STOCKHOLMS LÄN</t>
        </is>
      </c>
      <c r="E798" t="inlineStr">
        <is>
          <t>NORRTÄLJE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32480-2025</t>
        </is>
      </c>
      <c r="B799" s="1" t="n">
        <v>45838.43261574074</v>
      </c>
      <c r="C799" s="1" t="n">
        <v>46149</v>
      </c>
      <c r="D799" t="inlineStr">
        <is>
          <t>STOCKHOLMS LÄN</t>
        </is>
      </c>
      <c r="E799" t="inlineStr">
        <is>
          <t>NORRTÄLJE</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19759-2026</t>
        </is>
      </c>
      <c r="B800" s="1" t="n">
        <v>46135.41234953704</v>
      </c>
      <c r="C800" s="1" t="n">
        <v>46149</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32872-2025</t>
        </is>
      </c>
      <c r="B801" s="1" t="n">
        <v>45839</v>
      </c>
      <c r="C801" s="1" t="n">
        <v>46149</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32903-2025</t>
        </is>
      </c>
      <c r="B802" s="1" t="n">
        <v>45839.62398148148</v>
      </c>
      <c r="C802" s="1" t="n">
        <v>46149</v>
      </c>
      <c r="D802" t="inlineStr">
        <is>
          <t>STOCKHOLMS LÄN</t>
        </is>
      </c>
      <c r="E802" t="inlineStr">
        <is>
          <t>NORRTÄLJE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28182-2022</t>
        </is>
      </c>
      <c r="B803" s="1" t="n">
        <v>44746.58530092592</v>
      </c>
      <c r="C803" s="1" t="n">
        <v>46149</v>
      </c>
      <c r="D803" t="inlineStr">
        <is>
          <t>STOCKHOLMS LÄN</t>
        </is>
      </c>
      <c r="E803" t="inlineStr">
        <is>
          <t>NORRTÄLJE</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34461-2023</t>
        </is>
      </c>
      <c r="B804" s="1" t="n">
        <v>45139</v>
      </c>
      <c r="C804" s="1" t="n">
        <v>46149</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32395-2025</t>
        </is>
      </c>
      <c r="B805" s="1" t="n">
        <v>45837.93730324074</v>
      </c>
      <c r="C805" s="1" t="n">
        <v>46149</v>
      </c>
      <c r="D805" t="inlineStr">
        <is>
          <t>STOCKHOLMS LÄN</t>
        </is>
      </c>
      <c r="E805" t="inlineStr">
        <is>
          <t>NORRTÄLJE</t>
        </is>
      </c>
      <c r="G805" t="n">
        <v>2.2</v>
      </c>
      <c r="H805" t="n">
        <v>0</v>
      </c>
      <c r="I805" t="n">
        <v>0</v>
      </c>
      <c r="J805" t="n">
        <v>0</v>
      </c>
      <c r="K805" t="n">
        <v>0</v>
      </c>
      <c r="L805" t="n">
        <v>0</v>
      </c>
      <c r="M805" t="n">
        <v>0</v>
      </c>
      <c r="N805" t="n">
        <v>0</v>
      </c>
      <c r="O805" t="n">
        <v>0</v>
      </c>
      <c r="P805" t="n">
        <v>0</v>
      </c>
      <c r="Q805" t="n">
        <v>0</v>
      </c>
      <c r="R805" s="2" t="inlineStr"/>
    </row>
    <row r="806" ht="15" customHeight="1">
      <c r="A806" t="inlineStr">
        <is>
          <t>A 32396-2025</t>
        </is>
      </c>
      <c r="B806" s="1" t="n">
        <v>45837</v>
      </c>
      <c r="C806" s="1" t="n">
        <v>46149</v>
      </c>
      <c r="D806" t="inlineStr">
        <is>
          <t>STOCKHOLMS LÄN</t>
        </is>
      </c>
      <c r="E806" t="inlineStr">
        <is>
          <t>NORRTÄLJE</t>
        </is>
      </c>
      <c r="G806" t="n">
        <v>2</v>
      </c>
      <c r="H806" t="n">
        <v>0</v>
      </c>
      <c r="I806" t="n">
        <v>0</v>
      </c>
      <c r="J806" t="n">
        <v>0</v>
      </c>
      <c r="K806" t="n">
        <v>0</v>
      </c>
      <c r="L806" t="n">
        <v>0</v>
      </c>
      <c r="M806" t="n">
        <v>0</v>
      </c>
      <c r="N806" t="n">
        <v>0</v>
      </c>
      <c r="O806" t="n">
        <v>0</v>
      </c>
      <c r="P806" t="n">
        <v>0</v>
      </c>
      <c r="Q806" t="n">
        <v>0</v>
      </c>
      <c r="R806" s="2" t="inlineStr"/>
    </row>
    <row r="807" ht="15" customHeight="1">
      <c r="A807" t="inlineStr">
        <is>
          <t>A 32397-2025</t>
        </is>
      </c>
      <c r="B807" s="1" t="n">
        <v>45837.94081018519</v>
      </c>
      <c r="C807" s="1" t="n">
        <v>46149</v>
      </c>
      <c r="D807" t="inlineStr">
        <is>
          <t>STOCKHOLMS LÄN</t>
        </is>
      </c>
      <c r="E807" t="inlineStr">
        <is>
          <t>NORRTÄLJE</t>
        </is>
      </c>
      <c r="G807" t="n">
        <v>5.9</v>
      </c>
      <c r="H807" t="n">
        <v>0</v>
      </c>
      <c r="I807" t="n">
        <v>0</v>
      </c>
      <c r="J807" t="n">
        <v>0</v>
      </c>
      <c r="K807" t="n">
        <v>0</v>
      </c>
      <c r="L807" t="n">
        <v>0</v>
      </c>
      <c r="M807" t="n">
        <v>0</v>
      </c>
      <c r="N807" t="n">
        <v>0</v>
      </c>
      <c r="O807" t="n">
        <v>0</v>
      </c>
      <c r="P807" t="n">
        <v>0</v>
      </c>
      <c r="Q807" t="n">
        <v>0</v>
      </c>
      <c r="R807" s="2" t="inlineStr"/>
    </row>
    <row r="808" ht="15" customHeight="1">
      <c r="A808" t="inlineStr">
        <is>
          <t>A 43169-2025</t>
        </is>
      </c>
      <c r="B808" s="1" t="n">
        <v>45910</v>
      </c>
      <c r="C808" s="1" t="n">
        <v>46149</v>
      </c>
      <c r="D808" t="inlineStr">
        <is>
          <t>STOCKHOLMS LÄN</t>
        </is>
      </c>
      <c r="E808" t="inlineStr">
        <is>
          <t>NORRTÄLJE</t>
        </is>
      </c>
      <c r="G808" t="n">
        <v>6.9</v>
      </c>
      <c r="H808" t="n">
        <v>0</v>
      </c>
      <c r="I808" t="n">
        <v>0</v>
      </c>
      <c r="J808" t="n">
        <v>0</v>
      </c>
      <c r="K808" t="n">
        <v>0</v>
      </c>
      <c r="L808" t="n">
        <v>0</v>
      </c>
      <c r="M808" t="n">
        <v>0</v>
      </c>
      <c r="N808" t="n">
        <v>0</v>
      </c>
      <c r="O808" t="n">
        <v>0</v>
      </c>
      <c r="P808" t="n">
        <v>0</v>
      </c>
      <c r="Q808" t="n">
        <v>0</v>
      </c>
      <c r="R808" s="2" t="inlineStr"/>
    </row>
    <row r="809" ht="15" customHeight="1">
      <c r="A809" t="inlineStr">
        <is>
          <t>A 51046-2023</t>
        </is>
      </c>
      <c r="B809" s="1" t="n">
        <v>45218</v>
      </c>
      <c r="C809" s="1" t="n">
        <v>46149</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30719-2025</t>
        </is>
      </c>
      <c r="B810" s="1" t="n">
        <v>45831</v>
      </c>
      <c r="C810" s="1" t="n">
        <v>46149</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43269-2025</t>
        </is>
      </c>
      <c r="B811" s="1" t="n">
        <v>45910.5819212963</v>
      </c>
      <c r="C811" s="1" t="n">
        <v>46149</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59477-2025</t>
        </is>
      </c>
      <c r="B812" s="1" t="n">
        <v>45989.58679398148</v>
      </c>
      <c r="C812" s="1" t="n">
        <v>46149</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43916-2025</t>
        </is>
      </c>
      <c r="B813" s="1" t="n">
        <v>45914.78884259259</v>
      </c>
      <c r="C813" s="1" t="n">
        <v>46149</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17382-2024</t>
        </is>
      </c>
      <c r="B814" s="1" t="n">
        <v>45414.65855324074</v>
      </c>
      <c r="C814" s="1" t="n">
        <v>46149</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6070-2022</t>
        </is>
      </c>
      <c r="B815" s="1" t="n">
        <v>44599.58428240741</v>
      </c>
      <c r="C815" s="1" t="n">
        <v>46149</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17039-2024</t>
        </is>
      </c>
      <c r="B816" s="1" t="n">
        <v>45412.4104050926</v>
      </c>
      <c r="C816" s="1" t="n">
        <v>46149</v>
      </c>
      <c r="D816" t="inlineStr">
        <is>
          <t>STOCKHOLMS LÄN</t>
        </is>
      </c>
      <c r="E816" t="inlineStr">
        <is>
          <t>NORRTÄLJE</t>
        </is>
      </c>
      <c r="G816" t="n">
        <v>5.9</v>
      </c>
      <c r="H816" t="n">
        <v>0</v>
      </c>
      <c r="I816" t="n">
        <v>0</v>
      </c>
      <c r="J816" t="n">
        <v>0</v>
      </c>
      <c r="K816" t="n">
        <v>0</v>
      </c>
      <c r="L816" t="n">
        <v>0</v>
      </c>
      <c r="M816" t="n">
        <v>0</v>
      </c>
      <c r="N816" t="n">
        <v>0</v>
      </c>
      <c r="O816" t="n">
        <v>0</v>
      </c>
      <c r="P816" t="n">
        <v>0</v>
      </c>
      <c r="Q816" t="n">
        <v>0</v>
      </c>
      <c r="R816" s="2" t="inlineStr"/>
    </row>
    <row r="817" ht="15" customHeight="1">
      <c r="A817" t="inlineStr">
        <is>
          <t>A 48180-2023</t>
        </is>
      </c>
      <c r="B817" s="1" t="n">
        <v>45205</v>
      </c>
      <c r="C817" s="1" t="n">
        <v>46149</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33702-2025</t>
        </is>
      </c>
      <c r="B818" s="1" t="n">
        <v>45841.74596064815</v>
      </c>
      <c r="C818" s="1" t="n">
        <v>46149</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35695-2023</t>
        </is>
      </c>
      <c r="B819" s="1" t="n">
        <v>45147.65407407407</v>
      </c>
      <c r="C819" s="1" t="n">
        <v>46149</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45173-2023</t>
        </is>
      </c>
      <c r="B820" s="1" t="n">
        <v>45191</v>
      </c>
      <c r="C820" s="1" t="n">
        <v>46149</v>
      </c>
      <c r="D820" t="inlineStr">
        <is>
          <t>STOCKHOLMS LÄN</t>
        </is>
      </c>
      <c r="E820" t="inlineStr">
        <is>
          <t>NORRTÄLJE</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33211-2025</t>
        </is>
      </c>
      <c r="B821" s="1" t="n">
        <v>45840.62755787037</v>
      </c>
      <c r="C821" s="1" t="n">
        <v>46149</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33265-2025</t>
        </is>
      </c>
      <c r="B822" s="1" t="n">
        <v>45840.67829861111</v>
      </c>
      <c r="C822" s="1" t="n">
        <v>46149</v>
      </c>
      <c r="D822" t="inlineStr">
        <is>
          <t>STOCKHOLMS LÄN</t>
        </is>
      </c>
      <c r="E822" t="inlineStr">
        <is>
          <t>NORRTÄLJE</t>
        </is>
      </c>
      <c r="G822" t="n">
        <v>5.5</v>
      </c>
      <c r="H822" t="n">
        <v>0</v>
      </c>
      <c r="I822" t="n">
        <v>0</v>
      </c>
      <c r="J822" t="n">
        <v>0</v>
      </c>
      <c r="K822" t="n">
        <v>0</v>
      </c>
      <c r="L822" t="n">
        <v>0</v>
      </c>
      <c r="M822" t="n">
        <v>0</v>
      </c>
      <c r="N822" t="n">
        <v>0</v>
      </c>
      <c r="O822" t="n">
        <v>0</v>
      </c>
      <c r="P822" t="n">
        <v>0</v>
      </c>
      <c r="Q822" t="n">
        <v>0</v>
      </c>
      <c r="R822" s="2" t="inlineStr"/>
    </row>
    <row r="823" ht="15" customHeight="1">
      <c r="A823" t="inlineStr">
        <is>
          <t>A 33552-2025</t>
        </is>
      </c>
      <c r="B823" s="1" t="n">
        <v>45841.5737962963</v>
      </c>
      <c r="C823" s="1" t="n">
        <v>46149</v>
      </c>
      <c r="D823" t="inlineStr">
        <is>
          <t>STOCKHOLMS LÄN</t>
        </is>
      </c>
      <c r="E823" t="inlineStr">
        <is>
          <t>NORRTÄLJE</t>
        </is>
      </c>
      <c r="G823" t="n">
        <v>8.9</v>
      </c>
      <c r="H823" t="n">
        <v>0</v>
      </c>
      <c r="I823" t="n">
        <v>0</v>
      </c>
      <c r="J823" t="n">
        <v>0</v>
      </c>
      <c r="K823" t="n">
        <v>0</v>
      </c>
      <c r="L823" t="n">
        <v>0</v>
      </c>
      <c r="M823" t="n">
        <v>0</v>
      </c>
      <c r="N823" t="n">
        <v>0</v>
      </c>
      <c r="O823" t="n">
        <v>0</v>
      </c>
      <c r="P823" t="n">
        <v>0</v>
      </c>
      <c r="Q823" t="n">
        <v>0</v>
      </c>
      <c r="R823" s="2" t="inlineStr"/>
    </row>
    <row r="824" ht="15" customHeight="1">
      <c r="A824" t="inlineStr">
        <is>
          <t>A 33336-2025</t>
        </is>
      </c>
      <c r="B824" s="1" t="n">
        <v>45841.35611111111</v>
      </c>
      <c r="C824" s="1" t="n">
        <v>46149</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33824-2025</t>
        </is>
      </c>
      <c r="B825" s="1" t="n">
        <v>45842.46885416667</v>
      </c>
      <c r="C825" s="1" t="n">
        <v>46149</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24705-2023</t>
        </is>
      </c>
      <c r="B826" s="1" t="n">
        <v>45084.54459490741</v>
      </c>
      <c r="C826" s="1" t="n">
        <v>46149</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21696-2024</t>
        </is>
      </c>
      <c r="B827" s="1" t="n">
        <v>45442.45686342593</v>
      </c>
      <c r="C827" s="1" t="n">
        <v>46149</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34006-2025</t>
        </is>
      </c>
      <c r="B828" s="1" t="n">
        <v>45844.62609953704</v>
      </c>
      <c r="C828" s="1" t="n">
        <v>46149</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34139-2025</t>
        </is>
      </c>
      <c r="B829" s="1" t="n">
        <v>45845</v>
      </c>
      <c r="C829" s="1" t="n">
        <v>46149</v>
      </c>
      <c r="D829" t="inlineStr">
        <is>
          <t>STOCKHOLMS LÄN</t>
        </is>
      </c>
      <c r="E829" t="inlineStr">
        <is>
          <t>NORRTÄLJE</t>
        </is>
      </c>
      <c r="G829" t="n">
        <v>5.5</v>
      </c>
      <c r="H829" t="n">
        <v>0</v>
      </c>
      <c r="I829" t="n">
        <v>0</v>
      </c>
      <c r="J829" t="n">
        <v>0</v>
      </c>
      <c r="K829" t="n">
        <v>0</v>
      </c>
      <c r="L829" t="n">
        <v>0</v>
      </c>
      <c r="M829" t="n">
        <v>0</v>
      </c>
      <c r="N829" t="n">
        <v>0</v>
      </c>
      <c r="O829" t="n">
        <v>0</v>
      </c>
      <c r="P829" t="n">
        <v>0</v>
      </c>
      <c r="Q829" t="n">
        <v>0</v>
      </c>
      <c r="R829" s="2" t="inlineStr"/>
    </row>
    <row r="830" ht="15" customHeight="1">
      <c r="A830" t="inlineStr">
        <is>
          <t>A 34010-2025</t>
        </is>
      </c>
      <c r="B830" s="1" t="n">
        <v>45844.91234953704</v>
      </c>
      <c r="C830" s="1" t="n">
        <v>46149</v>
      </c>
      <c r="D830" t="inlineStr">
        <is>
          <t>STOCKHOLMS LÄN</t>
        </is>
      </c>
      <c r="E830" t="inlineStr">
        <is>
          <t>NORRTÄLJE</t>
        </is>
      </c>
      <c r="F830" t="inlineStr">
        <is>
          <t>Övriga Aktiebolag</t>
        </is>
      </c>
      <c r="G830" t="n">
        <v>1.1</v>
      </c>
      <c r="H830" t="n">
        <v>0</v>
      </c>
      <c r="I830" t="n">
        <v>0</v>
      </c>
      <c r="J830" t="n">
        <v>0</v>
      </c>
      <c r="K830" t="n">
        <v>0</v>
      </c>
      <c r="L830" t="n">
        <v>0</v>
      </c>
      <c r="M830" t="n">
        <v>0</v>
      </c>
      <c r="N830" t="n">
        <v>0</v>
      </c>
      <c r="O830" t="n">
        <v>0</v>
      </c>
      <c r="P830" t="n">
        <v>0</v>
      </c>
      <c r="Q830" t="n">
        <v>0</v>
      </c>
      <c r="R830" s="2" t="inlineStr"/>
    </row>
    <row r="831" ht="15" customHeight="1">
      <c r="A831" t="inlineStr">
        <is>
          <t>A 67990-2021</t>
        </is>
      </c>
      <c r="B831" s="1" t="n">
        <v>44525</v>
      </c>
      <c r="C831" s="1" t="n">
        <v>46149</v>
      </c>
      <c r="D831" t="inlineStr">
        <is>
          <t>STOCKHOLMS LÄN</t>
        </is>
      </c>
      <c r="E831" t="inlineStr">
        <is>
          <t>NORRTÄLJE</t>
        </is>
      </c>
      <c r="F831" t="inlineStr">
        <is>
          <t>Sveaskog</t>
        </is>
      </c>
      <c r="G831" t="n">
        <v>7.8</v>
      </c>
      <c r="H831" t="n">
        <v>0</v>
      </c>
      <c r="I831" t="n">
        <v>0</v>
      </c>
      <c r="J831" t="n">
        <v>0</v>
      </c>
      <c r="K831" t="n">
        <v>0</v>
      </c>
      <c r="L831" t="n">
        <v>0</v>
      </c>
      <c r="M831" t="n">
        <v>0</v>
      </c>
      <c r="N831" t="n">
        <v>0</v>
      </c>
      <c r="O831" t="n">
        <v>0</v>
      </c>
      <c r="P831" t="n">
        <v>0</v>
      </c>
      <c r="Q831" t="n">
        <v>0</v>
      </c>
      <c r="R831" s="2" t="inlineStr"/>
    </row>
    <row r="832" ht="15" customHeight="1">
      <c r="A832" t="inlineStr">
        <is>
          <t>A 71552-2021</t>
        </is>
      </c>
      <c r="B832" s="1" t="n">
        <v>44540</v>
      </c>
      <c r="C832" s="1" t="n">
        <v>46149</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73992-2021</t>
        </is>
      </c>
      <c r="B833" s="1" t="n">
        <v>44556</v>
      </c>
      <c r="C833" s="1" t="n">
        <v>46149</v>
      </c>
      <c r="D833" t="inlineStr">
        <is>
          <t>STOCKHOLMS LÄN</t>
        </is>
      </c>
      <c r="E833" t="inlineStr">
        <is>
          <t>NORRTÄLJE</t>
        </is>
      </c>
      <c r="G833" t="n">
        <v>12.5</v>
      </c>
      <c r="H833" t="n">
        <v>0</v>
      </c>
      <c r="I833" t="n">
        <v>0</v>
      </c>
      <c r="J833" t="n">
        <v>0</v>
      </c>
      <c r="K833" t="n">
        <v>0</v>
      </c>
      <c r="L833" t="n">
        <v>0</v>
      </c>
      <c r="M833" t="n">
        <v>0</v>
      </c>
      <c r="N833" t="n">
        <v>0</v>
      </c>
      <c r="O833" t="n">
        <v>0</v>
      </c>
      <c r="P833" t="n">
        <v>0</v>
      </c>
      <c r="Q833" t="n">
        <v>0</v>
      </c>
      <c r="R833" s="2" t="inlineStr"/>
    </row>
    <row r="834" ht="15" customHeight="1">
      <c r="A834" t="inlineStr">
        <is>
          <t>A 36689-2023</t>
        </is>
      </c>
      <c r="B834" s="1" t="n">
        <v>45152</v>
      </c>
      <c r="C834" s="1" t="n">
        <v>46149</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46073-2024</t>
        </is>
      </c>
      <c r="B835" s="1" t="n">
        <v>45581</v>
      </c>
      <c r="C835" s="1" t="n">
        <v>46149</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26113-2024</t>
        </is>
      </c>
      <c r="B836" s="1" t="n">
        <v>45468.45541666666</v>
      </c>
      <c r="C836" s="1" t="n">
        <v>46149</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26116-2024</t>
        </is>
      </c>
      <c r="B837" s="1" t="n">
        <v>45468.45747685185</v>
      </c>
      <c r="C837" s="1" t="n">
        <v>46149</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15978-2024</t>
        </is>
      </c>
      <c r="B838" s="1" t="n">
        <v>45405.57927083333</v>
      </c>
      <c r="C838" s="1" t="n">
        <v>46149</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11333-2025</t>
        </is>
      </c>
      <c r="B839" s="1" t="n">
        <v>45726.48377314815</v>
      </c>
      <c r="C839" s="1" t="n">
        <v>46149</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14475-2026</t>
        </is>
      </c>
      <c r="B840" s="1" t="n">
        <v>46100.57251157407</v>
      </c>
      <c r="C840" s="1" t="n">
        <v>46149</v>
      </c>
      <c r="D840" t="inlineStr">
        <is>
          <t>STOCKHOLMS LÄN</t>
        </is>
      </c>
      <c r="E840" t="inlineStr">
        <is>
          <t>NORRTÄLJE</t>
        </is>
      </c>
      <c r="G840" t="n">
        <v>12.3</v>
      </c>
      <c r="H840" t="n">
        <v>0</v>
      </c>
      <c r="I840" t="n">
        <v>0</v>
      </c>
      <c r="J840" t="n">
        <v>0</v>
      </c>
      <c r="K840" t="n">
        <v>0</v>
      </c>
      <c r="L840" t="n">
        <v>0</v>
      </c>
      <c r="M840" t="n">
        <v>0</v>
      </c>
      <c r="N840" t="n">
        <v>0</v>
      </c>
      <c r="O840" t="n">
        <v>0</v>
      </c>
      <c r="P840" t="n">
        <v>0</v>
      </c>
      <c r="Q840" t="n">
        <v>0</v>
      </c>
      <c r="R840" s="2" t="inlineStr"/>
    </row>
    <row r="841" ht="15" customHeight="1">
      <c r="A841" t="inlineStr">
        <is>
          <t>A 34391-2023</t>
        </is>
      </c>
      <c r="B841" s="1" t="n">
        <v>45139.51457175926</v>
      </c>
      <c r="C841" s="1" t="n">
        <v>46149</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14348-2026</t>
        </is>
      </c>
      <c r="B842" s="1" t="n">
        <v>46100.34112268518</v>
      </c>
      <c r="C842" s="1" t="n">
        <v>46149</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67921-2021</t>
        </is>
      </c>
      <c r="B843" s="1" t="n">
        <v>44525</v>
      </c>
      <c r="C843" s="1" t="n">
        <v>46149</v>
      </c>
      <c r="D843" t="inlineStr">
        <is>
          <t>STOCKHOLMS LÄN</t>
        </is>
      </c>
      <c r="E843" t="inlineStr">
        <is>
          <t>NORRTÄLJE</t>
        </is>
      </c>
      <c r="G843" t="n">
        <v>6.3</v>
      </c>
      <c r="H843" t="n">
        <v>0</v>
      </c>
      <c r="I843" t="n">
        <v>0</v>
      </c>
      <c r="J843" t="n">
        <v>0</v>
      </c>
      <c r="K843" t="n">
        <v>0</v>
      </c>
      <c r="L843" t="n">
        <v>0</v>
      </c>
      <c r="M843" t="n">
        <v>0</v>
      </c>
      <c r="N843" t="n">
        <v>0</v>
      </c>
      <c r="O843" t="n">
        <v>0</v>
      </c>
      <c r="P843" t="n">
        <v>0</v>
      </c>
      <c r="Q843" t="n">
        <v>0</v>
      </c>
      <c r="R843" s="2" t="inlineStr"/>
    </row>
    <row r="844" ht="15" customHeight="1">
      <c r="A844" t="inlineStr">
        <is>
          <t>A 44354-2025</t>
        </is>
      </c>
      <c r="B844" s="1" t="n">
        <v>45916.44655092592</v>
      </c>
      <c r="C844" s="1" t="n">
        <v>46149</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25681-2024</t>
        </is>
      </c>
      <c r="B845" s="1" t="n">
        <v>45463.80486111111</v>
      </c>
      <c r="C845" s="1" t="n">
        <v>46149</v>
      </c>
      <c r="D845" t="inlineStr">
        <is>
          <t>STOCKHOLMS LÄN</t>
        </is>
      </c>
      <c r="E845" t="inlineStr">
        <is>
          <t>NORRTÄLJE</t>
        </is>
      </c>
      <c r="G845" t="n">
        <v>2.7</v>
      </c>
      <c r="H845" t="n">
        <v>0</v>
      </c>
      <c r="I845" t="n">
        <v>0</v>
      </c>
      <c r="J845" t="n">
        <v>0</v>
      </c>
      <c r="K845" t="n">
        <v>0</v>
      </c>
      <c r="L845" t="n">
        <v>0</v>
      </c>
      <c r="M845" t="n">
        <v>0</v>
      </c>
      <c r="N845" t="n">
        <v>0</v>
      </c>
      <c r="O845" t="n">
        <v>0</v>
      </c>
      <c r="P845" t="n">
        <v>0</v>
      </c>
      <c r="Q845" t="n">
        <v>0</v>
      </c>
      <c r="R845" s="2" t="inlineStr"/>
    </row>
    <row r="846" ht="15" customHeight="1">
      <c r="A846" t="inlineStr">
        <is>
          <t>A 35110-2025</t>
        </is>
      </c>
      <c r="B846" s="1" t="n">
        <v>45852.58030092593</v>
      </c>
      <c r="C846" s="1" t="n">
        <v>46149</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35254-2025</t>
        </is>
      </c>
      <c r="B847" s="1" t="n">
        <v>45853</v>
      </c>
      <c r="C847" s="1" t="n">
        <v>46149</v>
      </c>
      <c r="D847" t="inlineStr">
        <is>
          <t>STOCKHOLMS LÄN</t>
        </is>
      </c>
      <c r="E847" t="inlineStr">
        <is>
          <t>NORRTÄLJE</t>
        </is>
      </c>
      <c r="G847" t="n">
        <v>6.5</v>
      </c>
      <c r="H847" t="n">
        <v>0</v>
      </c>
      <c r="I847" t="n">
        <v>0</v>
      </c>
      <c r="J847" t="n">
        <v>0</v>
      </c>
      <c r="K847" t="n">
        <v>0</v>
      </c>
      <c r="L847" t="n">
        <v>0</v>
      </c>
      <c r="M847" t="n">
        <v>0</v>
      </c>
      <c r="N847" t="n">
        <v>0</v>
      </c>
      <c r="O847" t="n">
        <v>0</v>
      </c>
      <c r="P847" t="n">
        <v>0</v>
      </c>
      <c r="Q847" t="n">
        <v>0</v>
      </c>
      <c r="R847" s="2" t="inlineStr"/>
    </row>
    <row r="848" ht="15" customHeight="1">
      <c r="A848" t="inlineStr">
        <is>
          <t>A 58853-2024</t>
        </is>
      </c>
      <c r="B848" s="1" t="n">
        <v>45636.38974537037</v>
      </c>
      <c r="C848" s="1" t="n">
        <v>46149</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35438-2023</t>
        </is>
      </c>
      <c r="B849" s="1" t="n">
        <v>45146</v>
      </c>
      <c r="C849" s="1" t="n">
        <v>46149</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46149</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17345-2026</t>
        </is>
      </c>
      <c r="B851" s="1" t="n">
        <v>46119</v>
      </c>
      <c r="C851" s="1" t="n">
        <v>46149</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26115-2024</t>
        </is>
      </c>
      <c r="B852" s="1" t="n">
        <v>45468.45628472222</v>
      </c>
      <c r="C852" s="1" t="n">
        <v>46149</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35479-2025</t>
        </is>
      </c>
      <c r="B853" s="1" t="n">
        <v>45855.69387731481</v>
      </c>
      <c r="C853" s="1" t="n">
        <v>46149</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35451-2025</t>
        </is>
      </c>
      <c r="B854" s="1" t="n">
        <v>45855.57033564815</v>
      </c>
      <c r="C854" s="1" t="n">
        <v>46149</v>
      </c>
      <c r="D854" t="inlineStr">
        <is>
          <t>STOCKHOLMS LÄN</t>
        </is>
      </c>
      <c r="E854" t="inlineStr">
        <is>
          <t>NORRTÄLJE</t>
        </is>
      </c>
      <c r="F854" t="inlineStr">
        <is>
          <t>Holmen skog AB</t>
        </is>
      </c>
      <c r="G854" t="n">
        <v>7.4</v>
      </c>
      <c r="H854" t="n">
        <v>0</v>
      </c>
      <c r="I854" t="n">
        <v>0</v>
      </c>
      <c r="J854" t="n">
        <v>0</v>
      </c>
      <c r="K854" t="n">
        <v>0</v>
      </c>
      <c r="L854" t="n">
        <v>0</v>
      </c>
      <c r="M854" t="n">
        <v>0</v>
      </c>
      <c r="N854" t="n">
        <v>0</v>
      </c>
      <c r="O854" t="n">
        <v>0</v>
      </c>
      <c r="P854" t="n">
        <v>0</v>
      </c>
      <c r="Q854" t="n">
        <v>0</v>
      </c>
      <c r="R854" s="2" t="inlineStr"/>
    </row>
    <row r="855" ht="15" customHeight="1">
      <c r="A855" t="inlineStr">
        <is>
          <t>A 35478-2025</t>
        </is>
      </c>
      <c r="B855" s="1" t="n">
        <v>45855.68413194444</v>
      </c>
      <c r="C855" s="1" t="n">
        <v>46149</v>
      </c>
      <c r="D855" t="inlineStr">
        <is>
          <t>STOCKHOLMS LÄN</t>
        </is>
      </c>
      <c r="E855" t="inlineStr">
        <is>
          <t>NORRTÄLJE</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17347-2026</t>
        </is>
      </c>
      <c r="B856" s="1" t="n">
        <v>46119</v>
      </c>
      <c r="C856" s="1" t="n">
        <v>46149</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19118-2022</t>
        </is>
      </c>
      <c r="B857" s="1" t="n">
        <v>44691.5652662037</v>
      </c>
      <c r="C857" s="1" t="n">
        <v>46149</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8739-2024</t>
        </is>
      </c>
      <c r="B858" s="1" t="n">
        <v>45356.47784722222</v>
      </c>
      <c r="C858" s="1" t="n">
        <v>46149</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38759-2022</t>
        </is>
      </c>
      <c r="B859" s="1" t="n">
        <v>44816</v>
      </c>
      <c r="C859" s="1" t="n">
        <v>46149</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14937-2026</t>
        </is>
      </c>
      <c r="B860" s="1" t="n">
        <v>46104</v>
      </c>
      <c r="C860" s="1" t="n">
        <v>46149</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32857-2021</t>
        </is>
      </c>
      <c r="B861" s="1" t="n">
        <v>44375</v>
      </c>
      <c r="C861" s="1" t="n">
        <v>46149</v>
      </c>
      <c r="D861" t="inlineStr">
        <is>
          <t>STOCKHOLMS LÄN</t>
        </is>
      </c>
      <c r="E861" t="inlineStr">
        <is>
          <t>NORRTÄLJE</t>
        </is>
      </c>
      <c r="G861" t="n">
        <v>2.9</v>
      </c>
      <c r="H861" t="n">
        <v>0</v>
      </c>
      <c r="I861" t="n">
        <v>0</v>
      </c>
      <c r="J861" t="n">
        <v>0</v>
      </c>
      <c r="K861" t="n">
        <v>0</v>
      </c>
      <c r="L861" t="n">
        <v>0</v>
      </c>
      <c r="M861" t="n">
        <v>0</v>
      </c>
      <c r="N861" t="n">
        <v>0</v>
      </c>
      <c r="O861" t="n">
        <v>0</v>
      </c>
      <c r="P861" t="n">
        <v>0</v>
      </c>
      <c r="Q861" t="n">
        <v>0</v>
      </c>
      <c r="R861" s="2" t="inlineStr"/>
    </row>
    <row r="862" ht="15" customHeight="1">
      <c r="A862" t="inlineStr">
        <is>
          <t>A 29714-2023</t>
        </is>
      </c>
      <c r="B862" s="1" t="n">
        <v>45107.42538194444</v>
      </c>
      <c r="C862" s="1" t="n">
        <v>46149</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23271-2023</t>
        </is>
      </c>
      <c r="B863" s="1" t="n">
        <v>45075.91362268518</v>
      </c>
      <c r="C863" s="1" t="n">
        <v>46149</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23273-2023</t>
        </is>
      </c>
      <c r="B864" s="1" t="n">
        <v>45075.91971064815</v>
      </c>
      <c r="C864" s="1" t="n">
        <v>46149</v>
      </c>
      <c r="D864" t="inlineStr">
        <is>
          <t>STOCKHOLMS LÄN</t>
        </is>
      </c>
      <c r="E864" t="inlineStr">
        <is>
          <t>NORRTÄLJE</t>
        </is>
      </c>
      <c r="G864" t="n">
        <v>7.5</v>
      </c>
      <c r="H864" t="n">
        <v>0</v>
      </c>
      <c r="I864" t="n">
        <v>0</v>
      </c>
      <c r="J864" t="n">
        <v>0</v>
      </c>
      <c r="K864" t="n">
        <v>0</v>
      </c>
      <c r="L864" t="n">
        <v>0</v>
      </c>
      <c r="M864" t="n">
        <v>0</v>
      </c>
      <c r="N864" t="n">
        <v>0</v>
      </c>
      <c r="O864" t="n">
        <v>0</v>
      </c>
      <c r="P864" t="n">
        <v>0</v>
      </c>
      <c r="Q864" t="n">
        <v>0</v>
      </c>
      <c r="R864" s="2" t="inlineStr"/>
    </row>
    <row r="865" ht="15" customHeight="1">
      <c r="A865" t="inlineStr">
        <is>
          <t>A 34444-2024</t>
        </is>
      </c>
      <c r="B865" s="1" t="n">
        <v>45525</v>
      </c>
      <c r="C865" s="1" t="n">
        <v>46149</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20698-2025</t>
        </is>
      </c>
      <c r="B866" s="1" t="n">
        <v>45776.47122685185</v>
      </c>
      <c r="C866" s="1" t="n">
        <v>46149</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44306-2025</t>
        </is>
      </c>
      <c r="B867" s="1" t="n">
        <v>45916.37736111111</v>
      </c>
      <c r="C867" s="1" t="n">
        <v>46149</v>
      </c>
      <c r="D867" t="inlineStr">
        <is>
          <t>STOCKHOLMS LÄN</t>
        </is>
      </c>
      <c r="E867" t="inlineStr">
        <is>
          <t>NORRTÄLJE</t>
        </is>
      </c>
      <c r="G867" t="n">
        <v>2.8</v>
      </c>
      <c r="H867" t="n">
        <v>0</v>
      </c>
      <c r="I867" t="n">
        <v>0</v>
      </c>
      <c r="J867" t="n">
        <v>0</v>
      </c>
      <c r="K867" t="n">
        <v>0</v>
      </c>
      <c r="L867" t="n">
        <v>0</v>
      </c>
      <c r="M867" t="n">
        <v>0</v>
      </c>
      <c r="N867" t="n">
        <v>0</v>
      </c>
      <c r="O867" t="n">
        <v>0</v>
      </c>
      <c r="P867" t="n">
        <v>0</v>
      </c>
      <c r="Q867" t="n">
        <v>0</v>
      </c>
      <c r="R867" s="2" t="inlineStr"/>
    </row>
    <row r="868" ht="15" customHeight="1">
      <c r="A868" t="inlineStr">
        <is>
          <t>A 44343-2025</t>
        </is>
      </c>
      <c r="B868" s="1" t="n">
        <v>45916.43378472222</v>
      </c>
      <c r="C868" s="1" t="n">
        <v>46149</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44349-2025</t>
        </is>
      </c>
      <c r="B869" s="1" t="n">
        <v>45916.43929398148</v>
      </c>
      <c r="C869" s="1" t="n">
        <v>46149</v>
      </c>
      <c r="D869" t="inlineStr">
        <is>
          <t>STOCKHOLMS LÄN</t>
        </is>
      </c>
      <c r="E869" t="inlineStr">
        <is>
          <t>NORRTÄLJE</t>
        </is>
      </c>
      <c r="G869" t="n">
        <v>3.5</v>
      </c>
      <c r="H869" t="n">
        <v>0</v>
      </c>
      <c r="I869" t="n">
        <v>0</v>
      </c>
      <c r="J869" t="n">
        <v>0</v>
      </c>
      <c r="K869" t="n">
        <v>0</v>
      </c>
      <c r="L869" t="n">
        <v>0</v>
      </c>
      <c r="M869" t="n">
        <v>0</v>
      </c>
      <c r="N869" t="n">
        <v>0</v>
      </c>
      <c r="O869" t="n">
        <v>0</v>
      </c>
      <c r="P869" t="n">
        <v>0</v>
      </c>
      <c r="Q869" t="n">
        <v>0</v>
      </c>
      <c r="R869" s="2" t="inlineStr"/>
    </row>
    <row r="870" ht="15" customHeight="1">
      <c r="A870" t="inlineStr">
        <is>
          <t>A 44311-2025</t>
        </is>
      </c>
      <c r="B870" s="1" t="n">
        <v>45916.38394675926</v>
      </c>
      <c r="C870" s="1" t="n">
        <v>46149</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44333-2025</t>
        </is>
      </c>
      <c r="B871" s="1" t="n">
        <v>45916.42293981482</v>
      </c>
      <c r="C871" s="1" t="n">
        <v>46149</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22232-2024</t>
        </is>
      </c>
      <c r="B872" s="1" t="n">
        <v>45446.4287962963</v>
      </c>
      <c r="C872" s="1" t="n">
        <v>46149</v>
      </c>
      <c r="D872" t="inlineStr">
        <is>
          <t>STOCKHOLMS LÄN</t>
        </is>
      </c>
      <c r="E872" t="inlineStr">
        <is>
          <t>NORRTÄLJE</t>
        </is>
      </c>
      <c r="G872" t="n">
        <v>12.8</v>
      </c>
      <c r="H872" t="n">
        <v>0</v>
      </c>
      <c r="I872" t="n">
        <v>0</v>
      </c>
      <c r="J872" t="n">
        <v>0</v>
      </c>
      <c r="K872" t="n">
        <v>0</v>
      </c>
      <c r="L872" t="n">
        <v>0</v>
      </c>
      <c r="M872" t="n">
        <v>0</v>
      </c>
      <c r="N872" t="n">
        <v>0</v>
      </c>
      <c r="O872" t="n">
        <v>0</v>
      </c>
      <c r="P872" t="n">
        <v>0</v>
      </c>
      <c r="Q872" t="n">
        <v>0</v>
      </c>
      <c r="R872" s="2" t="inlineStr"/>
    </row>
    <row r="873" ht="15" customHeight="1">
      <c r="A873" t="inlineStr">
        <is>
          <t>A 36396-2025</t>
        </is>
      </c>
      <c r="B873" s="1" t="n">
        <v>45868.62267361111</v>
      </c>
      <c r="C873" s="1" t="n">
        <v>46149</v>
      </c>
      <c r="D873" t="inlineStr">
        <is>
          <t>STOCKHOLMS LÄN</t>
        </is>
      </c>
      <c r="E873" t="inlineStr">
        <is>
          <t>NORRTÄLJE</t>
        </is>
      </c>
      <c r="G873" t="n">
        <v>4.1</v>
      </c>
      <c r="H873" t="n">
        <v>0</v>
      </c>
      <c r="I873" t="n">
        <v>0</v>
      </c>
      <c r="J873" t="n">
        <v>0</v>
      </c>
      <c r="K873" t="n">
        <v>0</v>
      </c>
      <c r="L873" t="n">
        <v>0</v>
      </c>
      <c r="M873" t="n">
        <v>0</v>
      </c>
      <c r="N873" t="n">
        <v>0</v>
      </c>
      <c r="O873" t="n">
        <v>0</v>
      </c>
      <c r="P873" t="n">
        <v>0</v>
      </c>
      <c r="Q873" t="n">
        <v>0</v>
      </c>
      <c r="R873" s="2" t="inlineStr"/>
    </row>
    <row r="874" ht="15" customHeight="1">
      <c r="A874" t="inlineStr">
        <is>
          <t>A 7603-2025</t>
        </is>
      </c>
      <c r="B874" s="1" t="n">
        <v>45705.66126157407</v>
      </c>
      <c r="C874" s="1" t="n">
        <v>46149</v>
      </c>
      <c r="D874" t="inlineStr">
        <is>
          <t>STOCKHOLMS LÄN</t>
        </is>
      </c>
      <c r="E874" t="inlineStr">
        <is>
          <t>NORRTÄLJE</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30802-2022</t>
        </is>
      </c>
      <c r="B875" s="1" t="n">
        <v>44764</v>
      </c>
      <c r="C875" s="1" t="n">
        <v>46149</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55369-2023</t>
        </is>
      </c>
      <c r="B876" s="1" t="n">
        <v>45238</v>
      </c>
      <c r="C876" s="1" t="n">
        <v>46149</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61113-2023</t>
        </is>
      </c>
      <c r="B877" s="1" t="n">
        <v>45261</v>
      </c>
      <c r="C877" s="1" t="n">
        <v>46149</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3283-2025</t>
        </is>
      </c>
      <c r="B878" s="1" t="n">
        <v>45679</v>
      </c>
      <c r="C878" s="1" t="n">
        <v>46149</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44937-2025</t>
        </is>
      </c>
      <c r="B879" s="1" t="n">
        <v>45918</v>
      </c>
      <c r="C879" s="1" t="n">
        <v>46149</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34295-2024</t>
        </is>
      </c>
      <c r="B880" s="1" t="n">
        <v>45524</v>
      </c>
      <c r="C880" s="1" t="n">
        <v>46149</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58311-2023</t>
        </is>
      </c>
      <c r="B881" s="1" t="n">
        <v>45245</v>
      </c>
      <c r="C881" s="1" t="n">
        <v>46149</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23692-2024</t>
        </is>
      </c>
      <c r="B882" s="1" t="n">
        <v>45454.65774305556</v>
      </c>
      <c r="C882" s="1" t="n">
        <v>46149</v>
      </c>
      <c r="D882" t="inlineStr">
        <is>
          <t>STOCKHOLMS LÄN</t>
        </is>
      </c>
      <c r="E882" t="inlineStr">
        <is>
          <t>NORRTÄLJE</t>
        </is>
      </c>
      <c r="G882" t="n">
        <v>3.7</v>
      </c>
      <c r="H882" t="n">
        <v>0</v>
      </c>
      <c r="I882" t="n">
        <v>0</v>
      </c>
      <c r="J882" t="n">
        <v>0</v>
      </c>
      <c r="K882" t="n">
        <v>0</v>
      </c>
      <c r="L882" t="n">
        <v>0</v>
      </c>
      <c r="M882" t="n">
        <v>0</v>
      </c>
      <c r="N882" t="n">
        <v>0</v>
      </c>
      <c r="O882" t="n">
        <v>0</v>
      </c>
      <c r="P882" t="n">
        <v>0</v>
      </c>
      <c r="Q882" t="n">
        <v>0</v>
      </c>
      <c r="R882" s="2" t="inlineStr"/>
    </row>
    <row r="883" ht="15" customHeight="1">
      <c r="A883" t="inlineStr">
        <is>
          <t>A 37261-2025</t>
        </is>
      </c>
      <c r="B883" s="1" t="n">
        <v>45876.45253472222</v>
      </c>
      <c r="C883" s="1" t="n">
        <v>46149</v>
      </c>
      <c r="D883" t="inlineStr">
        <is>
          <t>STOCKHOLMS LÄN</t>
        </is>
      </c>
      <c r="E883" t="inlineStr">
        <is>
          <t>NORRTÄLJE</t>
        </is>
      </c>
      <c r="F883" t="inlineStr">
        <is>
          <t>Kommuner</t>
        </is>
      </c>
      <c r="G883" t="n">
        <v>2.2</v>
      </c>
      <c r="H883" t="n">
        <v>0</v>
      </c>
      <c r="I883" t="n">
        <v>0</v>
      </c>
      <c r="J883" t="n">
        <v>0</v>
      </c>
      <c r="K883" t="n">
        <v>0</v>
      </c>
      <c r="L883" t="n">
        <v>0</v>
      </c>
      <c r="M883" t="n">
        <v>0</v>
      </c>
      <c r="N883" t="n">
        <v>0</v>
      </c>
      <c r="O883" t="n">
        <v>0</v>
      </c>
      <c r="P883" t="n">
        <v>0</v>
      </c>
      <c r="Q883" t="n">
        <v>0</v>
      </c>
      <c r="R883" s="2" t="inlineStr"/>
    </row>
    <row r="884" ht="15" customHeight="1">
      <c r="A884" t="inlineStr">
        <is>
          <t>A 22359-2025</t>
        </is>
      </c>
      <c r="B884" s="1" t="n">
        <v>45786</v>
      </c>
      <c r="C884" s="1" t="n">
        <v>46149</v>
      </c>
      <c r="D884" t="inlineStr">
        <is>
          <t>STOCKHOLMS LÄN</t>
        </is>
      </c>
      <c r="E884" t="inlineStr">
        <is>
          <t>NORRTÄLJE</t>
        </is>
      </c>
      <c r="G884" t="n">
        <v>5</v>
      </c>
      <c r="H884" t="n">
        <v>0</v>
      </c>
      <c r="I884" t="n">
        <v>0</v>
      </c>
      <c r="J884" t="n">
        <v>0</v>
      </c>
      <c r="K884" t="n">
        <v>0</v>
      </c>
      <c r="L884" t="n">
        <v>0</v>
      </c>
      <c r="M884" t="n">
        <v>0</v>
      </c>
      <c r="N884" t="n">
        <v>0</v>
      </c>
      <c r="O884" t="n">
        <v>0</v>
      </c>
      <c r="P884" t="n">
        <v>0</v>
      </c>
      <c r="Q884" t="n">
        <v>0</v>
      </c>
      <c r="R884" s="2" t="inlineStr"/>
    </row>
    <row r="885" ht="15" customHeight="1">
      <c r="A885" t="inlineStr">
        <is>
          <t>A 54273-2021</t>
        </is>
      </c>
      <c r="B885" s="1" t="n">
        <v>44470.72987268519</v>
      </c>
      <c r="C885" s="1" t="n">
        <v>46149</v>
      </c>
      <c r="D885" t="inlineStr">
        <is>
          <t>STOCKHOLMS LÄN</t>
        </is>
      </c>
      <c r="E885" t="inlineStr">
        <is>
          <t>NORRTÄLJE</t>
        </is>
      </c>
      <c r="G885" t="n">
        <v>2.7</v>
      </c>
      <c r="H885" t="n">
        <v>0</v>
      </c>
      <c r="I885" t="n">
        <v>0</v>
      </c>
      <c r="J885" t="n">
        <v>0</v>
      </c>
      <c r="K885" t="n">
        <v>0</v>
      </c>
      <c r="L885" t="n">
        <v>0</v>
      </c>
      <c r="M885" t="n">
        <v>0</v>
      </c>
      <c r="N885" t="n">
        <v>0</v>
      </c>
      <c r="O885" t="n">
        <v>0</v>
      </c>
      <c r="P885" t="n">
        <v>0</v>
      </c>
      <c r="Q885" t="n">
        <v>0</v>
      </c>
      <c r="R885" s="2" t="inlineStr"/>
    </row>
    <row r="886" ht="15" customHeight="1">
      <c r="A886" t="inlineStr">
        <is>
          <t>A 37628-2025</t>
        </is>
      </c>
      <c r="B886" s="1" t="n">
        <v>45880.46189814815</v>
      </c>
      <c r="C886" s="1" t="n">
        <v>46149</v>
      </c>
      <c r="D886" t="inlineStr">
        <is>
          <t>STOCKHOLMS LÄN</t>
        </is>
      </c>
      <c r="E886" t="inlineStr">
        <is>
          <t>NORRTÄLJE</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29369-2024</t>
        </is>
      </c>
      <c r="B887" s="1" t="n">
        <v>45483.57244212963</v>
      </c>
      <c r="C887" s="1" t="n">
        <v>46149</v>
      </c>
      <c r="D887" t="inlineStr">
        <is>
          <t>STOCKHOLMS LÄN</t>
        </is>
      </c>
      <c r="E887" t="inlineStr">
        <is>
          <t>NORRTÄLJE</t>
        </is>
      </c>
      <c r="G887" t="n">
        <v>15.9</v>
      </c>
      <c r="H887" t="n">
        <v>0</v>
      </c>
      <c r="I887" t="n">
        <v>0</v>
      </c>
      <c r="J887" t="n">
        <v>0</v>
      </c>
      <c r="K887" t="n">
        <v>0</v>
      </c>
      <c r="L887" t="n">
        <v>0</v>
      </c>
      <c r="M887" t="n">
        <v>0</v>
      </c>
      <c r="N887" t="n">
        <v>0</v>
      </c>
      <c r="O887" t="n">
        <v>0</v>
      </c>
      <c r="P887" t="n">
        <v>0</v>
      </c>
      <c r="Q887" t="n">
        <v>0</v>
      </c>
      <c r="R887" s="2" t="inlineStr"/>
    </row>
    <row r="888" ht="15" customHeight="1">
      <c r="A888" t="inlineStr">
        <is>
          <t>A 37632-2025</t>
        </is>
      </c>
      <c r="B888" s="1" t="n">
        <v>45880.46524305556</v>
      </c>
      <c r="C888" s="1" t="n">
        <v>46149</v>
      </c>
      <c r="D888" t="inlineStr">
        <is>
          <t>STOCKHOLMS LÄN</t>
        </is>
      </c>
      <c r="E888" t="inlineStr">
        <is>
          <t>NORRTÄLJE</t>
        </is>
      </c>
      <c r="F888" t="inlineStr">
        <is>
          <t>Sveaskog</t>
        </is>
      </c>
      <c r="G888" t="n">
        <v>6.4</v>
      </c>
      <c r="H888" t="n">
        <v>0</v>
      </c>
      <c r="I888" t="n">
        <v>0</v>
      </c>
      <c r="J888" t="n">
        <v>0</v>
      </c>
      <c r="K888" t="n">
        <v>0</v>
      </c>
      <c r="L888" t="n">
        <v>0</v>
      </c>
      <c r="M888" t="n">
        <v>0</v>
      </c>
      <c r="N888" t="n">
        <v>0</v>
      </c>
      <c r="O888" t="n">
        <v>0</v>
      </c>
      <c r="P888" t="n">
        <v>0</v>
      </c>
      <c r="Q888" t="n">
        <v>0</v>
      </c>
      <c r="R888" s="2" t="inlineStr"/>
    </row>
    <row r="889" ht="15" customHeight="1">
      <c r="A889" t="inlineStr">
        <is>
          <t>A 29841-2024</t>
        </is>
      </c>
      <c r="B889" s="1" t="n">
        <v>45485.60261574074</v>
      </c>
      <c r="C889" s="1" t="n">
        <v>46149</v>
      </c>
      <c r="D889" t="inlineStr">
        <is>
          <t>STOCKHOLMS LÄN</t>
        </is>
      </c>
      <c r="E889" t="inlineStr">
        <is>
          <t>NORRTÄLJE</t>
        </is>
      </c>
      <c r="G889" t="n">
        <v>15.9</v>
      </c>
      <c r="H889" t="n">
        <v>0</v>
      </c>
      <c r="I889" t="n">
        <v>0</v>
      </c>
      <c r="J889" t="n">
        <v>0</v>
      </c>
      <c r="K889" t="n">
        <v>0</v>
      </c>
      <c r="L889" t="n">
        <v>0</v>
      </c>
      <c r="M889" t="n">
        <v>0</v>
      </c>
      <c r="N889" t="n">
        <v>0</v>
      </c>
      <c r="O889" t="n">
        <v>0</v>
      </c>
      <c r="P889" t="n">
        <v>0</v>
      </c>
      <c r="Q889" t="n">
        <v>0</v>
      </c>
      <c r="R889" s="2" t="inlineStr"/>
    </row>
    <row r="890" ht="15" customHeight="1">
      <c r="A890" t="inlineStr">
        <is>
          <t>A 20692-2025</t>
        </is>
      </c>
      <c r="B890" s="1" t="n">
        <v>45776.46369212963</v>
      </c>
      <c r="C890" s="1" t="n">
        <v>46149</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37630-2025</t>
        </is>
      </c>
      <c r="B891" s="1" t="n">
        <v>45880.46372685185</v>
      </c>
      <c r="C891" s="1" t="n">
        <v>46149</v>
      </c>
      <c r="D891" t="inlineStr">
        <is>
          <t>STOCKHOLMS LÄN</t>
        </is>
      </c>
      <c r="E891" t="inlineStr">
        <is>
          <t>NORRTÄLJE</t>
        </is>
      </c>
      <c r="F891" t="inlineStr">
        <is>
          <t>Sveaskog</t>
        </is>
      </c>
      <c r="G891" t="n">
        <v>12.9</v>
      </c>
      <c r="H891" t="n">
        <v>0</v>
      </c>
      <c r="I891" t="n">
        <v>0</v>
      </c>
      <c r="J891" t="n">
        <v>0</v>
      </c>
      <c r="K891" t="n">
        <v>0</v>
      </c>
      <c r="L891" t="n">
        <v>0</v>
      </c>
      <c r="M891" t="n">
        <v>0</v>
      </c>
      <c r="N891" t="n">
        <v>0</v>
      </c>
      <c r="O891" t="n">
        <v>0</v>
      </c>
      <c r="P891" t="n">
        <v>0</v>
      </c>
      <c r="Q891" t="n">
        <v>0</v>
      </c>
      <c r="R891" s="2" t="inlineStr"/>
    </row>
    <row r="892" ht="15" customHeight="1">
      <c r="A892" t="inlineStr">
        <is>
          <t>A 45697-2025</t>
        </is>
      </c>
      <c r="B892" s="1" t="n">
        <v>45923.39877314815</v>
      </c>
      <c r="C892" s="1" t="n">
        <v>46149</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7806-2025</t>
        </is>
      </c>
      <c r="B893" s="1" t="n">
        <v>45706.61178240741</v>
      </c>
      <c r="C893" s="1" t="n">
        <v>46149</v>
      </c>
      <c r="D893" t="inlineStr">
        <is>
          <t>STOCKHOLMS LÄN</t>
        </is>
      </c>
      <c r="E893" t="inlineStr">
        <is>
          <t>NORRTÄLJE</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46071-2024</t>
        </is>
      </c>
      <c r="B894" s="1" t="n">
        <v>45581</v>
      </c>
      <c r="C894" s="1" t="n">
        <v>46149</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53792-2023</t>
        </is>
      </c>
      <c r="B895" s="1" t="n">
        <v>45231.34144675926</v>
      </c>
      <c r="C895" s="1" t="n">
        <v>46149</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21329-2022</t>
        </is>
      </c>
      <c r="B896" s="1" t="n">
        <v>44705.60626157407</v>
      </c>
      <c r="C896" s="1" t="n">
        <v>46149</v>
      </c>
      <c r="D896" t="inlineStr">
        <is>
          <t>STOCKHOLMS LÄN</t>
        </is>
      </c>
      <c r="E896" t="inlineStr">
        <is>
          <t>NORRTÄLJE</t>
        </is>
      </c>
      <c r="G896" t="n">
        <v>4.1</v>
      </c>
      <c r="H896" t="n">
        <v>0</v>
      </c>
      <c r="I896" t="n">
        <v>0</v>
      </c>
      <c r="J896" t="n">
        <v>0</v>
      </c>
      <c r="K896" t="n">
        <v>0</v>
      </c>
      <c r="L896" t="n">
        <v>0</v>
      </c>
      <c r="M896" t="n">
        <v>0</v>
      </c>
      <c r="N896" t="n">
        <v>0</v>
      </c>
      <c r="O896" t="n">
        <v>0</v>
      </c>
      <c r="P896" t="n">
        <v>0</v>
      </c>
      <c r="Q896" t="n">
        <v>0</v>
      </c>
      <c r="R896" s="2" t="inlineStr"/>
    </row>
    <row r="897" ht="15" customHeight="1">
      <c r="A897" t="inlineStr">
        <is>
          <t>A 46415-2025</t>
        </is>
      </c>
      <c r="B897" s="1" t="n">
        <v>45925.58636574074</v>
      </c>
      <c r="C897" s="1" t="n">
        <v>46149</v>
      </c>
      <c r="D897" t="inlineStr">
        <is>
          <t>STOCKHOLMS LÄN</t>
        </is>
      </c>
      <c r="E897" t="inlineStr">
        <is>
          <t>NORRTÄLJE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50569-2022</t>
        </is>
      </c>
      <c r="B898" s="1" t="n">
        <v>44866.63775462963</v>
      </c>
      <c r="C898" s="1" t="n">
        <v>46149</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24501-2023</t>
        </is>
      </c>
      <c r="B899" s="1" t="n">
        <v>45082</v>
      </c>
      <c r="C899" s="1" t="n">
        <v>46149</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24520-2023</t>
        </is>
      </c>
      <c r="B900" s="1" t="n">
        <v>45082.68922453704</v>
      </c>
      <c r="C900" s="1" t="n">
        <v>46149</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60654-2023</t>
        </is>
      </c>
      <c r="B901" s="1" t="n">
        <v>45260.43225694444</v>
      </c>
      <c r="C901" s="1" t="n">
        <v>46149</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60656-2023</t>
        </is>
      </c>
      <c r="B902" s="1" t="n">
        <v>45260.4333449074</v>
      </c>
      <c r="C902" s="1" t="n">
        <v>46149</v>
      </c>
      <c r="D902" t="inlineStr">
        <is>
          <t>STOCKHOLMS LÄN</t>
        </is>
      </c>
      <c r="E902" t="inlineStr">
        <is>
          <t>NORRTÄLJE</t>
        </is>
      </c>
      <c r="G902" t="n">
        <v>4.8</v>
      </c>
      <c r="H902" t="n">
        <v>0</v>
      </c>
      <c r="I902" t="n">
        <v>0</v>
      </c>
      <c r="J902" t="n">
        <v>0</v>
      </c>
      <c r="K902" t="n">
        <v>0</v>
      </c>
      <c r="L902" t="n">
        <v>0</v>
      </c>
      <c r="M902" t="n">
        <v>0</v>
      </c>
      <c r="N902" t="n">
        <v>0</v>
      </c>
      <c r="O902" t="n">
        <v>0</v>
      </c>
      <c r="P902" t="n">
        <v>0</v>
      </c>
      <c r="Q902" t="n">
        <v>0</v>
      </c>
      <c r="R902" s="2" t="inlineStr"/>
    </row>
    <row r="903" ht="15" customHeight="1">
      <c r="A903" t="inlineStr">
        <is>
          <t>A 13137-2024</t>
        </is>
      </c>
      <c r="B903" s="1" t="n">
        <v>45386.34175925926</v>
      </c>
      <c r="C903" s="1" t="n">
        <v>46149</v>
      </c>
      <c r="D903" t="inlineStr">
        <is>
          <t>STOCKHOLMS LÄN</t>
        </is>
      </c>
      <c r="E903" t="inlineStr">
        <is>
          <t>NORRTÄLJE</t>
        </is>
      </c>
      <c r="G903" t="n">
        <v>5</v>
      </c>
      <c r="H903" t="n">
        <v>0</v>
      </c>
      <c r="I903" t="n">
        <v>0</v>
      </c>
      <c r="J903" t="n">
        <v>0</v>
      </c>
      <c r="K903" t="n">
        <v>0</v>
      </c>
      <c r="L903" t="n">
        <v>0</v>
      </c>
      <c r="M903" t="n">
        <v>0</v>
      </c>
      <c r="N903" t="n">
        <v>0</v>
      </c>
      <c r="O903" t="n">
        <v>0</v>
      </c>
      <c r="P903" t="n">
        <v>0</v>
      </c>
      <c r="Q903" t="n">
        <v>0</v>
      </c>
      <c r="R903" s="2" t="inlineStr"/>
    </row>
    <row r="904" ht="15" customHeight="1">
      <c r="A904" t="inlineStr">
        <is>
          <t>A 54496-2024</t>
        </is>
      </c>
      <c r="B904" s="1" t="n">
        <v>45617.57439814815</v>
      </c>
      <c r="C904" s="1" t="n">
        <v>46149</v>
      </c>
      <c r="D904" t="inlineStr">
        <is>
          <t>STOCKHOLMS LÄN</t>
        </is>
      </c>
      <c r="E904" t="inlineStr">
        <is>
          <t>NORRTÄLJE</t>
        </is>
      </c>
      <c r="G904" t="n">
        <v>2.2</v>
      </c>
      <c r="H904" t="n">
        <v>0</v>
      </c>
      <c r="I904" t="n">
        <v>0</v>
      </c>
      <c r="J904" t="n">
        <v>0</v>
      </c>
      <c r="K904" t="n">
        <v>0</v>
      </c>
      <c r="L904" t="n">
        <v>0</v>
      </c>
      <c r="M904" t="n">
        <v>0</v>
      </c>
      <c r="N904" t="n">
        <v>0</v>
      </c>
      <c r="O904" t="n">
        <v>0</v>
      </c>
      <c r="P904" t="n">
        <v>0</v>
      </c>
      <c r="Q904" t="n">
        <v>0</v>
      </c>
      <c r="R904" s="2" t="inlineStr"/>
    </row>
    <row r="905" ht="15" customHeight="1">
      <c r="A905" t="inlineStr">
        <is>
          <t>A 24350-2025</t>
        </is>
      </c>
      <c r="B905" s="1" t="n">
        <v>45797.58350694444</v>
      </c>
      <c r="C905" s="1" t="n">
        <v>46149</v>
      </c>
      <c r="D905" t="inlineStr">
        <is>
          <t>STOCKHOLMS LÄN</t>
        </is>
      </c>
      <c r="E905" t="inlineStr">
        <is>
          <t>NORRTÄLJE</t>
        </is>
      </c>
      <c r="G905" t="n">
        <v>4.5</v>
      </c>
      <c r="H905" t="n">
        <v>0</v>
      </c>
      <c r="I905" t="n">
        <v>0</v>
      </c>
      <c r="J905" t="n">
        <v>0</v>
      </c>
      <c r="K905" t="n">
        <v>0</v>
      </c>
      <c r="L905" t="n">
        <v>0</v>
      </c>
      <c r="M905" t="n">
        <v>0</v>
      </c>
      <c r="N905" t="n">
        <v>0</v>
      </c>
      <c r="O905" t="n">
        <v>0</v>
      </c>
      <c r="P905" t="n">
        <v>0</v>
      </c>
      <c r="Q905" t="n">
        <v>0</v>
      </c>
      <c r="R905" s="2" t="inlineStr"/>
    </row>
    <row r="906" ht="15" customHeight="1">
      <c r="A906" t="inlineStr">
        <is>
          <t>A 26703-2025</t>
        </is>
      </c>
      <c r="B906" s="1" t="n">
        <v>45810.45263888889</v>
      </c>
      <c r="C906" s="1" t="n">
        <v>46149</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21386-2023</t>
        </is>
      </c>
      <c r="B907" s="1" t="n">
        <v>45063.35880787037</v>
      </c>
      <c r="C907" s="1" t="n">
        <v>46149</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10642-2025</t>
        </is>
      </c>
      <c r="B908" s="1" t="n">
        <v>45721.65858796296</v>
      </c>
      <c r="C908" s="1" t="n">
        <v>46149</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38153-2025</t>
        </is>
      </c>
      <c r="B909" s="1" t="n">
        <v>45882.59722222222</v>
      </c>
      <c r="C909" s="1" t="n">
        <v>46149</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20144-2023</t>
        </is>
      </c>
      <c r="B910" s="1" t="n">
        <v>45055.43509259259</v>
      </c>
      <c r="C910" s="1" t="n">
        <v>46149</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53312-2024</t>
        </is>
      </c>
      <c r="B911" s="1" t="n">
        <v>45614.39627314815</v>
      </c>
      <c r="C911" s="1" t="n">
        <v>46149</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46900-2025</t>
        </is>
      </c>
      <c r="B912" s="1" t="n">
        <v>45929.38712962963</v>
      </c>
      <c r="C912" s="1" t="n">
        <v>46149</v>
      </c>
      <c r="D912" t="inlineStr">
        <is>
          <t>STOCKHOLMS LÄN</t>
        </is>
      </c>
      <c r="E912" t="inlineStr">
        <is>
          <t>NORRTÄLJE</t>
        </is>
      </c>
      <c r="F912" t="inlineStr">
        <is>
          <t>Holmen skog AB</t>
        </is>
      </c>
      <c r="G912" t="n">
        <v>6.2</v>
      </c>
      <c r="H912" t="n">
        <v>0</v>
      </c>
      <c r="I912" t="n">
        <v>0</v>
      </c>
      <c r="J912" t="n">
        <v>0</v>
      </c>
      <c r="K912" t="n">
        <v>0</v>
      </c>
      <c r="L912" t="n">
        <v>0</v>
      </c>
      <c r="M912" t="n">
        <v>0</v>
      </c>
      <c r="N912" t="n">
        <v>0</v>
      </c>
      <c r="O912" t="n">
        <v>0</v>
      </c>
      <c r="P912" t="n">
        <v>0</v>
      </c>
      <c r="Q912" t="n">
        <v>0</v>
      </c>
      <c r="R912" s="2" t="inlineStr"/>
    </row>
    <row r="913" ht="15" customHeight="1">
      <c r="A913" t="inlineStr">
        <is>
          <t>A 39202-2024</t>
        </is>
      </c>
      <c r="B913" s="1" t="n">
        <v>45548.72306712963</v>
      </c>
      <c r="C913" s="1" t="n">
        <v>46149</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22816-2021</t>
        </is>
      </c>
      <c r="B914" s="1" t="n">
        <v>44325</v>
      </c>
      <c r="C914" s="1" t="n">
        <v>46149</v>
      </c>
      <c r="D914" t="inlineStr">
        <is>
          <t>STOCKHOLMS LÄN</t>
        </is>
      </c>
      <c r="E914" t="inlineStr">
        <is>
          <t>NORRTÄLJE</t>
        </is>
      </c>
      <c r="G914" t="n">
        <v>4.5</v>
      </c>
      <c r="H914" t="n">
        <v>0</v>
      </c>
      <c r="I914" t="n">
        <v>0</v>
      </c>
      <c r="J914" t="n">
        <v>0</v>
      </c>
      <c r="K914" t="n">
        <v>0</v>
      </c>
      <c r="L914" t="n">
        <v>0</v>
      </c>
      <c r="M914" t="n">
        <v>0</v>
      </c>
      <c r="N914" t="n">
        <v>0</v>
      </c>
      <c r="O914" t="n">
        <v>0</v>
      </c>
      <c r="P914" t="n">
        <v>0</v>
      </c>
      <c r="Q914" t="n">
        <v>0</v>
      </c>
      <c r="R914" s="2" t="inlineStr"/>
    </row>
    <row r="915" ht="15" customHeight="1">
      <c r="A915" t="inlineStr">
        <is>
          <t>A 22756-2022</t>
        </is>
      </c>
      <c r="B915" s="1" t="n">
        <v>44714.92253472222</v>
      </c>
      <c r="C915" s="1" t="n">
        <v>46149</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4581-2025</t>
        </is>
      </c>
      <c r="B916" s="1" t="n">
        <v>45687</v>
      </c>
      <c r="C916" s="1" t="n">
        <v>46149</v>
      </c>
      <c r="D916" t="inlineStr">
        <is>
          <t>STOCKHOLMS LÄN</t>
        </is>
      </c>
      <c r="E916" t="inlineStr">
        <is>
          <t>NORRTÄLJE</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35256-2025</t>
        </is>
      </c>
      <c r="B917" s="1" t="n">
        <v>45853</v>
      </c>
      <c r="C917" s="1" t="n">
        <v>46149</v>
      </c>
      <c r="D917" t="inlineStr">
        <is>
          <t>STOCKHOLMS LÄN</t>
        </is>
      </c>
      <c r="E917" t="inlineStr">
        <is>
          <t>NORRTÄLJE</t>
        </is>
      </c>
      <c r="G917" t="n">
        <v>6.4</v>
      </c>
      <c r="H917" t="n">
        <v>0</v>
      </c>
      <c r="I917" t="n">
        <v>0</v>
      </c>
      <c r="J917" t="n">
        <v>0</v>
      </c>
      <c r="K917" t="n">
        <v>0</v>
      </c>
      <c r="L917" t="n">
        <v>0</v>
      </c>
      <c r="M917" t="n">
        <v>0</v>
      </c>
      <c r="N917" t="n">
        <v>0</v>
      </c>
      <c r="O917" t="n">
        <v>0</v>
      </c>
      <c r="P917" t="n">
        <v>0</v>
      </c>
      <c r="Q917" t="n">
        <v>0</v>
      </c>
      <c r="R917" s="2" t="inlineStr"/>
    </row>
    <row r="918" ht="15" customHeight="1">
      <c r="A918" t="inlineStr">
        <is>
          <t>A 60765-2023</t>
        </is>
      </c>
      <c r="B918" s="1" t="n">
        <v>45260</v>
      </c>
      <c r="C918" s="1" t="n">
        <v>46149</v>
      </c>
      <c r="D918" t="inlineStr">
        <is>
          <t>STOCKHOLMS LÄN</t>
        </is>
      </c>
      <c r="E918" t="inlineStr">
        <is>
          <t>NORRTÄLJE</t>
        </is>
      </c>
      <c r="G918" t="n">
        <v>3.7</v>
      </c>
      <c r="H918" t="n">
        <v>0</v>
      </c>
      <c r="I918" t="n">
        <v>0</v>
      </c>
      <c r="J918" t="n">
        <v>0</v>
      </c>
      <c r="K918" t="n">
        <v>0</v>
      </c>
      <c r="L918" t="n">
        <v>0</v>
      </c>
      <c r="M918" t="n">
        <v>0</v>
      </c>
      <c r="N918" t="n">
        <v>0</v>
      </c>
      <c r="O918" t="n">
        <v>0</v>
      </c>
      <c r="P918" t="n">
        <v>0</v>
      </c>
      <c r="Q918" t="n">
        <v>0</v>
      </c>
      <c r="R918" s="2" t="inlineStr"/>
    </row>
    <row r="919" ht="15" customHeight="1">
      <c r="A919" t="inlineStr">
        <is>
          <t>A 23801-2022</t>
        </is>
      </c>
      <c r="B919" s="1" t="n">
        <v>44722</v>
      </c>
      <c r="C919" s="1" t="n">
        <v>46149</v>
      </c>
      <c r="D919" t="inlineStr">
        <is>
          <t>STOCKHOLMS LÄN</t>
        </is>
      </c>
      <c r="E919" t="inlineStr">
        <is>
          <t>NORRTÄLJE</t>
        </is>
      </c>
      <c r="G919" t="n">
        <v>6.8</v>
      </c>
      <c r="H919" t="n">
        <v>0</v>
      </c>
      <c r="I919" t="n">
        <v>0</v>
      </c>
      <c r="J919" t="n">
        <v>0</v>
      </c>
      <c r="K919" t="n">
        <v>0</v>
      </c>
      <c r="L919" t="n">
        <v>0</v>
      </c>
      <c r="M919" t="n">
        <v>0</v>
      </c>
      <c r="N919" t="n">
        <v>0</v>
      </c>
      <c r="O919" t="n">
        <v>0</v>
      </c>
      <c r="P919" t="n">
        <v>0</v>
      </c>
      <c r="Q919" t="n">
        <v>0</v>
      </c>
      <c r="R919" s="2" t="inlineStr"/>
    </row>
    <row r="920" ht="15" customHeight="1">
      <c r="A920" t="inlineStr">
        <is>
          <t>A 59276-2023</t>
        </is>
      </c>
      <c r="B920" s="1" t="n">
        <v>45253.55641203704</v>
      </c>
      <c r="C920" s="1" t="n">
        <v>46149</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46914-2022</t>
        </is>
      </c>
      <c r="B921" s="1" t="n">
        <v>44851</v>
      </c>
      <c r="C921" s="1" t="n">
        <v>46149</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18541-2023</t>
        </is>
      </c>
      <c r="B922" s="1" t="n">
        <v>45042.74291666667</v>
      </c>
      <c r="C922" s="1" t="n">
        <v>46149</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3509-2022</t>
        </is>
      </c>
      <c r="B923" s="1" t="n">
        <v>44585</v>
      </c>
      <c r="C923" s="1" t="n">
        <v>46149</v>
      </c>
      <c r="D923" t="inlineStr">
        <is>
          <t>STOCKHOLMS LÄN</t>
        </is>
      </c>
      <c r="E923" t="inlineStr">
        <is>
          <t>NORRTÄLJE</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26407-2024</t>
        </is>
      </c>
      <c r="B924" s="1" t="n">
        <v>45469</v>
      </c>
      <c r="C924" s="1" t="n">
        <v>46149</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12890-2024</t>
        </is>
      </c>
      <c r="B925" s="1" t="n">
        <v>45385.36243055556</v>
      </c>
      <c r="C925" s="1" t="n">
        <v>46149</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47419-2023</t>
        </is>
      </c>
      <c r="B926" s="1" t="n">
        <v>45202.65660879629</v>
      </c>
      <c r="C926" s="1" t="n">
        <v>46149</v>
      </c>
      <c r="D926" t="inlineStr">
        <is>
          <t>STOCKHOLMS LÄN</t>
        </is>
      </c>
      <c r="E926" t="inlineStr">
        <is>
          <t>NORRTÄLJE</t>
        </is>
      </c>
      <c r="G926" t="n">
        <v>11.4</v>
      </c>
      <c r="H926" t="n">
        <v>0</v>
      </c>
      <c r="I926" t="n">
        <v>0</v>
      </c>
      <c r="J926" t="n">
        <v>0</v>
      </c>
      <c r="K926" t="n">
        <v>0</v>
      </c>
      <c r="L926" t="n">
        <v>0</v>
      </c>
      <c r="M926" t="n">
        <v>0</v>
      </c>
      <c r="N926" t="n">
        <v>0</v>
      </c>
      <c r="O926" t="n">
        <v>0</v>
      </c>
      <c r="P926" t="n">
        <v>0</v>
      </c>
      <c r="Q926" t="n">
        <v>0</v>
      </c>
      <c r="R926" s="2" t="inlineStr"/>
    </row>
    <row r="927" ht="15" customHeight="1">
      <c r="A927" t="inlineStr">
        <is>
          <t>A 23070-2023</t>
        </is>
      </c>
      <c r="B927" s="1" t="n">
        <v>45075</v>
      </c>
      <c r="C927" s="1" t="n">
        <v>46149</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47498-2025</t>
        </is>
      </c>
      <c r="B928" s="1" t="n">
        <v>45930.8134375</v>
      </c>
      <c r="C928" s="1" t="n">
        <v>46149</v>
      </c>
      <c r="D928" t="inlineStr">
        <is>
          <t>STOCKHOLMS LÄN</t>
        </is>
      </c>
      <c r="E928" t="inlineStr">
        <is>
          <t>NORRTÄLJE</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47460-2025</t>
        </is>
      </c>
      <c r="B929" s="1" t="n">
        <v>45930.66012731481</v>
      </c>
      <c r="C929" s="1" t="n">
        <v>46149</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47496-2025</t>
        </is>
      </c>
      <c r="B930" s="1" t="n">
        <v>45930.79252314815</v>
      </c>
      <c r="C930" s="1" t="n">
        <v>46149</v>
      </c>
      <c r="D930" t="inlineStr">
        <is>
          <t>STOCKHOLMS LÄN</t>
        </is>
      </c>
      <c r="E930" t="inlineStr">
        <is>
          <t>NORRTÄLJE</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47497-2025</t>
        </is>
      </c>
      <c r="B931" s="1" t="n">
        <v>45930.80217592593</v>
      </c>
      <c r="C931" s="1" t="n">
        <v>46149</v>
      </c>
      <c r="D931" t="inlineStr">
        <is>
          <t>STOCKHOLMS LÄN</t>
        </is>
      </c>
      <c r="E931" t="inlineStr">
        <is>
          <t>NORRTÄLJE</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27824-2022</t>
        </is>
      </c>
      <c r="B932" s="1" t="n">
        <v>44743.59331018518</v>
      </c>
      <c r="C932" s="1" t="n">
        <v>46149</v>
      </c>
      <c r="D932" t="inlineStr">
        <is>
          <t>STOCKHOLMS LÄN</t>
        </is>
      </c>
      <c r="E932" t="inlineStr">
        <is>
          <t>NORRTÄLJE</t>
        </is>
      </c>
      <c r="F932" t="inlineStr">
        <is>
          <t>Kommuner</t>
        </is>
      </c>
      <c r="G932" t="n">
        <v>3.1</v>
      </c>
      <c r="H932" t="n">
        <v>0</v>
      </c>
      <c r="I932" t="n">
        <v>0</v>
      </c>
      <c r="J932" t="n">
        <v>0</v>
      </c>
      <c r="K932" t="n">
        <v>0</v>
      </c>
      <c r="L932" t="n">
        <v>0</v>
      </c>
      <c r="M932" t="n">
        <v>0</v>
      </c>
      <c r="N932" t="n">
        <v>0</v>
      </c>
      <c r="O932" t="n">
        <v>0</v>
      </c>
      <c r="P932" t="n">
        <v>0</v>
      </c>
      <c r="Q932" t="n">
        <v>0</v>
      </c>
      <c r="R932" s="2" t="inlineStr"/>
    </row>
    <row r="933" ht="15" customHeight="1">
      <c r="A933" t="inlineStr">
        <is>
          <t>A 25619-2022</t>
        </is>
      </c>
      <c r="B933" s="1" t="n">
        <v>44732</v>
      </c>
      <c r="C933" s="1" t="n">
        <v>46149</v>
      </c>
      <c r="D933" t="inlineStr">
        <is>
          <t>STOCKHOLMS LÄN</t>
        </is>
      </c>
      <c r="E933" t="inlineStr">
        <is>
          <t>NORRTÄLJE</t>
        </is>
      </c>
      <c r="G933" t="n">
        <v>3.9</v>
      </c>
      <c r="H933" t="n">
        <v>0</v>
      </c>
      <c r="I933" t="n">
        <v>0</v>
      </c>
      <c r="J933" t="n">
        <v>0</v>
      </c>
      <c r="K933" t="n">
        <v>0</v>
      </c>
      <c r="L933" t="n">
        <v>0</v>
      </c>
      <c r="M933" t="n">
        <v>0</v>
      </c>
      <c r="N933" t="n">
        <v>0</v>
      </c>
      <c r="O933" t="n">
        <v>0</v>
      </c>
      <c r="P933" t="n">
        <v>0</v>
      </c>
      <c r="Q933" t="n">
        <v>0</v>
      </c>
      <c r="R933" s="2" t="inlineStr"/>
    </row>
    <row r="934" ht="15" customHeight="1">
      <c r="A934" t="inlineStr">
        <is>
          <t>A 48360-2025</t>
        </is>
      </c>
      <c r="B934" s="1" t="n">
        <v>45933.66253472222</v>
      </c>
      <c r="C934" s="1" t="n">
        <v>46149</v>
      </c>
      <c r="D934" t="inlineStr">
        <is>
          <t>STOCKHOLMS LÄN</t>
        </is>
      </c>
      <c r="E934" t="inlineStr">
        <is>
          <t>NORRTÄLJE</t>
        </is>
      </c>
      <c r="G934" t="n">
        <v>4.1</v>
      </c>
      <c r="H934" t="n">
        <v>0</v>
      </c>
      <c r="I934" t="n">
        <v>0</v>
      </c>
      <c r="J934" t="n">
        <v>0</v>
      </c>
      <c r="K934" t="n">
        <v>0</v>
      </c>
      <c r="L934" t="n">
        <v>0</v>
      </c>
      <c r="M934" t="n">
        <v>0</v>
      </c>
      <c r="N934" t="n">
        <v>0</v>
      </c>
      <c r="O934" t="n">
        <v>0</v>
      </c>
      <c r="P934" t="n">
        <v>0</v>
      </c>
      <c r="Q934" t="n">
        <v>0</v>
      </c>
      <c r="R934" s="2" t="inlineStr"/>
    </row>
    <row r="935" ht="15" customHeight="1">
      <c r="A935" t="inlineStr">
        <is>
          <t>A 48370-2025</t>
        </is>
      </c>
      <c r="B935" s="1" t="n">
        <v>45933.67854166667</v>
      </c>
      <c r="C935" s="1" t="n">
        <v>46149</v>
      </c>
      <c r="D935" t="inlineStr">
        <is>
          <t>STOCKHOLMS LÄN</t>
        </is>
      </c>
      <c r="E935" t="inlineStr">
        <is>
          <t>NORRTÄLJE</t>
        </is>
      </c>
      <c r="G935" t="n">
        <v>4.5</v>
      </c>
      <c r="H935" t="n">
        <v>0</v>
      </c>
      <c r="I935" t="n">
        <v>0</v>
      </c>
      <c r="J935" t="n">
        <v>0</v>
      </c>
      <c r="K935" t="n">
        <v>0</v>
      </c>
      <c r="L935" t="n">
        <v>0</v>
      </c>
      <c r="M935" t="n">
        <v>0</v>
      </c>
      <c r="N935" t="n">
        <v>0</v>
      </c>
      <c r="O935" t="n">
        <v>0</v>
      </c>
      <c r="P935" t="n">
        <v>0</v>
      </c>
      <c r="Q935" t="n">
        <v>0</v>
      </c>
      <c r="R935" s="2" t="inlineStr"/>
    </row>
    <row r="936" ht="15" customHeight="1">
      <c r="A936" t="inlineStr">
        <is>
          <t>A 36246-2021</t>
        </is>
      </c>
      <c r="B936" s="1" t="n">
        <v>44390</v>
      </c>
      <c r="C936" s="1" t="n">
        <v>46149</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48364-2025</t>
        </is>
      </c>
      <c r="B937" s="1" t="n">
        <v>45933.66796296297</v>
      </c>
      <c r="C937" s="1" t="n">
        <v>46149</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19952-2023</t>
        </is>
      </c>
      <c r="B938" s="1" t="n">
        <v>45054.54091435186</v>
      </c>
      <c r="C938" s="1" t="n">
        <v>46149</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19994-2023</t>
        </is>
      </c>
      <c r="B939" s="1" t="n">
        <v>45054</v>
      </c>
      <c r="C939" s="1" t="n">
        <v>46149</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14130-2025</t>
        </is>
      </c>
      <c r="B940" s="1" t="n">
        <v>45740.47288194444</v>
      </c>
      <c r="C940" s="1" t="n">
        <v>46149</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574-2023</t>
        </is>
      </c>
      <c r="B941" s="1" t="n">
        <v>44925</v>
      </c>
      <c r="C941" s="1" t="n">
        <v>46149</v>
      </c>
      <c r="D941" t="inlineStr">
        <is>
          <t>STOCKHOLMS LÄN</t>
        </is>
      </c>
      <c r="E941" t="inlineStr">
        <is>
          <t>NORRTÄLJE</t>
        </is>
      </c>
      <c r="G941" t="n">
        <v>5</v>
      </c>
      <c r="H941" t="n">
        <v>0</v>
      </c>
      <c r="I941" t="n">
        <v>0</v>
      </c>
      <c r="J941" t="n">
        <v>0</v>
      </c>
      <c r="K941" t="n">
        <v>0</v>
      </c>
      <c r="L941" t="n">
        <v>0</v>
      </c>
      <c r="M941" t="n">
        <v>0</v>
      </c>
      <c r="N941" t="n">
        <v>0</v>
      </c>
      <c r="O941" t="n">
        <v>0</v>
      </c>
      <c r="P941" t="n">
        <v>0</v>
      </c>
      <c r="Q941" t="n">
        <v>0</v>
      </c>
      <c r="R941" s="2" t="inlineStr"/>
    </row>
    <row r="942" ht="15" customHeight="1">
      <c r="A942" t="inlineStr">
        <is>
          <t>A 30283-2022</t>
        </is>
      </c>
      <c r="B942" s="1" t="n">
        <v>44760</v>
      </c>
      <c r="C942" s="1" t="n">
        <v>46149</v>
      </c>
      <c r="D942" t="inlineStr">
        <is>
          <t>STOCKHOLMS LÄN</t>
        </is>
      </c>
      <c r="E942" t="inlineStr">
        <is>
          <t>NORRTÄLJE</t>
        </is>
      </c>
      <c r="G942" t="n">
        <v>6.2</v>
      </c>
      <c r="H942" t="n">
        <v>0</v>
      </c>
      <c r="I942" t="n">
        <v>0</v>
      </c>
      <c r="J942" t="n">
        <v>0</v>
      </c>
      <c r="K942" t="n">
        <v>0</v>
      </c>
      <c r="L942" t="n">
        <v>0</v>
      </c>
      <c r="M942" t="n">
        <v>0</v>
      </c>
      <c r="N942" t="n">
        <v>0</v>
      </c>
      <c r="O942" t="n">
        <v>0</v>
      </c>
      <c r="P942" t="n">
        <v>0</v>
      </c>
      <c r="Q942" t="n">
        <v>0</v>
      </c>
      <c r="R942" s="2" t="inlineStr"/>
    </row>
    <row r="943" ht="15" customHeight="1">
      <c r="A943" t="inlineStr">
        <is>
          <t>A 30290-2022</t>
        </is>
      </c>
      <c r="B943" s="1" t="n">
        <v>44760</v>
      </c>
      <c r="C943" s="1" t="n">
        <v>46149</v>
      </c>
      <c r="D943" t="inlineStr">
        <is>
          <t>STOCKHOLMS LÄN</t>
        </is>
      </c>
      <c r="E943" t="inlineStr">
        <is>
          <t>NORRTÄLJE</t>
        </is>
      </c>
      <c r="G943" t="n">
        <v>4.8</v>
      </c>
      <c r="H943" t="n">
        <v>0</v>
      </c>
      <c r="I943" t="n">
        <v>0</v>
      </c>
      <c r="J943" t="n">
        <v>0</v>
      </c>
      <c r="K943" t="n">
        <v>0</v>
      </c>
      <c r="L943" t="n">
        <v>0</v>
      </c>
      <c r="M943" t="n">
        <v>0</v>
      </c>
      <c r="N943" t="n">
        <v>0</v>
      </c>
      <c r="O943" t="n">
        <v>0</v>
      </c>
      <c r="P943" t="n">
        <v>0</v>
      </c>
      <c r="Q943" t="n">
        <v>0</v>
      </c>
      <c r="R943" s="2" t="inlineStr"/>
    </row>
    <row r="944" ht="15" customHeight="1">
      <c r="A944" t="inlineStr">
        <is>
          <t>A 29684-2021</t>
        </is>
      </c>
      <c r="B944" s="1" t="n">
        <v>44362.37172453704</v>
      </c>
      <c r="C944" s="1" t="n">
        <v>46149</v>
      </c>
      <c r="D944" t="inlineStr">
        <is>
          <t>STOCKHOLMS LÄN</t>
        </is>
      </c>
      <c r="E944" t="inlineStr">
        <is>
          <t>NORRTÄLJE</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48174-2025</t>
        </is>
      </c>
      <c r="B945" s="1" t="n">
        <v>45933.44230324074</v>
      </c>
      <c r="C945" s="1" t="n">
        <v>46149</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48127-2025</t>
        </is>
      </c>
      <c r="B946" s="1" t="n">
        <v>45933.36621527778</v>
      </c>
      <c r="C946" s="1" t="n">
        <v>46149</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48179-2025</t>
        </is>
      </c>
      <c r="B947" s="1" t="n">
        <v>45933.44907407407</v>
      </c>
      <c r="C947" s="1" t="n">
        <v>46149</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60884-2024</t>
        </is>
      </c>
      <c r="B948" s="1" t="n">
        <v>45644.90815972222</v>
      </c>
      <c r="C948" s="1" t="n">
        <v>46149</v>
      </c>
      <c r="D948" t="inlineStr">
        <is>
          <t>STOCKHOLMS LÄN</t>
        </is>
      </c>
      <c r="E948" t="inlineStr">
        <is>
          <t>NORRTÄLJE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48718-2025</t>
        </is>
      </c>
      <c r="B949" s="1" t="n">
        <v>45936</v>
      </c>
      <c r="C949" s="1" t="n">
        <v>46149</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38610-2022</t>
        </is>
      </c>
      <c r="B950" s="1" t="n">
        <v>44813.59915509259</v>
      </c>
      <c r="C950" s="1" t="n">
        <v>46149</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10090-2022</t>
        </is>
      </c>
      <c r="B951" s="1" t="n">
        <v>44621</v>
      </c>
      <c r="C951" s="1" t="n">
        <v>46149</v>
      </c>
      <c r="D951" t="inlineStr">
        <is>
          <t>STOCKHOLMS LÄN</t>
        </is>
      </c>
      <c r="E951" t="inlineStr">
        <is>
          <t>NORRTÄLJE</t>
        </is>
      </c>
      <c r="G951" t="n">
        <v>5.2</v>
      </c>
      <c r="H951" t="n">
        <v>0</v>
      </c>
      <c r="I951" t="n">
        <v>0</v>
      </c>
      <c r="J951" t="n">
        <v>0</v>
      </c>
      <c r="K951" t="n">
        <v>0</v>
      </c>
      <c r="L951" t="n">
        <v>0</v>
      </c>
      <c r="M951" t="n">
        <v>0</v>
      </c>
      <c r="N951" t="n">
        <v>0</v>
      </c>
      <c r="O951" t="n">
        <v>0</v>
      </c>
      <c r="P951" t="n">
        <v>0</v>
      </c>
      <c r="Q951" t="n">
        <v>0</v>
      </c>
      <c r="R951" s="2" t="inlineStr"/>
    </row>
    <row r="952" ht="15" customHeight="1">
      <c r="A952" t="inlineStr">
        <is>
          <t>A 48593-2025</t>
        </is>
      </c>
      <c r="B952" s="1" t="n">
        <v>45936.4627662037</v>
      </c>
      <c r="C952" s="1" t="n">
        <v>46149</v>
      </c>
      <c r="D952" t="inlineStr">
        <is>
          <t>STOCKHOLMS LÄN</t>
        </is>
      </c>
      <c r="E952" t="inlineStr">
        <is>
          <t>NORRTÄLJE</t>
        </is>
      </c>
      <c r="G952" t="n">
        <v>4.2</v>
      </c>
      <c r="H952" t="n">
        <v>0</v>
      </c>
      <c r="I952" t="n">
        <v>0</v>
      </c>
      <c r="J952" t="n">
        <v>0</v>
      </c>
      <c r="K952" t="n">
        <v>0</v>
      </c>
      <c r="L952" t="n">
        <v>0</v>
      </c>
      <c r="M952" t="n">
        <v>0</v>
      </c>
      <c r="N952" t="n">
        <v>0</v>
      </c>
      <c r="O952" t="n">
        <v>0</v>
      </c>
      <c r="P952" t="n">
        <v>0</v>
      </c>
      <c r="Q952" t="n">
        <v>0</v>
      </c>
      <c r="R952" s="2" t="inlineStr"/>
    </row>
    <row r="953" ht="15" customHeight="1">
      <c r="A953" t="inlineStr">
        <is>
          <t>A 14724-2022</t>
        </is>
      </c>
      <c r="B953" s="1" t="n">
        <v>44656</v>
      </c>
      <c r="C953" s="1" t="n">
        <v>46149</v>
      </c>
      <c r="D953" t="inlineStr">
        <is>
          <t>STOCKHOLMS LÄN</t>
        </is>
      </c>
      <c r="E953" t="inlineStr">
        <is>
          <t>NORRTÄLJE</t>
        </is>
      </c>
      <c r="F953" t="inlineStr">
        <is>
          <t>Sveaskog</t>
        </is>
      </c>
      <c r="G953" t="n">
        <v>9</v>
      </c>
      <c r="H953" t="n">
        <v>0</v>
      </c>
      <c r="I953" t="n">
        <v>0</v>
      </c>
      <c r="J953" t="n">
        <v>0</v>
      </c>
      <c r="K953" t="n">
        <v>0</v>
      </c>
      <c r="L953" t="n">
        <v>0</v>
      </c>
      <c r="M953" t="n">
        <v>0</v>
      </c>
      <c r="N953" t="n">
        <v>0</v>
      </c>
      <c r="O953" t="n">
        <v>0</v>
      </c>
      <c r="P953" t="n">
        <v>0</v>
      </c>
      <c r="Q953" t="n">
        <v>0</v>
      </c>
      <c r="R953" s="2" t="inlineStr"/>
    </row>
    <row r="954" ht="15" customHeight="1">
      <c r="A954" t="inlineStr">
        <is>
          <t>A 18846-2022</t>
        </is>
      </c>
      <c r="B954" s="1" t="n">
        <v>44690</v>
      </c>
      <c r="C954" s="1" t="n">
        <v>46149</v>
      </c>
      <c r="D954" t="inlineStr">
        <is>
          <t>STOCKHOLMS LÄN</t>
        </is>
      </c>
      <c r="E954" t="inlineStr">
        <is>
          <t>NORRTÄLJE</t>
        </is>
      </c>
      <c r="G954" t="n">
        <v>7</v>
      </c>
      <c r="H954" t="n">
        <v>0</v>
      </c>
      <c r="I954" t="n">
        <v>0</v>
      </c>
      <c r="J954" t="n">
        <v>0</v>
      </c>
      <c r="K954" t="n">
        <v>0</v>
      </c>
      <c r="L954" t="n">
        <v>0</v>
      </c>
      <c r="M954" t="n">
        <v>0</v>
      </c>
      <c r="N954" t="n">
        <v>0</v>
      </c>
      <c r="O954" t="n">
        <v>0</v>
      </c>
      <c r="P954" t="n">
        <v>0</v>
      </c>
      <c r="Q954" t="n">
        <v>0</v>
      </c>
      <c r="R954" s="2" t="inlineStr"/>
    </row>
    <row r="955" ht="15" customHeight="1">
      <c r="A955" t="inlineStr">
        <is>
          <t>A 43300-2023</t>
        </is>
      </c>
      <c r="B955" s="1" t="n">
        <v>45183</v>
      </c>
      <c r="C955" s="1" t="n">
        <v>46149</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25654-2023</t>
        </is>
      </c>
      <c r="B956" s="1" t="n">
        <v>45089</v>
      </c>
      <c r="C956" s="1" t="n">
        <v>46149</v>
      </c>
      <c r="D956" t="inlineStr">
        <is>
          <t>STOCKHOLMS LÄN</t>
        </is>
      </c>
      <c r="E956" t="inlineStr">
        <is>
          <t>NORRTÄLJE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48443-2025</t>
        </is>
      </c>
      <c r="B957" s="1" t="n">
        <v>45935.55326388889</v>
      </c>
      <c r="C957" s="1" t="n">
        <v>46149</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23125-2022</t>
        </is>
      </c>
      <c r="B958" s="1" t="n">
        <v>44719</v>
      </c>
      <c r="C958" s="1" t="n">
        <v>46149</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20121-2022</t>
        </is>
      </c>
      <c r="B959" s="1" t="n">
        <v>44698</v>
      </c>
      <c r="C959" s="1" t="n">
        <v>46149</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48780-2025</t>
        </is>
      </c>
      <c r="B960" s="1" t="n">
        <v>45937.30377314815</v>
      </c>
      <c r="C960" s="1" t="n">
        <v>46149</v>
      </c>
      <c r="D960" t="inlineStr">
        <is>
          <t>STOCKHOLMS LÄN</t>
        </is>
      </c>
      <c r="E960" t="inlineStr">
        <is>
          <t>NORRTÄLJE</t>
        </is>
      </c>
      <c r="G960" t="n">
        <v>7.7</v>
      </c>
      <c r="H960" t="n">
        <v>0</v>
      </c>
      <c r="I960" t="n">
        <v>0</v>
      </c>
      <c r="J960" t="n">
        <v>0</v>
      </c>
      <c r="K960" t="n">
        <v>0</v>
      </c>
      <c r="L960" t="n">
        <v>0</v>
      </c>
      <c r="M960" t="n">
        <v>0</v>
      </c>
      <c r="N960" t="n">
        <v>0</v>
      </c>
      <c r="O960" t="n">
        <v>0</v>
      </c>
      <c r="P960" t="n">
        <v>0</v>
      </c>
      <c r="Q960" t="n">
        <v>0</v>
      </c>
      <c r="R960" s="2" t="inlineStr"/>
    </row>
    <row r="961" ht="15" customHeight="1">
      <c r="A961" t="inlineStr">
        <is>
          <t>A 33385-2024</t>
        </is>
      </c>
      <c r="B961" s="1" t="n">
        <v>45519</v>
      </c>
      <c r="C961" s="1" t="n">
        <v>46149</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41172-2023</t>
        </is>
      </c>
      <c r="B962" s="1" t="n">
        <v>45170</v>
      </c>
      <c r="C962" s="1" t="n">
        <v>46149</v>
      </c>
      <c r="D962" t="inlineStr">
        <is>
          <t>STOCKHOLMS LÄN</t>
        </is>
      </c>
      <c r="E962" t="inlineStr">
        <is>
          <t>NORRTÄLJE</t>
        </is>
      </c>
      <c r="G962" t="n">
        <v>1.6</v>
      </c>
      <c r="H962" t="n">
        <v>0</v>
      </c>
      <c r="I962" t="n">
        <v>0</v>
      </c>
      <c r="J962" t="n">
        <v>0</v>
      </c>
      <c r="K962" t="n">
        <v>0</v>
      </c>
      <c r="L962" t="n">
        <v>0</v>
      </c>
      <c r="M962" t="n">
        <v>0</v>
      </c>
      <c r="N962" t="n">
        <v>0</v>
      </c>
      <c r="O962" t="n">
        <v>0</v>
      </c>
      <c r="P962" t="n">
        <v>0</v>
      </c>
      <c r="Q962" t="n">
        <v>0</v>
      </c>
      <c r="R962" s="2" t="inlineStr"/>
    </row>
    <row r="963" ht="15" customHeight="1">
      <c r="A963" t="inlineStr">
        <is>
          <t>A 73307-2021</t>
        </is>
      </c>
      <c r="B963" s="1" t="n">
        <v>44549</v>
      </c>
      <c r="C963" s="1" t="n">
        <v>46149</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50534-2024</t>
        </is>
      </c>
      <c r="B964" s="1" t="n">
        <v>45601.56726851852</v>
      </c>
      <c r="C964" s="1" t="n">
        <v>46149</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65499-2021</t>
        </is>
      </c>
      <c r="B965" s="1" t="n">
        <v>44516</v>
      </c>
      <c r="C965" s="1" t="n">
        <v>46149</v>
      </c>
      <c r="D965" t="inlineStr">
        <is>
          <t>STOCKHOLMS LÄN</t>
        </is>
      </c>
      <c r="E965" t="inlineStr">
        <is>
          <t>NORRTÄLJE</t>
        </is>
      </c>
      <c r="F965" t="inlineStr">
        <is>
          <t>Kommuner</t>
        </is>
      </c>
      <c r="G965" t="n">
        <v>5.2</v>
      </c>
      <c r="H965" t="n">
        <v>0</v>
      </c>
      <c r="I965" t="n">
        <v>0</v>
      </c>
      <c r="J965" t="n">
        <v>0</v>
      </c>
      <c r="K965" t="n">
        <v>0</v>
      </c>
      <c r="L965" t="n">
        <v>0</v>
      </c>
      <c r="M965" t="n">
        <v>0</v>
      </c>
      <c r="N965" t="n">
        <v>0</v>
      </c>
      <c r="O965" t="n">
        <v>0</v>
      </c>
      <c r="P965" t="n">
        <v>0</v>
      </c>
      <c r="Q965" t="n">
        <v>0</v>
      </c>
      <c r="R965" s="2" t="inlineStr"/>
    </row>
    <row r="966" ht="15" customHeight="1">
      <c r="A966" t="inlineStr">
        <is>
          <t>A 65511-2021</t>
        </is>
      </c>
      <c r="B966" s="1" t="n">
        <v>44516.40674768519</v>
      </c>
      <c r="C966" s="1" t="n">
        <v>46149</v>
      </c>
      <c r="D966" t="inlineStr">
        <is>
          <t>STOCKHOLMS LÄN</t>
        </is>
      </c>
      <c r="E966" t="inlineStr">
        <is>
          <t>NORRTÄLJE</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22833-2024</t>
        </is>
      </c>
      <c r="B967" s="1" t="n">
        <v>45448.56746527777</v>
      </c>
      <c r="C967" s="1" t="n">
        <v>46149</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49129-2025</t>
        </is>
      </c>
      <c r="B968" s="1" t="n">
        <v>45937.89517361111</v>
      </c>
      <c r="C968" s="1" t="n">
        <v>46149</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32514-2022</t>
        </is>
      </c>
      <c r="B969" s="1" t="n">
        <v>44782</v>
      </c>
      <c r="C969" s="1" t="n">
        <v>46149</v>
      </c>
      <c r="D969" t="inlineStr">
        <is>
          <t>STOCKHOLMS LÄN</t>
        </is>
      </c>
      <c r="E969" t="inlineStr">
        <is>
          <t>NORRTÄLJE</t>
        </is>
      </c>
      <c r="G969" t="n">
        <v>5.1</v>
      </c>
      <c r="H969" t="n">
        <v>0</v>
      </c>
      <c r="I969" t="n">
        <v>0</v>
      </c>
      <c r="J969" t="n">
        <v>0</v>
      </c>
      <c r="K969" t="n">
        <v>0</v>
      </c>
      <c r="L969" t="n">
        <v>0</v>
      </c>
      <c r="M969" t="n">
        <v>0</v>
      </c>
      <c r="N969" t="n">
        <v>0</v>
      </c>
      <c r="O969" t="n">
        <v>0</v>
      </c>
      <c r="P969" t="n">
        <v>0</v>
      </c>
      <c r="Q969" t="n">
        <v>0</v>
      </c>
      <c r="R969" s="2" t="inlineStr"/>
    </row>
    <row r="970" ht="15" customHeight="1">
      <c r="A970" t="inlineStr">
        <is>
          <t>A 29362-2022</t>
        </is>
      </c>
      <c r="B970" s="1" t="n">
        <v>44753</v>
      </c>
      <c r="C970" s="1" t="n">
        <v>46149</v>
      </c>
      <c r="D970" t="inlineStr">
        <is>
          <t>STOCKHOLMS LÄN</t>
        </is>
      </c>
      <c r="E970" t="inlineStr">
        <is>
          <t>NORRTÄLJE</t>
        </is>
      </c>
      <c r="G970" t="n">
        <v>3.8</v>
      </c>
      <c r="H970" t="n">
        <v>0</v>
      </c>
      <c r="I970" t="n">
        <v>0</v>
      </c>
      <c r="J970" t="n">
        <v>0</v>
      </c>
      <c r="K970" t="n">
        <v>0</v>
      </c>
      <c r="L970" t="n">
        <v>0</v>
      </c>
      <c r="M970" t="n">
        <v>0</v>
      </c>
      <c r="N970" t="n">
        <v>0</v>
      </c>
      <c r="O970" t="n">
        <v>0</v>
      </c>
      <c r="P970" t="n">
        <v>0</v>
      </c>
      <c r="Q970" t="n">
        <v>0</v>
      </c>
      <c r="R970" s="2" t="inlineStr"/>
    </row>
    <row r="971" ht="15" customHeight="1">
      <c r="A971" t="inlineStr">
        <is>
          <t>A 58492-2022</t>
        </is>
      </c>
      <c r="B971" s="1" t="n">
        <v>44902</v>
      </c>
      <c r="C971" s="1" t="n">
        <v>46149</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51315-2021</t>
        </is>
      </c>
      <c r="B972" s="1" t="n">
        <v>44461</v>
      </c>
      <c r="C972" s="1" t="n">
        <v>46149</v>
      </c>
      <c r="D972" t="inlineStr">
        <is>
          <t>STOCKHOLMS LÄN</t>
        </is>
      </c>
      <c r="E972" t="inlineStr">
        <is>
          <t>NORRTÄLJE</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14873-2025</t>
        </is>
      </c>
      <c r="B973" s="1" t="n">
        <v>45743.44953703704</v>
      </c>
      <c r="C973" s="1" t="n">
        <v>46149</v>
      </c>
      <c r="D973" t="inlineStr">
        <is>
          <t>STOCKHOLMS LÄN</t>
        </is>
      </c>
      <c r="E973" t="inlineStr">
        <is>
          <t>NORRTÄLJE</t>
        </is>
      </c>
      <c r="G973" t="n">
        <v>10.2</v>
      </c>
      <c r="H973" t="n">
        <v>0</v>
      </c>
      <c r="I973" t="n">
        <v>0</v>
      </c>
      <c r="J973" t="n">
        <v>0</v>
      </c>
      <c r="K973" t="n">
        <v>0</v>
      </c>
      <c r="L973" t="n">
        <v>0</v>
      </c>
      <c r="M973" t="n">
        <v>0</v>
      </c>
      <c r="N973" t="n">
        <v>0</v>
      </c>
      <c r="O973" t="n">
        <v>0</v>
      </c>
      <c r="P973" t="n">
        <v>0</v>
      </c>
      <c r="Q973" t="n">
        <v>0</v>
      </c>
      <c r="R973" s="2" t="inlineStr"/>
    </row>
    <row r="974" ht="15" customHeight="1">
      <c r="A974" t="inlineStr">
        <is>
          <t>A 34773-2022</t>
        </is>
      </c>
      <c r="B974" s="1" t="n">
        <v>44795</v>
      </c>
      <c r="C974" s="1" t="n">
        <v>46149</v>
      </c>
      <c r="D974" t="inlineStr">
        <is>
          <t>STOCKHOLMS LÄN</t>
        </is>
      </c>
      <c r="E974" t="inlineStr">
        <is>
          <t>NORRTÄLJE</t>
        </is>
      </c>
      <c r="G974" t="n">
        <v>3.9</v>
      </c>
      <c r="H974" t="n">
        <v>0</v>
      </c>
      <c r="I974" t="n">
        <v>0</v>
      </c>
      <c r="J974" t="n">
        <v>0</v>
      </c>
      <c r="K974" t="n">
        <v>0</v>
      </c>
      <c r="L974" t="n">
        <v>0</v>
      </c>
      <c r="M974" t="n">
        <v>0</v>
      </c>
      <c r="N974" t="n">
        <v>0</v>
      </c>
      <c r="O974" t="n">
        <v>0</v>
      </c>
      <c r="P974" t="n">
        <v>0</v>
      </c>
      <c r="Q974" t="n">
        <v>0</v>
      </c>
      <c r="R974" s="2" t="inlineStr"/>
    </row>
    <row r="975" ht="15" customHeight="1">
      <c r="A975" t="inlineStr">
        <is>
          <t>A 33173-2024</t>
        </is>
      </c>
      <c r="B975" s="1" t="n">
        <v>45518</v>
      </c>
      <c r="C975" s="1" t="n">
        <v>46149</v>
      </c>
      <c r="D975" t="inlineStr">
        <is>
          <t>STOCKHOLMS LÄN</t>
        </is>
      </c>
      <c r="E975" t="inlineStr">
        <is>
          <t>NORRTÄLJE</t>
        </is>
      </c>
      <c r="G975" t="n">
        <v>0.8</v>
      </c>
      <c r="H975" t="n">
        <v>0</v>
      </c>
      <c r="I975" t="n">
        <v>0</v>
      </c>
      <c r="J975" t="n">
        <v>0</v>
      </c>
      <c r="K975" t="n">
        <v>0</v>
      </c>
      <c r="L975" t="n">
        <v>0</v>
      </c>
      <c r="M975" t="n">
        <v>0</v>
      </c>
      <c r="N975" t="n">
        <v>0</v>
      </c>
      <c r="O975" t="n">
        <v>0</v>
      </c>
      <c r="P975" t="n">
        <v>0</v>
      </c>
      <c r="Q975" t="n">
        <v>0</v>
      </c>
      <c r="R975" s="2" t="inlineStr"/>
    </row>
    <row r="976" ht="15" customHeight="1">
      <c r="A976" t="inlineStr">
        <is>
          <t>A 50097-2025</t>
        </is>
      </c>
      <c r="B976" s="1" t="n">
        <v>45943.50207175926</v>
      </c>
      <c r="C976" s="1" t="n">
        <v>46149</v>
      </c>
      <c r="D976" t="inlineStr">
        <is>
          <t>STOCKHOLMS LÄN</t>
        </is>
      </c>
      <c r="E976" t="inlineStr">
        <is>
          <t>NORRTÄLJE</t>
        </is>
      </c>
      <c r="F976" t="inlineStr">
        <is>
          <t>Holmen skog AB</t>
        </is>
      </c>
      <c r="G976" t="n">
        <v>12</v>
      </c>
      <c r="H976" t="n">
        <v>0</v>
      </c>
      <c r="I976" t="n">
        <v>0</v>
      </c>
      <c r="J976" t="n">
        <v>0</v>
      </c>
      <c r="K976" t="n">
        <v>0</v>
      </c>
      <c r="L976" t="n">
        <v>0</v>
      </c>
      <c r="M976" t="n">
        <v>0</v>
      </c>
      <c r="N976" t="n">
        <v>0</v>
      </c>
      <c r="O976" t="n">
        <v>0</v>
      </c>
      <c r="P976" t="n">
        <v>0</v>
      </c>
      <c r="Q976" t="n">
        <v>0</v>
      </c>
      <c r="R976" s="2" t="inlineStr"/>
    </row>
    <row r="977" ht="15" customHeight="1">
      <c r="A977" t="inlineStr">
        <is>
          <t>A 49836-2025</t>
        </is>
      </c>
      <c r="B977" s="1" t="n">
        <v>45940.46862268518</v>
      </c>
      <c r="C977" s="1" t="n">
        <v>46149</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50327-2025</t>
        </is>
      </c>
      <c r="B978" s="1" t="n">
        <v>45944.46387731482</v>
      </c>
      <c r="C978" s="1" t="n">
        <v>46149</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50563-2025</t>
        </is>
      </c>
      <c r="B979" s="1" t="n">
        <v>45944</v>
      </c>
      <c r="C979" s="1" t="n">
        <v>46149</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50333-2025</t>
        </is>
      </c>
      <c r="B980" s="1" t="n">
        <v>45944.47178240741</v>
      </c>
      <c r="C980" s="1" t="n">
        <v>46149</v>
      </c>
      <c r="D980" t="inlineStr">
        <is>
          <t>STOCKHOLMS LÄN</t>
        </is>
      </c>
      <c r="E980" t="inlineStr">
        <is>
          <t>NORRTÄLJE</t>
        </is>
      </c>
      <c r="G980" t="n">
        <v>4.2</v>
      </c>
      <c r="H980" t="n">
        <v>0</v>
      </c>
      <c r="I980" t="n">
        <v>0</v>
      </c>
      <c r="J980" t="n">
        <v>0</v>
      </c>
      <c r="K980" t="n">
        <v>0</v>
      </c>
      <c r="L980" t="n">
        <v>0</v>
      </c>
      <c r="M980" t="n">
        <v>0</v>
      </c>
      <c r="N980" t="n">
        <v>0</v>
      </c>
      <c r="O980" t="n">
        <v>0</v>
      </c>
      <c r="P980" t="n">
        <v>0</v>
      </c>
      <c r="Q980" t="n">
        <v>0</v>
      </c>
      <c r="R980" s="2" t="inlineStr"/>
    </row>
    <row r="981" ht="15" customHeight="1">
      <c r="A981" t="inlineStr">
        <is>
          <t>A 4484-2025</t>
        </is>
      </c>
      <c r="B981" s="1" t="n">
        <v>45686.65545138889</v>
      </c>
      <c r="C981" s="1" t="n">
        <v>46149</v>
      </c>
      <c r="D981" t="inlineStr">
        <is>
          <t>STOCKHOLMS LÄN</t>
        </is>
      </c>
      <c r="E981" t="inlineStr">
        <is>
          <t>NORRTÄLJE</t>
        </is>
      </c>
      <c r="G981" t="n">
        <v>1.9</v>
      </c>
      <c r="H981" t="n">
        <v>0</v>
      </c>
      <c r="I981" t="n">
        <v>0</v>
      </c>
      <c r="J981" t="n">
        <v>0</v>
      </c>
      <c r="K981" t="n">
        <v>0</v>
      </c>
      <c r="L981" t="n">
        <v>0</v>
      </c>
      <c r="M981" t="n">
        <v>0</v>
      </c>
      <c r="N981" t="n">
        <v>0</v>
      </c>
      <c r="O981" t="n">
        <v>0</v>
      </c>
      <c r="P981" t="n">
        <v>0</v>
      </c>
      <c r="Q981" t="n">
        <v>0</v>
      </c>
      <c r="R981" s="2" t="inlineStr"/>
    </row>
    <row r="982" ht="15" customHeight="1">
      <c r="A982" t="inlineStr">
        <is>
          <t>A 51122-2025</t>
        </is>
      </c>
      <c r="B982" s="1" t="n">
        <v>45947.53693287037</v>
      </c>
      <c r="C982" s="1" t="n">
        <v>46149</v>
      </c>
      <c r="D982" t="inlineStr">
        <is>
          <t>STOCKHOLMS LÄN</t>
        </is>
      </c>
      <c r="E982" t="inlineStr">
        <is>
          <t>NORRTÄLJE</t>
        </is>
      </c>
      <c r="G982" t="n">
        <v>3.8</v>
      </c>
      <c r="H982" t="n">
        <v>0</v>
      </c>
      <c r="I982" t="n">
        <v>0</v>
      </c>
      <c r="J982" t="n">
        <v>0</v>
      </c>
      <c r="K982" t="n">
        <v>0</v>
      </c>
      <c r="L982" t="n">
        <v>0</v>
      </c>
      <c r="M982" t="n">
        <v>0</v>
      </c>
      <c r="N982" t="n">
        <v>0</v>
      </c>
      <c r="O982" t="n">
        <v>0</v>
      </c>
      <c r="P982" t="n">
        <v>0</v>
      </c>
      <c r="Q982" t="n">
        <v>0</v>
      </c>
      <c r="R982" s="2" t="inlineStr"/>
    </row>
    <row r="983" ht="15" customHeight="1">
      <c r="A983" t="inlineStr">
        <is>
          <t>A 33878-2024</t>
        </is>
      </c>
      <c r="B983" s="1" t="n">
        <v>45522.44414351852</v>
      </c>
      <c r="C983" s="1" t="n">
        <v>46149</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51233-2025</t>
        </is>
      </c>
      <c r="B984" s="1" t="n">
        <v>45947.68232638889</v>
      </c>
      <c r="C984" s="1" t="n">
        <v>46149</v>
      </c>
      <c r="D984" t="inlineStr">
        <is>
          <t>STOCKHOLMS LÄN</t>
        </is>
      </c>
      <c r="E984" t="inlineStr">
        <is>
          <t>NORRTÄLJE</t>
        </is>
      </c>
      <c r="F984" t="inlineStr">
        <is>
          <t>Naturvårdsverket</t>
        </is>
      </c>
      <c r="G984" t="n">
        <v>8.1</v>
      </c>
      <c r="H984" t="n">
        <v>0</v>
      </c>
      <c r="I984" t="n">
        <v>0</v>
      </c>
      <c r="J984" t="n">
        <v>0</v>
      </c>
      <c r="K984" t="n">
        <v>0</v>
      </c>
      <c r="L984" t="n">
        <v>0</v>
      </c>
      <c r="M984" t="n">
        <v>0</v>
      </c>
      <c r="N984" t="n">
        <v>0</v>
      </c>
      <c r="O984" t="n">
        <v>0</v>
      </c>
      <c r="P984" t="n">
        <v>0</v>
      </c>
      <c r="Q984" t="n">
        <v>0</v>
      </c>
      <c r="R984" s="2" t="inlineStr"/>
    </row>
    <row r="985" ht="15" customHeight="1">
      <c r="A985" t="inlineStr">
        <is>
          <t>A 51236-2025</t>
        </is>
      </c>
      <c r="B985" s="1" t="n">
        <v>45947.69078703703</v>
      </c>
      <c r="C985" s="1" t="n">
        <v>46149</v>
      </c>
      <c r="D985" t="inlineStr">
        <is>
          <t>STOCKHOLMS LÄN</t>
        </is>
      </c>
      <c r="E985" t="inlineStr">
        <is>
          <t>NORRTÄLJE</t>
        </is>
      </c>
      <c r="F985" t="inlineStr">
        <is>
          <t>Naturvårdsverket</t>
        </is>
      </c>
      <c r="G985" t="n">
        <v>6.3</v>
      </c>
      <c r="H985" t="n">
        <v>0</v>
      </c>
      <c r="I985" t="n">
        <v>0</v>
      </c>
      <c r="J985" t="n">
        <v>0</v>
      </c>
      <c r="K985" t="n">
        <v>0</v>
      </c>
      <c r="L985" t="n">
        <v>0</v>
      </c>
      <c r="M985" t="n">
        <v>0</v>
      </c>
      <c r="N985" t="n">
        <v>0</v>
      </c>
      <c r="O985" t="n">
        <v>0</v>
      </c>
      <c r="P985" t="n">
        <v>0</v>
      </c>
      <c r="Q985" t="n">
        <v>0</v>
      </c>
      <c r="R985" s="2" t="inlineStr"/>
    </row>
    <row r="986" ht="15" customHeight="1">
      <c r="A986" t="inlineStr">
        <is>
          <t>A 51241-2025</t>
        </is>
      </c>
      <c r="B986" s="1" t="n">
        <v>45947.71726851852</v>
      </c>
      <c r="C986" s="1" t="n">
        <v>46149</v>
      </c>
      <c r="D986" t="inlineStr">
        <is>
          <t>STOCKHOLMS LÄN</t>
        </is>
      </c>
      <c r="E986" t="inlineStr">
        <is>
          <t>NORRTÄLJE</t>
        </is>
      </c>
      <c r="F986" t="inlineStr">
        <is>
          <t>Naturvårdsverket</t>
        </is>
      </c>
      <c r="G986" t="n">
        <v>6.4</v>
      </c>
      <c r="H986" t="n">
        <v>0</v>
      </c>
      <c r="I986" t="n">
        <v>0</v>
      </c>
      <c r="J986" t="n">
        <v>0</v>
      </c>
      <c r="K986" t="n">
        <v>0</v>
      </c>
      <c r="L986" t="n">
        <v>0</v>
      </c>
      <c r="M986" t="n">
        <v>0</v>
      </c>
      <c r="N986" t="n">
        <v>0</v>
      </c>
      <c r="O986" t="n">
        <v>0</v>
      </c>
      <c r="P986" t="n">
        <v>0</v>
      </c>
      <c r="Q986" t="n">
        <v>0</v>
      </c>
      <c r="R986" s="2" t="inlineStr"/>
    </row>
    <row r="987" ht="15" customHeight="1">
      <c r="A987" t="inlineStr">
        <is>
          <t>A 51240-2025</t>
        </is>
      </c>
      <c r="B987" s="1" t="n">
        <v>45947.70420138889</v>
      </c>
      <c r="C987" s="1" t="n">
        <v>46149</v>
      </c>
      <c r="D987" t="inlineStr">
        <is>
          <t>STOCKHOLMS LÄN</t>
        </is>
      </c>
      <c r="E987" t="inlineStr">
        <is>
          <t>NORRTÄLJE</t>
        </is>
      </c>
      <c r="F987" t="inlineStr">
        <is>
          <t>Naturvårdsverket</t>
        </is>
      </c>
      <c r="G987" t="n">
        <v>3</v>
      </c>
      <c r="H987" t="n">
        <v>0</v>
      </c>
      <c r="I987" t="n">
        <v>0</v>
      </c>
      <c r="J987" t="n">
        <v>0</v>
      </c>
      <c r="K987" t="n">
        <v>0</v>
      </c>
      <c r="L987" t="n">
        <v>0</v>
      </c>
      <c r="M987" t="n">
        <v>0</v>
      </c>
      <c r="N987" t="n">
        <v>0</v>
      </c>
      <c r="O987" t="n">
        <v>0</v>
      </c>
      <c r="P987" t="n">
        <v>0</v>
      </c>
      <c r="Q987" t="n">
        <v>0</v>
      </c>
      <c r="R987" s="2" t="inlineStr"/>
    </row>
    <row r="988" ht="15" customHeight="1">
      <c r="A988" t="inlineStr">
        <is>
          <t>A 9246-2024</t>
        </is>
      </c>
      <c r="B988" s="1" t="n">
        <v>45357</v>
      </c>
      <c r="C988" s="1" t="n">
        <v>46149</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35698-2023</t>
        </is>
      </c>
      <c r="B989" s="1" t="n">
        <v>45147</v>
      </c>
      <c r="C989" s="1" t="n">
        <v>46149</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62398-2022</t>
        </is>
      </c>
      <c r="B990" s="1" t="n">
        <v>44923.90159722222</v>
      </c>
      <c r="C990" s="1" t="n">
        <v>46149</v>
      </c>
      <c r="D990" t="inlineStr">
        <is>
          <t>STOCKHOLMS LÄN</t>
        </is>
      </c>
      <c r="E990" t="inlineStr">
        <is>
          <t>NORRTÄLJE</t>
        </is>
      </c>
      <c r="G990" t="n">
        <v>4</v>
      </c>
      <c r="H990" t="n">
        <v>0</v>
      </c>
      <c r="I990" t="n">
        <v>0</v>
      </c>
      <c r="J990" t="n">
        <v>0</v>
      </c>
      <c r="K990" t="n">
        <v>0</v>
      </c>
      <c r="L990" t="n">
        <v>0</v>
      </c>
      <c r="M990" t="n">
        <v>0</v>
      </c>
      <c r="N990" t="n">
        <v>0</v>
      </c>
      <c r="O990" t="n">
        <v>0</v>
      </c>
      <c r="P990" t="n">
        <v>0</v>
      </c>
      <c r="Q990" t="n">
        <v>0</v>
      </c>
      <c r="R990" s="2" t="inlineStr"/>
    </row>
    <row r="991" ht="15" customHeight="1">
      <c r="A991" t="inlineStr">
        <is>
          <t>A 51121-2025</t>
        </is>
      </c>
      <c r="B991" s="1" t="n">
        <v>45947.53293981482</v>
      </c>
      <c r="C991" s="1" t="n">
        <v>46149</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49700-2023</t>
        </is>
      </c>
      <c r="B992" s="1" t="n">
        <v>45212</v>
      </c>
      <c r="C992" s="1" t="n">
        <v>46149</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32071-2023</t>
        </is>
      </c>
      <c r="B993" s="1" t="n">
        <v>45119.57728009259</v>
      </c>
      <c r="C993" s="1" t="n">
        <v>46149</v>
      </c>
      <c r="D993" t="inlineStr">
        <is>
          <t>STOCKHOLMS LÄN</t>
        </is>
      </c>
      <c r="E993" t="inlineStr">
        <is>
          <t>NORRTÄLJE</t>
        </is>
      </c>
      <c r="G993" t="n">
        <v>6.5</v>
      </c>
      <c r="H993" t="n">
        <v>0</v>
      </c>
      <c r="I993" t="n">
        <v>0</v>
      </c>
      <c r="J993" t="n">
        <v>0</v>
      </c>
      <c r="K993" t="n">
        <v>0</v>
      </c>
      <c r="L993" t="n">
        <v>0</v>
      </c>
      <c r="M993" t="n">
        <v>0</v>
      </c>
      <c r="N993" t="n">
        <v>0</v>
      </c>
      <c r="O993" t="n">
        <v>0</v>
      </c>
      <c r="P993" t="n">
        <v>0</v>
      </c>
      <c r="Q993" t="n">
        <v>0</v>
      </c>
      <c r="R993" s="2" t="inlineStr"/>
    </row>
    <row r="994" ht="15" customHeight="1">
      <c r="A994" t="inlineStr">
        <is>
          <t>A 1425-2025</t>
        </is>
      </c>
      <c r="B994" s="1" t="n">
        <v>45668.67446759259</v>
      </c>
      <c r="C994" s="1" t="n">
        <v>46149</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17775-2022</t>
        </is>
      </c>
      <c r="B995" s="1" t="n">
        <v>44682.78430555556</v>
      </c>
      <c r="C995" s="1" t="n">
        <v>46149</v>
      </c>
      <c r="D995" t="inlineStr">
        <is>
          <t>STOCKHOLMS LÄN</t>
        </is>
      </c>
      <c r="E995" t="inlineStr">
        <is>
          <t>NORRTÄLJE</t>
        </is>
      </c>
      <c r="G995" t="n">
        <v>4.7</v>
      </c>
      <c r="H995" t="n">
        <v>0</v>
      </c>
      <c r="I995" t="n">
        <v>0</v>
      </c>
      <c r="J995" t="n">
        <v>0</v>
      </c>
      <c r="K995" t="n">
        <v>0</v>
      </c>
      <c r="L995" t="n">
        <v>0</v>
      </c>
      <c r="M995" t="n">
        <v>0</v>
      </c>
      <c r="N995" t="n">
        <v>0</v>
      </c>
      <c r="O995" t="n">
        <v>0</v>
      </c>
      <c r="P995" t="n">
        <v>0</v>
      </c>
      <c r="Q995" t="n">
        <v>0</v>
      </c>
      <c r="R995" s="2" t="inlineStr"/>
    </row>
    <row r="996" ht="15" customHeight="1">
      <c r="A996" t="inlineStr">
        <is>
          <t>A 38720-2022</t>
        </is>
      </c>
      <c r="B996" s="1" t="n">
        <v>44815.74539351852</v>
      </c>
      <c r="C996" s="1" t="n">
        <v>46149</v>
      </c>
      <c r="D996" t="inlineStr">
        <is>
          <t>STOCKHOLMS LÄN</t>
        </is>
      </c>
      <c r="E996" t="inlineStr">
        <is>
          <t>NORRTÄLJE</t>
        </is>
      </c>
      <c r="G996" t="n">
        <v>2.5</v>
      </c>
      <c r="H996" t="n">
        <v>0</v>
      </c>
      <c r="I996" t="n">
        <v>0</v>
      </c>
      <c r="J996" t="n">
        <v>0</v>
      </c>
      <c r="K996" t="n">
        <v>0</v>
      </c>
      <c r="L996" t="n">
        <v>0</v>
      </c>
      <c r="M996" t="n">
        <v>0</v>
      </c>
      <c r="N996" t="n">
        <v>0</v>
      </c>
      <c r="O996" t="n">
        <v>0</v>
      </c>
      <c r="P996" t="n">
        <v>0</v>
      </c>
      <c r="Q996" t="n">
        <v>0</v>
      </c>
      <c r="R996" s="2" t="inlineStr"/>
    </row>
    <row r="997" ht="15" customHeight="1">
      <c r="A997" t="inlineStr">
        <is>
          <t>A 10215-2023</t>
        </is>
      </c>
      <c r="B997" s="1" t="n">
        <v>44986.5887962963</v>
      </c>
      <c r="C997" s="1" t="n">
        <v>46149</v>
      </c>
      <c r="D997" t="inlineStr">
        <is>
          <t>STOCKHOLMS LÄN</t>
        </is>
      </c>
      <c r="E997" t="inlineStr">
        <is>
          <t>NORRTÄLJE</t>
        </is>
      </c>
      <c r="G997" t="n">
        <v>6.5</v>
      </c>
      <c r="H997" t="n">
        <v>0</v>
      </c>
      <c r="I997" t="n">
        <v>0</v>
      </c>
      <c r="J997" t="n">
        <v>0</v>
      </c>
      <c r="K997" t="n">
        <v>0</v>
      </c>
      <c r="L997" t="n">
        <v>0</v>
      </c>
      <c r="M997" t="n">
        <v>0</v>
      </c>
      <c r="N997" t="n">
        <v>0</v>
      </c>
      <c r="O997" t="n">
        <v>0</v>
      </c>
      <c r="P997" t="n">
        <v>0</v>
      </c>
      <c r="Q997" t="n">
        <v>0</v>
      </c>
      <c r="R997" s="2" t="inlineStr"/>
    </row>
    <row r="998" ht="15" customHeight="1">
      <c r="A998" t="inlineStr">
        <is>
          <t>A 25609-2023</t>
        </is>
      </c>
      <c r="B998" s="1" t="n">
        <v>45089</v>
      </c>
      <c r="C998" s="1" t="n">
        <v>46149</v>
      </c>
      <c r="D998" t="inlineStr">
        <is>
          <t>STOCKHOLMS LÄN</t>
        </is>
      </c>
      <c r="E998" t="inlineStr">
        <is>
          <t>NORRTÄLJE</t>
        </is>
      </c>
      <c r="G998" t="n">
        <v>2.5</v>
      </c>
      <c r="H998" t="n">
        <v>0</v>
      </c>
      <c r="I998" t="n">
        <v>0</v>
      </c>
      <c r="J998" t="n">
        <v>0</v>
      </c>
      <c r="K998" t="n">
        <v>0</v>
      </c>
      <c r="L998" t="n">
        <v>0</v>
      </c>
      <c r="M998" t="n">
        <v>0</v>
      </c>
      <c r="N998" t="n">
        <v>0</v>
      </c>
      <c r="O998" t="n">
        <v>0</v>
      </c>
      <c r="P998" t="n">
        <v>0</v>
      </c>
      <c r="Q998" t="n">
        <v>0</v>
      </c>
      <c r="R998" s="2" t="inlineStr"/>
    </row>
    <row r="999" ht="15" customHeight="1">
      <c r="A999" t="inlineStr">
        <is>
          <t>A 51532-2025</t>
        </is>
      </c>
      <c r="B999" s="1" t="n">
        <v>45950.68297453703</v>
      </c>
      <c r="C999" s="1" t="n">
        <v>46149</v>
      </c>
      <c r="D999" t="inlineStr">
        <is>
          <t>STOCKHOLMS LÄN</t>
        </is>
      </c>
      <c r="E999" t="inlineStr">
        <is>
          <t>NORRTÄLJE</t>
        </is>
      </c>
      <c r="F999" t="inlineStr">
        <is>
          <t>Naturvårdsverket</t>
        </is>
      </c>
      <c r="G999" t="n">
        <v>17.3</v>
      </c>
      <c r="H999" t="n">
        <v>0</v>
      </c>
      <c r="I999" t="n">
        <v>0</v>
      </c>
      <c r="J999" t="n">
        <v>0</v>
      </c>
      <c r="K999" t="n">
        <v>0</v>
      </c>
      <c r="L999" t="n">
        <v>0</v>
      </c>
      <c r="M999" t="n">
        <v>0</v>
      </c>
      <c r="N999" t="n">
        <v>0</v>
      </c>
      <c r="O999" t="n">
        <v>0</v>
      </c>
      <c r="P999" t="n">
        <v>0</v>
      </c>
      <c r="Q999" t="n">
        <v>0</v>
      </c>
      <c r="R999" s="2" t="inlineStr"/>
    </row>
    <row r="1000" ht="15" customHeight="1">
      <c r="A1000" t="inlineStr">
        <is>
          <t>A 51789-2025</t>
        </is>
      </c>
      <c r="B1000" s="1" t="n">
        <v>45951.68046296296</v>
      </c>
      <c r="C1000" s="1" t="n">
        <v>46149</v>
      </c>
      <c r="D1000" t="inlineStr">
        <is>
          <t>STOCKHOLMS LÄN</t>
        </is>
      </c>
      <c r="E1000" t="inlineStr">
        <is>
          <t>NORRTÄLJE</t>
        </is>
      </c>
      <c r="F1000" t="inlineStr">
        <is>
          <t>Naturvårdsverket</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20014-2025</t>
        </is>
      </c>
      <c r="B1001" s="1" t="n">
        <v>45772.3078125</v>
      </c>
      <c r="C1001" s="1" t="n">
        <v>46149</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20136-2025</t>
        </is>
      </c>
      <c r="B1002" s="1" t="n">
        <v>45772.51127314815</v>
      </c>
      <c r="C1002" s="1" t="n">
        <v>46149</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51960-2025</t>
        </is>
      </c>
      <c r="B1003" s="1" t="n">
        <v>45952.54755787037</v>
      </c>
      <c r="C1003" s="1" t="n">
        <v>46149</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2287-2024</t>
        </is>
      </c>
      <c r="B1004" s="1" t="n">
        <v>45310</v>
      </c>
      <c r="C1004" s="1" t="n">
        <v>46149</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13785-2024</t>
        </is>
      </c>
      <c r="B1005" s="1" t="n">
        <v>45391.3395949074</v>
      </c>
      <c r="C1005" s="1" t="n">
        <v>46149</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44866.49827546296</v>
      </c>
      <c r="C1006" s="1" t="n">
        <v>46149</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44868.45741898148</v>
      </c>
      <c r="C1007" s="1" t="n">
        <v>46149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51941-2025</t>
        </is>
      </c>
      <c r="B1008" s="1" t="n">
        <v>45952.52261574074</v>
      </c>
      <c r="C1008" s="1" t="n">
        <v>46149</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52061-2025</t>
        </is>
      </c>
      <c r="B1009" s="1" t="n">
        <v>45952.63679398148</v>
      </c>
      <c r="C1009" s="1" t="n">
        <v>46149</v>
      </c>
      <c r="D1009" t="inlineStr">
        <is>
          <t>STOCKHOLMS LÄN</t>
        </is>
      </c>
      <c r="E1009" t="inlineStr">
        <is>
          <t>NORRTÄLJE</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51945-2025</t>
        </is>
      </c>
      <c r="B1010" s="1" t="n">
        <v>45952.52679398148</v>
      </c>
      <c r="C1010" s="1" t="n">
        <v>46149</v>
      </c>
      <c r="D1010" t="inlineStr">
        <is>
          <t>STOCKHOLMS LÄN</t>
        </is>
      </c>
      <c r="E1010" t="inlineStr">
        <is>
          <t>NORRTÄLJE</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52251-2025</t>
        </is>
      </c>
      <c r="B1011" s="1" t="n">
        <v>45953.49185185185</v>
      </c>
      <c r="C1011" s="1" t="n">
        <v>46149</v>
      </c>
      <c r="D1011" t="inlineStr">
        <is>
          <t>STOCKHOLMS LÄN</t>
        </is>
      </c>
      <c r="E1011" t="inlineStr">
        <is>
          <t>NORRTÄLJE</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52254-2025</t>
        </is>
      </c>
      <c r="B1012" s="1" t="n">
        <v>45953.49519675926</v>
      </c>
      <c r="C1012" s="1" t="n">
        <v>46149</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52773-2025</t>
        </is>
      </c>
      <c r="B1013" s="1" t="n">
        <v>45957.41457175926</v>
      </c>
      <c r="C1013" s="1" t="n">
        <v>46149</v>
      </c>
      <c r="D1013" t="inlineStr">
        <is>
          <t>STOCKHOLMS LÄN</t>
        </is>
      </c>
      <c r="E1013" t="inlineStr">
        <is>
          <t>NORRTÄLJE</t>
        </is>
      </c>
      <c r="F1013" t="inlineStr">
        <is>
          <t>Sveaskog</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52777-2025</t>
        </is>
      </c>
      <c r="B1014" s="1" t="n">
        <v>45957.41832175926</v>
      </c>
      <c r="C1014" s="1" t="n">
        <v>46149</v>
      </c>
      <c r="D1014" t="inlineStr">
        <is>
          <t>STOCKHOLMS LÄN</t>
        </is>
      </c>
      <c r="E1014" t="inlineStr">
        <is>
          <t>NORRTÄLJE</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60217-2021</t>
        </is>
      </c>
      <c r="B1015" s="1" t="n">
        <v>44495.5893287037</v>
      </c>
      <c r="C1015" s="1" t="n">
        <v>46149</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5839-2023</t>
        </is>
      </c>
      <c r="B1016" s="1" t="n">
        <v>44963</v>
      </c>
      <c r="C1016" s="1" t="n">
        <v>46149</v>
      </c>
      <c r="D1016" t="inlineStr">
        <is>
          <t>STOCKHOLMS LÄN</t>
        </is>
      </c>
      <c r="E1016" t="inlineStr">
        <is>
          <t>NORRTÄLJE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52526-2025</t>
        </is>
      </c>
      <c r="B1017" s="1" t="n">
        <v>45954.53061342592</v>
      </c>
      <c r="C1017" s="1" t="n">
        <v>46149</v>
      </c>
      <c r="D1017" t="inlineStr">
        <is>
          <t>STOCKHOLMS LÄN</t>
        </is>
      </c>
      <c r="E1017" t="inlineStr">
        <is>
          <t>NORRTÄLJE</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53000-2025</t>
        </is>
      </c>
      <c r="B1018" s="1" t="n">
        <v>45957.74357638889</v>
      </c>
      <c r="C1018" s="1" t="n">
        <v>46149</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52703-2025</t>
        </is>
      </c>
      <c r="B1019" s="1" t="n">
        <v>45956.88643518519</v>
      </c>
      <c r="C1019" s="1" t="n">
        <v>46149</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52729-2025</t>
        </is>
      </c>
      <c r="B1020" s="1" t="n">
        <v>45957.3636574074</v>
      </c>
      <c r="C1020" s="1" t="n">
        <v>46149</v>
      </c>
      <c r="D1020" t="inlineStr">
        <is>
          <t>STOCKHOLMS LÄN</t>
        </is>
      </c>
      <c r="E1020" t="inlineStr">
        <is>
          <t>NORRTÄLJE</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52734-2025</t>
        </is>
      </c>
      <c r="B1021" s="1" t="n">
        <v>45957.3710300926</v>
      </c>
      <c r="C1021" s="1" t="n">
        <v>46149</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52776-2025</t>
        </is>
      </c>
      <c r="B1022" s="1" t="n">
        <v>45957.41724537037</v>
      </c>
      <c r="C1022" s="1" t="n">
        <v>46149</v>
      </c>
      <c r="D1022" t="inlineStr">
        <is>
          <t>STOCKHOLMS LÄN</t>
        </is>
      </c>
      <c r="E1022" t="inlineStr">
        <is>
          <t>NORRTÄLJE</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38985-2022</t>
        </is>
      </c>
      <c r="B1023" s="1" t="n">
        <v>44816</v>
      </c>
      <c r="C1023" s="1" t="n">
        <v>46149</v>
      </c>
      <c r="D1023" t="inlineStr">
        <is>
          <t>STOCKHOLMS LÄN</t>
        </is>
      </c>
      <c r="E1023" t="inlineStr">
        <is>
          <t>NORRTÄLJE</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52529-2025</t>
        </is>
      </c>
      <c r="B1024" s="1" t="n">
        <v>45954.53229166667</v>
      </c>
      <c r="C1024" s="1" t="n">
        <v>46149</v>
      </c>
      <c r="D1024" t="inlineStr">
        <is>
          <t>STOCKHOLMS LÄN</t>
        </is>
      </c>
      <c r="E1024" t="inlineStr">
        <is>
          <t>NORRTÄLJE</t>
        </is>
      </c>
      <c r="F1024" t="inlineStr">
        <is>
          <t>Sveaskog</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52704-2025</t>
        </is>
      </c>
      <c r="B1025" s="1" t="n">
        <v>45956.89097222222</v>
      </c>
      <c r="C1025" s="1" t="n">
        <v>46149</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52553-2025</t>
        </is>
      </c>
      <c r="B1026" s="1" t="n">
        <v>45954.5624537037</v>
      </c>
      <c r="C1026" s="1" t="n">
        <v>46149</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5665-2025</t>
        </is>
      </c>
      <c r="B1027" s="1" t="n">
        <v>45693</v>
      </c>
      <c r="C1027" s="1" t="n">
        <v>46149</v>
      </c>
      <c r="D1027" t="inlineStr">
        <is>
          <t>STOCKHOLMS LÄN</t>
        </is>
      </c>
      <c r="E1027" t="inlineStr">
        <is>
          <t>NORRTÄLJE</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3426-2025</t>
        </is>
      </c>
      <c r="B1028" s="1" t="n">
        <v>45680.42665509259</v>
      </c>
      <c r="C1028" s="1" t="n">
        <v>46149</v>
      </c>
      <c r="D1028" t="inlineStr">
        <is>
          <t>STOCKHOLMS LÄN</t>
        </is>
      </c>
      <c r="E1028" t="inlineStr">
        <is>
          <t>NORRTÄLJE</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58530-2024</t>
        </is>
      </c>
      <c r="B1029" s="1" t="n">
        <v>45635.44788194444</v>
      </c>
      <c r="C1029" s="1" t="n">
        <v>46149</v>
      </c>
      <c r="D1029" t="inlineStr">
        <is>
          <t>STOCKHOLMS LÄN</t>
        </is>
      </c>
      <c r="E1029" t="inlineStr">
        <is>
          <t>NORRTÄLJE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22421-2021</t>
        </is>
      </c>
      <c r="B1030" s="1" t="n">
        <v>44326</v>
      </c>
      <c r="C1030" s="1" t="n">
        <v>46149</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53299-2025</t>
        </is>
      </c>
      <c r="B1031" s="1" t="n">
        <v>45959.31901620371</v>
      </c>
      <c r="C1031" s="1" t="n">
        <v>46149</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53087-2025</t>
        </is>
      </c>
      <c r="B1032" s="1" t="n">
        <v>45958.41065972222</v>
      </c>
      <c r="C1032" s="1" t="n">
        <v>46149</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40761-2024</t>
        </is>
      </c>
      <c r="B1033" s="1" t="n">
        <v>45558.46283564815</v>
      </c>
      <c r="C1033" s="1" t="n">
        <v>46149</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53115-2025</t>
        </is>
      </c>
      <c r="B1034" s="1" t="n">
        <v>45958.44614583333</v>
      </c>
      <c r="C1034" s="1" t="n">
        <v>46149</v>
      </c>
      <c r="D1034" t="inlineStr">
        <is>
          <t>STOCKHOLMS LÄN</t>
        </is>
      </c>
      <c r="E1034" t="inlineStr">
        <is>
          <t>NORRTÄLJE</t>
        </is>
      </c>
      <c r="F1034" t="inlineStr">
        <is>
          <t>Kyrkan</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53629-2025</t>
        </is>
      </c>
      <c r="B1035" s="1" t="n">
        <v>45960.49570601852</v>
      </c>
      <c r="C1035" s="1" t="n">
        <v>46149</v>
      </c>
      <c r="D1035" t="inlineStr">
        <is>
          <t>STOCKHOLMS LÄN</t>
        </is>
      </c>
      <c r="E1035" t="inlineStr">
        <is>
          <t>NORRTÄLJE</t>
        </is>
      </c>
      <c r="F1035" t="inlineStr">
        <is>
          <t>Naturvårdsverket</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53747-2025</t>
        </is>
      </c>
      <c r="B1036" s="1" t="n">
        <v>45960.65415509259</v>
      </c>
      <c r="C1036" s="1" t="n">
        <v>46149</v>
      </c>
      <c r="D1036" t="inlineStr">
        <is>
          <t>STOCKHOLMS LÄN</t>
        </is>
      </c>
      <c r="E1036" t="inlineStr">
        <is>
          <t>NORRTÄLJE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44956.65920138889</v>
      </c>
      <c r="C1037" s="1" t="n">
        <v>46149</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4593-2023</t>
        </is>
      </c>
      <c r="B1038" s="1" t="n">
        <v>44956</v>
      </c>
      <c r="C1038" s="1" t="n">
        <v>46149</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13171-2025</t>
        </is>
      </c>
      <c r="B1039" s="1" t="n">
        <v>45735.36594907408</v>
      </c>
      <c r="C1039" s="1" t="n">
        <v>46149</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51978-2023</t>
        </is>
      </c>
      <c r="B1040" s="1" t="n">
        <v>45223</v>
      </c>
      <c r="C1040" s="1" t="n">
        <v>46149</v>
      </c>
      <c r="D1040" t="inlineStr">
        <is>
          <t>STOCKHOLMS LÄN</t>
        </is>
      </c>
      <c r="E1040" t="inlineStr">
        <is>
          <t>NORRTÄLJE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18092-2022</t>
        </is>
      </c>
      <c r="B1041" s="1" t="n">
        <v>44684</v>
      </c>
      <c r="C1041" s="1" t="n">
        <v>46149</v>
      </c>
      <c r="D1041" t="inlineStr">
        <is>
          <t>STOCKHOLMS LÄN</t>
        </is>
      </c>
      <c r="E1041" t="inlineStr">
        <is>
          <t>NORRTÄLJE</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59310-2023</t>
        </is>
      </c>
      <c r="B1042" s="1" t="n">
        <v>45253.61146990741</v>
      </c>
      <c r="C1042" s="1" t="n">
        <v>46149</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9329-2023</t>
        </is>
      </c>
      <c r="B1043" s="1" t="n">
        <v>44980</v>
      </c>
      <c r="C1043" s="1" t="n">
        <v>46149</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59878-2024</t>
        </is>
      </c>
      <c r="B1044" s="1" t="n">
        <v>45640.60240740741</v>
      </c>
      <c r="C1044" s="1" t="n">
        <v>46149</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41335-2023</t>
        </is>
      </c>
      <c r="B1045" s="1" t="n">
        <v>45174.68702546296</v>
      </c>
      <c r="C1045" s="1" t="n">
        <v>46149</v>
      </c>
      <c r="D1045" t="inlineStr">
        <is>
          <t>STOCKHOLMS LÄN</t>
        </is>
      </c>
      <c r="E1045" t="inlineStr">
        <is>
          <t>NORRTÄLJE</t>
        </is>
      </c>
      <c r="F1045" t="inlineStr">
        <is>
          <t>Holmen skog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33040-2021</t>
        </is>
      </c>
      <c r="B1046" s="1" t="n">
        <v>44376.50728009259</v>
      </c>
      <c r="C1046" s="1" t="n">
        <v>46149</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33053-2021</t>
        </is>
      </c>
      <c r="B1047" s="1" t="n">
        <v>44376</v>
      </c>
      <c r="C1047" s="1" t="n">
        <v>46149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43150-2023</t>
        </is>
      </c>
      <c r="B1048" s="1" t="n">
        <v>45183</v>
      </c>
      <c r="C1048" s="1" t="n">
        <v>46149</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54259-2023</t>
        </is>
      </c>
      <c r="B1049" s="1" t="n">
        <v>45232</v>
      </c>
      <c r="C1049" s="1" t="n">
        <v>46149</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60822-2023</t>
        </is>
      </c>
      <c r="B1050" s="1" t="n">
        <v>45259</v>
      </c>
      <c r="C1050" s="1" t="n">
        <v>46149</v>
      </c>
      <c r="D1050" t="inlineStr">
        <is>
          <t>STOCKHOLMS LÄN</t>
        </is>
      </c>
      <c r="E1050" t="inlineStr">
        <is>
          <t>NORRTÄLJE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54907-2025</t>
        </is>
      </c>
      <c r="B1051" s="1" t="n">
        <v>45967.37137731481</v>
      </c>
      <c r="C1051" s="1" t="n">
        <v>46149</v>
      </c>
      <c r="D1051" t="inlineStr">
        <is>
          <t>STOCKHOLMS LÄN</t>
        </is>
      </c>
      <c r="E1051" t="inlineStr">
        <is>
          <t>NORRTÄLJE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27381-2024</t>
        </is>
      </c>
      <c r="B1052" s="1" t="n">
        <v>45473.94501157408</v>
      </c>
      <c r="C1052" s="1" t="n">
        <v>46149</v>
      </c>
      <c r="D1052" t="inlineStr">
        <is>
          <t>STOCKHOLMS LÄN</t>
        </is>
      </c>
      <c r="E1052" t="inlineStr">
        <is>
          <t>NORRTÄLJE</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55503-2025</t>
        </is>
      </c>
      <c r="B1053" s="1" t="n">
        <v>45971</v>
      </c>
      <c r="C1053" s="1" t="n">
        <v>46149</v>
      </c>
      <c r="D1053" t="inlineStr">
        <is>
          <t>STOCKHOLMS LÄN</t>
        </is>
      </c>
      <c r="E1053" t="inlineStr">
        <is>
          <t>NORRTÄLJE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23265-2023</t>
        </is>
      </c>
      <c r="B1054" s="1" t="n">
        <v>45075.90703703704</v>
      </c>
      <c r="C1054" s="1" t="n">
        <v>46149</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26117-2024</t>
        </is>
      </c>
      <c r="B1055" s="1" t="n">
        <v>45468.45877314815</v>
      </c>
      <c r="C1055" s="1" t="n">
        <v>46149</v>
      </c>
      <c r="D1055" t="inlineStr">
        <is>
          <t>STOCKHOLMS LÄN</t>
        </is>
      </c>
      <c r="E1055" t="inlineStr">
        <is>
          <t>NORRTÄLJE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55599-2025</t>
        </is>
      </c>
      <c r="B1056" s="1" t="n">
        <v>45971.76810185185</v>
      </c>
      <c r="C1056" s="1" t="n">
        <v>46149</v>
      </c>
      <c r="D1056" t="inlineStr">
        <is>
          <t>STOCKHOLMS LÄN</t>
        </is>
      </c>
      <c r="E1056" t="inlineStr">
        <is>
          <t>NORRTÄLJE</t>
        </is>
      </c>
      <c r="F1056" t="inlineStr">
        <is>
          <t>Holmen skog AB</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56114-2025</t>
        </is>
      </c>
      <c r="B1057" s="1" t="n">
        <v>45973.74474537037</v>
      </c>
      <c r="C1057" s="1" t="n">
        <v>46149</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56207-2025</t>
        </is>
      </c>
      <c r="B1058" s="1" t="n">
        <v>45974.47329861111</v>
      </c>
      <c r="C1058" s="1" t="n">
        <v>46149</v>
      </c>
      <c r="D1058" t="inlineStr">
        <is>
          <t>STOCKHOLMS LÄN</t>
        </is>
      </c>
      <c r="E1058" t="inlineStr">
        <is>
          <t>NORRTÄLJE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58403-2025</t>
        </is>
      </c>
      <c r="B1059" s="1" t="n">
        <v>45985.56777777777</v>
      </c>
      <c r="C1059" s="1" t="n">
        <v>46149</v>
      </c>
      <c r="D1059" t="inlineStr">
        <is>
          <t>STOCKHOLMS LÄN</t>
        </is>
      </c>
      <c r="E1059" t="inlineStr">
        <is>
          <t>NORRTÄLJE</t>
        </is>
      </c>
      <c r="F1059" t="inlineStr">
        <is>
          <t>Naturvårdsverket</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58142-2025</t>
        </is>
      </c>
      <c r="B1060" s="1" t="n">
        <v>45982.63791666667</v>
      </c>
      <c r="C1060" s="1" t="n">
        <v>46149</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57953-2025</t>
        </is>
      </c>
      <c r="B1061" s="1" t="n">
        <v>45982.35016203704</v>
      </c>
      <c r="C1061" s="1" t="n">
        <v>46149</v>
      </c>
      <c r="D1061" t="inlineStr">
        <is>
          <t>STOCKHOLMS LÄN</t>
        </is>
      </c>
      <c r="E1061" t="inlineStr">
        <is>
          <t>NORRTÄLJE</t>
        </is>
      </c>
      <c r="F1061" t="inlineStr">
        <is>
          <t>Sveaskog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58939-2025</t>
        </is>
      </c>
      <c r="B1062" s="1" t="n">
        <v>45987.5681712963</v>
      </c>
      <c r="C1062" s="1" t="n">
        <v>46149</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59041-2025</t>
        </is>
      </c>
      <c r="B1063" s="1" t="n">
        <v>45988</v>
      </c>
      <c r="C1063" s="1" t="n">
        <v>46149</v>
      </c>
      <c r="D1063" t="inlineStr">
        <is>
          <t>STOCKHOLMS LÄN</t>
        </is>
      </c>
      <c r="E1063" t="inlineStr">
        <is>
          <t>NORRTÄLJE</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59914-2025</t>
        </is>
      </c>
      <c r="B1064" s="1" t="n">
        <v>45993.37056712963</v>
      </c>
      <c r="C1064" s="1" t="n">
        <v>46149</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59672-2025</t>
        </is>
      </c>
      <c r="B1065" s="1" t="n">
        <v>45992.45884259259</v>
      </c>
      <c r="C1065" s="1" t="n">
        <v>46149</v>
      </c>
      <c r="D1065" t="inlineStr">
        <is>
          <t>STOCKHOLMS LÄN</t>
        </is>
      </c>
      <c r="E1065" t="inlineStr">
        <is>
          <t>NORRTÄLJE</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57788-2025</t>
        </is>
      </c>
      <c r="B1066" s="1" t="n">
        <v>45981.5778125</v>
      </c>
      <c r="C1066" s="1" t="n">
        <v>46149</v>
      </c>
      <c r="D1066" t="inlineStr">
        <is>
          <t>STOCKHOLMS LÄN</t>
        </is>
      </c>
      <c r="E1066" t="inlineStr">
        <is>
          <t>NORRTÄLJE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59907-2025</t>
        </is>
      </c>
      <c r="B1067" s="1" t="n">
        <v>45993.35350694445</v>
      </c>
      <c r="C1067" s="1" t="n">
        <v>46149</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59924-2025</t>
        </is>
      </c>
      <c r="B1068" s="1" t="n">
        <v>45993.38928240741</v>
      </c>
      <c r="C1068" s="1" t="n">
        <v>46149</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60253-2025</t>
        </is>
      </c>
      <c r="B1069" s="1" t="n">
        <v>45994.59827546297</v>
      </c>
      <c r="C1069" s="1" t="n">
        <v>46149</v>
      </c>
      <c r="D1069" t="inlineStr">
        <is>
          <t>STOCKHOLMS LÄN</t>
        </is>
      </c>
      <c r="E1069" t="inlineStr">
        <is>
          <t>NORRTÄLJE</t>
        </is>
      </c>
      <c r="F1069" t="inlineStr">
        <is>
          <t>Holmen skog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60214-2025</t>
        </is>
      </c>
      <c r="B1070" s="1" t="n">
        <v>45994.53761574074</v>
      </c>
      <c r="C1070" s="1" t="n">
        <v>46149</v>
      </c>
      <c r="D1070" t="inlineStr">
        <is>
          <t>STOCKHOLMS LÄN</t>
        </is>
      </c>
      <c r="E1070" t="inlineStr">
        <is>
          <t>NORRTÄLJE</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60223-2025</t>
        </is>
      </c>
      <c r="B1071" s="1" t="n">
        <v>45994.54497685185</v>
      </c>
      <c r="C1071" s="1" t="n">
        <v>46149</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60745-2025</t>
        </is>
      </c>
      <c r="B1072" s="1" t="n">
        <v>45999.37753472223</v>
      </c>
      <c r="C1072" s="1" t="n">
        <v>46149</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60649-2025</t>
        </is>
      </c>
      <c r="B1073" s="1" t="n">
        <v>45996.4560300926</v>
      </c>
      <c r="C1073" s="1" t="n">
        <v>46149</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60948-2025</t>
        </is>
      </c>
      <c r="B1074" s="1" t="n">
        <v>45999.650625</v>
      </c>
      <c r="C1074" s="1" t="n">
        <v>46149</v>
      </c>
      <c r="D1074" t="inlineStr">
        <is>
          <t>STOCKHOLMS LÄN</t>
        </is>
      </c>
      <c r="E1074" t="inlineStr">
        <is>
          <t>NORRTÄLJE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60928-2025</t>
        </is>
      </c>
      <c r="B1075" s="1" t="n">
        <v>45999.633125</v>
      </c>
      <c r="C1075" s="1" t="n">
        <v>46149</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61160-2025</t>
        </is>
      </c>
      <c r="B1076" s="1" t="n">
        <v>46000.55262731481</v>
      </c>
      <c r="C1076" s="1" t="n">
        <v>46149</v>
      </c>
      <c r="D1076" t="inlineStr">
        <is>
          <t>STOCKHOLMS LÄN</t>
        </is>
      </c>
      <c r="E1076" t="inlineStr">
        <is>
          <t>NORRTÄLJE</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61419-2025</t>
        </is>
      </c>
      <c r="B1077" s="1" t="n">
        <v>46001.54137731482</v>
      </c>
      <c r="C1077" s="1" t="n">
        <v>46149</v>
      </c>
      <c r="D1077" t="inlineStr">
        <is>
          <t>STOCKHOLMS LÄN</t>
        </is>
      </c>
      <c r="E1077" t="inlineStr">
        <is>
          <t>NORRTÄLJE</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61430-2025</t>
        </is>
      </c>
      <c r="B1078" s="1" t="n">
        <v>46001.55583333333</v>
      </c>
      <c r="C1078" s="1" t="n">
        <v>46149</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61452-2025</t>
        </is>
      </c>
      <c r="B1079" s="1" t="n">
        <v>46001.58043981482</v>
      </c>
      <c r="C1079" s="1" t="n">
        <v>46149</v>
      </c>
      <c r="D1079" t="inlineStr">
        <is>
          <t>STOCKHOLMS LÄN</t>
        </is>
      </c>
      <c r="E1079" t="inlineStr">
        <is>
          <t>NORRTÄLJE</t>
        </is>
      </c>
      <c r="F1079" t="inlineStr">
        <is>
          <t>Holmen skog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61289-2025</t>
        </is>
      </c>
      <c r="B1080" s="1" t="n">
        <v>46000.73659722223</v>
      </c>
      <c r="C1080" s="1" t="n">
        <v>46149</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61769-2025</t>
        </is>
      </c>
      <c r="B1081" s="1" t="n">
        <v>46002.64556712963</v>
      </c>
      <c r="C1081" s="1" t="n">
        <v>46149</v>
      </c>
      <c r="D1081" t="inlineStr">
        <is>
          <t>STOCKHOLMS LÄN</t>
        </is>
      </c>
      <c r="E1081" t="inlineStr">
        <is>
          <t>NORRTÄLJE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61764-2025</t>
        </is>
      </c>
      <c r="B1082" s="1" t="n">
        <v>46002.62763888889</v>
      </c>
      <c r="C1082" s="1" t="n">
        <v>46149</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33279-2025</t>
        </is>
      </c>
      <c r="B1083" s="1" t="n">
        <v>45840</v>
      </c>
      <c r="C1083" s="1" t="n">
        <v>46149</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53499-2025</t>
        </is>
      </c>
      <c r="B1084" s="1" t="n">
        <v>45960</v>
      </c>
      <c r="C1084" s="1" t="n">
        <v>46149</v>
      </c>
      <c r="D1084" t="inlineStr">
        <is>
          <t>STOCKHOLMS LÄN</t>
        </is>
      </c>
      <c r="E1084" t="inlineStr">
        <is>
          <t>NORRTÄLJE</t>
        </is>
      </c>
      <c r="G1084" t="n">
        <v>23.8</v>
      </c>
      <c r="H1084" t="n">
        <v>0</v>
      </c>
      <c r="I1084" t="n">
        <v>0</v>
      </c>
      <c r="J1084" t="n">
        <v>0</v>
      </c>
      <c r="K1084" t="n">
        <v>0</v>
      </c>
      <c r="L1084" t="n">
        <v>0</v>
      </c>
      <c r="M1084" t="n">
        <v>0</v>
      </c>
      <c r="N1084" t="n">
        <v>0</v>
      </c>
      <c r="O1084" t="n">
        <v>0</v>
      </c>
      <c r="P1084" t="n">
        <v>0</v>
      </c>
      <c r="Q1084" t="n">
        <v>0</v>
      </c>
      <c r="R1084" s="2" t="inlineStr"/>
    </row>
    <row r="1085" ht="15" customHeight="1">
      <c r="A1085" t="inlineStr">
        <is>
          <t>A 62708-2025</t>
        </is>
      </c>
      <c r="B1085" s="1" t="n">
        <v>46008.50986111111</v>
      </c>
      <c r="C1085" s="1" t="n">
        <v>46149</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34478-2025</t>
        </is>
      </c>
      <c r="B1086" s="1" t="n">
        <v>45847</v>
      </c>
      <c r="C1086" s="1" t="n">
        <v>46149</v>
      </c>
      <c r="D1086" t="inlineStr">
        <is>
          <t>STOCKHOLMS LÄN</t>
        </is>
      </c>
      <c r="E1086" t="inlineStr">
        <is>
          <t>NORRTÄLJE</t>
        </is>
      </c>
      <c r="F1086" t="inlineStr">
        <is>
          <t>Övriga Aktiebolag</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62681-2025</t>
        </is>
      </c>
      <c r="B1087" s="1" t="n">
        <v>46008.45534722223</v>
      </c>
      <c r="C1087" s="1" t="n">
        <v>46149</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62922-2025</t>
        </is>
      </c>
      <c r="B1088" s="1" t="n">
        <v>46009.38064814815</v>
      </c>
      <c r="C1088" s="1" t="n">
        <v>46149</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62689-2025</t>
        </is>
      </c>
      <c r="B1089" s="1" t="n">
        <v>46008.47171296296</v>
      </c>
      <c r="C1089" s="1" t="n">
        <v>46149</v>
      </c>
      <c r="D1089" t="inlineStr">
        <is>
          <t>STOCKHOLMS LÄN</t>
        </is>
      </c>
      <c r="E1089" t="inlineStr">
        <is>
          <t>NORRTÄLJE</t>
        </is>
      </c>
      <c r="F1089" t="inlineStr">
        <is>
          <t>Kyrkan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197-2026</t>
        </is>
      </c>
      <c r="B1090" s="1" t="n">
        <v>46026</v>
      </c>
      <c r="C1090" s="1" t="n">
        <v>46149</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124-2026</t>
        </is>
      </c>
      <c r="B1091" s="1" t="n">
        <v>46024.58378472222</v>
      </c>
      <c r="C1091" s="1" t="n">
        <v>46149</v>
      </c>
      <c r="D1091" t="inlineStr">
        <is>
          <t>STOCKHOLMS LÄN</t>
        </is>
      </c>
      <c r="E1091" t="inlineStr">
        <is>
          <t>NORRTÄLJE</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718-2026</t>
        </is>
      </c>
      <c r="B1092" s="1" t="n">
        <v>46029.63174768518</v>
      </c>
      <c r="C1092" s="1" t="n">
        <v>46149</v>
      </c>
      <c r="D1092" t="inlineStr">
        <is>
          <t>STOCKHOLMS LÄN</t>
        </is>
      </c>
      <c r="E1092" t="inlineStr">
        <is>
          <t>NORRTÄLJE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694-2026</t>
        </is>
      </c>
      <c r="B1093" s="1" t="n">
        <v>46029.61375</v>
      </c>
      <c r="C1093" s="1" t="n">
        <v>46149</v>
      </c>
      <c r="D1093" t="inlineStr">
        <is>
          <t>STOCKHOLMS LÄN</t>
        </is>
      </c>
      <c r="E1093" t="inlineStr">
        <is>
          <t>NORRTÄLJE</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693-2026</t>
        </is>
      </c>
      <c r="B1094" s="1" t="n">
        <v>46029.6133449074</v>
      </c>
      <c r="C1094" s="1" t="n">
        <v>46149</v>
      </c>
      <c r="D1094" t="inlineStr">
        <is>
          <t>STOCKHOLMS LÄN</t>
        </is>
      </c>
      <c r="E1094" t="inlineStr">
        <is>
          <t>NORRTÄLJE</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475-2026</t>
        </is>
      </c>
      <c r="B1095" s="1" t="n">
        <v>46029.39351851852</v>
      </c>
      <c r="C1095" s="1" t="n">
        <v>46149</v>
      </c>
      <c r="D1095" t="inlineStr">
        <is>
          <t>STOCKHOLMS LÄN</t>
        </is>
      </c>
      <c r="E1095" t="inlineStr">
        <is>
          <t>NORRTÄLJE</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717-2026</t>
        </is>
      </c>
      <c r="B1096" s="1" t="n">
        <v>46029.63028935185</v>
      </c>
      <c r="C1096" s="1" t="n">
        <v>46149</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812-2026</t>
        </is>
      </c>
      <c r="B1097" s="1" t="n">
        <v>46030.33358796296</v>
      </c>
      <c r="C1097" s="1" t="n">
        <v>46149</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1755-2026</t>
        </is>
      </c>
      <c r="B1098" s="1" t="n">
        <v>46034.66230324074</v>
      </c>
      <c r="C1098" s="1" t="n">
        <v>46149</v>
      </c>
      <c r="D1098" t="inlineStr">
        <is>
          <t>STOCKHOLMS LÄN</t>
        </is>
      </c>
      <c r="E1098" t="inlineStr">
        <is>
          <t>NORRTÄLJE</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1789-2026</t>
        </is>
      </c>
      <c r="B1099" s="1" t="n">
        <v>46034</v>
      </c>
      <c r="C1099" s="1" t="n">
        <v>46149</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2088-2026</t>
        </is>
      </c>
      <c r="B1100" s="1" t="n">
        <v>46036.35909722222</v>
      </c>
      <c r="C1100" s="1" t="n">
        <v>46149</v>
      </c>
      <c r="D1100" t="inlineStr">
        <is>
          <t>STOCKHOLMS LÄN</t>
        </is>
      </c>
      <c r="E1100" t="inlineStr">
        <is>
          <t>NORRTÄLJE</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2116-2026</t>
        </is>
      </c>
      <c r="B1101" s="1" t="n">
        <v>46036.38108796296</v>
      </c>
      <c r="C1101" s="1" t="n">
        <v>46149</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3549-2026</t>
        </is>
      </c>
      <c r="B1102" s="1" t="n">
        <v>46042</v>
      </c>
      <c r="C1102" s="1" t="n">
        <v>46149</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4227-2026</t>
        </is>
      </c>
      <c r="B1103" s="1" t="n">
        <v>46044</v>
      </c>
      <c r="C1103" s="1" t="n">
        <v>46149</v>
      </c>
      <c r="D1103" t="inlineStr">
        <is>
          <t>STOCKHOLMS LÄN</t>
        </is>
      </c>
      <c r="E1103" t="inlineStr">
        <is>
          <t>NORRTÄLJE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4230-2026</t>
        </is>
      </c>
      <c r="B1104" s="1" t="n">
        <v>46044.89366898148</v>
      </c>
      <c r="C1104" s="1" t="n">
        <v>46149</v>
      </c>
      <c r="D1104" t="inlineStr">
        <is>
          <t>STOCKHOLMS LÄN</t>
        </is>
      </c>
      <c r="E1104" t="inlineStr">
        <is>
          <t>NORRTÄLJE</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4231-2026</t>
        </is>
      </c>
      <c r="B1105" s="1" t="n">
        <v>46044</v>
      </c>
      <c r="C1105" s="1" t="n">
        <v>46149</v>
      </c>
      <c r="D1105" t="inlineStr">
        <is>
          <t>STOCKHOLMS LÄN</t>
        </is>
      </c>
      <c r="E1105" t="inlineStr">
        <is>
          <t>NORRTÄLJE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4232-2026</t>
        </is>
      </c>
      <c r="B1106" s="1" t="n">
        <v>46044.89594907407</v>
      </c>
      <c r="C1106" s="1" t="n">
        <v>46149</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3933-2026</t>
        </is>
      </c>
      <c r="B1107" s="1" t="n">
        <v>46043.79916666666</v>
      </c>
      <c r="C1107" s="1" t="n">
        <v>46149</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4235-2026</t>
        </is>
      </c>
      <c r="B1108" s="1" t="n">
        <v>46044</v>
      </c>
      <c r="C1108" s="1" t="n">
        <v>46149</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4549-2026</t>
        </is>
      </c>
      <c r="B1109" s="1" t="n">
        <v>46047</v>
      </c>
      <c r="C1109" s="1" t="n">
        <v>46149</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4886-2026</t>
        </is>
      </c>
      <c r="B1110" s="1" t="n">
        <v>46048.66328703704</v>
      </c>
      <c r="C1110" s="1" t="n">
        <v>46149</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5226-2026</t>
        </is>
      </c>
      <c r="B1111" s="1" t="n">
        <v>46049.79961805556</v>
      </c>
      <c r="C1111" s="1" t="n">
        <v>46149</v>
      </c>
      <c r="D1111" t="inlineStr">
        <is>
          <t>STOCKHOLMS LÄN</t>
        </is>
      </c>
      <c r="E1111" t="inlineStr">
        <is>
          <t>NORRTÄLJE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5224-2026</t>
        </is>
      </c>
      <c r="B1112" s="1" t="n">
        <v>46049.79521990741</v>
      </c>
      <c r="C1112" s="1" t="n">
        <v>46149</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5227-2026</t>
        </is>
      </c>
      <c r="B1113" s="1" t="n">
        <v>46049.80460648148</v>
      </c>
      <c r="C1113" s="1" t="n">
        <v>46149</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5241-2026</t>
        </is>
      </c>
      <c r="B1114" s="1" t="n">
        <v>46049.86471064815</v>
      </c>
      <c r="C1114" s="1" t="n">
        <v>46149</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39610-2025</t>
        </is>
      </c>
      <c r="B1115" s="1" t="n">
        <v>45890</v>
      </c>
      <c r="C1115" s="1" t="n">
        <v>46149</v>
      </c>
      <c r="D1115" t="inlineStr">
        <is>
          <t>STOCKHOLMS LÄN</t>
        </is>
      </c>
      <c r="E1115" t="inlineStr">
        <is>
          <t>NORRTÄLJE</t>
        </is>
      </c>
      <c r="G1115" t="n">
        <v>28.6</v>
      </c>
      <c r="H1115" t="n">
        <v>0</v>
      </c>
      <c r="I1115" t="n">
        <v>0</v>
      </c>
      <c r="J1115" t="n">
        <v>0</v>
      </c>
      <c r="K1115" t="n">
        <v>0</v>
      </c>
      <c r="L1115" t="n">
        <v>0</v>
      </c>
      <c r="M1115" t="n">
        <v>0</v>
      </c>
      <c r="N1115" t="n">
        <v>0</v>
      </c>
      <c r="O1115" t="n">
        <v>0</v>
      </c>
      <c r="P1115" t="n">
        <v>0</v>
      </c>
      <c r="Q1115" t="n">
        <v>0</v>
      </c>
      <c r="R1115" s="2" t="inlineStr"/>
    </row>
    <row r="1116" ht="15" customHeight="1">
      <c r="A1116" t="inlineStr">
        <is>
          <t>A 5934-2026</t>
        </is>
      </c>
      <c r="B1116" s="1" t="n">
        <v>46052.47082175926</v>
      </c>
      <c r="C1116" s="1" t="n">
        <v>46149</v>
      </c>
      <c r="D1116" t="inlineStr">
        <is>
          <t>STOCKHOLMS LÄN</t>
        </is>
      </c>
      <c r="E1116" t="inlineStr">
        <is>
          <t>NORRTÄLJE</t>
        </is>
      </c>
      <c r="F1116" t="inlineStr">
        <is>
          <t>Holmen skog AB</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6724-2026</t>
        </is>
      </c>
      <c r="B1117" s="1" t="n">
        <v>46056.67717592593</v>
      </c>
      <c r="C1117" s="1" t="n">
        <v>46149</v>
      </c>
      <c r="D1117" t="inlineStr">
        <is>
          <t>STOCKHOLMS LÄN</t>
        </is>
      </c>
      <c r="E1117" t="inlineStr">
        <is>
          <t>NORRTÄLJE</t>
        </is>
      </c>
      <c r="F1117" t="inlineStr">
        <is>
          <t>Holmen skog AB</t>
        </is>
      </c>
      <c r="G1117" t="n">
        <v>16.2</v>
      </c>
      <c r="H1117" t="n">
        <v>0</v>
      </c>
      <c r="I1117" t="n">
        <v>0</v>
      </c>
      <c r="J1117" t="n">
        <v>0</v>
      </c>
      <c r="K1117" t="n">
        <v>0</v>
      </c>
      <c r="L1117" t="n">
        <v>0</v>
      </c>
      <c r="M1117" t="n">
        <v>0</v>
      </c>
      <c r="N1117" t="n">
        <v>0</v>
      </c>
      <c r="O1117" t="n">
        <v>0</v>
      </c>
      <c r="P1117" t="n">
        <v>0</v>
      </c>
      <c r="Q1117" t="n">
        <v>0</v>
      </c>
      <c r="R1117" s="2" t="inlineStr"/>
    </row>
    <row r="1118" ht="15" customHeight="1">
      <c r="A1118" t="inlineStr">
        <is>
          <t>A 6828-2026</t>
        </is>
      </c>
      <c r="B1118" s="1" t="n">
        <v>46057</v>
      </c>
      <c r="C1118" s="1" t="n">
        <v>46149</v>
      </c>
      <c r="D1118" t="inlineStr">
        <is>
          <t>STOCKHOLMS LÄN</t>
        </is>
      </c>
      <c r="E1118" t="inlineStr">
        <is>
          <t>NORRTÄLJE</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6838-2026</t>
        </is>
      </c>
      <c r="B1119" s="1" t="n">
        <v>46057.41151620371</v>
      </c>
      <c r="C1119" s="1" t="n">
        <v>46149</v>
      </c>
      <c r="D1119" t="inlineStr">
        <is>
          <t>STOCKHOLMS LÄN</t>
        </is>
      </c>
      <c r="E1119" t="inlineStr">
        <is>
          <t>NORRTÄLJE</t>
        </is>
      </c>
      <c r="F1119" t="inlineStr">
        <is>
          <t>Holmen skog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6874-2026</t>
        </is>
      </c>
      <c r="B1120" s="1" t="n">
        <v>46057.45295138889</v>
      </c>
      <c r="C1120" s="1" t="n">
        <v>46149</v>
      </c>
      <c r="D1120" t="inlineStr">
        <is>
          <t>STOCKHOLMS LÄN</t>
        </is>
      </c>
      <c r="E1120" t="inlineStr">
        <is>
          <t>NORRTÄLJE</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6532-2026</t>
        </is>
      </c>
      <c r="B1121" s="1" t="n">
        <v>46056.41300925926</v>
      </c>
      <c r="C1121" s="1" t="n">
        <v>46149</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6701-2026</t>
        </is>
      </c>
      <c r="B1122" s="1" t="n">
        <v>46056</v>
      </c>
      <c r="C1122" s="1" t="n">
        <v>46149</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7308-2026</t>
        </is>
      </c>
      <c r="B1123" s="1" t="n">
        <v>46058.66025462963</v>
      </c>
      <c r="C1123" s="1" t="n">
        <v>46149</v>
      </c>
      <c r="D1123" t="inlineStr">
        <is>
          <t>STOCKHOLMS LÄN</t>
        </is>
      </c>
      <c r="E1123" t="inlineStr">
        <is>
          <t>NORRTÄLJE</t>
        </is>
      </c>
      <c r="F1123" t="inlineStr">
        <is>
          <t>Holmen skog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7532-2026</t>
        </is>
      </c>
      <c r="B1124" s="1" t="n">
        <v>46059</v>
      </c>
      <c r="C1124" s="1" t="n">
        <v>46149</v>
      </c>
      <c r="D1124" t="inlineStr">
        <is>
          <t>STOCKHOLMS LÄN</t>
        </is>
      </c>
      <c r="E1124" t="inlineStr">
        <is>
          <t>NORRTÄLJE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8055-2026</t>
        </is>
      </c>
      <c r="B1125" s="1" t="n">
        <v>46063.62002314815</v>
      </c>
      <c r="C1125" s="1" t="n">
        <v>46149</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7793-2026</t>
        </is>
      </c>
      <c r="B1126" s="1" t="n">
        <v>46062.59496527778</v>
      </c>
      <c r="C1126" s="1" t="n">
        <v>46149</v>
      </c>
      <c r="D1126" t="inlineStr">
        <is>
          <t>STOCKHOLMS LÄN</t>
        </is>
      </c>
      <c r="E1126" t="inlineStr">
        <is>
          <t>NORRTÄLJE</t>
        </is>
      </c>
      <c r="F1126" t="inlineStr">
        <is>
          <t>Holmen skog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8096-2026</t>
        </is>
      </c>
      <c r="B1127" s="1" t="n">
        <v>46063.714375</v>
      </c>
      <c r="C1127" s="1" t="n">
        <v>46149</v>
      </c>
      <c r="D1127" t="inlineStr">
        <is>
          <t>STOCKHOLMS LÄN</t>
        </is>
      </c>
      <c r="E1127" t="inlineStr">
        <is>
          <t>NORRTÄLJE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7723-2026</t>
        </is>
      </c>
      <c r="B1128" s="1" t="n">
        <v>46062.49905092592</v>
      </c>
      <c r="C1128" s="1" t="n">
        <v>46149</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7729-2026</t>
        </is>
      </c>
      <c r="B1129" s="1" t="n">
        <v>46062.51100694444</v>
      </c>
      <c r="C1129" s="1" t="n">
        <v>46149</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7582-2026</t>
        </is>
      </c>
      <c r="B1130" s="1" t="n">
        <v>46061</v>
      </c>
      <c r="C1130" s="1" t="n">
        <v>46149</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8091-2026</t>
        </is>
      </c>
      <c r="B1131" s="1" t="n">
        <v>46063.70944444444</v>
      </c>
      <c r="C1131" s="1" t="n">
        <v>46149</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8410-2026</t>
        </is>
      </c>
      <c r="B1132" s="1" t="n">
        <v>46065.34261574074</v>
      </c>
      <c r="C1132" s="1" t="n">
        <v>46149</v>
      </c>
      <c r="D1132" t="inlineStr">
        <is>
          <t>STOCKHOLMS LÄN</t>
        </is>
      </c>
      <c r="E1132" t="inlineStr">
        <is>
          <t>NORRTÄLJE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8489-2026</t>
        </is>
      </c>
      <c r="B1133" s="1" t="n">
        <v>46065.48268518518</v>
      </c>
      <c r="C1133" s="1" t="n">
        <v>46149</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8465-2026</t>
        </is>
      </c>
      <c r="B1134" s="1" t="n">
        <v>46065.44141203703</v>
      </c>
      <c r="C1134" s="1" t="n">
        <v>46149</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15836-2026</t>
        </is>
      </c>
      <c r="B1135" s="1" t="n">
        <v>46107.56134259259</v>
      </c>
      <c r="C1135" s="1" t="n">
        <v>46149</v>
      </c>
      <c r="D1135" t="inlineStr">
        <is>
          <t>STOCKHOLMS LÄN</t>
        </is>
      </c>
      <c r="E1135" t="inlineStr">
        <is>
          <t>NORRTÄLJE</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8454-2026</t>
        </is>
      </c>
      <c r="B1136" s="1" t="n">
        <v>46065.42506944444</v>
      </c>
      <c r="C1136" s="1" t="n">
        <v>46149</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16243-2026</t>
        </is>
      </c>
      <c r="B1137" s="1" t="n">
        <v>46111.45902777778</v>
      </c>
      <c r="C1137" s="1" t="n">
        <v>46149</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9103-2026</t>
        </is>
      </c>
      <c r="B1138" s="1" t="n">
        <v>46069.65039351852</v>
      </c>
      <c r="C1138" s="1" t="n">
        <v>46149</v>
      </c>
      <c r="D1138" t="inlineStr">
        <is>
          <t>STOCKHOLMS LÄN</t>
        </is>
      </c>
      <c r="E1138" t="inlineStr">
        <is>
          <t>NORRTÄLJE</t>
        </is>
      </c>
      <c r="F1138" t="inlineStr">
        <is>
          <t>Holmen skog AB</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8989-2026</t>
        </is>
      </c>
      <c r="B1139" s="1" t="n">
        <v>46069.45789351852</v>
      </c>
      <c r="C1139" s="1" t="n">
        <v>46149</v>
      </c>
      <c r="D1139" t="inlineStr">
        <is>
          <t>STOCKHOLMS LÄN</t>
        </is>
      </c>
      <c r="E1139" t="inlineStr">
        <is>
          <t>NORRTÄLJE</t>
        </is>
      </c>
      <c r="F1139" t="inlineStr">
        <is>
          <t>Holmen skog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16229-2026</t>
        </is>
      </c>
      <c r="B1140" s="1" t="n">
        <v>46111.45084490741</v>
      </c>
      <c r="C1140" s="1" t="n">
        <v>46149</v>
      </c>
      <c r="D1140" t="inlineStr">
        <is>
          <t>STOCKHOLMS LÄN</t>
        </is>
      </c>
      <c r="E1140" t="inlineStr">
        <is>
          <t>NORRTÄLJE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8985-2026</t>
        </is>
      </c>
      <c r="B1141" s="1" t="n">
        <v>46069.45234953704</v>
      </c>
      <c r="C1141" s="1" t="n">
        <v>46149</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8962-2026</t>
        </is>
      </c>
      <c r="B1142" s="1" t="n">
        <v>46069.41644675926</v>
      </c>
      <c r="C1142" s="1" t="n">
        <v>46149</v>
      </c>
      <c r="D1142" t="inlineStr">
        <is>
          <t>STOCKHOLMS LÄN</t>
        </is>
      </c>
      <c r="E1142" t="inlineStr">
        <is>
          <t>NORRTÄLJE</t>
        </is>
      </c>
      <c r="F1142" t="inlineStr">
        <is>
          <t>Holmen skog AB</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9720-2026</t>
        </is>
      </c>
      <c r="B1143" s="1" t="n">
        <v>46072.45061342593</v>
      </c>
      <c r="C1143" s="1" t="n">
        <v>46149</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17025-2026</t>
        </is>
      </c>
      <c r="B1144" s="1" t="n">
        <v>46113</v>
      </c>
      <c r="C1144" s="1" t="n">
        <v>46149</v>
      </c>
      <c r="D1144" t="inlineStr">
        <is>
          <t>STOCKHOLMS LÄN</t>
        </is>
      </c>
      <c r="E1144" t="inlineStr">
        <is>
          <t>NORRTÄLJE</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10646-2026</t>
        </is>
      </c>
      <c r="B1145" s="1" t="n">
        <v>46078.34157407407</v>
      </c>
      <c r="C1145" s="1" t="n">
        <v>46149</v>
      </c>
      <c r="D1145" t="inlineStr">
        <is>
          <t>STOCKHOLMS LÄN</t>
        </is>
      </c>
      <c r="E1145" t="inlineStr">
        <is>
          <t>NORRTÄLJE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10399-2026</t>
        </is>
      </c>
      <c r="B1146" s="1" t="n">
        <v>46077</v>
      </c>
      <c r="C1146" s="1" t="n">
        <v>46149</v>
      </c>
      <c r="D1146" t="inlineStr">
        <is>
          <t>STOCKHOLMS LÄN</t>
        </is>
      </c>
      <c r="E1146" t="inlineStr">
        <is>
          <t>NORRTÄLJE</t>
        </is>
      </c>
      <c r="F1146" t="inlineStr">
        <is>
          <t>Övriga Aktiebolag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17209-2026</t>
        </is>
      </c>
      <c r="B1147" s="1" t="n">
        <v>46119.33341435185</v>
      </c>
      <c r="C1147" s="1" t="n">
        <v>46149</v>
      </c>
      <c r="D1147" t="inlineStr">
        <is>
          <t>STOCKHOLMS LÄN</t>
        </is>
      </c>
      <c r="E1147" t="inlineStr">
        <is>
          <t>NORRTÄLJE</t>
        </is>
      </c>
      <c r="F1147" t="inlineStr">
        <is>
          <t>Holmen skog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10586-2026</t>
        </is>
      </c>
      <c r="B1148" s="1" t="n">
        <v>46077.68192129629</v>
      </c>
      <c r="C1148" s="1" t="n">
        <v>46149</v>
      </c>
      <c r="D1148" t="inlineStr">
        <is>
          <t>STOCKHOLMS LÄN</t>
        </is>
      </c>
      <c r="E1148" t="inlineStr">
        <is>
          <t>NORRTÄLJE</t>
        </is>
      </c>
      <c r="F1148" t="inlineStr">
        <is>
          <t>Holmen skog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10429-2026</t>
        </is>
      </c>
      <c r="B1149" s="1" t="n">
        <v>46077.3822337963</v>
      </c>
      <c r="C1149" s="1" t="n">
        <v>46149</v>
      </c>
      <c r="D1149" t="inlineStr">
        <is>
          <t>STOCKHOLMS LÄN</t>
        </is>
      </c>
      <c r="E1149" t="inlineStr">
        <is>
          <t>NORRTÄLJE</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17215-2026</t>
        </is>
      </c>
      <c r="B1150" s="1" t="n">
        <v>46119.36524305555</v>
      </c>
      <c r="C1150" s="1" t="n">
        <v>46149</v>
      </c>
      <c r="D1150" t="inlineStr">
        <is>
          <t>STOCKHOLMS LÄN</t>
        </is>
      </c>
      <c r="E1150" t="inlineStr">
        <is>
          <t>NORRTÄLJE</t>
        </is>
      </c>
      <c r="F1150" t="inlineStr">
        <is>
          <t>Holmen skog AB</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17220-2026</t>
        </is>
      </c>
      <c r="B1151" s="1" t="n">
        <v>46119.37436342592</v>
      </c>
      <c r="C1151" s="1" t="n">
        <v>46149</v>
      </c>
      <c r="D1151" t="inlineStr">
        <is>
          <t>STOCKHOLMS LÄN</t>
        </is>
      </c>
      <c r="E1151" t="inlineStr">
        <is>
          <t>NORRTÄLJE</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10553-2026</t>
        </is>
      </c>
      <c r="B1152" s="1" t="n">
        <v>46077.62944444444</v>
      </c>
      <c r="C1152" s="1" t="n">
        <v>46149</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17207-2026</t>
        </is>
      </c>
      <c r="B1153" s="1" t="n">
        <v>46119.31914351852</v>
      </c>
      <c r="C1153" s="1" t="n">
        <v>46149</v>
      </c>
      <c r="D1153" t="inlineStr">
        <is>
          <t>STOCKHOLMS LÄN</t>
        </is>
      </c>
      <c r="E1153" t="inlineStr">
        <is>
          <t>NORRTÄLJE</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10444-2026</t>
        </is>
      </c>
      <c r="B1154" s="1" t="n">
        <v>46077.42230324074</v>
      </c>
      <c r="C1154" s="1" t="n">
        <v>46149</v>
      </c>
      <c r="D1154" t="inlineStr">
        <is>
          <t>STOCKHOLMS LÄN</t>
        </is>
      </c>
      <c r="E1154" t="inlineStr">
        <is>
          <t>NORRTÄLJE</t>
        </is>
      </c>
      <c r="F1154" t="inlineStr">
        <is>
          <t>Holmen skog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17651-2026</t>
        </is>
      </c>
      <c r="B1155" s="1" t="n">
        <v>46121.55334490741</v>
      </c>
      <c r="C1155" s="1" t="n">
        <v>46149</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11648-2026</t>
        </is>
      </c>
      <c r="B1156" s="1" t="n">
        <v>46084.51575231482</v>
      </c>
      <c r="C1156" s="1" t="n">
        <v>46149</v>
      </c>
      <c r="D1156" t="inlineStr">
        <is>
          <t>STOCKHOLMS LÄN</t>
        </is>
      </c>
      <c r="E1156" t="inlineStr">
        <is>
          <t>NORRTÄLJE</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12234-2026</t>
        </is>
      </c>
      <c r="B1157" s="1" t="n">
        <v>46087.4091087963</v>
      </c>
      <c r="C1157" s="1" t="n">
        <v>46149</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19170-2026</t>
        </is>
      </c>
      <c r="B1158" s="1" t="n">
        <v>46132.5859837963</v>
      </c>
      <c r="C1158" s="1" t="n">
        <v>46149</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19129-2026</t>
        </is>
      </c>
      <c r="B1159" s="1" t="n">
        <v>46132.48601851852</v>
      </c>
      <c r="C1159" s="1" t="n">
        <v>46149</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12718-2026</t>
        </is>
      </c>
      <c r="B1160" s="1" t="n">
        <v>46091.60412037037</v>
      </c>
      <c r="C1160" s="1" t="n">
        <v>46149</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19688-2026</t>
        </is>
      </c>
      <c r="B1161" s="1" t="n">
        <v>46134.67685185185</v>
      </c>
      <c r="C1161" s="1" t="n">
        <v>46149</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12703-2026</t>
        </is>
      </c>
      <c r="B1162" s="1" t="n">
        <v>46091.58175925926</v>
      </c>
      <c r="C1162" s="1" t="n">
        <v>46149</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19352-2026</t>
        </is>
      </c>
      <c r="B1163" s="1" t="n">
        <v>46133.47344907407</v>
      </c>
      <c r="C1163" s="1" t="n">
        <v>46149</v>
      </c>
      <c r="D1163" t="inlineStr">
        <is>
          <t>STOCKHOLMS LÄN</t>
        </is>
      </c>
      <c r="E1163" t="inlineStr">
        <is>
          <t>NORRTÄLJE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19358-2026</t>
        </is>
      </c>
      <c r="B1164" s="1" t="n">
        <v>46133.4978125</v>
      </c>
      <c r="C1164" s="1" t="n">
        <v>46149</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13544-2026</t>
        </is>
      </c>
      <c r="B1165" s="1" t="n">
        <v>46094.68538194444</v>
      </c>
      <c r="C1165" s="1" t="n">
        <v>46149</v>
      </c>
      <c r="D1165" t="inlineStr">
        <is>
          <t>STOCKHOLMS LÄN</t>
        </is>
      </c>
      <c r="E1165" t="inlineStr">
        <is>
          <t>NORRTÄLJE</t>
        </is>
      </c>
      <c r="F1165" t="inlineStr">
        <is>
          <t>Holmen skog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13204-2026</t>
        </is>
      </c>
      <c r="B1166" s="1" t="n">
        <v>46093.60788194444</v>
      </c>
      <c r="C1166" s="1" t="n">
        <v>46149</v>
      </c>
      <c r="D1166" t="inlineStr">
        <is>
          <t>STOCKHOLMS LÄN</t>
        </is>
      </c>
      <c r="E1166" t="inlineStr">
        <is>
          <t>NORRTÄLJE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13545-2026</t>
        </is>
      </c>
      <c r="B1167" s="1" t="n">
        <v>46094.6911574074</v>
      </c>
      <c r="C1167" s="1" t="n">
        <v>46149</v>
      </c>
      <c r="D1167" t="inlineStr">
        <is>
          <t>STOCKHOLMS LÄN</t>
        </is>
      </c>
      <c r="E1167" t="inlineStr">
        <is>
          <t>NORRTÄLJE</t>
        </is>
      </c>
      <c r="F1167" t="inlineStr">
        <is>
          <t>Holmen skog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13109-2026</t>
        </is>
      </c>
      <c r="B1168" s="1" t="n">
        <v>46093.42730324074</v>
      </c>
      <c r="C1168" s="1" t="n">
        <v>46149</v>
      </c>
      <c r="D1168" t="inlineStr">
        <is>
          <t>STOCKHOLMS LÄN</t>
        </is>
      </c>
      <c r="E1168" t="inlineStr">
        <is>
          <t>NORRTÄLJE</t>
        </is>
      </c>
      <c r="G1168" t="n">
        <v>4</v>
      </c>
      <c r="H1168" t="n">
        <v>0</v>
      </c>
      <c r="I1168" t="n">
        <v>0</v>
      </c>
      <c r="J1168" t="n">
        <v>0</v>
      </c>
      <c r="K1168" t="n">
        <v>0</v>
      </c>
      <c r="L1168" t="n">
        <v>0</v>
      </c>
      <c r="M1168" t="n">
        <v>0</v>
      </c>
      <c r="N1168" t="n">
        <v>0</v>
      </c>
      <c r="O1168" t="n">
        <v>0</v>
      </c>
      <c r="P1168" t="n">
        <v>0</v>
      </c>
      <c r="Q1168" t="n">
        <v>0</v>
      </c>
      <c r="R1168" s="2" t="inlineStr"/>
    </row>
    <row r="1169">
      <c r="A1169" t="inlineStr">
        <is>
          <t>A 13122-2026</t>
        </is>
      </c>
      <c r="B1169" s="1" t="n">
        <v>46093.45657407407</v>
      </c>
      <c r="C1169" s="1" t="n">
        <v>46149</v>
      </c>
      <c r="D1169" t="inlineStr">
        <is>
          <t>STOCKHOLMS LÄN</t>
        </is>
      </c>
      <c r="E1169" t="inlineStr">
        <is>
          <t>NORRTÄLJE</t>
        </is>
      </c>
      <c r="G1169" t="n">
        <v>4</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2026-05-07T11:05:27Z</dcterms:created>
  <dcterms:modified xmlns:dcterms="http://purl.org/dc/terms/" xmlns:xsi="http://www.w3.org/2001/XMLSchema-instance" xsi:type="dcterms:W3CDTF">2026-05-07T11:05:28Z</dcterms:modified>
</cp:coreProperties>
</file>