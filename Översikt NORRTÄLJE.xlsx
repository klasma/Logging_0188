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45755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45755</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45755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45755</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45755</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45755</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45755</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45755</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45755</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45755</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45755</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45755</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45755</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45755</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45755</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45755</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45755</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45755</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45755</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45755</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45755</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45755</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45755</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45755</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45755</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45755</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45755</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45755</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45755</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45755</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45755</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45755</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45755</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45755</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45755</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45755</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45755</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45755</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45755</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45755</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45755</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45755</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45755</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45755</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45755</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45755</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45755</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45755</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45755</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45755</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45755</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45755</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45755</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45755</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45755</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45755</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45755</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45755</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45755</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45755</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45755</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45755</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45755</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45755</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45755</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45755</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45755</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45755</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45755</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45755</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45755</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45755</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45755</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45755</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45755</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45755</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45755</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45755</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45755</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45755</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45755</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45755</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45755</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45755</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45755</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45755</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45755</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45755</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45755</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45755</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45755</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45755</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45755</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45755</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45755</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45755</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45755</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45755</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45755</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45755</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45755</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45755</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45755</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45755</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45755</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45755</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45755</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45755</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45755</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45755</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45755</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45755</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45755</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45755</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45755</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45755</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45755</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45755</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45755</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45755</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45755</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45755</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45755</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45755</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45755</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45755</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45755</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45755</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45755</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45755</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45755</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45755</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45755</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45755</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45755</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45755</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45755</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45755</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45755</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45755</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45755</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45755</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45755</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45755</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45755</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45755</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45755</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45755</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45755</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45755</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45755</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45755</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45755</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45755</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45755</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45755</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45755</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45755</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45755</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45755</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45755</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45755</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45755</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45755</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45755</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45755</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45755</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45755</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45755</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45755</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45755</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45755</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45755</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45755</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45755</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45755</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45755</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45755</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45755</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45755</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45755</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45755</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45755</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45755</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45755</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45755</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45755</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45755</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45755</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45755</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45755</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45755</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45755</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45755</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45755</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45755</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45755</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45755</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16870-2025</t>
        </is>
      </c>
      <c r="B213" s="1" t="n">
        <v>45754</v>
      </c>
      <c r="C213" s="1" t="n">
        <v>45755</v>
      </c>
      <c r="D213" t="inlineStr">
        <is>
          <t>STOCKHOLMS LÄN</t>
        </is>
      </c>
      <c r="E213" t="inlineStr">
        <is>
          <t>NORRTÄLJE</t>
        </is>
      </c>
      <c r="G213" t="n">
        <v>24.6</v>
      </c>
      <c r="H213" t="n">
        <v>1</v>
      </c>
      <c r="I213" t="n">
        <v>0</v>
      </c>
      <c r="J213" t="n">
        <v>0</v>
      </c>
      <c r="K213" t="n">
        <v>0</v>
      </c>
      <c r="L213" t="n">
        <v>0</v>
      </c>
      <c r="M213" t="n">
        <v>0</v>
      </c>
      <c r="N213" t="n">
        <v>0</v>
      </c>
      <c r="O213" t="n">
        <v>0</v>
      </c>
      <c r="P213" t="n">
        <v>0</v>
      </c>
      <c r="Q213" t="n">
        <v>1</v>
      </c>
      <c r="R213" s="2" t="inlineStr">
        <is>
          <t>Vanlig groda</t>
        </is>
      </c>
      <c r="S213">
        <f>HYPERLINK("https://klasma.github.io/Logging_010188/artfynd/A 16870-2025 artfynd.xlsx", "A 16870-2025")</f>
        <v/>
      </c>
      <c r="T213">
        <f>HYPERLINK("https://klasma.github.io/Logging_010188/kartor/A 16870-2025 karta.png", "A 16870-2025")</f>
        <v/>
      </c>
      <c r="V213">
        <f>HYPERLINK("https://klasma.github.io/Logging_010188/klagomål/A 16870-2025 FSC-klagomål.docx", "A 16870-2025")</f>
        <v/>
      </c>
      <c r="W213">
        <f>HYPERLINK("https://klasma.github.io/Logging_010188/klagomålsmail/A 16870-2025 FSC-klagomål mail.docx", "A 16870-2025")</f>
        <v/>
      </c>
      <c r="X213">
        <f>HYPERLINK("https://klasma.github.io/Logging_010188/tillsyn/A 16870-2025 tillsynsbegäran.docx", "A 16870-2025")</f>
        <v/>
      </c>
      <c r="Y213">
        <f>HYPERLINK("https://klasma.github.io/Logging_010188/tillsynsmail/A 16870-2025 tillsynsbegäran mail.docx", "A 16870-2025")</f>
        <v/>
      </c>
    </row>
    <row r="214" ht="15" customHeight="1">
      <c r="A214" t="inlineStr">
        <is>
          <t>A 17752-2019</t>
        </is>
      </c>
      <c r="B214" s="1" t="n">
        <v>43556</v>
      </c>
      <c r="C214" s="1" t="n">
        <v>45755</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17795-2019</t>
        </is>
      </c>
      <c r="B215" s="1" t="n">
        <v>43556</v>
      </c>
      <c r="C215" s="1" t="n">
        <v>45755</v>
      </c>
      <c r="D215" t="inlineStr">
        <is>
          <t>STOCKHOLMS LÄN</t>
        </is>
      </c>
      <c r="E215" t="inlineStr">
        <is>
          <t>NORRTÄLJE</t>
        </is>
      </c>
      <c r="G215" t="n">
        <v>0.8</v>
      </c>
      <c r="H215" t="n">
        <v>0</v>
      </c>
      <c r="I215" t="n">
        <v>0</v>
      </c>
      <c r="J215" t="n">
        <v>0</v>
      </c>
      <c r="K215" t="n">
        <v>0</v>
      </c>
      <c r="L215" t="n">
        <v>0</v>
      </c>
      <c r="M215" t="n">
        <v>0</v>
      </c>
      <c r="N215" t="n">
        <v>0</v>
      </c>
      <c r="O215" t="n">
        <v>0</v>
      </c>
      <c r="P215" t="n">
        <v>0</v>
      </c>
      <c r="Q215" t="n">
        <v>0</v>
      </c>
      <c r="R215" s="2" t="inlineStr"/>
    </row>
    <row r="216" ht="15" customHeight="1">
      <c r="A216" t="inlineStr">
        <is>
          <t>A 17757-2019</t>
        </is>
      </c>
      <c r="B216" s="1" t="n">
        <v>43556</v>
      </c>
      <c r="C216" s="1" t="n">
        <v>45755</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17963-2019</t>
        </is>
      </c>
      <c r="B217" s="1" t="n">
        <v>43557</v>
      </c>
      <c r="C217" s="1" t="n">
        <v>45755</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18378-2019</t>
        </is>
      </c>
      <c r="B218" s="1" t="n">
        <v>43559</v>
      </c>
      <c r="C218" s="1" t="n">
        <v>45755</v>
      </c>
      <c r="D218" t="inlineStr">
        <is>
          <t>STOCKHOLMS LÄN</t>
        </is>
      </c>
      <c r="E218" t="inlineStr">
        <is>
          <t>NORRTÄLJE</t>
        </is>
      </c>
      <c r="G218" t="n">
        <v>5.8</v>
      </c>
      <c r="H218" t="n">
        <v>0</v>
      </c>
      <c r="I218" t="n">
        <v>0</v>
      </c>
      <c r="J218" t="n">
        <v>0</v>
      </c>
      <c r="K218" t="n">
        <v>0</v>
      </c>
      <c r="L218" t="n">
        <v>0</v>
      </c>
      <c r="M218" t="n">
        <v>0</v>
      </c>
      <c r="N218" t="n">
        <v>0</v>
      </c>
      <c r="O218" t="n">
        <v>0</v>
      </c>
      <c r="P218" t="n">
        <v>0</v>
      </c>
      <c r="Q218" t="n">
        <v>0</v>
      </c>
      <c r="R218" s="2" t="inlineStr"/>
    </row>
    <row r="219" ht="15" customHeight="1">
      <c r="A219" t="inlineStr">
        <is>
          <t>A 18664-2019</t>
        </is>
      </c>
      <c r="B219" s="1" t="n">
        <v>43560</v>
      </c>
      <c r="C219" s="1" t="n">
        <v>45755</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18767-2019</t>
        </is>
      </c>
      <c r="B220" s="1" t="n">
        <v>43560</v>
      </c>
      <c r="C220" s="1" t="n">
        <v>45755</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18820-2019</t>
        </is>
      </c>
      <c r="B221" s="1" t="n">
        <v>43563</v>
      </c>
      <c r="C221" s="1" t="n">
        <v>45755</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18890-2019</t>
        </is>
      </c>
      <c r="B222" s="1" t="n">
        <v>43563</v>
      </c>
      <c r="C222" s="1" t="n">
        <v>45755</v>
      </c>
      <c r="D222" t="inlineStr">
        <is>
          <t>STOCKHOLMS LÄN</t>
        </is>
      </c>
      <c r="E222" t="inlineStr">
        <is>
          <t>NORRTÄLJE</t>
        </is>
      </c>
      <c r="G222" t="n">
        <v>4.7</v>
      </c>
      <c r="H222" t="n">
        <v>0</v>
      </c>
      <c r="I222" t="n">
        <v>0</v>
      </c>
      <c r="J222" t="n">
        <v>0</v>
      </c>
      <c r="K222" t="n">
        <v>0</v>
      </c>
      <c r="L222" t="n">
        <v>0</v>
      </c>
      <c r="M222" t="n">
        <v>0</v>
      </c>
      <c r="N222" t="n">
        <v>0</v>
      </c>
      <c r="O222" t="n">
        <v>0</v>
      </c>
      <c r="P222" t="n">
        <v>0</v>
      </c>
      <c r="Q222" t="n">
        <v>0</v>
      </c>
      <c r="R222" s="2" t="inlineStr"/>
    </row>
    <row r="223" ht="15" customHeight="1">
      <c r="A223" t="inlineStr">
        <is>
          <t>A 18909-2019</t>
        </is>
      </c>
      <c r="B223" s="1" t="n">
        <v>43563</v>
      </c>
      <c r="C223" s="1" t="n">
        <v>45755</v>
      </c>
      <c r="D223" t="inlineStr">
        <is>
          <t>STOCKHOLMS LÄN</t>
        </is>
      </c>
      <c r="E223" t="inlineStr">
        <is>
          <t>NORRTÄLJE</t>
        </is>
      </c>
      <c r="G223" t="n">
        <v>2.9</v>
      </c>
      <c r="H223" t="n">
        <v>0</v>
      </c>
      <c r="I223" t="n">
        <v>0</v>
      </c>
      <c r="J223" t="n">
        <v>0</v>
      </c>
      <c r="K223" t="n">
        <v>0</v>
      </c>
      <c r="L223" t="n">
        <v>0</v>
      </c>
      <c r="M223" t="n">
        <v>0</v>
      </c>
      <c r="N223" t="n">
        <v>0</v>
      </c>
      <c r="O223" t="n">
        <v>0</v>
      </c>
      <c r="P223" t="n">
        <v>0</v>
      </c>
      <c r="Q223" t="n">
        <v>0</v>
      </c>
      <c r="R223" s="2" t="inlineStr"/>
    </row>
    <row r="224" ht="15" customHeight="1">
      <c r="A224" t="inlineStr">
        <is>
          <t>A 19026-2019</t>
        </is>
      </c>
      <c r="B224" s="1" t="n">
        <v>43563</v>
      </c>
      <c r="C224" s="1" t="n">
        <v>45755</v>
      </c>
      <c r="D224" t="inlineStr">
        <is>
          <t>STOCKHOLMS LÄN</t>
        </is>
      </c>
      <c r="E224" t="inlineStr">
        <is>
          <t>NORRTÄLJE</t>
        </is>
      </c>
      <c r="G224" t="n">
        <v>4.4</v>
      </c>
      <c r="H224" t="n">
        <v>0</v>
      </c>
      <c r="I224" t="n">
        <v>0</v>
      </c>
      <c r="J224" t="n">
        <v>0</v>
      </c>
      <c r="K224" t="n">
        <v>0</v>
      </c>
      <c r="L224" t="n">
        <v>0</v>
      </c>
      <c r="M224" t="n">
        <v>0</v>
      </c>
      <c r="N224" t="n">
        <v>0</v>
      </c>
      <c r="O224" t="n">
        <v>0</v>
      </c>
      <c r="P224" t="n">
        <v>0</v>
      </c>
      <c r="Q224" t="n">
        <v>0</v>
      </c>
      <c r="R224" s="2" t="inlineStr"/>
    </row>
    <row r="225" ht="15" customHeight="1">
      <c r="A225" t="inlineStr">
        <is>
          <t>A 19014-2019</t>
        </is>
      </c>
      <c r="B225" s="1" t="n">
        <v>43563</v>
      </c>
      <c r="C225" s="1" t="n">
        <v>45755</v>
      </c>
      <c r="D225" t="inlineStr">
        <is>
          <t>STOCKHOLMS LÄN</t>
        </is>
      </c>
      <c r="E225" t="inlineStr">
        <is>
          <t>NORRTÄLJE</t>
        </is>
      </c>
      <c r="G225" t="n">
        <v>2.2</v>
      </c>
      <c r="H225" t="n">
        <v>0</v>
      </c>
      <c r="I225" t="n">
        <v>0</v>
      </c>
      <c r="J225" t="n">
        <v>0</v>
      </c>
      <c r="K225" t="n">
        <v>0</v>
      </c>
      <c r="L225" t="n">
        <v>0</v>
      </c>
      <c r="M225" t="n">
        <v>0</v>
      </c>
      <c r="N225" t="n">
        <v>0</v>
      </c>
      <c r="O225" t="n">
        <v>0</v>
      </c>
      <c r="P225" t="n">
        <v>0</v>
      </c>
      <c r="Q225" t="n">
        <v>0</v>
      </c>
      <c r="R225" s="2" t="inlineStr"/>
    </row>
    <row r="226" ht="15" customHeight="1">
      <c r="A226" t="inlineStr">
        <is>
          <t>A 19247-2019</t>
        </is>
      </c>
      <c r="B226" s="1" t="n">
        <v>43564</v>
      </c>
      <c r="C226" s="1" t="n">
        <v>45755</v>
      </c>
      <c r="D226" t="inlineStr">
        <is>
          <t>STOCKHOLMS LÄN</t>
        </is>
      </c>
      <c r="E226" t="inlineStr">
        <is>
          <t>NORRTÄLJE</t>
        </is>
      </c>
      <c r="G226" t="n">
        <v>1.8</v>
      </c>
      <c r="H226" t="n">
        <v>0</v>
      </c>
      <c r="I226" t="n">
        <v>0</v>
      </c>
      <c r="J226" t="n">
        <v>0</v>
      </c>
      <c r="K226" t="n">
        <v>0</v>
      </c>
      <c r="L226" t="n">
        <v>0</v>
      </c>
      <c r="M226" t="n">
        <v>0</v>
      </c>
      <c r="N226" t="n">
        <v>0</v>
      </c>
      <c r="O226" t="n">
        <v>0</v>
      </c>
      <c r="P226" t="n">
        <v>0</v>
      </c>
      <c r="Q226" t="n">
        <v>0</v>
      </c>
      <c r="R226" s="2" t="inlineStr"/>
    </row>
    <row r="227" ht="15" customHeight="1">
      <c r="A227" t="inlineStr">
        <is>
          <t>A 19255-2019</t>
        </is>
      </c>
      <c r="B227" s="1" t="n">
        <v>43564</v>
      </c>
      <c r="C227" s="1" t="n">
        <v>45755</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19302-2019</t>
        </is>
      </c>
      <c r="B228" s="1" t="n">
        <v>43565</v>
      </c>
      <c r="C228" s="1" t="n">
        <v>45755</v>
      </c>
      <c r="D228" t="inlineStr">
        <is>
          <t>STOCKHOLMS LÄN</t>
        </is>
      </c>
      <c r="E228" t="inlineStr">
        <is>
          <t>NORRTÄLJE</t>
        </is>
      </c>
      <c r="F228" t="inlineStr">
        <is>
          <t>Kommuner</t>
        </is>
      </c>
      <c r="G228" t="n">
        <v>4.2</v>
      </c>
      <c r="H228" t="n">
        <v>0</v>
      </c>
      <c r="I228" t="n">
        <v>0</v>
      </c>
      <c r="J228" t="n">
        <v>0</v>
      </c>
      <c r="K228" t="n">
        <v>0</v>
      </c>
      <c r="L228" t="n">
        <v>0</v>
      </c>
      <c r="M228" t="n">
        <v>0</v>
      </c>
      <c r="N228" t="n">
        <v>0</v>
      </c>
      <c r="O228" t="n">
        <v>0</v>
      </c>
      <c r="P228" t="n">
        <v>0</v>
      </c>
      <c r="Q228" t="n">
        <v>0</v>
      </c>
      <c r="R228" s="2" t="inlineStr"/>
    </row>
    <row r="229" ht="15" customHeight="1">
      <c r="A229" t="inlineStr">
        <is>
          <t>A 19301-2019</t>
        </is>
      </c>
      <c r="B229" s="1" t="n">
        <v>43565</v>
      </c>
      <c r="C229" s="1" t="n">
        <v>45755</v>
      </c>
      <c r="D229" t="inlineStr">
        <is>
          <t>STOCKHOLMS LÄN</t>
        </is>
      </c>
      <c r="E229" t="inlineStr">
        <is>
          <t>NORRTÄLJE</t>
        </is>
      </c>
      <c r="F229" t="inlineStr">
        <is>
          <t>Kommuner</t>
        </is>
      </c>
      <c r="G229" t="n">
        <v>3.9</v>
      </c>
      <c r="H229" t="n">
        <v>0</v>
      </c>
      <c r="I229" t="n">
        <v>0</v>
      </c>
      <c r="J229" t="n">
        <v>0</v>
      </c>
      <c r="K229" t="n">
        <v>0</v>
      </c>
      <c r="L229" t="n">
        <v>0</v>
      </c>
      <c r="M229" t="n">
        <v>0</v>
      </c>
      <c r="N229" t="n">
        <v>0</v>
      </c>
      <c r="O229" t="n">
        <v>0</v>
      </c>
      <c r="P229" t="n">
        <v>0</v>
      </c>
      <c r="Q229" t="n">
        <v>0</v>
      </c>
      <c r="R229" s="2" t="inlineStr"/>
    </row>
    <row r="230" ht="15" customHeight="1">
      <c r="A230" t="inlineStr">
        <is>
          <t>A 19297-2019</t>
        </is>
      </c>
      <c r="B230" s="1" t="n">
        <v>43565</v>
      </c>
      <c r="C230" s="1" t="n">
        <v>45755</v>
      </c>
      <c r="D230" t="inlineStr">
        <is>
          <t>STOCKHOLMS LÄN</t>
        </is>
      </c>
      <c r="E230" t="inlineStr">
        <is>
          <t>NORRTÄLJE</t>
        </is>
      </c>
      <c r="F230" t="inlineStr">
        <is>
          <t>Kommuner</t>
        </is>
      </c>
      <c r="G230" t="n">
        <v>1.2</v>
      </c>
      <c r="H230" t="n">
        <v>0</v>
      </c>
      <c r="I230" t="n">
        <v>0</v>
      </c>
      <c r="J230" t="n">
        <v>0</v>
      </c>
      <c r="K230" t="n">
        <v>0</v>
      </c>
      <c r="L230" t="n">
        <v>0</v>
      </c>
      <c r="M230" t="n">
        <v>0</v>
      </c>
      <c r="N230" t="n">
        <v>0</v>
      </c>
      <c r="O230" t="n">
        <v>0</v>
      </c>
      <c r="P230" t="n">
        <v>0</v>
      </c>
      <c r="Q230" t="n">
        <v>0</v>
      </c>
      <c r="R230" s="2" t="inlineStr"/>
    </row>
    <row r="231" ht="15" customHeight="1">
      <c r="A231" t="inlineStr">
        <is>
          <t>A 19537-2019</t>
        </is>
      </c>
      <c r="B231" s="1" t="n">
        <v>43565</v>
      </c>
      <c r="C231" s="1" t="n">
        <v>45755</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19539-2019</t>
        </is>
      </c>
      <c r="B232" s="1" t="n">
        <v>43565</v>
      </c>
      <c r="C232" s="1" t="n">
        <v>45755</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19540-2019</t>
        </is>
      </c>
      <c r="B233" s="1" t="n">
        <v>43565</v>
      </c>
      <c r="C233" s="1" t="n">
        <v>45755</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19638-2019</t>
        </is>
      </c>
      <c r="B234" s="1" t="n">
        <v>43566</v>
      </c>
      <c r="C234" s="1" t="n">
        <v>45755</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19593-2019</t>
        </is>
      </c>
      <c r="B235" s="1" t="n">
        <v>43566</v>
      </c>
      <c r="C235" s="1" t="n">
        <v>45755</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19872-2019</t>
        </is>
      </c>
      <c r="B236" s="1" t="n">
        <v>43567</v>
      </c>
      <c r="C236" s="1" t="n">
        <v>45755</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19811-2019</t>
        </is>
      </c>
      <c r="B237" s="1" t="n">
        <v>43567</v>
      </c>
      <c r="C237" s="1" t="n">
        <v>45755</v>
      </c>
      <c r="D237" t="inlineStr">
        <is>
          <t>STOCKHOLMS LÄN</t>
        </is>
      </c>
      <c r="E237" t="inlineStr">
        <is>
          <t>NORRTÄLJE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19812-2019</t>
        </is>
      </c>
      <c r="B238" s="1" t="n">
        <v>43567</v>
      </c>
      <c r="C238" s="1" t="n">
        <v>45755</v>
      </c>
      <c r="D238" t="inlineStr">
        <is>
          <t>STOCKHOLMS LÄN</t>
        </is>
      </c>
      <c r="E238" t="inlineStr">
        <is>
          <t>NORRTÄLJE</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19931-2019</t>
        </is>
      </c>
      <c r="B239" s="1" t="n">
        <v>43568</v>
      </c>
      <c r="C239" s="1" t="n">
        <v>45755</v>
      </c>
      <c r="D239" t="inlineStr">
        <is>
          <t>STOCKHOLMS LÄN</t>
        </is>
      </c>
      <c r="E239" t="inlineStr">
        <is>
          <t>NORRTÄLJE</t>
        </is>
      </c>
      <c r="G239" t="n">
        <v>4.2</v>
      </c>
      <c r="H239" t="n">
        <v>0</v>
      </c>
      <c r="I239" t="n">
        <v>0</v>
      </c>
      <c r="J239" t="n">
        <v>0</v>
      </c>
      <c r="K239" t="n">
        <v>0</v>
      </c>
      <c r="L239" t="n">
        <v>0</v>
      </c>
      <c r="M239" t="n">
        <v>0</v>
      </c>
      <c r="N239" t="n">
        <v>0</v>
      </c>
      <c r="O239" t="n">
        <v>0</v>
      </c>
      <c r="P239" t="n">
        <v>0</v>
      </c>
      <c r="Q239" t="n">
        <v>0</v>
      </c>
      <c r="R239" s="2" t="inlineStr"/>
    </row>
    <row r="240" ht="15" customHeight="1">
      <c r="A240" t="inlineStr">
        <is>
          <t>A 20033-2019</t>
        </is>
      </c>
      <c r="B240" s="1" t="n">
        <v>43570</v>
      </c>
      <c r="C240" s="1" t="n">
        <v>45755</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20020-2019</t>
        </is>
      </c>
      <c r="B241" s="1" t="n">
        <v>43570</v>
      </c>
      <c r="C241" s="1" t="n">
        <v>45755</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20051-2019</t>
        </is>
      </c>
      <c r="B242" s="1" t="n">
        <v>43570</v>
      </c>
      <c r="C242" s="1" t="n">
        <v>45755</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20137-2019</t>
        </is>
      </c>
      <c r="B243" s="1" t="n">
        <v>43570</v>
      </c>
      <c r="C243" s="1" t="n">
        <v>45755</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20007-2019</t>
        </is>
      </c>
      <c r="B244" s="1" t="n">
        <v>43570</v>
      </c>
      <c r="C244" s="1" t="n">
        <v>45755</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20052-2019</t>
        </is>
      </c>
      <c r="B245" s="1" t="n">
        <v>43570</v>
      </c>
      <c r="C245" s="1" t="n">
        <v>45755</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20159-2019</t>
        </is>
      </c>
      <c r="B246" s="1" t="n">
        <v>43570</v>
      </c>
      <c r="C246" s="1" t="n">
        <v>45755</v>
      </c>
      <c r="D246" t="inlineStr">
        <is>
          <t>STOCKHOLMS LÄN</t>
        </is>
      </c>
      <c r="E246" t="inlineStr">
        <is>
          <t>NORRTÄLJE</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20181-2019</t>
        </is>
      </c>
      <c r="B247" s="1" t="n">
        <v>43570</v>
      </c>
      <c r="C247" s="1" t="n">
        <v>45755</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20184-2019</t>
        </is>
      </c>
      <c r="B248" s="1" t="n">
        <v>43570</v>
      </c>
      <c r="C248" s="1" t="n">
        <v>45755</v>
      </c>
      <c r="D248" t="inlineStr">
        <is>
          <t>STOCKHOLMS LÄN</t>
        </is>
      </c>
      <c r="E248" t="inlineStr">
        <is>
          <t>NORRTÄLJE</t>
        </is>
      </c>
      <c r="G248" t="n">
        <v>2.8</v>
      </c>
      <c r="H248" t="n">
        <v>0</v>
      </c>
      <c r="I248" t="n">
        <v>0</v>
      </c>
      <c r="J248" t="n">
        <v>0</v>
      </c>
      <c r="K248" t="n">
        <v>0</v>
      </c>
      <c r="L248" t="n">
        <v>0</v>
      </c>
      <c r="M248" t="n">
        <v>0</v>
      </c>
      <c r="N248" t="n">
        <v>0</v>
      </c>
      <c r="O248" t="n">
        <v>0</v>
      </c>
      <c r="P248" t="n">
        <v>0</v>
      </c>
      <c r="Q248" t="n">
        <v>0</v>
      </c>
      <c r="R248" s="2" t="inlineStr"/>
    </row>
    <row r="249" ht="15" customHeight="1">
      <c r="A249" t="inlineStr">
        <is>
          <t>A 20193-2019</t>
        </is>
      </c>
      <c r="B249" s="1" t="n">
        <v>43570</v>
      </c>
      <c r="C249" s="1" t="n">
        <v>45755</v>
      </c>
      <c r="D249" t="inlineStr">
        <is>
          <t>STOCKHOLMS LÄN</t>
        </is>
      </c>
      <c r="E249" t="inlineStr">
        <is>
          <t>NORRTÄLJE</t>
        </is>
      </c>
      <c r="G249" t="n">
        <v>1.7</v>
      </c>
      <c r="H249" t="n">
        <v>0</v>
      </c>
      <c r="I249" t="n">
        <v>0</v>
      </c>
      <c r="J249" t="n">
        <v>0</v>
      </c>
      <c r="K249" t="n">
        <v>0</v>
      </c>
      <c r="L249" t="n">
        <v>0</v>
      </c>
      <c r="M249" t="n">
        <v>0</v>
      </c>
      <c r="N249" t="n">
        <v>0</v>
      </c>
      <c r="O249" t="n">
        <v>0</v>
      </c>
      <c r="P249" t="n">
        <v>0</v>
      </c>
      <c r="Q249" t="n">
        <v>0</v>
      </c>
      <c r="R249" s="2" t="inlineStr"/>
    </row>
    <row r="250" ht="15" customHeight="1">
      <c r="A250" t="inlineStr">
        <is>
          <t>A 20090-2019</t>
        </is>
      </c>
      <c r="B250" s="1" t="n">
        <v>43570</v>
      </c>
      <c r="C250" s="1" t="n">
        <v>45755</v>
      </c>
      <c r="D250" t="inlineStr">
        <is>
          <t>STOCKHOLMS LÄN</t>
        </is>
      </c>
      <c r="E250" t="inlineStr">
        <is>
          <t>NORRTÄLJE</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20165-2019</t>
        </is>
      </c>
      <c r="B251" s="1" t="n">
        <v>43570</v>
      </c>
      <c r="C251" s="1" t="n">
        <v>45755</v>
      </c>
      <c r="D251" t="inlineStr">
        <is>
          <t>STOCKHOLMS LÄN</t>
        </is>
      </c>
      <c r="E251" t="inlineStr">
        <is>
          <t>NORRTÄLJE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20023-2019</t>
        </is>
      </c>
      <c r="B252" s="1" t="n">
        <v>43570</v>
      </c>
      <c r="C252" s="1" t="n">
        <v>45755</v>
      </c>
      <c r="D252" t="inlineStr">
        <is>
          <t>STOCKHOLMS LÄN</t>
        </is>
      </c>
      <c r="E252" t="inlineStr">
        <is>
          <t>NORRTÄLJE</t>
        </is>
      </c>
      <c r="G252" t="n">
        <v>5.1</v>
      </c>
      <c r="H252" t="n">
        <v>0</v>
      </c>
      <c r="I252" t="n">
        <v>0</v>
      </c>
      <c r="J252" t="n">
        <v>0</v>
      </c>
      <c r="K252" t="n">
        <v>0</v>
      </c>
      <c r="L252" t="n">
        <v>0</v>
      </c>
      <c r="M252" t="n">
        <v>0</v>
      </c>
      <c r="N252" t="n">
        <v>0</v>
      </c>
      <c r="O252" t="n">
        <v>0</v>
      </c>
      <c r="P252" t="n">
        <v>0</v>
      </c>
      <c r="Q252" t="n">
        <v>0</v>
      </c>
      <c r="R252" s="2" t="inlineStr"/>
    </row>
    <row r="253" ht="15" customHeight="1">
      <c r="A253" t="inlineStr">
        <is>
          <t>A 20531-2019</t>
        </is>
      </c>
      <c r="B253" s="1" t="n">
        <v>43572</v>
      </c>
      <c r="C253" s="1" t="n">
        <v>45755</v>
      </c>
      <c r="D253" t="inlineStr">
        <is>
          <t>STOCKHOLMS LÄN</t>
        </is>
      </c>
      <c r="E253" t="inlineStr">
        <is>
          <t>NORRTÄLJE</t>
        </is>
      </c>
      <c r="G253" t="n">
        <v>2</v>
      </c>
      <c r="H253" t="n">
        <v>0</v>
      </c>
      <c r="I253" t="n">
        <v>0</v>
      </c>
      <c r="J253" t="n">
        <v>0</v>
      </c>
      <c r="K253" t="n">
        <v>0</v>
      </c>
      <c r="L253" t="n">
        <v>0</v>
      </c>
      <c r="M253" t="n">
        <v>0</v>
      </c>
      <c r="N253" t="n">
        <v>0</v>
      </c>
      <c r="O253" t="n">
        <v>0</v>
      </c>
      <c r="P253" t="n">
        <v>0</v>
      </c>
      <c r="Q253" t="n">
        <v>0</v>
      </c>
      <c r="R253" s="2" t="inlineStr"/>
    </row>
    <row r="254" ht="15" customHeight="1">
      <c r="A254" t="inlineStr">
        <is>
          <t>A 20743-2019</t>
        </is>
      </c>
      <c r="B254" s="1" t="n">
        <v>43573</v>
      </c>
      <c r="C254" s="1" t="n">
        <v>45755</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20809-2019</t>
        </is>
      </c>
      <c r="B255" s="1" t="n">
        <v>43573</v>
      </c>
      <c r="C255" s="1" t="n">
        <v>45755</v>
      </c>
      <c r="D255" t="inlineStr">
        <is>
          <t>STOCKHOLMS LÄN</t>
        </is>
      </c>
      <c r="E255" t="inlineStr">
        <is>
          <t>NORRTÄLJE</t>
        </is>
      </c>
      <c r="F255" t="inlineStr">
        <is>
          <t>Kommuner</t>
        </is>
      </c>
      <c r="G255" t="n">
        <v>2.2</v>
      </c>
      <c r="H255" t="n">
        <v>0</v>
      </c>
      <c r="I255" t="n">
        <v>0</v>
      </c>
      <c r="J255" t="n">
        <v>0</v>
      </c>
      <c r="K255" t="n">
        <v>0</v>
      </c>
      <c r="L255" t="n">
        <v>0</v>
      </c>
      <c r="M255" t="n">
        <v>0</v>
      </c>
      <c r="N255" t="n">
        <v>0</v>
      </c>
      <c r="O255" t="n">
        <v>0</v>
      </c>
      <c r="P255" t="n">
        <v>0</v>
      </c>
      <c r="Q255" t="n">
        <v>0</v>
      </c>
      <c r="R255" s="2" t="inlineStr"/>
    </row>
    <row r="256" ht="15" customHeight="1">
      <c r="A256" t="inlineStr">
        <is>
          <t>A 20925-2019</t>
        </is>
      </c>
      <c r="B256" s="1" t="n">
        <v>43578</v>
      </c>
      <c r="C256" s="1" t="n">
        <v>45755</v>
      </c>
      <c r="D256" t="inlineStr">
        <is>
          <t>STOCKHOLMS LÄN</t>
        </is>
      </c>
      <c r="E256" t="inlineStr">
        <is>
          <t>NORRTÄLJE</t>
        </is>
      </c>
      <c r="G256" t="n">
        <v>5</v>
      </c>
      <c r="H256" t="n">
        <v>0</v>
      </c>
      <c r="I256" t="n">
        <v>0</v>
      </c>
      <c r="J256" t="n">
        <v>0</v>
      </c>
      <c r="K256" t="n">
        <v>0</v>
      </c>
      <c r="L256" t="n">
        <v>0</v>
      </c>
      <c r="M256" t="n">
        <v>0</v>
      </c>
      <c r="N256" t="n">
        <v>0</v>
      </c>
      <c r="O256" t="n">
        <v>0</v>
      </c>
      <c r="P256" t="n">
        <v>0</v>
      </c>
      <c r="Q256" t="n">
        <v>0</v>
      </c>
      <c r="R256" s="2" t="inlineStr"/>
    </row>
    <row r="257" ht="15" customHeight="1">
      <c r="A257" t="inlineStr">
        <is>
          <t>A 21062-2019</t>
        </is>
      </c>
      <c r="B257" s="1" t="n">
        <v>43578</v>
      </c>
      <c r="C257" s="1" t="n">
        <v>45755</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21441-2019</t>
        </is>
      </c>
      <c r="B258" s="1" t="n">
        <v>43580</v>
      </c>
      <c r="C258" s="1" t="n">
        <v>45755</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21521-2019</t>
        </is>
      </c>
      <c r="B259" s="1" t="n">
        <v>43580</v>
      </c>
      <c r="C259" s="1" t="n">
        <v>45755</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21508-2019</t>
        </is>
      </c>
      <c r="B260" s="1" t="n">
        <v>43580</v>
      </c>
      <c r="C260" s="1" t="n">
        <v>45755</v>
      </c>
      <c r="D260" t="inlineStr">
        <is>
          <t>STOCKHOLMS LÄN</t>
        </is>
      </c>
      <c r="E260" t="inlineStr">
        <is>
          <t>NORRTÄLJE</t>
        </is>
      </c>
      <c r="G260" t="n">
        <v>1.2</v>
      </c>
      <c r="H260" t="n">
        <v>0</v>
      </c>
      <c r="I260" t="n">
        <v>0</v>
      </c>
      <c r="J260" t="n">
        <v>0</v>
      </c>
      <c r="K260" t="n">
        <v>0</v>
      </c>
      <c r="L260" t="n">
        <v>0</v>
      </c>
      <c r="M260" t="n">
        <v>0</v>
      </c>
      <c r="N260" t="n">
        <v>0</v>
      </c>
      <c r="O260" t="n">
        <v>0</v>
      </c>
      <c r="P260" t="n">
        <v>0</v>
      </c>
      <c r="Q260" t="n">
        <v>0</v>
      </c>
      <c r="R260" s="2" t="inlineStr"/>
    </row>
    <row r="261" ht="15" customHeight="1">
      <c r="A261" t="inlineStr">
        <is>
          <t>A 21457-2019</t>
        </is>
      </c>
      <c r="B261" s="1" t="n">
        <v>43580</v>
      </c>
      <c r="C261" s="1" t="n">
        <v>45755</v>
      </c>
      <c r="D261" t="inlineStr">
        <is>
          <t>STOCKHOLMS LÄN</t>
        </is>
      </c>
      <c r="E261" t="inlineStr">
        <is>
          <t>NORRTÄLJE</t>
        </is>
      </c>
      <c r="G261" t="n">
        <v>2.6</v>
      </c>
      <c r="H261" t="n">
        <v>0</v>
      </c>
      <c r="I261" t="n">
        <v>0</v>
      </c>
      <c r="J261" t="n">
        <v>0</v>
      </c>
      <c r="K261" t="n">
        <v>0</v>
      </c>
      <c r="L261" t="n">
        <v>0</v>
      </c>
      <c r="M261" t="n">
        <v>0</v>
      </c>
      <c r="N261" t="n">
        <v>0</v>
      </c>
      <c r="O261" t="n">
        <v>0</v>
      </c>
      <c r="P261" t="n">
        <v>0</v>
      </c>
      <c r="Q261" t="n">
        <v>0</v>
      </c>
      <c r="R261" s="2" t="inlineStr"/>
    </row>
    <row r="262" ht="15" customHeight="1">
      <c r="A262" t="inlineStr">
        <is>
          <t>A 21501-2019</t>
        </is>
      </c>
      <c r="B262" s="1" t="n">
        <v>43580</v>
      </c>
      <c r="C262" s="1" t="n">
        <v>45755</v>
      </c>
      <c r="D262" t="inlineStr">
        <is>
          <t>STOCKHOLMS LÄN</t>
        </is>
      </c>
      <c r="E262" t="inlineStr">
        <is>
          <t>NORRTÄLJE</t>
        </is>
      </c>
      <c r="G262" t="n">
        <v>3.6</v>
      </c>
      <c r="H262" t="n">
        <v>0</v>
      </c>
      <c r="I262" t="n">
        <v>0</v>
      </c>
      <c r="J262" t="n">
        <v>0</v>
      </c>
      <c r="K262" t="n">
        <v>0</v>
      </c>
      <c r="L262" t="n">
        <v>0</v>
      </c>
      <c r="M262" t="n">
        <v>0</v>
      </c>
      <c r="N262" t="n">
        <v>0</v>
      </c>
      <c r="O262" t="n">
        <v>0</v>
      </c>
      <c r="P262" t="n">
        <v>0</v>
      </c>
      <c r="Q262" t="n">
        <v>0</v>
      </c>
      <c r="R262" s="2" t="inlineStr"/>
    </row>
    <row r="263" ht="15" customHeight="1">
      <c r="A263" t="inlineStr">
        <is>
          <t>A 21616-2019</t>
        </is>
      </c>
      <c r="B263" s="1" t="n">
        <v>43581</v>
      </c>
      <c r="C263" s="1" t="n">
        <v>45755</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21662-2019</t>
        </is>
      </c>
      <c r="B264" s="1" t="n">
        <v>43581</v>
      </c>
      <c r="C264" s="1" t="n">
        <v>45755</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21720-2019</t>
        </is>
      </c>
      <c r="B265" s="1" t="n">
        <v>43581</v>
      </c>
      <c r="C265" s="1" t="n">
        <v>45755</v>
      </c>
      <c r="D265" t="inlineStr">
        <is>
          <t>STOCKHOLMS LÄN</t>
        </is>
      </c>
      <c r="E265" t="inlineStr">
        <is>
          <t>NORRTÄLJE</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21692-2019</t>
        </is>
      </c>
      <c r="B266" s="1" t="n">
        <v>43581</v>
      </c>
      <c r="C266" s="1" t="n">
        <v>45755</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21811-2019</t>
        </is>
      </c>
      <c r="B267" s="1" t="n">
        <v>43582</v>
      </c>
      <c r="C267" s="1" t="n">
        <v>45755</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22207-2019</t>
        </is>
      </c>
      <c r="B268" s="1" t="n">
        <v>43585</v>
      </c>
      <c r="C268" s="1" t="n">
        <v>45755</v>
      </c>
      <c r="D268" t="inlineStr">
        <is>
          <t>STOCKHOLMS LÄN</t>
        </is>
      </c>
      <c r="E268" t="inlineStr">
        <is>
          <t>NORRTÄLJE</t>
        </is>
      </c>
      <c r="G268" t="n">
        <v>0.8</v>
      </c>
      <c r="H268" t="n">
        <v>0</v>
      </c>
      <c r="I268" t="n">
        <v>0</v>
      </c>
      <c r="J268" t="n">
        <v>0</v>
      </c>
      <c r="K268" t="n">
        <v>0</v>
      </c>
      <c r="L268" t="n">
        <v>0</v>
      </c>
      <c r="M268" t="n">
        <v>0</v>
      </c>
      <c r="N268" t="n">
        <v>0</v>
      </c>
      <c r="O268" t="n">
        <v>0</v>
      </c>
      <c r="P268" t="n">
        <v>0</v>
      </c>
      <c r="Q268" t="n">
        <v>0</v>
      </c>
      <c r="R268" s="2" t="inlineStr"/>
    </row>
    <row r="269" ht="15" customHeight="1">
      <c r="A269" t="inlineStr">
        <is>
          <t>A 22211-2019</t>
        </is>
      </c>
      <c r="B269" s="1" t="n">
        <v>43585</v>
      </c>
      <c r="C269" s="1" t="n">
        <v>45755</v>
      </c>
      <c r="D269" t="inlineStr">
        <is>
          <t>STOCKHOLMS LÄN</t>
        </is>
      </c>
      <c r="E269" t="inlineStr">
        <is>
          <t>NORRTÄLJE</t>
        </is>
      </c>
      <c r="G269" t="n">
        <v>6.8</v>
      </c>
      <c r="H269" t="n">
        <v>0</v>
      </c>
      <c r="I269" t="n">
        <v>0</v>
      </c>
      <c r="J269" t="n">
        <v>0</v>
      </c>
      <c r="K269" t="n">
        <v>0</v>
      </c>
      <c r="L269" t="n">
        <v>0</v>
      </c>
      <c r="M269" t="n">
        <v>0</v>
      </c>
      <c r="N269" t="n">
        <v>0</v>
      </c>
      <c r="O269" t="n">
        <v>0</v>
      </c>
      <c r="P269" t="n">
        <v>0</v>
      </c>
      <c r="Q269" t="n">
        <v>0</v>
      </c>
      <c r="R269" s="2" t="inlineStr"/>
    </row>
    <row r="270" ht="15" customHeight="1">
      <c r="A270" t="inlineStr">
        <is>
          <t>A 22254-2019</t>
        </is>
      </c>
      <c r="B270" s="1" t="n">
        <v>43585</v>
      </c>
      <c r="C270" s="1" t="n">
        <v>45755</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22218-2019</t>
        </is>
      </c>
      <c r="B271" s="1" t="n">
        <v>43585</v>
      </c>
      <c r="C271" s="1" t="n">
        <v>45755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22331-2019</t>
        </is>
      </c>
      <c r="B272" s="1" t="n">
        <v>43586</v>
      </c>
      <c r="C272" s="1" t="n">
        <v>45755</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22359-2019</t>
        </is>
      </c>
      <c r="B273" s="1" t="n">
        <v>43587</v>
      </c>
      <c r="C273" s="1" t="n">
        <v>45755</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22422-2019</t>
        </is>
      </c>
      <c r="B274" s="1" t="n">
        <v>43587</v>
      </c>
      <c r="C274" s="1" t="n">
        <v>45755</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22490-2019</t>
        </is>
      </c>
      <c r="B275" s="1" t="n">
        <v>43587</v>
      </c>
      <c r="C275" s="1" t="n">
        <v>45755</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22496-2019</t>
        </is>
      </c>
      <c r="B276" s="1" t="n">
        <v>43587</v>
      </c>
      <c r="C276" s="1" t="n">
        <v>45755</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23711-2019</t>
        </is>
      </c>
      <c r="B277" s="1" t="n">
        <v>43594</v>
      </c>
      <c r="C277" s="1" t="n">
        <v>45755</v>
      </c>
      <c r="D277" t="inlineStr">
        <is>
          <t>STOCKHOLMS LÄN</t>
        </is>
      </c>
      <c r="E277" t="inlineStr">
        <is>
          <t>NORRTÄLJE</t>
        </is>
      </c>
      <c r="G277" t="n">
        <v>2.6</v>
      </c>
      <c r="H277" t="n">
        <v>0</v>
      </c>
      <c r="I277" t="n">
        <v>0</v>
      </c>
      <c r="J277" t="n">
        <v>0</v>
      </c>
      <c r="K277" t="n">
        <v>0</v>
      </c>
      <c r="L277" t="n">
        <v>0</v>
      </c>
      <c r="M277" t="n">
        <v>0</v>
      </c>
      <c r="N277" t="n">
        <v>0</v>
      </c>
      <c r="O277" t="n">
        <v>0</v>
      </c>
      <c r="P277" t="n">
        <v>0</v>
      </c>
      <c r="Q277" t="n">
        <v>0</v>
      </c>
      <c r="R277" s="2" t="inlineStr"/>
    </row>
    <row r="278" ht="15" customHeight="1">
      <c r="A278" t="inlineStr">
        <is>
          <t>A 23710-2019</t>
        </is>
      </c>
      <c r="B278" s="1" t="n">
        <v>43594</v>
      </c>
      <c r="C278" s="1" t="n">
        <v>45755</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23862-2019</t>
        </is>
      </c>
      <c r="B279" s="1" t="n">
        <v>43595</v>
      </c>
      <c r="C279" s="1" t="n">
        <v>45755</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23878-2019</t>
        </is>
      </c>
      <c r="B280" s="1" t="n">
        <v>43595</v>
      </c>
      <c r="C280" s="1" t="n">
        <v>45755</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23961-2019</t>
        </is>
      </c>
      <c r="B281" s="1" t="n">
        <v>43597</v>
      </c>
      <c r="C281" s="1" t="n">
        <v>45755</v>
      </c>
      <c r="D281" t="inlineStr">
        <is>
          <t>STOCKHOLMS LÄN</t>
        </is>
      </c>
      <c r="E281" t="inlineStr">
        <is>
          <t>NORRTÄLJE</t>
        </is>
      </c>
      <c r="G281" t="n">
        <v>17.6</v>
      </c>
      <c r="H281" t="n">
        <v>0</v>
      </c>
      <c r="I281" t="n">
        <v>0</v>
      </c>
      <c r="J281" t="n">
        <v>0</v>
      </c>
      <c r="K281" t="n">
        <v>0</v>
      </c>
      <c r="L281" t="n">
        <v>0</v>
      </c>
      <c r="M281" t="n">
        <v>0</v>
      </c>
      <c r="N281" t="n">
        <v>0</v>
      </c>
      <c r="O281" t="n">
        <v>0</v>
      </c>
      <c r="P281" t="n">
        <v>0</v>
      </c>
      <c r="Q281" t="n">
        <v>0</v>
      </c>
      <c r="R281" s="2" t="inlineStr"/>
    </row>
    <row r="282" ht="15" customHeight="1">
      <c r="A282" t="inlineStr">
        <is>
          <t>A 23965-2019</t>
        </is>
      </c>
      <c r="B282" s="1" t="n">
        <v>43597</v>
      </c>
      <c r="C282" s="1" t="n">
        <v>45755</v>
      </c>
      <c r="D282" t="inlineStr">
        <is>
          <t>STOCKHOLMS LÄN</t>
        </is>
      </c>
      <c r="E282" t="inlineStr">
        <is>
          <t>NORRTÄLJE</t>
        </is>
      </c>
      <c r="G282" t="n">
        <v>6.1</v>
      </c>
      <c r="H282" t="n">
        <v>0</v>
      </c>
      <c r="I282" t="n">
        <v>0</v>
      </c>
      <c r="J282" t="n">
        <v>0</v>
      </c>
      <c r="K282" t="n">
        <v>0</v>
      </c>
      <c r="L282" t="n">
        <v>0</v>
      </c>
      <c r="M282" t="n">
        <v>0</v>
      </c>
      <c r="N282" t="n">
        <v>0</v>
      </c>
      <c r="O282" t="n">
        <v>0</v>
      </c>
      <c r="P282" t="n">
        <v>0</v>
      </c>
      <c r="Q282" t="n">
        <v>0</v>
      </c>
      <c r="R282" s="2" t="inlineStr"/>
    </row>
    <row r="283" ht="15" customHeight="1">
      <c r="A283" t="inlineStr">
        <is>
          <t>A 23963-2019</t>
        </is>
      </c>
      <c r="B283" s="1" t="n">
        <v>43597</v>
      </c>
      <c r="C283" s="1" t="n">
        <v>45755</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24124-2019</t>
        </is>
      </c>
      <c r="B284" s="1" t="n">
        <v>43598</v>
      </c>
      <c r="C284" s="1" t="n">
        <v>45755</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24058-2019</t>
        </is>
      </c>
      <c r="B285" s="1" t="n">
        <v>43598</v>
      </c>
      <c r="C285" s="1" t="n">
        <v>45755</v>
      </c>
      <c r="D285" t="inlineStr">
        <is>
          <t>STOCKHOLMS LÄN</t>
        </is>
      </c>
      <c r="E285" t="inlineStr">
        <is>
          <t>NORRTÄLJE</t>
        </is>
      </c>
      <c r="G285" t="n">
        <v>2.5</v>
      </c>
      <c r="H285" t="n">
        <v>0</v>
      </c>
      <c r="I285" t="n">
        <v>0</v>
      </c>
      <c r="J285" t="n">
        <v>0</v>
      </c>
      <c r="K285" t="n">
        <v>0</v>
      </c>
      <c r="L285" t="n">
        <v>0</v>
      </c>
      <c r="M285" t="n">
        <v>0</v>
      </c>
      <c r="N285" t="n">
        <v>0</v>
      </c>
      <c r="O285" t="n">
        <v>0</v>
      </c>
      <c r="P285" t="n">
        <v>0</v>
      </c>
      <c r="Q285" t="n">
        <v>0</v>
      </c>
      <c r="R285" s="2" t="inlineStr"/>
    </row>
    <row r="286" ht="15" customHeight="1">
      <c r="A286" t="inlineStr">
        <is>
          <t>A 24562-2019</t>
        </is>
      </c>
      <c r="B286" s="1" t="n">
        <v>43600</v>
      </c>
      <c r="C286" s="1" t="n">
        <v>45755</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24721-2019</t>
        </is>
      </c>
      <c r="B287" s="1" t="n">
        <v>43601</v>
      </c>
      <c r="C287" s="1" t="n">
        <v>45755</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25284-2019</t>
        </is>
      </c>
      <c r="B288" s="1" t="n">
        <v>43605</v>
      </c>
      <c r="C288" s="1" t="n">
        <v>45755</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25535-2019</t>
        </is>
      </c>
      <c r="B289" s="1" t="n">
        <v>43606</v>
      </c>
      <c r="C289" s="1" t="n">
        <v>45755</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25316-2019</t>
        </is>
      </c>
      <c r="B290" s="1" t="n">
        <v>43606</v>
      </c>
      <c r="C290" s="1" t="n">
        <v>45755</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26374-2019</t>
        </is>
      </c>
      <c r="B291" s="1" t="n">
        <v>43606</v>
      </c>
      <c r="C291" s="1" t="n">
        <v>45755</v>
      </c>
      <c r="D291" t="inlineStr">
        <is>
          <t>STOCKHOLMS LÄN</t>
        </is>
      </c>
      <c r="E291" t="inlineStr">
        <is>
          <t>NORRTÄLJE</t>
        </is>
      </c>
      <c r="G291" t="n">
        <v>11.6</v>
      </c>
      <c r="H291" t="n">
        <v>0</v>
      </c>
      <c r="I291" t="n">
        <v>0</v>
      </c>
      <c r="J291" t="n">
        <v>0</v>
      </c>
      <c r="K291" t="n">
        <v>0</v>
      </c>
      <c r="L291" t="n">
        <v>0</v>
      </c>
      <c r="M291" t="n">
        <v>0</v>
      </c>
      <c r="N291" t="n">
        <v>0</v>
      </c>
      <c r="O291" t="n">
        <v>0</v>
      </c>
      <c r="P291" t="n">
        <v>0</v>
      </c>
      <c r="Q291" t="n">
        <v>0</v>
      </c>
      <c r="R291" s="2" t="inlineStr"/>
    </row>
    <row r="292" ht="15" customHeight="1">
      <c r="A292" t="inlineStr">
        <is>
          <t>A 25315-2019</t>
        </is>
      </c>
      <c r="B292" s="1" t="n">
        <v>43606</v>
      </c>
      <c r="C292" s="1" t="n">
        <v>45755</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25625-2019</t>
        </is>
      </c>
      <c r="B293" s="1" t="n">
        <v>43607</v>
      </c>
      <c r="C293" s="1" t="n">
        <v>45755</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26272-2019</t>
        </is>
      </c>
      <c r="B294" s="1" t="n">
        <v>43611</v>
      </c>
      <c r="C294" s="1" t="n">
        <v>45755</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26620-2019</t>
        </is>
      </c>
      <c r="B295" s="1" t="n">
        <v>43612</v>
      </c>
      <c r="C295" s="1" t="n">
        <v>45755</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26391-2019</t>
        </is>
      </c>
      <c r="B296" s="1" t="n">
        <v>43612</v>
      </c>
      <c r="C296" s="1" t="n">
        <v>45755</v>
      </c>
      <c r="D296" t="inlineStr">
        <is>
          <t>STOCKHOLMS LÄN</t>
        </is>
      </c>
      <c r="E296" t="inlineStr">
        <is>
          <t>NORRTÄLJE</t>
        </is>
      </c>
      <c r="G296" t="n">
        <v>1.9</v>
      </c>
      <c r="H296" t="n">
        <v>0</v>
      </c>
      <c r="I296" t="n">
        <v>0</v>
      </c>
      <c r="J296" t="n">
        <v>0</v>
      </c>
      <c r="K296" t="n">
        <v>0</v>
      </c>
      <c r="L296" t="n">
        <v>0</v>
      </c>
      <c r="M296" t="n">
        <v>0</v>
      </c>
      <c r="N296" t="n">
        <v>0</v>
      </c>
      <c r="O296" t="n">
        <v>0</v>
      </c>
      <c r="P296" t="n">
        <v>0</v>
      </c>
      <c r="Q296" t="n">
        <v>0</v>
      </c>
      <c r="R296" s="2" t="inlineStr"/>
    </row>
    <row r="297" ht="15" customHeight="1">
      <c r="A297" t="inlineStr">
        <is>
          <t>A 26933-2019</t>
        </is>
      </c>
      <c r="B297" s="1" t="n">
        <v>43613</v>
      </c>
      <c r="C297" s="1" t="n">
        <v>45755</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26830-2019</t>
        </is>
      </c>
      <c r="B298" s="1" t="n">
        <v>43613</v>
      </c>
      <c r="C298" s="1" t="n">
        <v>45755</v>
      </c>
      <c r="D298" t="inlineStr">
        <is>
          <t>STOCKHOLMS LÄN</t>
        </is>
      </c>
      <c r="E298" t="inlineStr">
        <is>
          <t>NORRTÄLJE</t>
        </is>
      </c>
      <c r="G298" t="n">
        <v>2.1</v>
      </c>
      <c r="H298" t="n">
        <v>0</v>
      </c>
      <c r="I298" t="n">
        <v>0</v>
      </c>
      <c r="J298" t="n">
        <v>0</v>
      </c>
      <c r="K298" t="n">
        <v>0</v>
      </c>
      <c r="L298" t="n">
        <v>0</v>
      </c>
      <c r="M298" t="n">
        <v>0</v>
      </c>
      <c r="N298" t="n">
        <v>0</v>
      </c>
      <c r="O298" t="n">
        <v>0</v>
      </c>
      <c r="P298" t="n">
        <v>0</v>
      </c>
      <c r="Q298" t="n">
        <v>0</v>
      </c>
      <c r="R298" s="2" t="inlineStr"/>
    </row>
    <row r="299" ht="15" customHeight="1">
      <c r="A299" t="inlineStr">
        <is>
          <t>A 27095-2019</t>
        </is>
      </c>
      <c r="B299" s="1" t="n">
        <v>43614</v>
      </c>
      <c r="C299" s="1" t="n">
        <v>45755</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28157-2019</t>
        </is>
      </c>
      <c r="B300" s="1" t="n">
        <v>43614</v>
      </c>
      <c r="C300" s="1" t="n">
        <v>45755</v>
      </c>
      <c r="D300" t="inlineStr">
        <is>
          <t>STOCKHOLMS LÄN</t>
        </is>
      </c>
      <c r="E300" t="inlineStr">
        <is>
          <t>NORRTÄLJE</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27264-2019</t>
        </is>
      </c>
      <c r="B301" s="1" t="n">
        <v>43615</v>
      </c>
      <c r="C301" s="1" t="n">
        <v>45755</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27971-2019</t>
        </is>
      </c>
      <c r="B302" s="1" t="n">
        <v>43620</v>
      </c>
      <c r="C302" s="1" t="n">
        <v>45755</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27967-2019</t>
        </is>
      </c>
      <c r="B303" s="1" t="n">
        <v>43620</v>
      </c>
      <c r="C303" s="1" t="n">
        <v>45755</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28121-2019</t>
        </is>
      </c>
      <c r="B304" s="1" t="n">
        <v>43621</v>
      </c>
      <c r="C304" s="1" t="n">
        <v>45755</v>
      </c>
      <c r="D304" t="inlineStr">
        <is>
          <t>STOCKHOLMS LÄN</t>
        </is>
      </c>
      <c r="E304" t="inlineStr">
        <is>
          <t>NORRTÄLJE</t>
        </is>
      </c>
      <c r="F304" t="inlineStr">
        <is>
          <t>Kyrkan</t>
        </is>
      </c>
      <c r="G304" t="n">
        <v>2.5</v>
      </c>
      <c r="H304" t="n">
        <v>0</v>
      </c>
      <c r="I304" t="n">
        <v>0</v>
      </c>
      <c r="J304" t="n">
        <v>0</v>
      </c>
      <c r="K304" t="n">
        <v>0</v>
      </c>
      <c r="L304" t="n">
        <v>0</v>
      </c>
      <c r="M304" t="n">
        <v>0</v>
      </c>
      <c r="N304" t="n">
        <v>0</v>
      </c>
      <c r="O304" t="n">
        <v>0</v>
      </c>
      <c r="P304" t="n">
        <v>0</v>
      </c>
      <c r="Q304" t="n">
        <v>0</v>
      </c>
      <c r="R304" s="2" t="inlineStr"/>
    </row>
    <row r="305" ht="15" customHeight="1">
      <c r="A305" t="inlineStr">
        <is>
          <t>A 28289-2019</t>
        </is>
      </c>
      <c r="B305" s="1" t="n">
        <v>43623</v>
      </c>
      <c r="C305" s="1" t="n">
        <v>45755</v>
      </c>
      <c r="D305" t="inlineStr">
        <is>
          <t>STOCKHOLMS LÄN</t>
        </is>
      </c>
      <c r="E305" t="inlineStr">
        <is>
          <t>NORRTÄLJE</t>
        </is>
      </c>
      <c r="G305" t="n">
        <v>7.7</v>
      </c>
      <c r="H305" t="n">
        <v>0</v>
      </c>
      <c r="I305" t="n">
        <v>0</v>
      </c>
      <c r="J305" t="n">
        <v>0</v>
      </c>
      <c r="K305" t="n">
        <v>0</v>
      </c>
      <c r="L305" t="n">
        <v>0</v>
      </c>
      <c r="M305" t="n">
        <v>0</v>
      </c>
      <c r="N305" t="n">
        <v>0</v>
      </c>
      <c r="O305" t="n">
        <v>0</v>
      </c>
      <c r="P305" t="n">
        <v>0</v>
      </c>
      <c r="Q305" t="n">
        <v>0</v>
      </c>
      <c r="R305" s="2" t="inlineStr"/>
    </row>
    <row r="306" ht="15" customHeight="1">
      <c r="A306" t="inlineStr">
        <is>
          <t>A 28519-2019</t>
        </is>
      </c>
      <c r="B306" s="1" t="n">
        <v>43626</v>
      </c>
      <c r="C306" s="1" t="n">
        <v>45755</v>
      </c>
      <c r="D306" t="inlineStr">
        <is>
          <t>STOCKHOLMS LÄN</t>
        </is>
      </c>
      <c r="E306" t="inlineStr">
        <is>
          <t>NORRTÄLJE</t>
        </is>
      </c>
      <c r="G306" t="n">
        <v>3</v>
      </c>
      <c r="H306" t="n">
        <v>0</v>
      </c>
      <c r="I306" t="n">
        <v>0</v>
      </c>
      <c r="J306" t="n">
        <v>0</v>
      </c>
      <c r="K306" t="n">
        <v>0</v>
      </c>
      <c r="L306" t="n">
        <v>0</v>
      </c>
      <c r="M306" t="n">
        <v>0</v>
      </c>
      <c r="N306" t="n">
        <v>0</v>
      </c>
      <c r="O306" t="n">
        <v>0</v>
      </c>
      <c r="P306" t="n">
        <v>0</v>
      </c>
      <c r="Q306" t="n">
        <v>0</v>
      </c>
      <c r="R306" s="2" t="inlineStr"/>
    </row>
    <row r="307" ht="15" customHeight="1">
      <c r="A307" t="inlineStr">
        <is>
          <t>A 28495-2019</t>
        </is>
      </c>
      <c r="B307" s="1" t="n">
        <v>43626</v>
      </c>
      <c r="C307" s="1" t="n">
        <v>45755</v>
      </c>
      <c r="D307" t="inlineStr">
        <is>
          <t>STOCKHOLMS LÄN</t>
        </is>
      </c>
      <c r="E307" t="inlineStr">
        <is>
          <t>NORRTÄLJE</t>
        </is>
      </c>
      <c r="G307" t="n">
        <v>14.7</v>
      </c>
      <c r="H307" t="n">
        <v>0</v>
      </c>
      <c r="I307" t="n">
        <v>0</v>
      </c>
      <c r="J307" t="n">
        <v>0</v>
      </c>
      <c r="K307" t="n">
        <v>0</v>
      </c>
      <c r="L307" t="n">
        <v>0</v>
      </c>
      <c r="M307" t="n">
        <v>0</v>
      </c>
      <c r="N307" t="n">
        <v>0</v>
      </c>
      <c r="O307" t="n">
        <v>0</v>
      </c>
      <c r="P307" t="n">
        <v>0</v>
      </c>
      <c r="Q307" t="n">
        <v>0</v>
      </c>
      <c r="R307" s="2" t="inlineStr"/>
    </row>
    <row r="308" ht="15" customHeight="1">
      <c r="A308" t="inlineStr">
        <is>
          <t>A 28394-2019</t>
        </is>
      </c>
      <c r="B308" s="1" t="n">
        <v>43626</v>
      </c>
      <c r="C308" s="1" t="n">
        <v>45755</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29260-2019</t>
        </is>
      </c>
      <c r="B309" s="1" t="n">
        <v>43629</v>
      </c>
      <c r="C309" s="1" t="n">
        <v>45755</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29312-2019</t>
        </is>
      </c>
      <c r="B310" s="1" t="n">
        <v>43629</v>
      </c>
      <c r="C310" s="1" t="n">
        <v>45755</v>
      </c>
      <c r="D310" t="inlineStr">
        <is>
          <t>STOCKHOLMS LÄN</t>
        </is>
      </c>
      <c r="E310" t="inlineStr">
        <is>
          <t>NORRTÄLJE</t>
        </is>
      </c>
      <c r="G310" t="n">
        <v>7.1</v>
      </c>
      <c r="H310" t="n">
        <v>0</v>
      </c>
      <c r="I310" t="n">
        <v>0</v>
      </c>
      <c r="J310" t="n">
        <v>0</v>
      </c>
      <c r="K310" t="n">
        <v>0</v>
      </c>
      <c r="L310" t="n">
        <v>0</v>
      </c>
      <c r="M310" t="n">
        <v>0</v>
      </c>
      <c r="N310" t="n">
        <v>0</v>
      </c>
      <c r="O310" t="n">
        <v>0</v>
      </c>
      <c r="P310" t="n">
        <v>0</v>
      </c>
      <c r="Q310" t="n">
        <v>0</v>
      </c>
      <c r="R310" s="2" t="inlineStr"/>
    </row>
    <row r="311" ht="15" customHeight="1">
      <c r="A311" t="inlineStr">
        <is>
          <t>A 29759-2019</t>
        </is>
      </c>
      <c r="B311" s="1" t="n">
        <v>43631</v>
      </c>
      <c r="C311" s="1" t="n">
        <v>45755</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30000-2019</t>
        </is>
      </c>
      <c r="B312" s="1" t="n">
        <v>43633</v>
      </c>
      <c r="C312" s="1" t="n">
        <v>45755</v>
      </c>
      <c r="D312" t="inlineStr">
        <is>
          <t>STOCKHOLMS LÄN</t>
        </is>
      </c>
      <c r="E312" t="inlineStr">
        <is>
          <t>NORRTÄLJE</t>
        </is>
      </c>
      <c r="G312" t="n">
        <v>5.4</v>
      </c>
      <c r="H312" t="n">
        <v>0</v>
      </c>
      <c r="I312" t="n">
        <v>0</v>
      </c>
      <c r="J312" t="n">
        <v>0</v>
      </c>
      <c r="K312" t="n">
        <v>0</v>
      </c>
      <c r="L312" t="n">
        <v>0</v>
      </c>
      <c r="M312" t="n">
        <v>0</v>
      </c>
      <c r="N312" t="n">
        <v>0</v>
      </c>
      <c r="O312" t="n">
        <v>0</v>
      </c>
      <c r="P312" t="n">
        <v>0</v>
      </c>
      <c r="Q312" t="n">
        <v>0</v>
      </c>
      <c r="R312" s="2" t="inlineStr"/>
    </row>
    <row r="313" ht="15" customHeight="1">
      <c r="A313" t="inlineStr">
        <is>
          <t>A 30833-2019</t>
        </is>
      </c>
      <c r="B313" s="1" t="n">
        <v>43636</v>
      </c>
      <c r="C313" s="1" t="n">
        <v>45755</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31215-2019</t>
        </is>
      </c>
      <c r="B314" s="1" t="n">
        <v>43640</v>
      </c>
      <c r="C314" s="1" t="n">
        <v>45755</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31017-2019</t>
        </is>
      </c>
      <c r="B315" s="1" t="n">
        <v>43640</v>
      </c>
      <c r="C315" s="1" t="n">
        <v>45755</v>
      </c>
      <c r="D315" t="inlineStr">
        <is>
          <t>STOCKHOLMS LÄN</t>
        </is>
      </c>
      <c r="E315" t="inlineStr">
        <is>
          <t>NORRTÄLJE</t>
        </is>
      </c>
      <c r="G315" t="n">
        <v>3.4</v>
      </c>
      <c r="H315" t="n">
        <v>0</v>
      </c>
      <c r="I315" t="n">
        <v>0</v>
      </c>
      <c r="J315" t="n">
        <v>0</v>
      </c>
      <c r="K315" t="n">
        <v>0</v>
      </c>
      <c r="L315" t="n">
        <v>0</v>
      </c>
      <c r="M315" t="n">
        <v>0</v>
      </c>
      <c r="N315" t="n">
        <v>0</v>
      </c>
      <c r="O315" t="n">
        <v>0</v>
      </c>
      <c r="P315" t="n">
        <v>0</v>
      </c>
      <c r="Q315" t="n">
        <v>0</v>
      </c>
      <c r="R315" s="2" t="inlineStr"/>
    </row>
    <row r="316" ht="15" customHeight="1">
      <c r="A316" t="inlineStr">
        <is>
          <t>A 31966-2019</t>
        </is>
      </c>
      <c r="B316" s="1" t="n">
        <v>43643</v>
      </c>
      <c r="C316" s="1" t="n">
        <v>45755</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32725-2019</t>
        </is>
      </c>
      <c r="B317" s="1" t="n">
        <v>43647</v>
      </c>
      <c r="C317" s="1" t="n">
        <v>45755</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32726-2019</t>
        </is>
      </c>
      <c r="B318" s="1" t="n">
        <v>43647</v>
      </c>
      <c r="C318" s="1" t="n">
        <v>45755</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33207-2019</t>
        </is>
      </c>
      <c r="B319" s="1" t="n">
        <v>43649</v>
      </c>
      <c r="C319" s="1" t="n">
        <v>45755</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33955-2019</t>
        </is>
      </c>
      <c r="B320" s="1" t="n">
        <v>43654</v>
      </c>
      <c r="C320" s="1" t="n">
        <v>45755</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33966-2019</t>
        </is>
      </c>
      <c r="B321" s="1" t="n">
        <v>43654</v>
      </c>
      <c r="C321" s="1" t="n">
        <v>45755</v>
      </c>
      <c r="D321" t="inlineStr">
        <is>
          <t>STOCKHOLMS LÄN</t>
        </is>
      </c>
      <c r="E321" t="inlineStr">
        <is>
          <t>NORRTÄLJE</t>
        </is>
      </c>
      <c r="G321" t="n">
        <v>3.2</v>
      </c>
      <c r="H321" t="n">
        <v>0</v>
      </c>
      <c r="I321" t="n">
        <v>0</v>
      </c>
      <c r="J321" t="n">
        <v>0</v>
      </c>
      <c r="K321" t="n">
        <v>0</v>
      </c>
      <c r="L321" t="n">
        <v>0</v>
      </c>
      <c r="M321" t="n">
        <v>0</v>
      </c>
      <c r="N321" t="n">
        <v>0</v>
      </c>
      <c r="O321" t="n">
        <v>0</v>
      </c>
      <c r="P321" t="n">
        <v>0</v>
      </c>
      <c r="Q321" t="n">
        <v>0</v>
      </c>
      <c r="R321" s="2" t="inlineStr"/>
    </row>
    <row r="322" ht="15" customHeight="1">
      <c r="A322" t="inlineStr">
        <is>
          <t>A 35247-2019</t>
        </is>
      </c>
      <c r="B322" s="1" t="n">
        <v>43656</v>
      </c>
      <c r="C322" s="1" t="n">
        <v>45755</v>
      </c>
      <c r="D322" t="inlineStr">
        <is>
          <t>STOCKHOLMS LÄN</t>
        </is>
      </c>
      <c r="E322" t="inlineStr">
        <is>
          <t>NORRTÄLJE</t>
        </is>
      </c>
      <c r="G322" t="n">
        <v>1.8</v>
      </c>
      <c r="H322" t="n">
        <v>0</v>
      </c>
      <c r="I322" t="n">
        <v>0</v>
      </c>
      <c r="J322" t="n">
        <v>0</v>
      </c>
      <c r="K322" t="n">
        <v>0</v>
      </c>
      <c r="L322" t="n">
        <v>0</v>
      </c>
      <c r="M322" t="n">
        <v>0</v>
      </c>
      <c r="N322" t="n">
        <v>0</v>
      </c>
      <c r="O322" t="n">
        <v>0</v>
      </c>
      <c r="P322" t="n">
        <v>0</v>
      </c>
      <c r="Q322" t="n">
        <v>0</v>
      </c>
      <c r="R322" s="2" t="inlineStr"/>
    </row>
    <row r="323" ht="15" customHeight="1">
      <c r="A323" t="inlineStr">
        <is>
          <t>A 35244-2019</t>
        </is>
      </c>
      <c r="B323" s="1" t="n">
        <v>43656</v>
      </c>
      <c r="C323" s="1" t="n">
        <v>45755</v>
      </c>
      <c r="D323" t="inlineStr">
        <is>
          <t>STOCKHOLMS LÄN</t>
        </is>
      </c>
      <c r="E323" t="inlineStr">
        <is>
          <t>NORRTÄLJE</t>
        </is>
      </c>
      <c r="G323" t="n">
        <v>1.9</v>
      </c>
      <c r="H323" t="n">
        <v>0</v>
      </c>
      <c r="I323" t="n">
        <v>0</v>
      </c>
      <c r="J323" t="n">
        <v>0</v>
      </c>
      <c r="K323" t="n">
        <v>0</v>
      </c>
      <c r="L323" t="n">
        <v>0</v>
      </c>
      <c r="M323" t="n">
        <v>0</v>
      </c>
      <c r="N323" t="n">
        <v>0</v>
      </c>
      <c r="O323" t="n">
        <v>0</v>
      </c>
      <c r="P323" t="n">
        <v>0</v>
      </c>
      <c r="Q323" t="n">
        <v>0</v>
      </c>
      <c r="R323" s="2" t="inlineStr"/>
    </row>
    <row r="324" ht="15" customHeight="1">
      <c r="A324" t="inlineStr">
        <is>
          <t>A 35249-2019</t>
        </is>
      </c>
      <c r="B324" s="1" t="n">
        <v>43656</v>
      </c>
      <c r="C324" s="1" t="n">
        <v>45755</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35251-2019</t>
        </is>
      </c>
      <c r="B325" s="1" t="n">
        <v>43656</v>
      </c>
      <c r="C325" s="1" t="n">
        <v>45755</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35492-2019</t>
        </is>
      </c>
      <c r="B326" s="1" t="n">
        <v>43663</v>
      </c>
      <c r="C326" s="1" t="n">
        <v>45755</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35770-2019</t>
        </is>
      </c>
      <c r="B327" s="1" t="n">
        <v>43665</v>
      </c>
      <c r="C327" s="1" t="n">
        <v>45755</v>
      </c>
      <c r="D327" t="inlineStr">
        <is>
          <t>STOCKHOLMS LÄN</t>
        </is>
      </c>
      <c r="E327" t="inlineStr">
        <is>
          <t>NORRTÄLJE</t>
        </is>
      </c>
      <c r="G327" t="n">
        <v>6.3</v>
      </c>
      <c r="H327" t="n">
        <v>0</v>
      </c>
      <c r="I327" t="n">
        <v>0</v>
      </c>
      <c r="J327" t="n">
        <v>0</v>
      </c>
      <c r="K327" t="n">
        <v>0</v>
      </c>
      <c r="L327" t="n">
        <v>0</v>
      </c>
      <c r="M327" t="n">
        <v>0</v>
      </c>
      <c r="N327" t="n">
        <v>0</v>
      </c>
      <c r="O327" t="n">
        <v>0</v>
      </c>
      <c r="P327" t="n">
        <v>0</v>
      </c>
      <c r="Q327" t="n">
        <v>0</v>
      </c>
      <c r="R327" s="2" t="inlineStr"/>
    </row>
    <row r="328" ht="15" customHeight="1">
      <c r="A328" t="inlineStr">
        <is>
          <t>A 35766-2019</t>
        </is>
      </c>
      <c r="B328" s="1" t="n">
        <v>43665</v>
      </c>
      <c r="C328" s="1" t="n">
        <v>45755</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36418-2019</t>
        </is>
      </c>
      <c r="B329" s="1" t="n">
        <v>43670</v>
      </c>
      <c r="C329" s="1" t="n">
        <v>45755</v>
      </c>
      <c r="D329" t="inlineStr">
        <is>
          <t>STOCKHOLMS LÄN</t>
        </is>
      </c>
      <c r="E329" t="inlineStr">
        <is>
          <t>NORRTÄLJE</t>
        </is>
      </c>
      <c r="G329" t="n">
        <v>16.8</v>
      </c>
      <c r="H329" t="n">
        <v>0</v>
      </c>
      <c r="I329" t="n">
        <v>0</v>
      </c>
      <c r="J329" t="n">
        <v>0</v>
      </c>
      <c r="K329" t="n">
        <v>0</v>
      </c>
      <c r="L329" t="n">
        <v>0</v>
      </c>
      <c r="M329" t="n">
        <v>0</v>
      </c>
      <c r="N329" t="n">
        <v>0</v>
      </c>
      <c r="O329" t="n">
        <v>0</v>
      </c>
      <c r="P329" t="n">
        <v>0</v>
      </c>
      <c r="Q329" t="n">
        <v>0</v>
      </c>
      <c r="R329" s="2" t="inlineStr"/>
    </row>
    <row r="330" ht="15" customHeight="1">
      <c r="A330" t="inlineStr">
        <is>
          <t>A 37401-2019</t>
        </is>
      </c>
      <c r="B330" s="1" t="n">
        <v>43678</v>
      </c>
      <c r="C330" s="1" t="n">
        <v>45755</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37662-2019</t>
        </is>
      </c>
      <c r="B331" s="1" t="n">
        <v>43682</v>
      </c>
      <c r="C331" s="1" t="n">
        <v>45755</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38144-2019</t>
        </is>
      </c>
      <c r="B332" s="1" t="n">
        <v>43684</v>
      </c>
      <c r="C332" s="1" t="n">
        <v>45755</v>
      </c>
      <c r="D332" t="inlineStr">
        <is>
          <t>STOCKHOLMS LÄN</t>
        </is>
      </c>
      <c r="E332" t="inlineStr">
        <is>
          <t>NORRTÄLJE</t>
        </is>
      </c>
      <c r="G332" t="n">
        <v>3.6</v>
      </c>
      <c r="H332" t="n">
        <v>0</v>
      </c>
      <c r="I332" t="n">
        <v>0</v>
      </c>
      <c r="J332" t="n">
        <v>0</v>
      </c>
      <c r="K332" t="n">
        <v>0</v>
      </c>
      <c r="L332" t="n">
        <v>0</v>
      </c>
      <c r="M332" t="n">
        <v>0</v>
      </c>
      <c r="N332" t="n">
        <v>0</v>
      </c>
      <c r="O332" t="n">
        <v>0</v>
      </c>
      <c r="P332" t="n">
        <v>0</v>
      </c>
      <c r="Q332" t="n">
        <v>0</v>
      </c>
      <c r="R332" s="2" t="inlineStr"/>
    </row>
    <row r="333" ht="15" customHeight="1">
      <c r="A333" t="inlineStr">
        <is>
          <t>A 38139-2019</t>
        </is>
      </c>
      <c r="B333" s="1" t="n">
        <v>43684</v>
      </c>
      <c r="C333" s="1" t="n">
        <v>45755</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38145-2019</t>
        </is>
      </c>
      <c r="B334" s="1" t="n">
        <v>43684</v>
      </c>
      <c r="C334" s="1" t="n">
        <v>45755</v>
      </c>
      <c r="D334" t="inlineStr">
        <is>
          <t>STOCKHOLMS LÄN</t>
        </is>
      </c>
      <c r="E334" t="inlineStr">
        <is>
          <t>NORRTÄLJE</t>
        </is>
      </c>
      <c r="G334" t="n">
        <v>9.9</v>
      </c>
      <c r="H334" t="n">
        <v>0</v>
      </c>
      <c r="I334" t="n">
        <v>0</v>
      </c>
      <c r="J334" t="n">
        <v>0</v>
      </c>
      <c r="K334" t="n">
        <v>0</v>
      </c>
      <c r="L334" t="n">
        <v>0</v>
      </c>
      <c r="M334" t="n">
        <v>0</v>
      </c>
      <c r="N334" t="n">
        <v>0</v>
      </c>
      <c r="O334" t="n">
        <v>0</v>
      </c>
      <c r="P334" t="n">
        <v>0</v>
      </c>
      <c r="Q334" t="n">
        <v>0</v>
      </c>
      <c r="R334" s="2" t="inlineStr"/>
    </row>
    <row r="335" ht="15" customHeight="1">
      <c r="A335" t="inlineStr">
        <is>
          <t>A 38140-2019</t>
        </is>
      </c>
      <c r="B335" s="1" t="n">
        <v>43684</v>
      </c>
      <c r="C335" s="1" t="n">
        <v>45755</v>
      </c>
      <c r="D335" t="inlineStr">
        <is>
          <t>STOCKHOLMS LÄN</t>
        </is>
      </c>
      <c r="E335" t="inlineStr">
        <is>
          <t>NORRTÄLJE</t>
        </is>
      </c>
      <c r="G335" t="n">
        <v>3.4</v>
      </c>
      <c r="H335" t="n">
        <v>0</v>
      </c>
      <c r="I335" t="n">
        <v>0</v>
      </c>
      <c r="J335" t="n">
        <v>0</v>
      </c>
      <c r="K335" t="n">
        <v>0</v>
      </c>
      <c r="L335" t="n">
        <v>0</v>
      </c>
      <c r="M335" t="n">
        <v>0</v>
      </c>
      <c r="N335" t="n">
        <v>0</v>
      </c>
      <c r="O335" t="n">
        <v>0</v>
      </c>
      <c r="P335" t="n">
        <v>0</v>
      </c>
      <c r="Q335" t="n">
        <v>0</v>
      </c>
      <c r="R335" s="2" t="inlineStr"/>
    </row>
    <row r="336" ht="15" customHeight="1">
      <c r="A336" t="inlineStr">
        <is>
          <t>A 38143-2019</t>
        </is>
      </c>
      <c r="B336" s="1" t="n">
        <v>43684</v>
      </c>
      <c r="C336" s="1" t="n">
        <v>45755</v>
      </c>
      <c r="D336" t="inlineStr">
        <is>
          <t>STOCKHOLMS LÄN</t>
        </is>
      </c>
      <c r="E336" t="inlineStr">
        <is>
          <t>NORRTÄLJE</t>
        </is>
      </c>
      <c r="G336" t="n">
        <v>12.7</v>
      </c>
      <c r="H336" t="n">
        <v>0</v>
      </c>
      <c r="I336" t="n">
        <v>0</v>
      </c>
      <c r="J336" t="n">
        <v>0</v>
      </c>
      <c r="K336" t="n">
        <v>0</v>
      </c>
      <c r="L336" t="n">
        <v>0</v>
      </c>
      <c r="M336" t="n">
        <v>0</v>
      </c>
      <c r="N336" t="n">
        <v>0</v>
      </c>
      <c r="O336" t="n">
        <v>0</v>
      </c>
      <c r="P336" t="n">
        <v>0</v>
      </c>
      <c r="Q336" t="n">
        <v>0</v>
      </c>
      <c r="R336" s="2" t="inlineStr"/>
    </row>
    <row r="337" ht="15" customHeight="1">
      <c r="A337" t="inlineStr">
        <is>
          <t>A 38506-2019</t>
        </is>
      </c>
      <c r="B337" s="1" t="n">
        <v>43685</v>
      </c>
      <c r="C337" s="1" t="n">
        <v>45755</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38605-2019</t>
        </is>
      </c>
      <c r="B338" s="1" t="n">
        <v>43686</v>
      </c>
      <c r="C338" s="1" t="n">
        <v>45755</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38737-2019</t>
        </is>
      </c>
      <c r="B339" s="1" t="n">
        <v>43686</v>
      </c>
      <c r="C339" s="1" t="n">
        <v>45755</v>
      </c>
      <c r="D339" t="inlineStr">
        <is>
          <t>STOCKHOLMS LÄN</t>
        </is>
      </c>
      <c r="E339" t="inlineStr">
        <is>
          <t>NORRTÄLJE</t>
        </is>
      </c>
      <c r="G339" t="n">
        <v>4.7</v>
      </c>
      <c r="H339" t="n">
        <v>0</v>
      </c>
      <c r="I339" t="n">
        <v>0</v>
      </c>
      <c r="J339" t="n">
        <v>0</v>
      </c>
      <c r="K339" t="n">
        <v>0</v>
      </c>
      <c r="L339" t="n">
        <v>0</v>
      </c>
      <c r="M339" t="n">
        <v>0</v>
      </c>
      <c r="N339" t="n">
        <v>0</v>
      </c>
      <c r="O339" t="n">
        <v>0</v>
      </c>
      <c r="P339" t="n">
        <v>0</v>
      </c>
      <c r="Q339" t="n">
        <v>0</v>
      </c>
      <c r="R339" s="2" t="inlineStr"/>
    </row>
    <row r="340" ht="15" customHeight="1">
      <c r="A340" t="inlineStr">
        <is>
          <t>A 40571-2019</t>
        </is>
      </c>
      <c r="B340" s="1" t="n">
        <v>43696</v>
      </c>
      <c r="C340" s="1" t="n">
        <v>45755</v>
      </c>
      <c r="D340" t="inlineStr">
        <is>
          <t>STOCKHOLMS LÄN</t>
        </is>
      </c>
      <c r="E340" t="inlineStr">
        <is>
          <t>NORRTÄLJE</t>
        </is>
      </c>
      <c r="G340" t="n">
        <v>2.8</v>
      </c>
      <c r="H340" t="n">
        <v>0</v>
      </c>
      <c r="I340" t="n">
        <v>0</v>
      </c>
      <c r="J340" t="n">
        <v>0</v>
      </c>
      <c r="K340" t="n">
        <v>0</v>
      </c>
      <c r="L340" t="n">
        <v>0</v>
      </c>
      <c r="M340" t="n">
        <v>0</v>
      </c>
      <c r="N340" t="n">
        <v>0</v>
      </c>
      <c r="O340" t="n">
        <v>0</v>
      </c>
      <c r="P340" t="n">
        <v>0</v>
      </c>
      <c r="Q340" t="n">
        <v>0</v>
      </c>
      <c r="R340" s="2" t="inlineStr"/>
    </row>
    <row r="341" ht="15" customHeight="1">
      <c r="A341" t="inlineStr">
        <is>
          <t>A 42330-2019</t>
        </is>
      </c>
      <c r="B341" s="1" t="n">
        <v>43703</v>
      </c>
      <c r="C341" s="1" t="n">
        <v>45755</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43379-2019</t>
        </is>
      </c>
      <c r="B342" s="1" t="n">
        <v>43703</v>
      </c>
      <c r="C342" s="1" t="n">
        <v>45755</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43296-2019</t>
        </is>
      </c>
      <c r="B343" s="1" t="n">
        <v>43706</v>
      </c>
      <c r="C343" s="1" t="n">
        <v>45755</v>
      </c>
      <c r="D343" t="inlineStr">
        <is>
          <t>STOCKHOLMS LÄN</t>
        </is>
      </c>
      <c r="E343" t="inlineStr">
        <is>
          <t>NORRTÄLJE</t>
        </is>
      </c>
      <c r="F343" t="inlineStr">
        <is>
          <t>Kommuner</t>
        </is>
      </c>
      <c r="G343" t="n">
        <v>1.7</v>
      </c>
      <c r="H343" t="n">
        <v>0</v>
      </c>
      <c r="I343" t="n">
        <v>0</v>
      </c>
      <c r="J343" t="n">
        <v>0</v>
      </c>
      <c r="K343" t="n">
        <v>0</v>
      </c>
      <c r="L343" t="n">
        <v>0</v>
      </c>
      <c r="M343" t="n">
        <v>0</v>
      </c>
      <c r="N343" t="n">
        <v>0</v>
      </c>
      <c r="O343" t="n">
        <v>0</v>
      </c>
      <c r="P343" t="n">
        <v>0</v>
      </c>
      <c r="Q343" t="n">
        <v>0</v>
      </c>
      <c r="R343" s="2" t="inlineStr"/>
    </row>
    <row r="344" ht="15" customHeight="1">
      <c r="A344" t="inlineStr">
        <is>
          <t>A 44643-2019</t>
        </is>
      </c>
      <c r="B344" s="1" t="n">
        <v>43712</v>
      </c>
      <c r="C344" s="1" t="n">
        <v>45755</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45463-2019</t>
        </is>
      </c>
      <c r="B345" s="1" t="n">
        <v>43714</v>
      </c>
      <c r="C345" s="1" t="n">
        <v>45755</v>
      </c>
      <c r="D345" t="inlineStr">
        <is>
          <t>STOCKHOLMS LÄN</t>
        </is>
      </c>
      <c r="E345" t="inlineStr">
        <is>
          <t>NORRTÄLJE</t>
        </is>
      </c>
      <c r="F345" t="inlineStr">
        <is>
          <t>Övriga statliga verk och myndigheter</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45477-2019</t>
        </is>
      </c>
      <c r="B346" s="1" t="n">
        <v>43714</v>
      </c>
      <c r="C346" s="1" t="n">
        <v>45755</v>
      </c>
      <c r="D346" t="inlineStr">
        <is>
          <t>STOCKHOLMS LÄN</t>
        </is>
      </c>
      <c r="E346" t="inlineStr">
        <is>
          <t>NORRTÄLJE</t>
        </is>
      </c>
      <c r="F346" t="inlineStr">
        <is>
          <t>Övriga statliga verk och myndigheter</t>
        </is>
      </c>
      <c r="G346" t="n">
        <v>8.9</v>
      </c>
      <c r="H346" t="n">
        <v>0</v>
      </c>
      <c r="I346" t="n">
        <v>0</v>
      </c>
      <c r="J346" t="n">
        <v>0</v>
      </c>
      <c r="K346" t="n">
        <v>0</v>
      </c>
      <c r="L346" t="n">
        <v>0</v>
      </c>
      <c r="M346" t="n">
        <v>0</v>
      </c>
      <c r="N346" t="n">
        <v>0</v>
      </c>
      <c r="O346" t="n">
        <v>0</v>
      </c>
      <c r="P346" t="n">
        <v>0</v>
      </c>
      <c r="Q346" t="n">
        <v>0</v>
      </c>
      <c r="R346" s="2" t="inlineStr"/>
    </row>
    <row r="347" ht="15" customHeight="1">
      <c r="A347" t="inlineStr">
        <is>
          <t>A 46327-2019</t>
        </is>
      </c>
      <c r="B347" s="1" t="n">
        <v>43718</v>
      </c>
      <c r="C347" s="1" t="n">
        <v>45755</v>
      </c>
      <c r="D347" t="inlineStr">
        <is>
          <t>STOCKHOLMS LÄN</t>
        </is>
      </c>
      <c r="E347" t="inlineStr">
        <is>
          <t>NORRTÄLJE</t>
        </is>
      </c>
      <c r="G347" t="n">
        <v>2.4</v>
      </c>
      <c r="H347" t="n">
        <v>0</v>
      </c>
      <c r="I347" t="n">
        <v>0</v>
      </c>
      <c r="J347" t="n">
        <v>0</v>
      </c>
      <c r="K347" t="n">
        <v>0</v>
      </c>
      <c r="L347" t="n">
        <v>0</v>
      </c>
      <c r="M347" t="n">
        <v>0</v>
      </c>
      <c r="N347" t="n">
        <v>0</v>
      </c>
      <c r="O347" t="n">
        <v>0</v>
      </c>
      <c r="P347" t="n">
        <v>0</v>
      </c>
      <c r="Q347" t="n">
        <v>0</v>
      </c>
      <c r="R347" s="2" t="inlineStr"/>
    </row>
    <row r="348" ht="15" customHeight="1">
      <c r="A348" t="inlineStr">
        <is>
          <t>A 47876-2019</t>
        </is>
      </c>
      <c r="B348" s="1" t="n">
        <v>43725</v>
      </c>
      <c r="C348" s="1" t="n">
        <v>45755</v>
      </c>
      <c r="D348" t="inlineStr">
        <is>
          <t>STOCKHOLMS LÄN</t>
        </is>
      </c>
      <c r="E348" t="inlineStr">
        <is>
          <t>NORRTÄLJE</t>
        </is>
      </c>
      <c r="G348" t="n">
        <v>11.4</v>
      </c>
      <c r="H348" t="n">
        <v>0</v>
      </c>
      <c r="I348" t="n">
        <v>0</v>
      </c>
      <c r="J348" t="n">
        <v>0</v>
      </c>
      <c r="K348" t="n">
        <v>0</v>
      </c>
      <c r="L348" t="n">
        <v>0</v>
      </c>
      <c r="M348" t="n">
        <v>0</v>
      </c>
      <c r="N348" t="n">
        <v>0</v>
      </c>
      <c r="O348" t="n">
        <v>0</v>
      </c>
      <c r="P348" t="n">
        <v>0</v>
      </c>
      <c r="Q348" t="n">
        <v>0</v>
      </c>
      <c r="R348" s="2" t="inlineStr"/>
    </row>
    <row r="349" ht="15" customHeight="1">
      <c r="A349" t="inlineStr">
        <is>
          <t>A 47877-2019</t>
        </is>
      </c>
      <c r="B349" s="1" t="n">
        <v>43725</v>
      </c>
      <c r="C349" s="1" t="n">
        <v>45755</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47903-2019</t>
        </is>
      </c>
      <c r="B350" s="1" t="n">
        <v>43725</v>
      </c>
      <c r="C350" s="1" t="n">
        <v>45755</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47901-2019</t>
        </is>
      </c>
      <c r="B351" s="1" t="n">
        <v>43725</v>
      </c>
      <c r="C351" s="1" t="n">
        <v>45755</v>
      </c>
      <c r="D351" t="inlineStr">
        <is>
          <t>STOCKHOLMS LÄN</t>
        </is>
      </c>
      <c r="E351" t="inlineStr">
        <is>
          <t>NORRTÄLJE</t>
        </is>
      </c>
      <c r="G351" t="n">
        <v>3</v>
      </c>
      <c r="H351" t="n">
        <v>0</v>
      </c>
      <c r="I351" t="n">
        <v>0</v>
      </c>
      <c r="J351" t="n">
        <v>0</v>
      </c>
      <c r="K351" t="n">
        <v>0</v>
      </c>
      <c r="L351" t="n">
        <v>0</v>
      </c>
      <c r="M351" t="n">
        <v>0</v>
      </c>
      <c r="N351" t="n">
        <v>0</v>
      </c>
      <c r="O351" t="n">
        <v>0</v>
      </c>
      <c r="P351" t="n">
        <v>0</v>
      </c>
      <c r="Q351" t="n">
        <v>0</v>
      </c>
      <c r="R351" s="2" t="inlineStr"/>
    </row>
    <row r="352" ht="15" customHeight="1">
      <c r="A352" t="inlineStr">
        <is>
          <t>A 47939-2019</t>
        </is>
      </c>
      <c r="B352" s="1" t="n">
        <v>43725</v>
      </c>
      <c r="C352" s="1" t="n">
        <v>45755</v>
      </c>
      <c r="D352" t="inlineStr">
        <is>
          <t>STOCKHOLMS LÄN</t>
        </is>
      </c>
      <c r="E352" t="inlineStr">
        <is>
          <t>NORRTÄLJE</t>
        </is>
      </c>
      <c r="G352" t="n">
        <v>4.5</v>
      </c>
      <c r="H352" t="n">
        <v>0</v>
      </c>
      <c r="I352" t="n">
        <v>0</v>
      </c>
      <c r="J352" t="n">
        <v>0</v>
      </c>
      <c r="K352" t="n">
        <v>0</v>
      </c>
      <c r="L352" t="n">
        <v>0</v>
      </c>
      <c r="M352" t="n">
        <v>0</v>
      </c>
      <c r="N352" t="n">
        <v>0</v>
      </c>
      <c r="O352" t="n">
        <v>0</v>
      </c>
      <c r="P352" t="n">
        <v>0</v>
      </c>
      <c r="Q352" t="n">
        <v>0</v>
      </c>
      <c r="R352" s="2" t="inlineStr"/>
    </row>
    <row r="353" ht="15" customHeight="1">
      <c r="A353" t="inlineStr">
        <is>
          <t>A 47941-2019</t>
        </is>
      </c>
      <c r="B353" s="1" t="n">
        <v>43725</v>
      </c>
      <c r="C353" s="1" t="n">
        <v>45755</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47879-2019</t>
        </is>
      </c>
      <c r="B354" s="1" t="n">
        <v>43725</v>
      </c>
      <c r="C354" s="1" t="n">
        <v>45755</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48730-2019</t>
        </is>
      </c>
      <c r="B355" s="1" t="n">
        <v>43728</v>
      </c>
      <c r="C355" s="1" t="n">
        <v>45755</v>
      </c>
      <c r="D355" t="inlineStr">
        <is>
          <t>STOCKHOLMS LÄN</t>
        </is>
      </c>
      <c r="E355" t="inlineStr">
        <is>
          <t>NORRTÄLJE</t>
        </is>
      </c>
      <c r="F355" t="inlineStr">
        <is>
          <t>Övriga statliga verk och myndigheter</t>
        </is>
      </c>
      <c r="G355" t="n">
        <v>1.3</v>
      </c>
      <c r="H355" t="n">
        <v>0</v>
      </c>
      <c r="I355" t="n">
        <v>0</v>
      </c>
      <c r="J355" t="n">
        <v>0</v>
      </c>
      <c r="K355" t="n">
        <v>0</v>
      </c>
      <c r="L355" t="n">
        <v>0</v>
      </c>
      <c r="M355" t="n">
        <v>0</v>
      </c>
      <c r="N355" t="n">
        <v>0</v>
      </c>
      <c r="O355" t="n">
        <v>0</v>
      </c>
      <c r="P355" t="n">
        <v>0</v>
      </c>
      <c r="Q355" t="n">
        <v>0</v>
      </c>
      <c r="R355" s="2" t="inlineStr"/>
    </row>
    <row r="356" ht="15" customHeight="1">
      <c r="A356" t="inlineStr">
        <is>
          <t>A 49252-2019</t>
        </is>
      </c>
      <c r="B356" s="1" t="n">
        <v>43731</v>
      </c>
      <c r="C356" s="1" t="n">
        <v>45755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51940-2019</t>
        </is>
      </c>
      <c r="B357" s="1" t="n">
        <v>43741</v>
      </c>
      <c r="C357" s="1" t="n">
        <v>45755</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51942-2019</t>
        </is>
      </c>
      <c r="B358" s="1" t="n">
        <v>43741</v>
      </c>
      <c r="C358" s="1" t="n">
        <v>45755</v>
      </c>
      <c r="D358" t="inlineStr">
        <is>
          <t>STOCKHOLMS LÄN</t>
        </is>
      </c>
      <c r="E358" t="inlineStr">
        <is>
          <t>NORRTÄLJE</t>
        </is>
      </c>
      <c r="G358" t="n">
        <v>5.6</v>
      </c>
      <c r="H358" t="n">
        <v>0</v>
      </c>
      <c r="I358" t="n">
        <v>0</v>
      </c>
      <c r="J358" t="n">
        <v>0</v>
      </c>
      <c r="K358" t="n">
        <v>0</v>
      </c>
      <c r="L358" t="n">
        <v>0</v>
      </c>
      <c r="M358" t="n">
        <v>0</v>
      </c>
      <c r="N358" t="n">
        <v>0</v>
      </c>
      <c r="O358" t="n">
        <v>0</v>
      </c>
      <c r="P358" t="n">
        <v>0</v>
      </c>
      <c r="Q358" t="n">
        <v>0</v>
      </c>
      <c r="R358" s="2" t="inlineStr"/>
    </row>
    <row r="359" ht="15" customHeight="1">
      <c r="A359" t="inlineStr">
        <is>
          <t>A 55481-2019</t>
        </is>
      </c>
      <c r="B359" s="1" t="n">
        <v>43759</v>
      </c>
      <c r="C359" s="1" t="n">
        <v>45755</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55891-2019</t>
        </is>
      </c>
      <c r="B360" s="1" t="n">
        <v>43761</v>
      </c>
      <c r="C360" s="1" t="n">
        <v>45755</v>
      </c>
      <c r="D360" t="inlineStr">
        <is>
          <t>STOCKHOLMS LÄN</t>
        </is>
      </c>
      <c r="E360" t="inlineStr">
        <is>
          <t>NORRTÄLJE</t>
        </is>
      </c>
      <c r="G360" t="n">
        <v>7.6</v>
      </c>
      <c r="H360" t="n">
        <v>0</v>
      </c>
      <c r="I360" t="n">
        <v>0</v>
      </c>
      <c r="J360" t="n">
        <v>0</v>
      </c>
      <c r="K360" t="n">
        <v>0</v>
      </c>
      <c r="L360" t="n">
        <v>0</v>
      </c>
      <c r="M360" t="n">
        <v>0</v>
      </c>
      <c r="N360" t="n">
        <v>0</v>
      </c>
      <c r="O360" t="n">
        <v>0</v>
      </c>
      <c r="P360" t="n">
        <v>0</v>
      </c>
      <c r="Q360" t="n">
        <v>0</v>
      </c>
      <c r="R360" s="2" t="inlineStr"/>
    </row>
    <row r="361" ht="15" customHeight="1">
      <c r="A361" t="inlineStr">
        <is>
          <t>A 56349-2019</t>
        </is>
      </c>
      <c r="B361" s="1" t="n">
        <v>43762</v>
      </c>
      <c r="C361" s="1" t="n">
        <v>45755</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57759-2019</t>
        </is>
      </c>
      <c r="B362" s="1" t="n">
        <v>43763</v>
      </c>
      <c r="C362" s="1" t="n">
        <v>45755</v>
      </c>
      <c r="D362" t="inlineStr">
        <is>
          <t>STOCKHOLMS LÄN</t>
        </is>
      </c>
      <c r="E362" t="inlineStr">
        <is>
          <t>NORRTÄLJE</t>
        </is>
      </c>
      <c r="F362" t="inlineStr">
        <is>
          <t>Övriga Aktiebolag</t>
        </is>
      </c>
      <c r="G362" t="n">
        <v>7.3</v>
      </c>
      <c r="H362" t="n">
        <v>0</v>
      </c>
      <c r="I362" t="n">
        <v>0</v>
      </c>
      <c r="J362" t="n">
        <v>0</v>
      </c>
      <c r="K362" t="n">
        <v>0</v>
      </c>
      <c r="L362" t="n">
        <v>0</v>
      </c>
      <c r="M362" t="n">
        <v>0</v>
      </c>
      <c r="N362" t="n">
        <v>0</v>
      </c>
      <c r="O362" t="n">
        <v>0</v>
      </c>
      <c r="P362" t="n">
        <v>0</v>
      </c>
      <c r="Q362" t="n">
        <v>0</v>
      </c>
      <c r="R362" s="2" t="inlineStr"/>
    </row>
    <row r="363" ht="15" customHeight="1">
      <c r="A363" t="inlineStr">
        <is>
          <t>A 57063-2019</t>
        </is>
      </c>
      <c r="B363" s="1" t="n">
        <v>43766</v>
      </c>
      <c r="C363" s="1" t="n">
        <v>45755</v>
      </c>
      <c r="D363" t="inlineStr">
        <is>
          <t>STOCKHOLMS LÄN</t>
        </is>
      </c>
      <c r="E363" t="inlineStr">
        <is>
          <t>NORRTÄLJE</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56950-2019</t>
        </is>
      </c>
      <c r="B364" s="1" t="n">
        <v>43766</v>
      </c>
      <c r="C364" s="1" t="n">
        <v>45755</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57605-2019</t>
        </is>
      </c>
      <c r="B365" s="1" t="n">
        <v>43768</v>
      </c>
      <c r="C365" s="1" t="n">
        <v>45755</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58064-2019</t>
        </is>
      </c>
      <c r="B366" s="1" t="n">
        <v>43769</v>
      </c>
      <c r="C366" s="1" t="n">
        <v>45755</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58631-2019</t>
        </is>
      </c>
      <c r="B367" s="1" t="n">
        <v>43773</v>
      </c>
      <c r="C367" s="1" t="n">
        <v>45755</v>
      </c>
      <c r="D367" t="inlineStr">
        <is>
          <t>STOCKHOLMS LÄN</t>
        </is>
      </c>
      <c r="E367" t="inlineStr">
        <is>
          <t>NORRTÄLJE</t>
        </is>
      </c>
      <c r="G367" t="n">
        <v>6</v>
      </c>
      <c r="H367" t="n">
        <v>0</v>
      </c>
      <c r="I367" t="n">
        <v>0</v>
      </c>
      <c r="J367" t="n">
        <v>0</v>
      </c>
      <c r="K367" t="n">
        <v>0</v>
      </c>
      <c r="L367" t="n">
        <v>0</v>
      </c>
      <c r="M367" t="n">
        <v>0</v>
      </c>
      <c r="N367" t="n">
        <v>0</v>
      </c>
      <c r="O367" t="n">
        <v>0</v>
      </c>
      <c r="P367" t="n">
        <v>0</v>
      </c>
      <c r="Q367" t="n">
        <v>0</v>
      </c>
      <c r="R367" s="2" t="inlineStr"/>
    </row>
    <row r="368" ht="15" customHeight="1">
      <c r="A368" t="inlineStr">
        <is>
          <t>A 60214-2019</t>
        </is>
      </c>
      <c r="B368" s="1" t="n">
        <v>43780</v>
      </c>
      <c r="C368" s="1" t="n">
        <v>45755</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60208-2019</t>
        </is>
      </c>
      <c r="B369" s="1" t="n">
        <v>43780</v>
      </c>
      <c r="C369" s="1" t="n">
        <v>45755</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60842-2019</t>
        </is>
      </c>
      <c r="B370" s="1" t="n">
        <v>43781</v>
      </c>
      <c r="C370" s="1" t="n">
        <v>45755</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60844-2019</t>
        </is>
      </c>
      <c r="B371" s="1" t="n">
        <v>43781</v>
      </c>
      <c r="C371" s="1" t="n">
        <v>45755</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61657-2019</t>
        </is>
      </c>
      <c r="B372" s="1" t="n">
        <v>43784</v>
      </c>
      <c r="C372" s="1" t="n">
        <v>45755</v>
      </c>
      <c r="D372" t="inlineStr">
        <is>
          <t>STOCKHOLMS LÄN</t>
        </is>
      </c>
      <c r="E372" t="inlineStr">
        <is>
          <t>NORRTÄLJE</t>
        </is>
      </c>
      <c r="G372" t="n">
        <v>5</v>
      </c>
      <c r="H372" t="n">
        <v>0</v>
      </c>
      <c r="I372" t="n">
        <v>0</v>
      </c>
      <c r="J372" t="n">
        <v>0</v>
      </c>
      <c r="K372" t="n">
        <v>0</v>
      </c>
      <c r="L372" t="n">
        <v>0</v>
      </c>
      <c r="M372" t="n">
        <v>0</v>
      </c>
      <c r="N372" t="n">
        <v>0</v>
      </c>
      <c r="O372" t="n">
        <v>0</v>
      </c>
      <c r="P372" t="n">
        <v>0</v>
      </c>
      <c r="Q372" t="n">
        <v>0</v>
      </c>
      <c r="R372" s="2" t="inlineStr"/>
    </row>
    <row r="373" ht="15" customHeight="1">
      <c r="A373" t="inlineStr">
        <is>
          <t>A 62980-2019</t>
        </is>
      </c>
      <c r="B373" s="1" t="n">
        <v>43790</v>
      </c>
      <c r="C373" s="1" t="n">
        <v>45755</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63513-2019</t>
        </is>
      </c>
      <c r="B374" s="1" t="n">
        <v>43794</v>
      </c>
      <c r="C374" s="1" t="n">
        <v>45755</v>
      </c>
      <c r="D374" t="inlineStr">
        <is>
          <t>STOCKHOLMS LÄN</t>
        </is>
      </c>
      <c r="E374" t="inlineStr">
        <is>
          <t>NORRTÄLJE</t>
        </is>
      </c>
      <c r="G374" t="n">
        <v>9</v>
      </c>
      <c r="H374" t="n">
        <v>0</v>
      </c>
      <c r="I374" t="n">
        <v>0</v>
      </c>
      <c r="J374" t="n">
        <v>0</v>
      </c>
      <c r="K374" t="n">
        <v>0</v>
      </c>
      <c r="L374" t="n">
        <v>0</v>
      </c>
      <c r="M374" t="n">
        <v>0</v>
      </c>
      <c r="N374" t="n">
        <v>0</v>
      </c>
      <c r="O374" t="n">
        <v>0</v>
      </c>
      <c r="P374" t="n">
        <v>0</v>
      </c>
      <c r="Q374" t="n">
        <v>0</v>
      </c>
      <c r="R374" s="2" t="inlineStr"/>
    </row>
    <row r="375" ht="15" customHeight="1">
      <c r="A375" t="inlineStr">
        <is>
          <t>A 63529-2019</t>
        </is>
      </c>
      <c r="B375" s="1" t="n">
        <v>43794</v>
      </c>
      <c r="C375" s="1" t="n">
        <v>45755</v>
      </c>
      <c r="D375" t="inlineStr">
        <is>
          <t>STOCKHOLMS LÄN</t>
        </is>
      </c>
      <c r="E375" t="inlineStr">
        <is>
          <t>NORRTÄLJE</t>
        </is>
      </c>
      <c r="G375" t="n">
        <v>0.4</v>
      </c>
      <c r="H375" t="n">
        <v>0</v>
      </c>
      <c r="I375" t="n">
        <v>0</v>
      </c>
      <c r="J375" t="n">
        <v>0</v>
      </c>
      <c r="K375" t="n">
        <v>0</v>
      </c>
      <c r="L375" t="n">
        <v>0</v>
      </c>
      <c r="M375" t="n">
        <v>0</v>
      </c>
      <c r="N375" t="n">
        <v>0</v>
      </c>
      <c r="O375" t="n">
        <v>0</v>
      </c>
      <c r="P375" t="n">
        <v>0</v>
      </c>
      <c r="Q375" t="n">
        <v>0</v>
      </c>
      <c r="R375" s="2" t="inlineStr"/>
    </row>
    <row r="376" ht="15" customHeight="1">
      <c r="A376" t="inlineStr">
        <is>
          <t>A 63495-2019</t>
        </is>
      </c>
      <c r="B376" s="1" t="n">
        <v>43794</v>
      </c>
      <c r="C376" s="1" t="n">
        <v>45755</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63504-2019</t>
        </is>
      </c>
      <c r="B377" s="1" t="n">
        <v>43794</v>
      </c>
      <c r="C377" s="1" t="n">
        <v>45755</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63528-2019</t>
        </is>
      </c>
      <c r="B378" s="1" t="n">
        <v>43794</v>
      </c>
      <c r="C378" s="1" t="n">
        <v>45755</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63515-2019</t>
        </is>
      </c>
      <c r="B379" s="1" t="n">
        <v>43794</v>
      </c>
      <c r="C379" s="1" t="n">
        <v>45755</v>
      </c>
      <c r="D379" t="inlineStr">
        <is>
          <t>STOCKHOLMS LÄN</t>
        </is>
      </c>
      <c r="E379" t="inlineStr">
        <is>
          <t>NORRTÄLJE</t>
        </is>
      </c>
      <c r="G379" t="n">
        <v>7.1</v>
      </c>
      <c r="H379" t="n">
        <v>0</v>
      </c>
      <c r="I379" t="n">
        <v>0</v>
      </c>
      <c r="J379" t="n">
        <v>0</v>
      </c>
      <c r="K379" t="n">
        <v>0</v>
      </c>
      <c r="L379" t="n">
        <v>0</v>
      </c>
      <c r="M379" t="n">
        <v>0</v>
      </c>
      <c r="N379" t="n">
        <v>0</v>
      </c>
      <c r="O379" t="n">
        <v>0</v>
      </c>
      <c r="P379" t="n">
        <v>0</v>
      </c>
      <c r="Q379" t="n">
        <v>0</v>
      </c>
      <c r="R379" s="2" t="inlineStr"/>
    </row>
    <row r="380" ht="15" customHeight="1">
      <c r="A380" t="inlineStr">
        <is>
          <t>A 64293-2019</t>
        </is>
      </c>
      <c r="B380" s="1" t="n">
        <v>43797</v>
      </c>
      <c r="C380" s="1" t="n">
        <v>45755</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65640-2019</t>
        </is>
      </c>
      <c r="B381" s="1" t="n">
        <v>43804</v>
      </c>
      <c r="C381" s="1" t="n">
        <v>45755</v>
      </c>
      <c r="D381" t="inlineStr">
        <is>
          <t>STOCKHOLMS LÄN</t>
        </is>
      </c>
      <c r="E381" t="inlineStr">
        <is>
          <t>NORRTÄLJE</t>
        </is>
      </c>
      <c r="G381" t="n">
        <v>0.8</v>
      </c>
      <c r="H381" t="n">
        <v>0</v>
      </c>
      <c r="I381" t="n">
        <v>0</v>
      </c>
      <c r="J381" t="n">
        <v>0</v>
      </c>
      <c r="K381" t="n">
        <v>0</v>
      </c>
      <c r="L381" t="n">
        <v>0</v>
      </c>
      <c r="M381" t="n">
        <v>0</v>
      </c>
      <c r="N381" t="n">
        <v>0</v>
      </c>
      <c r="O381" t="n">
        <v>0</v>
      </c>
      <c r="P381" t="n">
        <v>0</v>
      </c>
      <c r="Q381" t="n">
        <v>0</v>
      </c>
      <c r="R381" s="2" t="inlineStr"/>
    </row>
    <row r="382" ht="15" customHeight="1">
      <c r="A382" t="inlineStr">
        <is>
          <t>A 65998-2019</t>
        </is>
      </c>
      <c r="B382" s="1" t="n">
        <v>43805</v>
      </c>
      <c r="C382" s="1" t="n">
        <v>45755</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66604-2019</t>
        </is>
      </c>
      <c r="B383" s="1" t="n">
        <v>43809</v>
      </c>
      <c r="C383" s="1" t="n">
        <v>45755</v>
      </c>
      <c r="D383" t="inlineStr">
        <is>
          <t>STOCKHOLMS LÄN</t>
        </is>
      </c>
      <c r="E383" t="inlineStr">
        <is>
          <t>NORRTÄLJE</t>
        </is>
      </c>
      <c r="G383" t="n">
        <v>2.3</v>
      </c>
      <c r="H383" t="n">
        <v>0</v>
      </c>
      <c r="I383" t="n">
        <v>0</v>
      </c>
      <c r="J383" t="n">
        <v>0</v>
      </c>
      <c r="K383" t="n">
        <v>0</v>
      </c>
      <c r="L383" t="n">
        <v>0</v>
      </c>
      <c r="M383" t="n">
        <v>0</v>
      </c>
      <c r="N383" t="n">
        <v>0</v>
      </c>
      <c r="O383" t="n">
        <v>0</v>
      </c>
      <c r="P383" t="n">
        <v>0</v>
      </c>
      <c r="Q383" t="n">
        <v>0</v>
      </c>
      <c r="R383" s="2" t="inlineStr"/>
    </row>
    <row r="384" ht="15" customHeight="1">
      <c r="A384" t="inlineStr">
        <is>
          <t>A 67158-2019</t>
        </is>
      </c>
      <c r="B384" s="1" t="n">
        <v>43811</v>
      </c>
      <c r="C384" s="1" t="n">
        <v>45755</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67324-2019</t>
        </is>
      </c>
      <c r="B385" s="1" t="n">
        <v>43812</v>
      </c>
      <c r="C385" s="1" t="n">
        <v>45755</v>
      </c>
      <c r="D385" t="inlineStr">
        <is>
          <t>STOCKHOLMS LÄN</t>
        </is>
      </c>
      <c r="E385" t="inlineStr">
        <is>
          <t>NORRTÄLJE</t>
        </is>
      </c>
      <c r="G385" t="n">
        <v>7.7</v>
      </c>
      <c r="H385" t="n">
        <v>0</v>
      </c>
      <c r="I385" t="n">
        <v>0</v>
      </c>
      <c r="J385" t="n">
        <v>0</v>
      </c>
      <c r="K385" t="n">
        <v>0</v>
      </c>
      <c r="L385" t="n">
        <v>0</v>
      </c>
      <c r="M385" t="n">
        <v>0</v>
      </c>
      <c r="N385" t="n">
        <v>0</v>
      </c>
      <c r="O385" t="n">
        <v>0</v>
      </c>
      <c r="P385" t="n">
        <v>0</v>
      </c>
      <c r="Q385" t="n">
        <v>0</v>
      </c>
      <c r="R385" s="2" t="inlineStr"/>
    </row>
    <row r="386" ht="15" customHeight="1">
      <c r="A386" t="inlineStr">
        <is>
          <t>A 68865-2019</t>
        </is>
      </c>
      <c r="B386" s="1" t="n">
        <v>43821</v>
      </c>
      <c r="C386" s="1" t="n">
        <v>45755</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1099-2020</t>
        </is>
      </c>
      <c r="B387" s="1" t="n">
        <v>43822</v>
      </c>
      <c r="C387" s="1" t="n">
        <v>45755</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4475-2020</t>
        </is>
      </c>
      <c r="B388" s="1" t="n">
        <v>43849</v>
      </c>
      <c r="C388" s="1" t="n">
        <v>45755</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3882-2020</t>
        </is>
      </c>
      <c r="B389" s="1" t="n">
        <v>43854</v>
      </c>
      <c r="C389" s="1" t="n">
        <v>45755</v>
      </c>
      <c r="D389" t="inlineStr">
        <is>
          <t>STOCKHOLMS LÄN</t>
        </is>
      </c>
      <c r="E389" t="inlineStr">
        <is>
          <t>NORRTÄLJE</t>
        </is>
      </c>
      <c r="G389" t="n">
        <v>5.9</v>
      </c>
      <c r="H389" t="n">
        <v>0</v>
      </c>
      <c r="I389" t="n">
        <v>0</v>
      </c>
      <c r="J389" t="n">
        <v>0</v>
      </c>
      <c r="K389" t="n">
        <v>0</v>
      </c>
      <c r="L389" t="n">
        <v>0</v>
      </c>
      <c r="M389" t="n">
        <v>0</v>
      </c>
      <c r="N389" t="n">
        <v>0</v>
      </c>
      <c r="O389" t="n">
        <v>0</v>
      </c>
      <c r="P389" t="n">
        <v>0</v>
      </c>
      <c r="Q389" t="n">
        <v>0</v>
      </c>
      <c r="R389" s="2" t="inlineStr"/>
    </row>
    <row r="390" ht="15" customHeight="1">
      <c r="A390" t="inlineStr">
        <is>
          <t>A 4094-2020</t>
        </is>
      </c>
      <c r="B390" s="1" t="n">
        <v>43857</v>
      </c>
      <c r="C390" s="1" t="n">
        <v>45755</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4950-2020</t>
        </is>
      </c>
      <c r="B391" s="1" t="n">
        <v>43859</v>
      </c>
      <c r="C391" s="1" t="n">
        <v>45755</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5084-2020</t>
        </is>
      </c>
      <c r="B392" s="1" t="n">
        <v>43859</v>
      </c>
      <c r="C392" s="1" t="n">
        <v>45755</v>
      </c>
      <c r="D392" t="inlineStr">
        <is>
          <t>STOCKHOLMS LÄN</t>
        </is>
      </c>
      <c r="E392" t="inlineStr">
        <is>
          <t>NORRTÄLJE</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4952-2020</t>
        </is>
      </c>
      <c r="B393" s="1" t="n">
        <v>43859</v>
      </c>
      <c r="C393" s="1" t="n">
        <v>45755</v>
      </c>
      <c r="D393" t="inlineStr">
        <is>
          <t>STOCKHOLMS LÄN</t>
        </is>
      </c>
      <c r="E393" t="inlineStr">
        <is>
          <t>NORRTÄLJE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5735-2020</t>
        </is>
      </c>
      <c r="B394" s="1" t="n">
        <v>43863</v>
      </c>
      <c r="C394" s="1" t="n">
        <v>45755</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5733-2020</t>
        </is>
      </c>
      <c r="B395" s="1" t="n">
        <v>43863</v>
      </c>
      <c r="C395" s="1" t="n">
        <v>45755</v>
      </c>
      <c r="D395" t="inlineStr">
        <is>
          <t>STOCKHOLMS LÄN</t>
        </is>
      </c>
      <c r="E395" t="inlineStr">
        <is>
          <t>NORRTÄLJE</t>
        </is>
      </c>
      <c r="G395" t="n">
        <v>1.5</v>
      </c>
      <c r="H395" t="n">
        <v>0</v>
      </c>
      <c r="I395" t="n">
        <v>0</v>
      </c>
      <c r="J395" t="n">
        <v>0</v>
      </c>
      <c r="K395" t="n">
        <v>0</v>
      </c>
      <c r="L395" t="n">
        <v>0</v>
      </c>
      <c r="M395" t="n">
        <v>0</v>
      </c>
      <c r="N395" t="n">
        <v>0</v>
      </c>
      <c r="O395" t="n">
        <v>0</v>
      </c>
      <c r="P395" t="n">
        <v>0</v>
      </c>
      <c r="Q395" t="n">
        <v>0</v>
      </c>
      <c r="R395" s="2" t="inlineStr"/>
    </row>
    <row r="396" ht="15" customHeight="1">
      <c r="A396" t="inlineStr">
        <is>
          <t>A 5739-2020</t>
        </is>
      </c>
      <c r="B396" s="1" t="n">
        <v>43863</v>
      </c>
      <c r="C396" s="1" t="n">
        <v>45755</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7471-2020</t>
        </is>
      </c>
      <c r="B397" s="1" t="n">
        <v>43871</v>
      </c>
      <c r="C397" s="1" t="n">
        <v>45755</v>
      </c>
      <c r="D397" t="inlineStr">
        <is>
          <t>STOCKHOLMS LÄN</t>
        </is>
      </c>
      <c r="E397" t="inlineStr">
        <is>
          <t>NORRTÄLJE</t>
        </is>
      </c>
      <c r="G397" t="n">
        <v>7.8</v>
      </c>
      <c r="H397" t="n">
        <v>0</v>
      </c>
      <c r="I397" t="n">
        <v>0</v>
      </c>
      <c r="J397" t="n">
        <v>0</v>
      </c>
      <c r="K397" t="n">
        <v>0</v>
      </c>
      <c r="L397" t="n">
        <v>0</v>
      </c>
      <c r="M397" t="n">
        <v>0</v>
      </c>
      <c r="N397" t="n">
        <v>0</v>
      </c>
      <c r="O397" t="n">
        <v>0</v>
      </c>
      <c r="P397" t="n">
        <v>0</v>
      </c>
      <c r="Q397" t="n">
        <v>0</v>
      </c>
      <c r="R397" s="2" t="inlineStr"/>
    </row>
    <row r="398" ht="15" customHeight="1">
      <c r="A398" t="inlineStr">
        <is>
          <t>A 9845-2020</t>
        </is>
      </c>
      <c r="B398" s="1" t="n">
        <v>43881</v>
      </c>
      <c r="C398" s="1" t="n">
        <v>45755</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10618-2020</t>
        </is>
      </c>
      <c r="B399" s="1" t="n">
        <v>43887</v>
      </c>
      <c r="C399" s="1" t="n">
        <v>45755</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11184-2020</t>
        </is>
      </c>
      <c r="B400" s="1" t="n">
        <v>43892</v>
      </c>
      <c r="C400" s="1" t="n">
        <v>45755</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11576-2020</t>
        </is>
      </c>
      <c r="B401" s="1" t="n">
        <v>43893</v>
      </c>
      <c r="C401" s="1" t="n">
        <v>45755</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12113-2020</t>
        </is>
      </c>
      <c r="B402" s="1" t="n">
        <v>43895</v>
      </c>
      <c r="C402" s="1" t="n">
        <v>45755</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12970-2020</t>
        </is>
      </c>
      <c r="B403" s="1" t="n">
        <v>43900</v>
      </c>
      <c r="C403" s="1" t="n">
        <v>45755</v>
      </c>
      <c r="D403" t="inlineStr">
        <is>
          <t>STOCKHOLMS LÄN</t>
        </is>
      </c>
      <c r="E403" t="inlineStr">
        <is>
          <t>NORRTÄLJE</t>
        </is>
      </c>
      <c r="F403" t="inlineStr">
        <is>
          <t>Kommuner</t>
        </is>
      </c>
      <c r="G403" t="n">
        <v>3</v>
      </c>
      <c r="H403" t="n">
        <v>0</v>
      </c>
      <c r="I403" t="n">
        <v>0</v>
      </c>
      <c r="J403" t="n">
        <v>0</v>
      </c>
      <c r="K403" t="n">
        <v>0</v>
      </c>
      <c r="L403" t="n">
        <v>0</v>
      </c>
      <c r="M403" t="n">
        <v>0</v>
      </c>
      <c r="N403" t="n">
        <v>0</v>
      </c>
      <c r="O403" t="n">
        <v>0</v>
      </c>
      <c r="P403" t="n">
        <v>0</v>
      </c>
      <c r="Q403" t="n">
        <v>0</v>
      </c>
      <c r="R403" s="2" t="inlineStr"/>
    </row>
    <row r="404" ht="15" customHeight="1">
      <c r="A404" t="inlineStr">
        <is>
          <t>A 13230-2020</t>
        </is>
      </c>
      <c r="B404" s="1" t="n">
        <v>43901</v>
      </c>
      <c r="C404" s="1" t="n">
        <v>45755</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13287-2020</t>
        </is>
      </c>
      <c r="B405" s="1" t="n">
        <v>43901</v>
      </c>
      <c r="C405" s="1" t="n">
        <v>45755</v>
      </c>
      <c r="D405" t="inlineStr">
        <is>
          <t>STOCKHOLMS LÄN</t>
        </is>
      </c>
      <c r="E405" t="inlineStr">
        <is>
          <t>NORRTÄLJE</t>
        </is>
      </c>
      <c r="F405" t="inlineStr">
        <is>
          <t>Kommuner</t>
        </is>
      </c>
      <c r="G405" t="n">
        <v>3.2</v>
      </c>
      <c r="H405" t="n">
        <v>0</v>
      </c>
      <c r="I405" t="n">
        <v>0</v>
      </c>
      <c r="J405" t="n">
        <v>0</v>
      </c>
      <c r="K405" t="n">
        <v>0</v>
      </c>
      <c r="L405" t="n">
        <v>0</v>
      </c>
      <c r="M405" t="n">
        <v>0</v>
      </c>
      <c r="N405" t="n">
        <v>0</v>
      </c>
      <c r="O405" t="n">
        <v>0</v>
      </c>
      <c r="P405" t="n">
        <v>0</v>
      </c>
      <c r="Q405" t="n">
        <v>0</v>
      </c>
      <c r="R405" s="2" t="inlineStr"/>
    </row>
    <row r="406" ht="15" customHeight="1">
      <c r="A406" t="inlineStr">
        <is>
          <t>A 13281-2020</t>
        </is>
      </c>
      <c r="B406" s="1" t="n">
        <v>43901</v>
      </c>
      <c r="C406" s="1" t="n">
        <v>45755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13501-2020</t>
        </is>
      </c>
      <c r="B407" s="1" t="n">
        <v>43902</v>
      </c>
      <c r="C407" s="1" t="n">
        <v>45755</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13506-2020</t>
        </is>
      </c>
      <c r="B408" s="1" t="n">
        <v>43902</v>
      </c>
      <c r="C408" s="1" t="n">
        <v>45755</v>
      </c>
      <c r="D408" t="inlineStr">
        <is>
          <t>STOCKHOLMS LÄN</t>
        </is>
      </c>
      <c r="E408" t="inlineStr">
        <is>
          <t>NORRTÄLJE</t>
        </is>
      </c>
      <c r="G408" t="n">
        <v>5.7</v>
      </c>
      <c r="H408" t="n">
        <v>0</v>
      </c>
      <c r="I408" t="n">
        <v>0</v>
      </c>
      <c r="J408" t="n">
        <v>0</v>
      </c>
      <c r="K408" t="n">
        <v>0</v>
      </c>
      <c r="L408" t="n">
        <v>0</v>
      </c>
      <c r="M408" t="n">
        <v>0</v>
      </c>
      <c r="N408" t="n">
        <v>0</v>
      </c>
      <c r="O408" t="n">
        <v>0</v>
      </c>
      <c r="P408" t="n">
        <v>0</v>
      </c>
      <c r="Q408" t="n">
        <v>0</v>
      </c>
      <c r="R408" s="2" t="inlineStr"/>
    </row>
    <row r="409" ht="15" customHeight="1">
      <c r="A409" t="inlineStr">
        <is>
          <t>A 14525-2020</t>
        </is>
      </c>
      <c r="B409" s="1" t="n">
        <v>43908</v>
      </c>
      <c r="C409" s="1" t="n">
        <v>45755</v>
      </c>
      <c r="D409" t="inlineStr">
        <is>
          <t>STOCKHOLMS LÄN</t>
        </is>
      </c>
      <c r="E409" t="inlineStr">
        <is>
          <t>NORRTÄLJE</t>
        </is>
      </c>
      <c r="G409" t="n">
        <v>10.2</v>
      </c>
      <c r="H409" t="n">
        <v>0</v>
      </c>
      <c r="I409" t="n">
        <v>0</v>
      </c>
      <c r="J409" t="n">
        <v>0</v>
      </c>
      <c r="K409" t="n">
        <v>0</v>
      </c>
      <c r="L409" t="n">
        <v>0</v>
      </c>
      <c r="M409" t="n">
        <v>0</v>
      </c>
      <c r="N409" t="n">
        <v>0</v>
      </c>
      <c r="O409" t="n">
        <v>0</v>
      </c>
      <c r="P409" t="n">
        <v>0</v>
      </c>
      <c r="Q409" t="n">
        <v>0</v>
      </c>
      <c r="R409" s="2" t="inlineStr"/>
    </row>
    <row r="410" ht="15" customHeight="1">
      <c r="A410" t="inlineStr">
        <is>
          <t>A 14831-2020</t>
        </is>
      </c>
      <c r="B410" s="1" t="n">
        <v>43909</v>
      </c>
      <c r="C410" s="1" t="n">
        <v>45755</v>
      </c>
      <c r="D410" t="inlineStr">
        <is>
          <t>STOCKHOLMS LÄN</t>
        </is>
      </c>
      <c r="E410" t="inlineStr">
        <is>
          <t>NORRTÄLJE</t>
        </is>
      </c>
      <c r="G410" t="n">
        <v>11.4</v>
      </c>
      <c r="H410" t="n">
        <v>0</v>
      </c>
      <c r="I410" t="n">
        <v>0</v>
      </c>
      <c r="J410" t="n">
        <v>0</v>
      </c>
      <c r="K410" t="n">
        <v>0</v>
      </c>
      <c r="L410" t="n">
        <v>0</v>
      </c>
      <c r="M410" t="n">
        <v>0</v>
      </c>
      <c r="N410" t="n">
        <v>0</v>
      </c>
      <c r="O410" t="n">
        <v>0</v>
      </c>
      <c r="P410" t="n">
        <v>0</v>
      </c>
      <c r="Q410" t="n">
        <v>0</v>
      </c>
      <c r="R410" s="2" t="inlineStr"/>
    </row>
    <row r="411" ht="15" customHeight="1">
      <c r="A411" t="inlineStr">
        <is>
          <t>A 15663-2020</t>
        </is>
      </c>
      <c r="B411" s="1" t="n">
        <v>43915</v>
      </c>
      <c r="C411" s="1" t="n">
        <v>45755</v>
      </c>
      <c r="D411" t="inlineStr">
        <is>
          <t>STOCKHOLMS LÄN</t>
        </is>
      </c>
      <c r="E411" t="inlineStr">
        <is>
          <t>NORRTÄLJE</t>
        </is>
      </c>
      <c r="G411" t="n">
        <v>11.1</v>
      </c>
      <c r="H411" t="n">
        <v>0</v>
      </c>
      <c r="I411" t="n">
        <v>0</v>
      </c>
      <c r="J411" t="n">
        <v>0</v>
      </c>
      <c r="K411" t="n">
        <v>0</v>
      </c>
      <c r="L411" t="n">
        <v>0</v>
      </c>
      <c r="M411" t="n">
        <v>0</v>
      </c>
      <c r="N411" t="n">
        <v>0</v>
      </c>
      <c r="O411" t="n">
        <v>0</v>
      </c>
      <c r="P411" t="n">
        <v>0</v>
      </c>
      <c r="Q411" t="n">
        <v>0</v>
      </c>
      <c r="R411" s="2" t="inlineStr"/>
    </row>
    <row r="412" ht="15" customHeight="1">
      <c r="A412" t="inlineStr">
        <is>
          <t>A 16273-2020</t>
        </is>
      </c>
      <c r="B412" s="1" t="n">
        <v>43917</v>
      </c>
      <c r="C412" s="1" t="n">
        <v>45755</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17965-2020</t>
        </is>
      </c>
      <c r="B413" s="1" t="n">
        <v>43925</v>
      </c>
      <c r="C413" s="1" t="n">
        <v>45755</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19258-2020</t>
        </is>
      </c>
      <c r="B414" s="1" t="n">
        <v>43937</v>
      </c>
      <c r="C414" s="1" t="n">
        <v>45755</v>
      </c>
      <c r="D414" t="inlineStr">
        <is>
          <t>STOCKHOLMS LÄN</t>
        </is>
      </c>
      <c r="E414" t="inlineStr">
        <is>
          <t>NORRTÄLJE</t>
        </is>
      </c>
      <c r="F414" t="inlineStr">
        <is>
          <t>Övriga statliga verk och myndigheter</t>
        </is>
      </c>
      <c r="G414" t="n">
        <v>2.9</v>
      </c>
      <c r="H414" t="n">
        <v>0</v>
      </c>
      <c r="I414" t="n">
        <v>0</v>
      </c>
      <c r="J414" t="n">
        <v>0</v>
      </c>
      <c r="K414" t="n">
        <v>0</v>
      </c>
      <c r="L414" t="n">
        <v>0</v>
      </c>
      <c r="M414" t="n">
        <v>0</v>
      </c>
      <c r="N414" t="n">
        <v>0</v>
      </c>
      <c r="O414" t="n">
        <v>0</v>
      </c>
      <c r="P414" t="n">
        <v>0</v>
      </c>
      <c r="Q414" t="n">
        <v>0</v>
      </c>
      <c r="R414" s="2" t="inlineStr"/>
    </row>
    <row r="415" ht="15" customHeight="1">
      <c r="A415" t="inlineStr">
        <is>
          <t>A 20257-2020</t>
        </is>
      </c>
      <c r="B415" s="1" t="n">
        <v>43944</v>
      </c>
      <c r="C415" s="1" t="n">
        <v>45755</v>
      </c>
      <c r="D415" t="inlineStr">
        <is>
          <t>STOCKHOLMS LÄN</t>
        </is>
      </c>
      <c r="E415" t="inlineStr">
        <is>
          <t>NORRTÄLJE</t>
        </is>
      </c>
      <c r="G415" t="n">
        <v>80.09999999999999</v>
      </c>
      <c r="H415" t="n">
        <v>0</v>
      </c>
      <c r="I415" t="n">
        <v>0</v>
      </c>
      <c r="J415" t="n">
        <v>0</v>
      </c>
      <c r="K415" t="n">
        <v>0</v>
      </c>
      <c r="L415" t="n">
        <v>0</v>
      </c>
      <c r="M415" t="n">
        <v>0</v>
      </c>
      <c r="N415" t="n">
        <v>0</v>
      </c>
      <c r="O415" t="n">
        <v>0</v>
      </c>
      <c r="P415" t="n">
        <v>0</v>
      </c>
      <c r="Q415" t="n">
        <v>0</v>
      </c>
      <c r="R415" s="2" t="inlineStr"/>
    </row>
    <row r="416" ht="15" customHeight="1">
      <c r="A416" t="inlineStr">
        <is>
          <t>A 21849-2020</t>
        </is>
      </c>
      <c r="B416" s="1" t="n">
        <v>43958</v>
      </c>
      <c r="C416" s="1" t="n">
        <v>45755</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21875-2020</t>
        </is>
      </c>
      <c r="B417" s="1" t="n">
        <v>43958</v>
      </c>
      <c r="C417" s="1" t="n">
        <v>45755</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23751-2020</t>
        </is>
      </c>
      <c r="B418" s="1" t="n">
        <v>43970</v>
      </c>
      <c r="C418" s="1" t="n">
        <v>45755</v>
      </c>
      <c r="D418" t="inlineStr">
        <is>
          <t>STOCKHOLMS LÄN</t>
        </is>
      </c>
      <c r="E418" t="inlineStr">
        <is>
          <t>NORRTÄLJE</t>
        </is>
      </c>
      <c r="G418" t="n">
        <v>5.6</v>
      </c>
      <c r="H418" t="n">
        <v>0</v>
      </c>
      <c r="I418" t="n">
        <v>0</v>
      </c>
      <c r="J418" t="n">
        <v>0</v>
      </c>
      <c r="K418" t="n">
        <v>0</v>
      </c>
      <c r="L418" t="n">
        <v>0</v>
      </c>
      <c r="M418" t="n">
        <v>0</v>
      </c>
      <c r="N418" t="n">
        <v>0</v>
      </c>
      <c r="O418" t="n">
        <v>0</v>
      </c>
      <c r="P418" t="n">
        <v>0</v>
      </c>
      <c r="Q418" t="n">
        <v>0</v>
      </c>
      <c r="R418" s="2" t="inlineStr"/>
    </row>
    <row r="419" ht="15" customHeight="1">
      <c r="A419" t="inlineStr">
        <is>
          <t>A 24136-2020</t>
        </is>
      </c>
      <c r="B419" s="1" t="n">
        <v>43973</v>
      </c>
      <c r="C419" s="1" t="n">
        <v>45755</v>
      </c>
      <c r="D419" t="inlineStr">
        <is>
          <t>STOCKHOLMS LÄN</t>
        </is>
      </c>
      <c r="E419" t="inlineStr">
        <is>
          <t>NORRTÄLJE</t>
        </is>
      </c>
      <c r="G419" t="n">
        <v>4.1</v>
      </c>
      <c r="H419" t="n">
        <v>0</v>
      </c>
      <c r="I419" t="n">
        <v>0</v>
      </c>
      <c r="J419" t="n">
        <v>0</v>
      </c>
      <c r="K419" t="n">
        <v>0</v>
      </c>
      <c r="L419" t="n">
        <v>0</v>
      </c>
      <c r="M419" t="n">
        <v>0</v>
      </c>
      <c r="N419" t="n">
        <v>0</v>
      </c>
      <c r="O419" t="n">
        <v>0</v>
      </c>
      <c r="P419" t="n">
        <v>0</v>
      </c>
      <c r="Q419" t="n">
        <v>0</v>
      </c>
      <c r="R419" s="2" t="inlineStr"/>
    </row>
    <row r="420" ht="15" customHeight="1">
      <c r="A420" t="inlineStr">
        <is>
          <t>A 25584-2020</t>
        </is>
      </c>
      <c r="B420" s="1" t="n">
        <v>43983</v>
      </c>
      <c r="C420" s="1" t="n">
        <v>45755</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25589-2020</t>
        </is>
      </c>
      <c r="B421" s="1" t="n">
        <v>43983</v>
      </c>
      <c r="C421" s="1" t="n">
        <v>45755</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25897-2020</t>
        </is>
      </c>
      <c r="B422" s="1" t="n">
        <v>43984</v>
      </c>
      <c r="C422" s="1" t="n">
        <v>45755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30600-2020</t>
        </is>
      </c>
      <c r="B423" s="1" t="n">
        <v>44008</v>
      </c>
      <c r="C423" s="1" t="n">
        <v>45755</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31783-2020</t>
        </is>
      </c>
      <c r="B424" s="1" t="n">
        <v>44014</v>
      </c>
      <c r="C424" s="1" t="n">
        <v>45755</v>
      </c>
      <c r="D424" t="inlineStr">
        <is>
          <t>STOCKHOLMS LÄN</t>
        </is>
      </c>
      <c r="E424" t="inlineStr">
        <is>
          <t>NORRTÄLJE</t>
        </is>
      </c>
      <c r="G424" t="n">
        <v>4.8</v>
      </c>
      <c r="H424" t="n">
        <v>0</v>
      </c>
      <c r="I424" t="n">
        <v>0</v>
      </c>
      <c r="J424" t="n">
        <v>0</v>
      </c>
      <c r="K424" t="n">
        <v>0</v>
      </c>
      <c r="L424" t="n">
        <v>0</v>
      </c>
      <c r="M424" t="n">
        <v>0</v>
      </c>
      <c r="N424" t="n">
        <v>0</v>
      </c>
      <c r="O424" t="n">
        <v>0</v>
      </c>
      <c r="P424" t="n">
        <v>0</v>
      </c>
      <c r="Q424" t="n">
        <v>0</v>
      </c>
      <c r="R424" s="2" t="inlineStr"/>
    </row>
    <row r="425" ht="15" customHeight="1">
      <c r="A425" t="inlineStr">
        <is>
          <t>A 33749-2020</t>
        </is>
      </c>
      <c r="B425" s="1" t="n">
        <v>44026</v>
      </c>
      <c r="C425" s="1" t="n">
        <v>45755</v>
      </c>
      <c r="D425" t="inlineStr">
        <is>
          <t>STOCKHOLMS LÄN</t>
        </is>
      </c>
      <c r="E425" t="inlineStr">
        <is>
          <t>NORRTÄLJE</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34651-2020</t>
        </is>
      </c>
      <c r="B426" s="1" t="n">
        <v>44034</v>
      </c>
      <c r="C426" s="1" t="n">
        <v>45755</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34650-2020</t>
        </is>
      </c>
      <c r="B427" s="1" t="n">
        <v>44034</v>
      </c>
      <c r="C427" s="1" t="n">
        <v>45755</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36314-2020</t>
        </is>
      </c>
      <c r="B428" s="1" t="n">
        <v>44049</v>
      </c>
      <c r="C428" s="1" t="n">
        <v>45755</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36359-2020</t>
        </is>
      </c>
      <c r="B429" s="1" t="n">
        <v>44049</v>
      </c>
      <c r="C429" s="1" t="n">
        <v>45755</v>
      </c>
      <c r="D429" t="inlineStr">
        <is>
          <t>STOCKHOLMS LÄN</t>
        </is>
      </c>
      <c r="E429" t="inlineStr">
        <is>
          <t>NORRTÄLJE</t>
        </is>
      </c>
      <c r="G429" t="n">
        <v>6.5</v>
      </c>
      <c r="H429" t="n">
        <v>0</v>
      </c>
      <c r="I429" t="n">
        <v>0</v>
      </c>
      <c r="J429" t="n">
        <v>0</v>
      </c>
      <c r="K429" t="n">
        <v>0</v>
      </c>
      <c r="L429" t="n">
        <v>0</v>
      </c>
      <c r="M429" t="n">
        <v>0</v>
      </c>
      <c r="N429" t="n">
        <v>0</v>
      </c>
      <c r="O429" t="n">
        <v>0</v>
      </c>
      <c r="P429" t="n">
        <v>0</v>
      </c>
      <c r="Q429" t="n">
        <v>0</v>
      </c>
      <c r="R429" s="2" t="inlineStr"/>
    </row>
    <row r="430" ht="15" customHeight="1">
      <c r="A430" t="inlineStr">
        <is>
          <t>A 40837-2020</t>
        </is>
      </c>
      <c r="B430" s="1" t="n">
        <v>44067</v>
      </c>
      <c r="C430" s="1" t="n">
        <v>45755</v>
      </c>
      <c r="D430" t="inlineStr">
        <is>
          <t>STOCKHOLMS LÄN</t>
        </is>
      </c>
      <c r="E430" t="inlineStr">
        <is>
          <t>NORRTÄLJE</t>
        </is>
      </c>
      <c r="G430" t="n">
        <v>20.6</v>
      </c>
      <c r="H430" t="n">
        <v>0</v>
      </c>
      <c r="I430" t="n">
        <v>0</v>
      </c>
      <c r="J430" t="n">
        <v>0</v>
      </c>
      <c r="K430" t="n">
        <v>0</v>
      </c>
      <c r="L430" t="n">
        <v>0</v>
      </c>
      <c r="M430" t="n">
        <v>0</v>
      </c>
      <c r="N430" t="n">
        <v>0</v>
      </c>
      <c r="O430" t="n">
        <v>0</v>
      </c>
      <c r="P430" t="n">
        <v>0</v>
      </c>
      <c r="Q430" t="n">
        <v>0</v>
      </c>
      <c r="R430" s="2" t="inlineStr"/>
    </row>
    <row r="431" ht="15" customHeight="1">
      <c r="A431" t="inlineStr">
        <is>
          <t>A 40661-2020</t>
        </is>
      </c>
      <c r="B431" s="1" t="n">
        <v>44069</v>
      </c>
      <c r="C431" s="1" t="n">
        <v>45755</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42247-2020</t>
        </is>
      </c>
      <c r="B432" s="1" t="n">
        <v>44074</v>
      </c>
      <c r="C432" s="1" t="n">
        <v>45755</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42256-2020</t>
        </is>
      </c>
      <c r="B433" s="1" t="n">
        <v>44074</v>
      </c>
      <c r="C433" s="1" t="n">
        <v>45755</v>
      </c>
      <c r="D433" t="inlineStr">
        <is>
          <t>STOCKHOLMS LÄN</t>
        </is>
      </c>
      <c r="E433" t="inlineStr">
        <is>
          <t>NORRTÄLJE</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41694-2020</t>
        </is>
      </c>
      <c r="B434" s="1" t="n">
        <v>44074</v>
      </c>
      <c r="C434" s="1" t="n">
        <v>45755</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42365-2020</t>
        </is>
      </c>
      <c r="B435" s="1" t="n">
        <v>44076</v>
      </c>
      <c r="C435" s="1" t="n">
        <v>45755</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45755</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42455-2020</t>
        </is>
      </c>
      <c r="B437" s="1" t="n">
        <v>44076</v>
      </c>
      <c r="C437" s="1" t="n">
        <v>45755</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43751-2020</t>
        </is>
      </c>
      <c r="B438" s="1" t="n">
        <v>44082</v>
      </c>
      <c r="C438" s="1" t="n">
        <v>45755</v>
      </c>
      <c r="D438" t="inlineStr">
        <is>
          <t>STOCKHOLMS LÄN</t>
        </is>
      </c>
      <c r="E438" t="inlineStr">
        <is>
          <t>NORRTÄLJE</t>
        </is>
      </c>
      <c r="G438" t="n">
        <v>8</v>
      </c>
      <c r="H438" t="n">
        <v>0</v>
      </c>
      <c r="I438" t="n">
        <v>0</v>
      </c>
      <c r="J438" t="n">
        <v>0</v>
      </c>
      <c r="K438" t="n">
        <v>0</v>
      </c>
      <c r="L438" t="n">
        <v>0</v>
      </c>
      <c r="M438" t="n">
        <v>0</v>
      </c>
      <c r="N438" t="n">
        <v>0</v>
      </c>
      <c r="O438" t="n">
        <v>0</v>
      </c>
      <c r="P438" t="n">
        <v>0</v>
      </c>
      <c r="Q438" t="n">
        <v>0</v>
      </c>
      <c r="R438" s="2" t="inlineStr"/>
    </row>
    <row r="439" ht="15" customHeight="1">
      <c r="A439" t="inlineStr">
        <is>
          <t>A 44096-2020</t>
        </is>
      </c>
      <c r="B439" s="1" t="n">
        <v>44083</v>
      </c>
      <c r="C439" s="1" t="n">
        <v>45755</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44071-2020</t>
        </is>
      </c>
      <c r="B440" s="1" t="n">
        <v>44083</v>
      </c>
      <c r="C440" s="1" t="n">
        <v>45755</v>
      </c>
      <c r="D440" t="inlineStr">
        <is>
          <t>STOCKHOLMS LÄN</t>
        </is>
      </c>
      <c r="E440" t="inlineStr">
        <is>
          <t>NORRTÄLJE</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44183-2020</t>
        </is>
      </c>
      <c r="B441" s="1" t="n">
        <v>44083</v>
      </c>
      <c r="C441" s="1" t="n">
        <v>45755</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44792-2020</t>
        </is>
      </c>
      <c r="B442" s="1" t="n">
        <v>44085</v>
      </c>
      <c r="C442" s="1" t="n">
        <v>45755</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45988-2020</t>
        </is>
      </c>
      <c r="B443" s="1" t="n">
        <v>44091</v>
      </c>
      <c r="C443" s="1" t="n">
        <v>45755</v>
      </c>
      <c r="D443" t="inlineStr">
        <is>
          <t>STOCKHOLMS LÄN</t>
        </is>
      </c>
      <c r="E443" t="inlineStr">
        <is>
          <t>NORRTÄLJE</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46556-2020</t>
        </is>
      </c>
      <c r="B444" s="1" t="n">
        <v>44095</v>
      </c>
      <c r="C444" s="1" t="n">
        <v>45755</v>
      </c>
      <c r="D444" t="inlineStr">
        <is>
          <t>STOCKHOLMS LÄN</t>
        </is>
      </c>
      <c r="E444" t="inlineStr">
        <is>
          <t>NORRTÄLJE</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47291-2020</t>
        </is>
      </c>
      <c r="B445" s="1" t="n">
        <v>44097</v>
      </c>
      <c r="C445" s="1" t="n">
        <v>45755</v>
      </c>
      <c r="D445" t="inlineStr">
        <is>
          <t>STOCKHOLMS LÄN</t>
        </is>
      </c>
      <c r="E445" t="inlineStr">
        <is>
          <t>NORRTÄLJE</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48392-2020</t>
        </is>
      </c>
      <c r="B446" s="1" t="n">
        <v>44097</v>
      </c>
      <c r="C446" s="1" t="n">
        <v>45755</v>
      </c>
      <c r="D446" t="inlineStr">
        <is>
          <t>STOCKHOLMS LÄN</t>
        </is>
      </c>
      <c r="E446" t="inlineStr">
        <is>
          <t>NORRTÄLJE</t>
        </is>
      </c>
      <c r="G446" t="n">
        <v>12.5</v>
      </c>
      <c r="H446" t="n">
        <v>0</v>
      </c>
      <c r="I446" t="n">
        <v>0</v>
      </c>
      <c r="J446" t="n">
        <v>0</v>
      </c>
      <c r="K446" t="n">
        <v>0</v>
      </c>
      <c r="L446" t="n">
        <v>0</v>
      </c>
      <c r="M446" t="n">
        <v>0</v>
      </c>
      <c r="N446" t="n">
        <v>0</v>
      </c>
      <c r="O446" t="n">
        <v>0</v>
      </c>
      <c r="P446" t="n">
        <v>0</v>
      </c>
      <c r="Q446" t="n">
        <v>0</v>
      </c>
      <c r="R446" s="2" t="inlineStr"/>
    </row>
    <row r="447" ht="15" customHeight="1">
      <c r="A447" t="inlineStr">
        <is>
          <t>A 47869-2020</t>
        </is>
      </c>
      <c r="B447" s="1" t="n">
        <v>44098</v>
      </c>
      <c r="C447" s="1" t="n">
        <v>45755</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47868-2020</t>
        </is>
      </c>
      <c r="B448" s="1" t="n">
        <v>44098</v>
      </c>
      <c r="C448" s="1" t="n">
        <v>45755</v>
      </c>
      <c r="D448" t="inlineStr">
        <is>
          <t>STOCKHOLMS LÄN</t>
        </is>
      </c>
      <c r="E448" t="inlineStr">
        <is>
          <t>NORRTÄLJE</t>
        </is>
      </c>
      <c r="G448" t="n">
        <v>4.7</v>
      </c>
      <c r="H448" t="n">
        <v>0</v>
      </c>
      <c r="I448" t="n">
        <v>0</v>
      </c>
      <c r="J448" t="n">
        <v>0</v>
      </c>
      <c r="K448" t="n">
        <v>0</v>
      </c>
      <c r="L448" t="n">
        <v>0</v>
      </c>
      <c r="M448" t="n">
        <v>0</v>
      </c>
      <c r="N448" t="n">
        <v>0</v>
      </c>
      <c r="O448" t="n">
        <v>0</v>
      </c>
      <c r="P448" t="n">
        <v>0</v>
      </c>
      <c r="Q448" t="n">
        <v>0</v>
      </c>
      <c r="R448" s="2" t="inlineStr"/>
    </row>
    <row r="449" ht="15" customHeight="1">
      <c r="A449" t="inlineStr">
        <is>
          <t>A 48066-2020</t>
        </is>
      </c>
      <c r="B449" s="1" t="n">
        <v>44100</v>
      </c>
      <c r="C449" s="1" t="n">
        <v>45755</v>
      </c>
      <c r="D449" t="inlineStr">
        <is>
          <t>STOCKHOLMS LÄN</t>
        </is>
      </c>
      <c r="E449" t="inlineStr">
        <is>
          <t>NORRTÄLJE</t>
        </is>
      </c>
      <c r="G449" t="n">
        <v>3.7</v>
      </c>
      <c r="H449" t="n">
        <v>0</v>
      </c>
      <c r="I449" t="n">
        <v>0</v>
      </c>
      <c r="J449" t="n">
        <v>0</v>
      </c>
      <c r="K449" t="n">
        <v>0</v>
      </c>
      <c r="L449" t="n">
        <v>0</v>
      </c>
      <c r="M449" t="n">
        <v>0</v>
      </c>
      <c r="N449" t="n">
        <v>0</v>
      </c>
      <c r="O449" t="n">
        <v>0</v>
      </c>
      <c r="P449" t="n">
        <v>0</v>
      </c>
      <c r="Q449" t="n">
        <v>0</v>
      </c>
      <c r="R449" s="2" t="inlineStr"/>
    </row>
    <row r="450" ht="15" customHeight="1">
      <c r="A450" t="inlineStr">
        <is>
          <t>A 48071-2020</t>
        </is>
      </c>
      <c r="B450" s="1" t="n">
        <v>44100</v>
      </c>
      <c r="C450" s="1" t="n">
        <v>45755</v>
      </c>
      <c r="D450" t="inlineStr">
        <is>
          <t>STOCKHOLMS LÄN</t>
        </is>
      </c>
      <c r="E450" t="inlineStr">
        <is>
          <t>NORRTÄLJE</t>
        </is>
      </c>
      <c r="G450" t="n">
        <v>6.8</v>
      </c>
      <c r="H450" t="n">
        <v>0</v>
      </c>
      <c r="I450" t="n">
        <v>0</v>
      </c>
      <c r="J450" t="n">
        <v>0</v>
      </c>
      <c r="K450" t="n">
        <v>0</v>
      </c>
      <c r="L450" t="n">
        <v>0</v>
      </c>
      <c r="M450" t="n">
        <v>0</v>
      </c>
      <c r="N450" t="n">
        <v>0</v>
      </c>
      <c r="O450" t="n">
        <v>0</v>
      </c>
      <c r="P450" t="n">
        <v>0</v>
      </c>
      <c r="Q450" t="n">
        <v>0</v>
      </c>
      <c r="R450" s="2" t="inlineStr"/>
    </row>
    <row r="451" ht="15" customHeight="1">
      <c r="A451" t="inlineStr">
        <is>
          <t>A 48496-2020</t>
        </is>
      </c>
      <c r="B451" s="1" t="n">
        <v>44103</v>
      </c>
      <c r="C451" s="1" t="n">
        <v>45755</v>
      </c>
      <c r="D451" t="inlineStr">
        <is>
          <t>STOCKHOLMS LÄN</t>
        </is>
      </c>
      <c r="E451" t="inlineStr">
        <is>
          <t>NORRTÄLJE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48522-2020</t>
        </is>
      </c>
      <c r="B452" s="1" t="n">
        <v>44103</v>
      </c>
      <c r="C452" s="1" t="n">
        <v>45755</v>
      </c>
      <c r="D452" t="inlineStr">
        <is>
          <t>STOCKHOLMS LÄN</t>
        </is>
      </c>
      <c r="E452" t="inlineStr">
        <is>
          <t>NORRTÄLJE</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49334-2020</t>
        </is>
      </c>
      <c r="B453" s="1" t="n">
        <v>44105</v>
      </c>
      <c r="C453" s="1" t="n">
        <v>45755</v>
      </c>
      <c r="D453" t="inlineStr">
        <is>
          <t>STOCKHOLMS LÄN</t>
        </is>
      </c>
      <c r="E453" t="inlineStr">
        <is>
          <t>NORRTÄLJE</t>
        </is>
      </c>
      <c r="G453" t="n">
        <v>1.5</v>
      </c>
      <c r="H453" t="n">
        <v>0</v>
      </c>
      <c r="I453" t="n">
        <v>0</v>
      </c>
      <c r="J453" t="n">
        <v>0</v>
      </c>
      <c r="K453" t="n">
        <v>0</v>
      </c>
      <c r="L453" t="n">
        <v>0</v>
      </c>
      <c r="M453" t="n">
        <v>0</v>
      </c>
      <c r="N453" t="n">
        <v>0</v>
      </c>
      <c r="O453" t="n">
        <v>0</v>
      </c>
      <c r="P453" t="n">
        <v>0</v>
      </c>
      <c r="Q453" t="n">
        <v>0</v>
      </c>
      <c r="R453" s="2" t="inlineStr"/>
    </row>
    <row r="454" ht="15" customHeight="1">
      <c r="A454" t="inlineStr">
        <is>
          <t>A 49327-2020</t>
        </is>
      </c>
      <c r="B454" s="1" t="n">
        <v>44105</v>
      </c>
      <c r="C454" s="1" t="n">
        <v>45755</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49898-2020</t>
        </is>
      </c>
      <c r="B455" s="1" t="n">
        <v>44108</v>
      </c>
      <c r="C455" s="1" t="n">
        <v>45755</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50497-2020</t>
        </is>
      </c>
      <c r="B456" s="1" t="n">
        <v>44110</v>
      </c>
      <c r="C456" s="1" t="n">
        <v>45755</v>
      </c>
      <c r="D456" t="inlineStr">
        <is>
          <t>STOCKHOLMS LÄN</t>
        </is>
      </c>
      <c r="E456" t="inlineStr">
        <is>
          <t>NORRTÄLJE</t>
        </is>
      </c>
      <c r="F456" t="inlineStr">
        <is>
          <t>Holmen skog AB</t>
        </is>
      </c>
      <c r="G456" t="n">
        <v>4.3</v>
      </c>
      <c r="H456" t="n">
        <v>0</v>
      </c>
      <c r="I456" t="n">
        <v>0</v>
      </c>
      <c r="J456" t="n">
        <v>0</v>
      </c>
      <c r="K456" t="n">
        <v>0</v>
      </c>
      <c r="L456" t="n">
        <v>0</v>
      </c>
      <c r="M456" t="n">
        <v>0</v>
      </c>
      <c r="N456" t="n">
        <v>0</v>
      </c>
      <c r="O456" t="n">
        <v>0</v>
      </c>
      <c r="P456" t="n">
        <v>0</v>
      </c>
      <c r="Q456" t="n">
        <v>0</v>
      </c>
      <c r="R456" s="2" t="inlineStr"/>
    </row>
    <row r="457" ht="15" customHeight="1">
      <c r="A457" t="inlineStr">
        <is>
          <t>A 50738-2020</t>
        </is>
      </c>
      <c r="B457" s="1" t="n">
        <v>44111</v>
      </c>
      <c r="C457" s="1" t="n">
        <v>45755</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50746-2020</t>
        </is>
      </c>
      <c r="B458" s="1" t="n">
        <v>44111</v>
      </c>
      <c r="C458" s="1" t="n">
        <v>45755</v>
      </c>
      <c r="D458" t="inlineStr">
        <is>
          <t>STOCKHOLMS LÄN</t>
        </is>
      </c>
      <c r="E458" t="inlineStr">
        <is>
          <t>NORRTÄLJE</t>
        </is>
      </c>
      <c r="G458" t="n">
        <v>4.9</v>
      </c>
      <c r="H458" t="n">
        <v>0</v>
      </c>
      <c r="I458" t="n">
        <v>0</v>
      </c>
      <c r="J458" t="n">
        <v>0</v>
      </c>
      <c r="K458" t="n">
        <v>0</v>
      </c>
      <c r="L458" t="n">
        <v>0</v>
      </c>
      <c r="M458" t="n">
        <v>0</v>
      </c>
      <c r="N458" t="n">
        <v>0</v>
      </c>
      <c r="O458" t="n">
        <v>0</v>
      </c>
      <c r="P458" t="n">
        <v>0</v>
      </c>
      <c r="Q458" t="n">
        <v>0</v>
      </c>
      <c r="R458" s="2" t="inlineStr"/>
    </row>
    <row r="459" ht="15" customHeight="1">
      <c r="A459" t="inlineStr">
        <is>
          <t>A 50742-2020</t>
        </is>
      </c>
      <c r="B459" s="1" t="n">
        <v>44111</v>
      </c>
      <c r="C459" s="1" t="n">
        <v>45755</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51720-2020</t>
        </is>
      </c>
      <c r="B460" s="1" t="n">
        <v>44113</v>
      </c>
      <c r="C460" s="1" t="n">
        <v>45755</v>
      </c>
      <c r="D460" t="inlineStr">
        <is>
          <t>STOCKHOLMS LÄN</t>
        </is>
      </c>
      <c r="E460" t="inlineStr">
        <is>
          <t>NORRTÄLJE</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51787-2020</t>
        </is>
      </c>
      <c r="B461" s="1" t="n">
        <v>44116</v>
      </c>
      <c r="C461" s="1" t="n">
        <v>45755</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51798-2020</t>
        </is>
      </c>
      <c r="B462" s="1" t="n">
        <v>44116</v>
      </c>
      <c r="C462" s="1" t="n">
        <v>45755</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53768-2020</t>
        </is>
      </c>
      <c r="B463" s="1" t="n">
        <v>44123</v>
      </c>
      <c r="C463" s="1" t="n">
        <v>45755</v>
      </c>
      <c r="D463" t="inlineStr">
        <is>
          <t>STOCKHOLMS LÄN</t>
        </is>
      </c>
      <c r="E463" t="inlineStr">
        <is>
          <t>NORRTÄLJE</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53652-2020</t>
        </is>
      </c>
      <c r="B464" s="1" t="n">
        <v>44124</v>
      </c>
      <c r="C464" s="1" t="n">
        <v>45755</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53690-2020</t>
        </is>
      </c>
      <c r="B465" s="1" t="n">
        <v>44124</v>
      </c>
      <c r="C465" s="1" t="n">
        <v>45755</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53607-2020</t>
        </is>
      </c>
      <c r="B466" s="1" t="n">
        <v>44124</v>
      </c>
      <c r="C466" s="1" t="n">
        <v>45755</v>
      </c>
      <c r="D466" t="inlineStr">
        <is>
          <t>STOCKHOLMS LÄN</t>
        </is>
      </c>
      <c r="E466" t="inlineStr">
        <is>
          <t>NORRTÄLJE</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55089-2020</t>
        </is>
      </c>
      <c r="B467" s="1" t="n">
        <v>44130</v>
      </c>
      <c r="C467" s="1" t="n">
        <v>45755</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55895-2020</t>
        </is>
      </c>
      <c r="B468" s="1" t="n">
        <v>44132</v>
      </c>
      <c r="C468" s="1" t="n">
        <v>45755</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55890-2020</t>
        </is>
      </c>
      <c r="B469" s="1" t="n">
        <v>44132</v>
      </c>
      <c r="C469" s="1" t="n">
        <v>45755</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55982-2020</t>
        </is>
      </c>
      <c r="B470" s="1" t="n">
        <v>44132</v>
      </c>
      <c r="C470" s="1" t="n">
        <v>45755</v>
      </c>
      <c r="D470" t="inlineStr">
        <is>
          <t>STOCKHOLMS LÄN</t>
        </is>
      </c>
      <c r="E470" t="inlineStr">
        <is>
          <t>NORRTÄLJE</t>
        </is>
      </c>
      <c r="G470" t="n">
        <v>11.3</v>
      </c>
      <c r="H470" t="n">
        <v>0</v>
      </c>
      <c r="I470" t="n">
        <v>0</v>
      </c>
      <c r="J470" t="n">
        <v>0</v>
      </c>
      <c r="K470" t="n">
        <v>0</v>
      </c>
      <c r="L470" t="n">
        <v>0</v>
      </c>
      <c r="M470" t="n">
        <v>0</v>
      </c>
      <c r="N470" t="n">
        <v>0</v>
      </c>
      <c r="O470" t="n">
        <v>0</v>
      </c>
      <c r="P470" t="n">
        <v>0</v>
      </c>
      <c r="Q470" t="n">
        <v>0</v>
      </c>
      <c r="R470" s="2" t="inlineStr"/>
    </row>
    <row r="471" ht="15" customHeight="1">
      <c r="A471" t="inlineStr">
        <is>
          <t>A 56166-2020</t>
        </is>
      </c>
      <c r="B471" s="1" t="n">
        <v>44133</v>
      </c>
      <c r="C471" s="1" t="n">
        <v>45755</v>
      </c>
      <c r="D471" t="inlineStr">
        <is>
          <t>STOCKHOLMS LÄN</t>
        </is>
      </c>
      <c r="E471" t="inlineStr">
        <is>
          <t>NORRTÄLJE</t>
        </is>
      </c>
      <c r="G471" t="n">
        <v>4.4</v>
      </c>
      <c r="H471" t="n">
        <v>0</v>
      </c>
      <c r="I471" t="n">
        <v>0</v>
      </c>
      <c r="J471" t="n">
        <v>0</v>
      </c>
      <c r="K471" t="n">
        <v>0</v>
      </c>
      <c r="L471" t="n">
        <v>0</v>
      </c>
      <c r="M471" t="n">
        <v>0</v>
      </c>
      <c r="N471" t="n">
        <v>0</v>
      </c>
      <c r="O471" t="n">
        <v>0</v>
      </c>
      <c r="P471" t="n">
        <v>0</v>
      </c>
      <c r="Q471" t="n">
        <v>0</v>
      </c>
      <c r="R471" s="2" t="inlineStr"/>
    </row>
    <row r="472" ht="15" customHeight="1">
      <c r="A472" t="inlineStr">
        <is>
          <t>A 56323-2020</t>
        </is>
      </c>
      <c r="B472" s="1" t="n">
        <v>44134</v>
      </c>
      <c r="C472" s="1" t="n">
        <v>45755</v>
      </c>
      <c r="D472" t="inlineStr">
        <is>
          <t>STOCKHOLMS LÄN</t>
        </is>
      </c>
      <c r="E472" t="inlineStr">
        <is>
          <t>NORRTÄLJE</t>
        </is>
      </c>
      <c r="G472" t="n">
        <v>2.4</v>
      </c>
      <c r="H472" t="n">
        <v>0</v>
      </c>
      <c r="I472" t="n">
        <v>0</v>
      </c>
      <c r="J472" t="n">
        <v>0</v>
      </c>
      <c r="K472" t="n">
        <v>0</v>
      </c>
      <c r="L472" t="n">
        <v>0</v>
      </c>
      <c r="M472" t="n">
        <v>0</v>
      </c>
      <c r="N472" t="n">
        <v>0</v>
      </c>
      <c r="O472" t="n">
        <v>0</v>
      </c>
      <c r="P472" t="n">
        <v>0</v>
      </c>
      <c r="Q472" t="n">
        <v>0</v>
      </c>
      <c r="R472" s="2" t="inlineStr"/>
    </row>
    <row r="473" ht="15" customHeight="1">
      <c r="A473" t="inlineStr">
        <is>
          <t>A 57216-2020</t>
        </is>
      </c>
      <c r="B473" s="1" t="n">
        <v>44139</v>
      </c>
      <c r="C473" s="1" t="n">
        <v>45755</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57957-2020</t>
        </is>
      </c>
      <c r="B474" s="1" t="n">
        <v>44143</v>
      </c>
      <c r="C474" s="1" t="n">
        <v>45755</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57987-2020</t>
        </is>
      </c>
      <c r="B475" s="1" t="n">
        <v>44143</v>
      </c>
      <c r="C475" s="1" t="n">
        <v>45755</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58493-2020</t>
        </is>
      </c>
      <c r="B476" s="1" t="n">
        <v>44145</v>
      </c>
      <c r="C476" s="1" t="n">
        <v>45755</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58661-2020</t>
        </is>
      </c>
      <c r="B477" s="1" t="n">
        <v>44145</v>
      </c>
      <c r="C477" s="1" t="n">
        <v>45755</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58665-2020</t>
        </is>
      </c>
      <c r="B478" s="1" t="n">
        <v>44145</v>
      </c>
      <c r="C478" s="1" t="n">
        <v>45755</v>
      </c>
      <c r="D478" t="inlineStr">
        <is>
          <t>STOCKHOLMS LÄN</t>
        </is>
      </c>
      <c r="E478" t="inlineStr">
        <is>
          <t>NORRTÄLJE</t>
        </is>
      </c>
      <c r="G478" t="n">
        <v>5.2</v>
      </c>
      <c r="H478" t="n">
        <v>0</v>
      </c>
      <c r="I478" t="n">
        <v>0</v>
      </c>
      <c r="J478" t="n">
        <v>0</v>
      </c>
      <c r="K478" t="n">
        <v>0</v>
      </c>
      <c r="L478" t="n">
        <v>0</v>
      </c>
      <c r="M478" t="n">
        <v>0</v>
      </c>
      <c r="N478" t="n">
        <v>0</v>
      </c>
      <c r="O478" t="n">
        <v>0</v>
      </c>
      <c r="P478" t="n">
        <v>0</v>
      </c>
      <c r="Q478" t="n">
        <v>0</v>
      </c>
      <c r="R478" s="2" t="inlineStr"/>
    </row>
    <row r="479" ht="15" customHeight="1">
      <c r="A479" t="inlineStr">
        <is>
          <t>A 58888-2020</t>
        </is>
      </c>
      <c r="B479" s="1" t="n">
        <v>44146</v>
      </c>
      <c r="C479" s="1" t="n">
        <v>45755</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60321-2020</t>
        </is>
      </c>
      <c r="B480" s="1" t="n">
        <v>44152</v>
      </c>
      <c r="C480" s="1" t="n">
        <v>45755</v>
      </c>
      <c r="D480" t="inlineStr">
        <is>
          <t>STOCKHOLMS LÄN</t>
        </is>
      </c>
      <c r="E480" t="inlineStr">
        <is>
          <t>NORRTÄLJE</t>
        </is>
      </c>
      <c r="F480" t="inlineStr">
        <is>
          <t>Holmen skog AB</t>
        </is>
      </c>
      <c r="G480" t="n">
        <v>3.4</v>
      </c>
      <c r="H480" t="n">
        <v>0</v>
      </c>
      <c r="I480" t="n">
        <v>0</v>
      </c>
      <c r="J480" t="n">
        <v>0</v>
      </c>
      <c r="K480" t="n">
        <v>0</v>
      </c>
      <c r="L480" t="n">
        <v>0</v>
      </c>
      <c r="M480" t="n">
        <v>0</v>
      </c>
      <c r="N480" t="n">
        <v>0</v>
      </c>
      <c r="O480" t="n">
        <v>0</v>
      </c>
      <c r="P480" t="n">
        <v>0</v>
      </c>
      <c r="Q480" t="n">
        <v>0</v>
      </c>
      <c r="R480" s="2" t="inlineStr"/>
    </row>
    <row r="481" ht="15" customHeight="1">
      <c r="A481" t="inlineStr">
        <is>
          <t>A 60542-2020</t>
        </is>
      </c>
      <c r="B481" s="1" t="n">
        <v>44153</v>
      </c>
      <c r="C481" s="1" t="n">
        <v>45755</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60977-2020</t>
        </is>
      </c>
      <c r="B482" s="1" t="n">
        <v>44154</v>
      </c>
      <c r="C482" s="1" t="n">
        <v>45755</v>
      </c>
      <c r="D482" t="inlineStr">
        <is>
          <t>STOCKHOLMS LÄN</t>
        </is>
      </c>
      <c r="E482" t="inlineStr">
        <is>
          <t>NORRTÄLJE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60891-2020</t>
        </is>
      </c>
      <c r="B483" s="1" t="n">
        <v>44154</v>
      </c>
      <c r="C483" s="1" t="n">
        <v>45755</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60961-2020</t>
        </is>
      </c>
      <c r="B484" s="1" t="n">
        <v>44154</v>
      </c>
      <c r="C484" s="1" t="n">
        <v>45755</v>
      </c>
      <c r="D484" t="inlineStr">
        <is>
          <t>STOCKHOLMS LÄN</t>
        </is>
      </c>
      <c r="E484" t="inlineStr">
        <is>
          <t>NORRTÄLJE</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61195-2020</t>
        </is>
      </c>
      <c r="B485" s="1" t="n">
        <v>44155</v>
      </c>
      <c r="C485" s="1" t="n">
        <v>45755</v>
      </c>
      <c r="D485" t="inlineStr">
        <is>
          <t>STOCKHOLMS LÄN</t>
        </is>
      </c>
      <c r="E485" t="inlineStr">
        <is>
          <t>NORRTÄLJE</t>
        </is>
      </c>
      <c r="G485" t="n">
        <v>7.8</v>
      </c>
      <c r="H485" t="n">
        <v>0</v>
      </c>
      <c r="I485" t="n">
        <v>0</v>
      </c>
      <c r="J485" t="n">
        <v>0</v>
      </c>
      <c r="K485" t="n">
        <v>0</v>
      </c>
      <c r="L485" t="n">
        <v>0</v>
      </c>
      <c r="M485" t="n">
        <v>0</v>
      </c>
      <c r="N485" t="n">
        <v>0</v>
      </c>
      <c r="O485" t="n">
        <v>0</v>
      </c>
      <c r="P485" t="n">
        <v>0</v>
      </c>
      <c r="Q485" t="n">
        <v>0</v>
      </c>
      <c r="R485" s="2" t="inlineStr"/>
    </row>
    <row r="486" ht="15" customHeight="1">
      <c r="A486" t="inlineStr">
        <is>
          <t>A 61221-2020</t>
        </is>
      </c>
      <c r="B486" s="1" t="n">
        <v>44155</v>
      </c>
      <c r="C486" s="1" t="n">
        <v>45755</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61363-2020</t>
        </is>
      </c>
      <c r="B487" s="1" t="n">
        <v>44155</v>
      </c>
      <c r="C487" s="1" t="n">
        <v>45755</v>
      </c>
      <c r="D487" t="inlineStr">
        <is>
          <t>STOCKHOLMS LÄN</t>
        </is>
      </c>
      <c r="E487" t="inlineStr">
        <is>
          <t>NORRTÄLJE</t>
        </is>
      </c>
      <c r="G487" t="n">
        <v>2.3</v>
      </c>
      <c r="H487" t="n">
        <v>0</v>
      </c>
      <c r="I487" t="n">
        <v>0</v>
      </c>
      <c r="J487" t="n">
        <v>0</v>
      </c>
      <c r="K487" t="n">
        <v>0</v>
      </c>
      <c r="L487" t="n">
        <v>0</v>
      </c>
      <c r="M487" t="n">
        <v>0</v>
      </c>
      <c r="N487" t="n">
        <v>0</v>
      </c>
      <c r="O487" t="n">
        <v>0</v>
      </c>
      <c r="P487" t="n">
        <v>0</v>
      </c>
      <c r="Q487" t="n">
        <v>0</v>
      </c>
      <c r="R487" s="2" t="inlineStr"/>
    </row>
    <row r="488" ht="15" customHeight="1">
      <c r="A488" t="inlineStr">
        <is>
          <t>A 61469-2020</t>
        </is>
      </c>
      <c r="B488" s="1" t="n">
        <v>44155</v>
      </c>
      <c r="C488" s="1" t="n">
        <v>45755</v>
      </c>
      <c r="D488" t="inlineStr">
        <is>
          <t>STOCKHOLMS LÄN</t>
        </is>
      </c>
      <c r="E488" t="inlineStr">
        <is>
          <t>NORRTÄLJE</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61192-2020</t>
        </is>
      </c>
      <c r="B489" s="1" t="n">
        <v>44155</v>
      </c>
      <c r="C489" s="1" t="n">
        <v>45755</v>
      </c>
      <c r="D489" t="inlineStr">
        <is>
          <t>STOCKHOLMS LÄN</t>
        </is>
      </c>
      <c r="E489" t="inlineStr">
        <is>
          <t>NORRTÄLJE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62460-2020</t>
        </is>
      </c>
      <c r="B490" s="1" t="n">
        <v>44160</v>
      </c>
      <c r="C490" s="1" t="n">
        <v>45755</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62854-2020</t>
        </is>
      </c>
      <c r="B491" s="1" t="n">
        <v>44161</v>
      </c>
      <c r="C491" s="1" t="n">
        <v>45755</v>
      </c>
      <c r="D491" t="inlineStr">
        <is>
          <t>STOCKHOLMS LÄN</t>
        </is>
      </c>
      <c r="E491" t="inlineStr">
        <is>
          <t>NORRTÄLJE</t>
        </is>
      </c>
      <c r="G491" t="n">
        <v>4.7</v>
      </c>
      <c r="H491" t="n">
        <v>0</v>
      </c>
      <c r="I491" t="n">
        <v>0</v>
      </c>
      <c r="J491" t="n">
        <v>0</v>
      </c>
      <c r="K491" t="n">
        <v>0</v>
      </c>
      <c r="L491" t="n">
        <v>0</v>
      </c>
      <c r="M491" t="n">
        <v>0</v>
      </c>
      <c r="N491" t="n">
        <v>0</v>
      </c>
      <c r="O491" t="n">
        <v>0</v>
      </c>
      <c r="P491" t="n">
        <v>0</v>
      </c>
      <c r="Q491" t="n">
        <v>0</v>
      </c>
      <c r="R491" s="2" t="inlineStr"/>
    </row>
    <row r="492" ht="15" customHeight="1">
      <c r="A492" t="inlineStr">
        <is>
          <t>A 63824-2020</t>
        </is>
      </c>
      <c r="B492" s="1" t="n">
        <v>44162</v>
      </c>
      <c r="C492" s="1" t="n">
        <v>45755</v>
      </c>
      <c r="D492" t="inlineStr">
        <is>
          <t>STOCKHOLMS LÄN</t>
        </is>
      </c>
      <c r="E492" t="inlineStr">
        <is>
          <t>NORRTÄLJE</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66372-2020</t>
        </is>
      </c>
      <c r="B493" s="1" t="n">
        <v>44176</v>
      </c>
      <c r="C493" s="1" t="n">
        <v>45755</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66907-2020</t>
        </is>
      </c>
      <c r="B494" s="1" t="n">
        <v>44176</v>
      </c>
      <c r="C494" s="1" t="n">
        <v>45755</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67393-2020</t>
        </is>
      </c>
      <c r="B495" s="1" t="n">
        <v>44181</v>
      </c>
      <c r="C495" s="1" t="n">
        <v>45755</v>
      </c>
      <c r="D495" t="inlineStr">
        <is>
          <t>STOCKHOLMS LÄN</t>
        </is>
      </c>
      <c r="E495" t="inlineStr">
        <is>
          <t>NORRTÄLJE</t>
        </is>
      </c>
      <c r="G495" t="n">
        <v>5.5</v>
      </c>
      <c r="H495" t="n">
        <v>0</v>
      </c>
      <c r="I495" t="n">
        <v>0</v>
      </c>
      <c r="J495" t="n">
        <v>0</v>
      </c>
      <c r="K495" t="n">
        <v>0</v>
      </c>
      <c r="L495" t="n">
        <v>0</v>
      </c>
      <c r="M495" t="n">
        <v>0</v>
      </c>
      <c r="N495" t="n">
        <v>0</v>
      </c>
      <c r="O495" t="n">
        <v>0</v>
      </c>
      <c r="P495" t="n">
        <v>0</v>
      </c>
      <c r="Q495" t="n">
        <v>0</v>
      </c>
      <c r="R495" s="2" t="inlineStr"/>
    </row>
    <row r="496" ht="15" customHeight="1">
      <c r="A496" t="inlineStr">
        <is>
          <t>A 68081-2020</t>
        </is>
      </c>
      <c r="B496" s="1" t="n">
        <v>44183</v>
      </c>
      <c r="C496" s="1" t="n">
        <v>45755</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367-2021</t>
        </is>
      </c>
      <c r="B497" s="1" t="n">
        <v>44201</v>
      </c>
      <c r="C497" s="1" t="n">
        <v>45755</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348-2021</t>
        </is>
      </c>
      <c r="B498" s="1" t="n">
        <v>44201</v>
      </c>
      <c r="C498" s="1" t="n">
        <v>45755</v>
      </c>
      <c r="D498" t="inlineStr">
        <is>
          <t>STOCKHOLMS LÄN</t>
        </is>
      </c>
      <c r="E498" t="inlineStr">
        <is>
          <t>NORRTÄLJE</t>
        </is>
      </c>
      <c r="G498" t="n">
        <v>0.1</v>
      </c>
      <c r="H498" t="n">
        <v>0</v>
      </c>
      <c r="I498" t="n">
        <v>0</v>
      </c>
      <c r="J498" t="n">
        <v>0</v>
      </c>
      <c r="K498" t="n">
        <v>0</v>
      </c>
      <c r="L498" t="n">
        <v>0</v>
      </c>
      <c r="M498" t="n">
        <v>0</v>
      </c>
      <c r="N498" t="n">
        <v>0</v>
      </c>
      <c r="O498" t="n">
        <v>0</v>
      </c>
      <c r="P498" t="n">
        <v>0</v>
      </c>
      <c r="Q498" t="n">
        <v>0</v>
      </c>
      <c r="R498" s="2" t="inlineStr"/>
    </row>
    <row r="499" ht="15" customHeight="1">
      <c r="A499" t="inlineStr">
        <is>
          <t>A 1637-2021</t>
        </is>
      </c>
      <c r="B499" s="1" t="n">
        <v>44209</v>
      </c>
      <c r="C499" s="1" t="n">
        <v>45755</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1970-2021</t>
        </is>
      </c>
      <c r="B500" s="1" t="n">
        <v>44210</v>
      </c>
      <c r="C500" s="1" t="n">
        <v>45755</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45755</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2976-2021</t>
        </is>
      </c>
      <c r="B502" s="1" t="n">
        <v>44216</v>
      </c>
      <c r="C502" s="1" t="n">
        <v>45755</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3143-2021</t>
        </is>
      </c>
      <c r="B503" s="1" t="n">
        <v>44217</v>
      </c>
      <c r="C503" s="1" t="n">
        <v>45755</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3386-2021</t>
        </is>
      </c>
      <c r="B504" s="1" t="n">
        <v>44218</v>
      </c>
      <c r="C504" s="1" t="n">
        <v>45755</v>
      </c>
      <c r="D504" t="inlineStr">
        <is>
          <t>STOCKHOLMS LÄN</t>
        </is>
      </c>
      <c r="E504" t="inlineStr">
        <is>
          <t>NORRTÄLJE</t>
        </is>
      </c>
      <c r="G504" t="n">
        <v>8</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45755</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4632-2021</t>
        </is>
      </c>
      <c r="B506" s="1" t="n">
        <v>44224</v>
      </c>
      <c r="C506" s="1" t="n">
        <v>45755</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5037-2021</t>
        </is>
      </c>
      <c r="B507" s="1" t="n">
        <v>44228</v>
      </c>
      <c r="C507" s="1" t="n">
        <v>45755</v>
      </c>
      <c r="D507" t="inlineStr">
        <is>
          <t>STOCKHOLMS LÄN</t>
        </is>
      </c>
      <c r="E507" t="inlineStr">
        <is>
          <t>NORRTÄLJE</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5562-2021</t>
        </is>
      </c>
      <c r="B508" s="1" t="n">
        <v>44230</v>
      </c>
      <c r="C508" s="1" t="n">
        <v>45755</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5566-2021</t>
        </is>
      </c>
      <c r="B509" s="1" t="n">
        <v>44230</v>
      </c>
      <c r="C509" s="1" t="n">
        <v>45755</v>
      </c>
      <c r="D509" t="inlineStr">
        <is>
          <t>STOCKHOLMS LÄN</t>
        </is>
      </c>
      <c r="E509" t="inlineStr">
        <is>
          <t>NORRTÄLJE</t>
        </is>
      </c>
      <c r="G509" t="n">
        <v>3.1</v>
      </c>
      <c r="H509" t="n">
        <v>0</v>
      </c>
      <c r="I509" t="n">
        <v>0</v>
      </c>
      <c r="J509" t="n">
        <v>0</v>
      </c>
      <c r="K509" t="n">
        <v>0</v>
      </c>
      <c r="L509" t="n">
        <v>0</v>
      </c>
      <c r="M509" t="n">
        <v>0</v>
      </c>
      <c r="N509" t="n">
        <v>0</v>
      </c>
      <c r="O509" t="n">
        <v>0</v>
      </c>
      <c r="P509" t="n">
        <v>0</v>
      </c>
      <c r="Q509" t="n">
        <v>0</v>
      </c>
      <c r="R509" s="2" t="inlineStr"/>
    </row>
    <row r="510" ht="15" customHeight="1">
      <c r="A510" t="inlineStr">
        <is>
          <t>A 5950-2021</t>
        </is>
      </c>
      <c r="B510" s="1" t="n">
        <v>44231</v>
      </c>
      <c r="C510" s="1" t="n">
        <v>45755</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6049-2021</t>
        </is>
      </c>
      <c r="B511" s="1" t="n">
        <v>44231</v>
      </c>
      <c r="C511" s="1" t="n">
        <v>45755</v>
      </c>
      <c r="D511" t="inlineStr">
        <is>
          <t>STOCKHOLMS LÄN</t>
        </is>
      </c>
      <c r="E511" t="inlineStr">
        <is>
          <t>NORRTÄLJE</t>
        </is>
      </c>
      <c r="G511" t="n">
        <v>0.7</v>
      </c>
      <c r="H511" t="n">
        <v>0</v>
      </c>
      <c r="I511" t="n">
        <v>0</v>
      </c>
      <c r="J511" t="n">
        <v>0</v>
      </c>
      <c r="K511" t="n">
        <v>0</v>
      </c>
      <c r="L511" t="n">
        <v>0</v>
      </c>
      <c r="M511" t="n">
        <v>0</v>
      </c>
      <c r="N511" t="n">
        <v>0</v>
      </c>
      <c r="O511" t="n">
        <v>0</v>
      </c>
      <c r="P511" t="n">
        <v>0</v>
      </c>
      <c r="Q511" t="n">
        <v>0</v>
      </c>
      <c r="R511" s="2" t="inlineStr"/>
    </row>
    <row r="512" ht="15" customHeight="1">
      <c r="A512" t="inlineStr">
        <is>
          <t>A 7903-2021</t>
        </is>
      </c>
      <c r="B512" s="1" t="n">
        <v>44243</v>
      </c>
      <c r="C512" s="1" t="n">
        <v>45755</v>
      </c>
      <c r="D512" t="inlineStr">
        <is>
          <t>STOCKHOLMS LÄN</t>
        </is>
      </c>
      <c r="E512" t="inlineStr">
        <is>
          <t>NORRTÄLJE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7999-2021</t>
        </is>
      </c>
      <c r="B513" s="1" t="n">
        <v>44243</v>
      </c>
      <c r="C513" s="1" t="n">
        <v>45755</v>
      </c>
      <c r="D513" t="inlineStr">
        <is>
          <t>STOCKHOLMS LÄN</t>
        </is>
      </c>
      <c r="E513" t="inlineStr">
        <is>
          <t>NORRTÄLJE</t>
        </is>
      </c>
      <c r="G513" t="n">
        <v>6.8</v>
      </c>
      <c r="H513" t="n">
        <v>0</v>
      </c>
      <c r="I513" t="n">
        <v>0</v>
      </c>
      <c r="J513" t="n">
        <v>0</v>
      </c>
      <c r="K513" t="n">
        <v>0</v>
      </c>
      <c r="L513" t="n">
        <v>0</v>
      </c>
      <c r="M513" t="n">
        <v>0</v>
      </c>
      <c r="N513" t="n">
        <v>0</v>
      </c>
      <c r="O513" t="n">
        <v>0</v>
      </c>
      <c r="P513" t="n">
        <v>0</v>
      </c>
      <c r="Q513" t="n">
        <v>0</v>
      </c>
      <c r="R513" s="2" t="inlineStr"/>
    </row>
    <row r="514" ht="15" customHeight="1">
      <c r="A514" t="inlineStr">
        <is>
          <t>A 8338-2021</t>
        </is>
      </c>
      <c r="B514" s="1" t="n">
        <v>44244</v>
      </c>
      <c r="C514" s="1" t="n">
        <v>45755</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9467-2021</t>
        </is>
      </c>
      <c r="B515" s="1" t="n">
        <v>44251</v>
      </c>
      <c r="C515" s="1" t="n">
        <v>45755</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9469-2021</t>
        </is>
      </c>
      <c r="B516" s="1" t="n">
        <v>44251</v>
      </c>
      <c r="C516" s="1" t="n">
        <v>45755</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9446-2021</t>
        </is>
      </c>
      <c r="B517" s="1" t="n">
        <v>44251</v>
      </c>
      <c r="C517" s="1" t="n">
        <v>45755</v>
      </c>
      <c r="D517" t="inlineStr">
        <is>
          <t>STOCKHOLMS LÄN</t>
        </is>
      </c>
      <c r="E517" t="inlineStr">
        <is>
          <t>NORRTÄLJE</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9719-2021</t>
        </is>
      </c>
      <c r="B518" s="1" t="n">
        <v>44252</v>
      </c>
      <c r="C518" s="1" t="n">
        <v>45755</v>
      </c>
      <c r="D518" t="inlineStr">
        <is>
          <t>STOCKHOLMS LÄN</t>
        </is>
      </c>
      <c r="E518" t="inlineStr">
        <is>
          <t>NORRTÄLJE</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9703-2021</t>
        </is>
      </c>
      <c r="B519" s="1" t="n">
        <v>44252</v>
      </c>
      <c r="C519" s="1" t="n">
        <v>45755</v>
      </c>
      <c r="D519" t="inlineStr">
        <is>
          <t>STOCKHOLMS LÄN</t>
        </is>
      </c>
      <c r="E519" t="inlineStr">
        <is>
          <t>NORRTÄLJE</t>
        </is>
      </c>
      <c r="G519" t="n">
        <v>3.4</v>
      </c>
      <c r="H519" t="n">
        <v>0</v>
      </c>
      <c r="I519" t="n">
        <v>0</v>
      </c>
      <c r="J519" t="n">
        <v>0</v>
      </c>
      <c r="K519" t="n">
        <v>0</v>
      </c>
      <c r="L519" t="n">
        <v>0</v>
      </c>
      <c r="M519" t="n">
        <v>0</v>
      </c>
      <c r="N519" t="n">
        <v>0</v>
      </c>
      <c r="O519" t="n">
        <v>0</v>
      </c>
      <c r="P519" t="n">
        <v>0</v>
      </c>
      <c r="Q519" t="n">
        <v>0</v>
      </c>
      <c r="R519" s="2" t="inlineStr"/>
    </row>
    <row r="520" ht="15" customHeight="1">
      <c r="A520" t="inlineStr">
        <is>
          <t>A 10687-2021</t>
        </is>
      </c>
      <c r="B520" s="1" t="n">
        <v>44258</v>
      </c>
      <c r="C520" s="1" t="n">
        <v>45755</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10684-2021</t>
        </is>
      </c>
      <c r="B521" s="1" t="n">
        <v>44258</v>
      </c>
      <c r="C521" s="1" t="n">
        <v>45755</v>
      </c>
      <c r="D521" t="inlineStr">
        <is>
          <t>STOCKHOLMS LÄN</t>
        </is>
      </c>
      <c r="E521" t="inlineStr">
        <is>
          <t>NORRTÄLJE</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11122-2021</t>
        </is>
      </c>
      <c r="B522" s="1" t="n">
        <v>44260</v>
      </c>
      <c r="C522" s="1" t="n">
        <v>45755</v>
      </c>
      <c r="D522" t="inlineStr">
        <is>
          <t>STOCKHOLMS LÄN</t>
        </is>
      </c>
      <c r="E522" t="inlineStr">
        <is>
          <t>NORRTÄLJE</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11438-2021</t>
        </is>
      </c>
      <c r="B523" s="1" t="n">
        <v>44263</v>
      </c>
      <c r="C523" s="1" t="n">
        <v>45755</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11988-2021</t>
        </is>
      </c>
      <c r="B524" s="1" t="n">
        <v>44266</v>
      </c>
      <c r="C524" s="1" t="n">
        <v>45755</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12031-2021</t>
        </is>
      </c>
      <c r="B525" s="1" t="n">
        <v>44266</v>
      </c>
      <c r="C525" s="1" t="n">
        <v>45755</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12111-2021</t>
        </is>
      </c>
      <c r="B526" s="1" t="n">
        <v>44266</v>
      </c>
      <c r="C526" s="1" t="n">
        <v>45755</v>
      </c>
      <c r="D526" t="inlineStr">
        <is>
          <t>STOCKHOLMS LÄN</t>
        </is>
      </c>
      <c r="E526" t="inlineStr">
        <is>
          <t>NORRTÄLJE</t>
        </is>
      </c>
      <c r="G526" t="n">
        <v>5.5</v>
      </c>
      <c r="H526" t="n">
        <v>0</v>
      </c>
      <c r="I526" t="n">
        <v>0</v>
      </c>
      <c r="J526" t="n">
        <v>0</v>
      </c>
      <c r="K526" t="n">
        <v>0</v>
      </c>
      <c r="L526" t="n">
        <v>0</v>
      </c>
      <c r="M526" t="n">
        <v>0</v>
      </c>
      <c r="N526" t="n">
        <v>0</v>
      </c>
      <c r="O526" t="n">
        <v>0</v>
      </c>
      <c r="P526" t="n">
        <v>0</v>
      </c>
      <c r="Q526" t="n">
        <v>0</v>
      </c>
      <c r="R526" s="2" t="inlineStr"/>
    </row>
    <row r="527" ht="15" customHeight="1">
      <c r="A527" t="inlineStr">
        <is>
          <t>A 12132-2021</t>
        </is>
      </c>
      <c r="B527" s="1" t="n">
        <v>44266</v>
      </c>
      <c r="C527" s="1" t="n">
        <v>45755</v>
      </c>
      <c r="D527" t="inlineStr">
        <is>
          <t>STOCKHOLMS LÄN</t>
        </is>
      </c>
      <c r="E527" t="inlineStr">
        <is>
          <t>NORRTÄLJE</t>
        </is>
      </c>
      <c r="G527" t="n">
        <v>4</v>
      </c>
      <c r="H527" t="n">
        <v>0</v>
      </c>
      <c r="I527" t="n">
        <v>0</v>
      </c>
      <c r="J527" t="n">
        <v>0</v>
      </c>
      <c r="K527" t="n">
        <v>0</v>
      </c>
      <c r="L527" t="n">
        <v>0</v>
      </c>
      <c r="M527" t="n">
        <v>0</v>
      </c>
      <c r="N527" t="n">
        <v>0</v>
      </c>
      <c r="O527" t="n">
        <v>0</v>
      </c>
      <c r="P527" t="n">
        <v>0</v>
      </c>
      <c r="Q527" t="n">
        <v>0</v>
      </c>
      <c r="R527" s="2" t="inlineStr"/>
    </row>
    <row r="528" ht="15" customHeight="1">
      <c r="A528" t="inlineStr">
        <is>
          <t>A 12564-2021</t>
        </is>
      </c>
      <c r="B528" s="1" t="n">
        <v>44270</v>
      </c>
      <c r="C528" s="1" t="n">
        <v>45755</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12779-2021</t>
        </is>
      </c>
      <c r="B529" s="1" t="n">
        <v>44270</v>
      </c>
      <c r="C529" s="1" t="n">
        <v>45755</v>
      </c>
      <c r="D529" t="inlineStr">
        <is>
          <t>STOCKHOLMS LÄN</t>
        </is>
      </c>
      <c r="E529" t="inlineStr">
        <is>
          <t>NORRTÄLJE</t>
        </is>
      </c>
      <c r="G529" t="n">
        <v>10.8</v>
      </c>
      <c r="H529" t="n">
        <v>0</v>
      </c>
      <c r="I529" t="n">
        <v>0</v>
      </c>
      <c r="J529" t="n">
        <v>0</v>
      </c>
      <c r="K529" t="n">
        <v>0</v>
      </c>
      <c r="L529" t="n">
        <v>0</v>
      </c>
      <c r="M529" t="n">
        <v>0</v>
      </c>
      <c r="N529" t="n">
        <v>0</v>
      </c>
      <c r="O529" t="n">
        <v>0</v>
      </c>
      <c r="P529" t="n">
        <v>0</v>
      </c>
      <c r="Q529" t="n">
        <v>0</v>
      </c>
      <c r="R529" s="2" t="inlineStr"/>
    </row>
    <row r="530" ht="15" customHeight="1">
      <c r="A530" t="inlineStr">
        <is>
          <t>A 12782-2021</t>
        </is>
      </c>
      <c r="B530" s="1" t="n">
        <v>44270</v>
      </c>
      <c r="C530" s="1" t="n">
        <v>45755</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13051-2021</t>
        </is>
      </c>
      <c r="B531" s="1" t="n">
        <v>44272</v>
      </c>
      <c r="C531" s="1" t="n">
        <v>45755</v>
      </c>
      <c r="D531" t="inlineStr">
        <is>
          <t>STOCKHOLMS LÄN</t>
        </is>
      </c>
      <c r="E531" t="inlineStr">
        <is>
          <t>NORRTÄLJE</t>
        </is>
      </c>
      <c r="G531" t="n">
        <v>9.1</v>
      </c>
      <c r="H531" t="n">
        <v>0</v>
      </c>
      <c r="I531" t="n">
        <v>0</v>
      </c>
      <c r="J531" t="n">
        <v>0</v>
      </c>
      <c r="K531" t="n">
        <v>0</v>
      </c>
      <c r="L531" t="n">
        <v>0</v>
      </c>
      <c r="M531" t="n">
        <v>0</v>
      </c>
      <c r="N531" t="n">
        <v>0</v>
      </c>
      <c r="O531" t="n">
        <v>0</v>
      </c>
      <c r="P531" t="n">
        <v>0</v>
      </c>
      <c r="Q531" t="n">
        <v>0</v>
      </c>
      <c r="R531" s="2" t="inlineStr"/>
    </row>
    <row r="532" ht="15" customHeight="1">
      <c r="A532" t="inlineStr">
        <is>
          <t>A 13148-2021</t>
        </is>
      </c>
      <c r="B532" s="1" t="n">
        <v>44272</v>
      </c>
      <c r="C532" s="1" t="n">
        <v>45755</v>
      </c>
      <c r="D532" t="inlineStr">
        <is>
          <t>STOCKHOLMS LÄN</t>
        </is>
      </c>
      <c r="E532" t="inlineStr">
        <is>
          <t>NORRTÄLJE</t>
        </is>
      </c>
      <c r="G532" t="n">
        <v>12.4</v>
      </c>
      <c r="H532" t="n">
        <v>0</v>
      </c>
      <c r="I532" t="n">
        <v>0</v>
      </c>
      <c r="J532" t="n">
        <v>0</v>
      </c>
      <c r="K532" t="n">
        <v>0</v>
      </c>
      <c r="L532" t="n">
        <v>0</v>
      </c>
      <c r="M532" t="n">
        <v>0</v>
      </c>
      <c r="N532" t="n">
        <v>0</v>
      </c>
      <c r="O532" t="n">
        <v>0</v>
      </c>
      <c r="P532" t="n">
        <v>0</v>
      </c>
      <c r="Q532" t="n">
        <v>0</v>
      </c>
      <c r="R532" s="2" t="inlineStr"/>
    </row>
    <row r="533" ht="15" customHeight="1">
      <c r="A533" t="inlineStr">
        <is>
          <t>A 13736-2021</t>
        </is>
      </c>
      <c r="B533" s="1" t="n">
        <v>44274</v>
      </c>
      <c r="C533" s="1" t="n">
        <v>45755</v>
      </c>
      <c r="D533" t="inlineStr">
        <is>
          <t>STOCKHOLMS LÄN</t>
        </is>
      </c>
      <c r="E533" t="inlineStr">
        <is>
          <t>NORRTÄLJE</t>
        </is>
      </c>
      <c r="F533" t="inlineStr">
        <is>
          <t>Holmen skog AB</t>
        </is>
      </c>
      <c r="G533" t="n">
        <v>3.5</v>
      </c>
      <c r="H533" t="n">
        <v>0</v>
      </c>
      <c r="I533" t="n">
        <v>0</v>
      </c>
      <c r="J533" t="n">
        <v>0</v>
      </c>
      <c r="K533" t="n">
        <v>0</v>
      </c>
      <c r="L533" t="n">
        <v>0</v>
      </c>
      <c r="M533" t="n">
        <v>0</v>
      </c>
      <c r="N533" t="n">
        <v>0</v>
      </c>
      <c r="O533" t="n">
        <v>0</v>
      </c>
      <c r="P533" t="n">
        <v>0</v>
      </c>
      <c r="Q533" t="n">
        <v>0</v>
      </c>
      <c r="R533" s="2" t="inlineStr"/>
    </row>
    <row r="534" ht="15" customHeight="1">
      <c r="A534" t="inlineStr">
        <is>
          <t>A 13752-2021</t>
        </is>
      </c>
      <c r="B534" s="1" t="n">
        <v>44274</v>
      </c>
      <c r="C534" s="1" t="n">
        <v>45755</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14381-2021</t>
        </is>
      </c>
      <c r="B535" s="1" t="n">
        <v>44279</v>
      </c>
      <c r="C535" s="1" t="n">
        <v>45755</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14922-2021</t>
        </is>
      </c>
      <c r="B536" s="1" t="n">
        <v>44281</v>
      </c>
      <c r="C536" s="1" t="n">
        <v>45755</v>
      </c>
      <c r="D536" t="inlineStr">
        <is>
          <t>STOCKHOLMS LÄN</t>
        </is>
      </c>
      <c r="E536" t="inlineStr">
        <is>
          <t>NORRTÄLJE</t>
        </is>
      </c>
      <c r="G536" t="n">
        <v>4.8</v>
      </c>
      <c r="H536" t="n">
        <v>0</v>
      </c>
      <c r="I536" t="n">
        <v>0</v>
      </c>
      <c r="J536" t="n">
        <v>0</v>
      </c>
      <c r="K536" t="n">
        <v>0</v>
      </c>
      <c r="L536" t="n">
        <v>0</v>
      </c>
      <c r="M536" t="n">
        <v>0</v>
      </c>
      <c r="N536" t="n">
        <v>0</v>
      </c>
      <c r="O536" t="n">
        <v>0</v>
      </c>
      <c r="P536" t="n">
        <v>0</v>
      </c>
      <c r="Q536" t="n">
        <v>0</v>
      </c>
      <c r="R536" s="2" t="inlineStr"/>
    </row>
    <row r="537" ht="15" customHeight="1">
      <c r="A537" t="inlineStr">
        <is>
          <t>A 14933-2021</t>
        </is>
      </c>
      <c r="B537" s="1" t="n">
        <v>44281</v>
      </c>
      <c r="C537" s="1" t="n">
        <v>45755</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15289-2021</t>
        </is>
      </c>
      <c r="B538" s="1" t="n">
        <v>44284</v>
      </c>
      <c r="C538" s="1" t="n">
        <v>45755</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15441-2021</t>
        </is>
      </c>
      <c r="B539" s="1" t="n">
        <v>44284</v>
      </c>
      <c r="C539" s="1" t="n">
        <v>45755</v>
      </c>
      <c r="D539" t="inlineStr">
        <is>
          <t>STOCKHOLMS LÄN</t>
        </is>
      </c>
      <c r="E539" t="inlineStr">
        <is>
          <t>NORRTÄLJE</t>
        </is>
      </c>
      <c r="G539" t="n">
        <v>27</v>
      </c>
      <c r="H539" t="n">
        <v>0</v>
      </c>
      <c r="I539" t="n">
        <v>0</v>
      </c>
      <c r="J539" t="n">
        <v>0</v>
      </c>
      <c r="K539" t="n">
        <v>0</v>
      </c>
      <c r="L539" t="n">
        <v>0</v>
      </c>
      <c r="M539" t="n">
        <v>0</v>
      </c>
      <c r="N539" t="n">
        <v>0</v>
      </c>
      <c r="O539" t="n">
        <v>0</v>
      </c>
      <c r="P539" t="n">
        <v>0</v>
      </c>
      <c r="Q539" t="n">
        <v>0</v>
      </c>
      <c r="R539" s="2" t="inlineStr"/>
    </row>
    <row r="540" ht="15" customHeight="1">
      <c r="A540" t="inlineStr">
        <is>
          <t>A 15552-2021</t>
        </is>
      </c>
      <c r="B540" s="1" t="n">
        <v>44285</v>
      </c>
      <c r="C540" s="1" t="n">
        <v>45755</v>
      </c>
      <c r="D540" t="inlineStr">
        <is>
          <t>STOCKHOLMS LÄN</t>
        </is>
      </c>
      <c r="E540" t="inlineStr">
        <is>
          <t>NORRTÄLJE</t>
        </is>
      </c>
      <c r="G540" t="n">
        <v>10</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45755</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17460-2021</t>
        </is>
      </c>
      <c r="B542" s="1" t="n">
        <v>44299</v>
      </c>
      <c r="C542" s="1" t="n">
        <v>45755</v>
      </c>
      <c r="D542" t="inlineStr">
        <is>
          <t>STOCKHOLMS LÄN</t>
        </is>
      </c>
      <c r="E542" t="inlineStr">
        <is>
          <t>NORRTÄLJE</t>
        </is>
      </c>
      <c r="G542" t="n">
        <v>3.2</v>
      </c>
      <c r="H542" t="n">
        <v>0</v>
      </c>
      <c r="I542" t="n">
        <v>0</v>
      </c>
      <c r="J542" t="n">
        <v>0</v>
      </c>
      <c r="K542" t="n">
        <v>0</v>
      </c>
      <c r="L542" t="n">
        <v>0</v>
      </c>
      <c r="M542" t="n">
        <v>0</v>
      </c>
      <c r="N542" t="n">
        <v>0</v>
      </c>
      <c r="O542" t="n">
        <v>0</v>
      </c>
      <c r="P542" t="n">
        <v>0</v>
      </c>
      <c r="Q542" t="n">
        <v>0</v>
      </c>
      <c r="R542" s="2" t="inlineStr"/>
    </row>
    <row r="543" ht="15" customHeight="1">
      <c r="A543" t="inlineStr">
        <is>
          <t>A 17703-2021</t>
        </is>
      </c>
      <c r="B543" s="1" t="n">
        <v>44300</v>
      </c>
      <c r="C543" s="1" t="n">
        <v>45755</v>
      </c>
      <c r="D543" t="inlineStr">
        <is>
          <t>STOCKHOLMS LÄN</t>
        </is>
      </c>
      <c r="E543" t="inlineStr">
        <is>
          <t>NORRTÄLJE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18580-2021</t>
        </is>
      </c>
      <c r="B544" s="1" t="n">
        <v>44306</v>
      </c>
      <c r="C544" s="1" t="n">
        <v>45755</v>
      </c>
      <c r="D544" t="inlineStr">
        <is>
          <t>STOCKHOLMS LÄN</t>
        </is>
      </c>
      <c r="E544" t="inlineStr">
        <is>
          <t>NORRTÄLJE</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18609-2021</t>
        </is>
      </c>
      <c r="B545" s="1" t="n">
        <v>44306</v>
      </c>
      <c r="C545" s="1" t="n">
        <v>45755</v>
      </c>
      <c r="D545" t="inlineStr">
        <is>
          <t>STOCKHOLMS LÄN</t>
        </is>
      </c>
      <c r="E545" t="inlineStr">
        <is>
          <t>NORRTÄLJE</t>
        </is>
      </c>
      <c r="G545" t="n">
        <v>9.5</v>
      </c>
      <c r="H545" t="n">
        <v>0</v>
      </c>
      <c r="I545" t="n">
        <v>0</v>
      </c>
      <c r="J545" t="n">
        <v>0</v>
      </c>
      <c r="K545" t="n">
        <v>0</v>
      </c>
      <c r="L545" t="n">
        <v>0</v>
      </c>
      <c r="M545" t="n">
        <v>0</v>
      </c>
      <c r="N545" t="n">
        <v>0</v>
      </c>
      <c r="O545" t="n">
        <v>0</v>
      </c>
      <c r="P545" t="n">
        <v>0</v>
      </c>
      <c r="Q545" t="n">
        <v>0</v>
      </c>
      <c r="R545" s="2" t="inlineStr"/>
    </row>
    <row r="546" ht="15" customHeight="1">
      <c r="A546" t="inlineStr">
        <is>
          <t>A 18539-2021</t>
        </is>
      </c>
      <c r="B546" s="1" t="n">
        <v>44306</v>
      </c>
      <c r="C546" s="1" t="n">
        <v>45755</v>
      </c>
      <c r="D546" t="inlineStr">
        <is>
          <t>STOCKHOLMS LÄN</t>
        </is>
      </c>
      <c r="E546" t="inlineStr">
        <is>
          <t>NORRTÄLJE</t>
        </is>
      </c>
      <c r="F546" t="inlineStr">
        <is>
          <t>Holmen skog AB</t>
        </is>
      </c>
      <c r="G546" t="n">
        <v>5.5</v>
      </c>
      <c r="H546" t="n">
        <v>0</v>
      </c>
      <c r="I546" t="n">
        <v>0</v>
      </c>
      <c r="J546" t="n">
        <v>0</v>
      </c>
      <c r="K546" t="n">
        <v>0</v>
      </c>
      <c r="L546" t="n">
        <v>0</v>
      </c>
      <c r="M546" t="n">
        <v>0</v>
      </c>
      <c r="N546" t="n">
        <v>0</v>
      </c>
      <c r="O546" t="n">
        <v>0</v>
      </c>
      <c r="P546" t="n">
        <v>0</v>
      </c>
      <c r="Q546" t="n">
        <v>0</v>
      </c>
      <c r="R546" s="2" t="inlineStr"/>
    </row>
    <row r="547" ht="15" customHeight="1">
      <c r="A547" t="inlineStr">
        <is>
          <t>A 18570-2021</t>
        </is>
      </c>
      <c r="B547" s="1" t="n">
        <v>44306</v>
      </c>
      <c r="C547" s="1" t="n">
        <v>45755</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19283-2021</t>
        </is>
      </c>
      <c r="B548" s="1" t="n">
        <v>44309</v>
      </c>
      <c r="C548" s="1" t="n">
        <v>45755</v>
      </c>
      <c r="D548" t="inlineStr">
        <is>
          <t>STOCKHOLMS LÄN</t>
        </is>
      </c>
      <c r="E548" t="inlineStr">
        <is>
          <t>NORRTÄLJE</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19400-2021</t>
        </is>
      </c>
      <c r="B549" s="1" t="n">
        <v>44309</v>
      </c>
      <c r="C549" s="1" t="n">
        <v>45755</v>
      </c>
      <c r="D549" t="inlineStr">
        <is>
          <t>STOCKHOLMS LÄN</t>
        </is>
      </c>
      <c r="E549" t="inlineStr">
        <is>
          <t>NORRTÄLJE</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19307-2021</t>
        </is>
      </c>
      <c r="B550" s="1" t="n">
        <v>44309</v>
      </c>
      <c r="C550" s="1" t="n">
        <v>45755</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19398-2021</t>
        </is>
      </c>
      <c r="B551" s="1" t="n">
        <v>44309</v>
      </c>
      <c r="C551" s="1" t="n">
        <v>45755</v>
      </c>
      <c r="D551" t="inlineStr">
        <is>
          <t>STOCKHOLMS LÄN</t>
        </is>
      </c>
      <c r="E551" t="inlineStr">
        <is>
          <t>NORRTÄLJE</t>
        </is>
      </c>
      <c r="F551" t="inlineStr">
        <is>
          <t>Kommuner</t>
        </is>
      </c>
      <c r="G551" t="n">
        <v>2.1</v>
      </c>
      <c r="H551" t="n">
        <v>0</v>
      </c>
      <c r="I551" t="n">
        <v>0</v>
      </c>
      <c r="J551" t="n">
        <v>0</v>
      </c>
      <c r="K551" t="n">
        <v>0</v>
      </c>
      <c r="L551" t="n">
        <v>0</v>
      </c>
      <c r="M551" t="n">
        <v>0</v>
      </c>
      <c r="N551" t="n">
        <v>0</v>
      </c>
      <c r="O551" t="n">
        <v>0</v>
      </c>
      <c r="P551" t="n">
        <v>0</v>
      </c>
      <c r="Q551" t="n">
        <v>0</v>
      </c>
      <c r="R551" s="2" t="inlineStr"/>
    </row>
    <row r="552" ht="15" customHeight="1">
      <c r="A552" t="inlineStr">
        <is>
          <t>A 20073-2021</t>
        </is>
      </c>
      <c r="B552" s="1" t="n">
        <v>44314</v>
      </c>
      <c r="C552" s="1" t="n">
        <v>45755</v>
      </c>
      <c r="D552" t="inlineStr">
        <is>
          <t>STOCKHOLMS LÄN</t>
        </is>
      </c>
      <c r="E552" t="inlineStr">
        <is>
          <t>NORRTÄLJE</t>
        </is>
      </c>
      <c r="G552" t="n">
        <v>4.6</v>
      </c>
      <c r="H552" t="n">
        <v>0</v>
      </c>
      <c r="I552" t="n">
        <v>0</v>
      </c>
      <c r="J552" t="n">
        <v>0</v>
      </c>
      <c r="K552" t="n">
        <v>0</v>
      </c>
      <c r="L552" t="n">
        <v>0</v>
      </c>
      <c r="M552" t="n">
        <v>0</v>
      </c>
      <c r="N552" t="n">
        <v>0</v>
      </c>
      <c r="O552" t="n">
        <v>0</v>
      </c>
      <c r="P552" t="n">
        <v>0</v>
      </c>
      <c r="Q552" t="n">
        <v>0</v>
      </c>
      <c r="R552" s="2" t="inlineStr"/>
    </row>
    <row r="553" ht="15" customHeight="1">
      <c r="A553" t="inlineStr">
        <is>
          <t>A 20473-2021</t>
        </is>
      </c>
      <c r="B553" s="1" t="n">
        <v>44315</v>
      </c>
      <c r="C553" s="1" t="n">
        <v>45755</v>
      </c>
      <c r="D553" t="inlineStr">
        <is>
          <t>STOCKHOLMS LÄN</t>
        </is>
      </c>
      <c r="E553" t="inlineStr">
        <is>
          <t>NORRTÄLJE</t>
        </is>
      </c>
      <c r="F553" t="inlineStr">
        <is>
          <t>Övriga Aktiebolag</t>
        </is>
      </c>
      <c r="G553" t="n">
        <v>3.6</v>
      </c>
      <c r="H553" t="n">
        <v>0</v>
      </c>
      <c r="I553" t="n">
        <v>0</v>
      </c>
      <c r="J553" t="n">
        <v>0</v>
      </c>
      <c r="K553" t="n">
        <v>0</v>
      </c>
      <c r="L553" t="n">
        <v>0</v>
      </c>
      <c r="M553" t="n">
        <v>0</v>
      </c>
      <c r="N553" t="n">
        <v>0</v>
      </c>
      <c r="O553" t="n">
        <v>0</v>
      </c>
      <c r="P553" t="n">
        <v>0</v>
      </c>
      <c r="Q553" t="n">
        <v>0</v>
      </c>
      <c r="R553" s="2" t="inlineStr"/>
    </row>
    <row r="554" ht="15" customHeight="1">
      <c r="A554" t="inlineStr">
        <is>
          <t>A 21291-2021</t>
        </is>
      </c>
      <c r="B554" s="1" t="n">
        <v>44319</v>
      </c>
      <c r="C554" s="1" t="n">
        <v>45755</v>
      </c>
      <c r="D554" t="inlineStr">
        <is>
          <t>STOCKHOLMS LÄN</t>
        </is>
      </c>
      <c r="E554" t="inlineStr">
        <is>
          <t>NORRTÄLJE</t>
        </is>
      </c>
      <c r="G554" t="n">
        <v>12.7</v>
      </c>
      <c r="H554" t="n">
        <v>0</v>
      </c>
      <c r="I554" t="n">
        <v>0</v>
      </c>
      <c r="J554" t="n">
        <v>0</v>
      </c>
      <c r="K554" t="n">
        <v>0</v>
      </c>
      <c r="L554" t="n">
        <v>0</v>
      </c>
      <c r="M554" t="n">
        <v>0</v>
      </c>
      <c r="N554" t="n">
        <v>0</v>
      </c>
      <c r="O554" t="n">
        <v>0</v>
      </c>
      <c r="P554" t="n">
        <v>0</v>
      </c>
      <c r="Q554" t="n">
        <v>0</v>
      </c>
      <c r="R554" s="2" t="inlineStr"/>
    </row>
    <row r="555" ht="15" customHeight="1">
      <c r="A555" t="inlineStr">
        <is>
          <t>A 21529-2021</t>
        </is>
      </c>
      <c r="B555" s="1" t="n">
        <v>44321</v>
      </c>
      <c r="C555" s="1" t="n">
        <v>45755</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22832-2021</t>
        </is>
      </c>
      <c r="B556" s="1" t="n">
        <v>44325</v>
      </c>
      <c r="C556" s="1" t="n">
        <v>45755</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22816-2021</t>
        </is>
      </c>
      <c r="B557" s="1" t="n">
        <v>44325</v>
      </c>
      <c r="C557" s="1" t="n">
        <v>45755</v>
      </c>
      <c r="D557" t="inlineStr">
        <is>
          <t>STOCKHOLMS LÄN</t>
        </is>
      </c>
      <c r="E557" t="inlineStr">
        <is>
          <t>NORRTÄLJE</t>
        </is>
      </c>
      <c r="G557" t="n">
        <v>4.5</v>
      </c>
      <c r="H557" t="n">
        <v>0</v>
      </c>
      <c r="I557" t="n">
        <v>0</v>
      </c>
      <c r="J557" t="n">
        <v>0</v>
      </c>
      <c r="K557" t="n">
        <v>0</v>
      </c>
      <c r="L557" t="n">
        <v>0</v>
      </c>
      <c r="M557" t="n">
        <v>0</v>
      </c>
      <c r="N557" t="n">
        <v>0</v>
      </c>
      <c r="O557" t="n">
        <v>0</v>
      </c>
      <c r="P557" t="n">
        <v>0</v>
      </c>
      <c r="Q557" t="n">
        <v>0</v>
      </c>
      <c r="R557" s="2" t="inlineStr"/>
    </row>
    <row r="558" ht="15" customHeight="1">
      <c r="A558" t="inlineStr">
        <is>
          <t>A 22369-2021</t>
        </is>
      </c>
      <c r="B558" s="1" t="n">
        <v>44326</v>
      </c>
      <c r="C558" s="1" t="n">
        <v>45755</v>
      </c>
      <c r="D558" t="inlineStr">
        <is>
          <t>STOCKHOLMS LÄN</t>
        </is>
      </c>
      <c r="E558" t="inlineStr">
        <is>
          <t>NORRTÄLJE</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22421-2021</t>
        </is>
      </c>
      <c r="B559" s="1" t="n">
        <v>44326</v>
      </c>
      <c r="C559" s="1" t="n">
        <v>45755</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22412-2021</t>
        </is>
      </c>
      <c r="B560" s="1" t="n">
        <v>44326</v>
      </c>
      <c r="C560" s="1" t="n">
        <v>45755</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45755</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23096-2021</t>
        </is>
      </c>
      <c r="B562" s="1" t="n">
        <v>44330</v>
      </c>
      <c r="C562" s="1" t="n">
        <v>45755</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23122-2021</t>
        </is>
      </c>
      <c r="B563" s="1" t="n">
        <v>44330</v>
      </c>
      <c r="C563" s="1" t="n">
        <v>45755</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23453-2021</t>
        </is>
      </c>
      <c r="B564" s="1" t="n">
        <v>44333</v>
      </c>
      <c r="C564" s="1" t="n">
        <v>45755</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24082-2021</t>
        </is>
      </c>
      <c r="B565" s="1" t="n">
        <v>44336</v>
      </c>
      <c r="C565" s="1" t="n">
        <v>45755</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25463-2021</t>
        </is>
      </c>
      <c r="B566" s="1" t="n">
        <v>44342</v>
      </c>
      <c r="C566" s="1" t="n">
        <v>45755</v>
      </c>
      <c r="D566" t="inlineStr">
        <is>
          <t>STOCKHOLMS LÄN</t>
        </is>
      </c>
      <c r="E566" t="inlineStr">
        <is>
          <t>NORRTÄLJE</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27217-2021</t>
        </is>
      </c>
      <c r="B567" s="1" t="n">
        <v>44350</v>
      </c>
      <c r="C567" s="1" t="n">
        <v>45755</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27214-2021</t>
        </is>
      </c>
      <c r="B568" s="1" t="n">
        <v>44350</v>
      </c>
      <c r="C568" s="1" t="n">
        <v>45755</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29357-2021</t>
        </is>
      </c>
      <c r="B569" s="1" t="n">
        <v>44361</v>
      </c>
      <c r="C569" s="1" t="n">
        <v>45755</v>
      </c>
      <c r="D569" t="inlineStr">
        <is>
          <t>STOCKHOLMS LÄN</t>
        </is>
      </c>
      <c r="E569" t="inlineStr">
        <is>
          <t>NORRTÄLJE</t>
        </is>
      </c>
      <c r="F569" t="inlineStr">
        <is>
          <t>Holmen skog AB</t>
        </is>
      </c>
      <c r="G569" t="n">
        <v>1.8</v>
      </c>
      <c r="H569" t="n">
        <v>0</v>
      </c>
      <c r="I569" t="n">
        <v>0</v>
      </c>
      <c r="J569" t="n">
        <v>0</v>
      </c>
      <c r="K569" t="n">
        <v>0</v>
      </c>
      <c r="L569" t="n">
        <v>0</v>
      </c>
      <c r="M569" t="n">
        <v>0</v>
      </c>
      <c r="N569" t="n">
        <v>0</v>
      </c>
      <c r="O569" t="n">
        <v>0</v>
      </c>
      <c r="P569" t="n">
        <v>0</v>
      </c>
      <c r="Q569" t="n">
        <v>0</v>
      </c>
      <c r="R569" s="2" t="inlineStr"/>
    </row>
    <row r="570" ht="15" customHeight="1">
      <c r="A570" t="inlineStr">
        <is>
          <t>A 29680-2021</t>
        </is>
      </c>
      <c r="B570" s="1" t="n">
        <v>44362</v>
      </c>
      <c r="C570" s="1" t="n">
        <v>45755</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29684-2021</t>
        </is>
      </c>
      <c r="B571" s="1" t="n">
        <v>44362</v>
      </c>
      <c r="C571" s="1" t="n">
        <v>45755</v>
      </c>
      <c r="D571" t="inlineStr">
        <is>
          <t>STOCKHOLMS LÄN</t>
        </is>
      </c>
      <c r="E571" t="inlineStr">
        <is>
          <t>NORRTÄLJE</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30129-2021</t>
        </is>
      </c>
      <c r="B572" s="1" t="n">
        <v>44363</v>
      </c>
      <c r="C572" s="1" t="n">
        <v>45755</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31688-2021</t>
        </is>
      </c>
      <c r="B573" s="1" t="n">
        <v>44369</v>
      </c>
      <c r="C573" s="1" t="n">
        <v>45755</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32002-2021</t>
        </is>
      </c>
      <c r="B574" s="1" t="n">
        <v>44370</v>
      </c>
      <c r="C574" s="1" t="n">
        <v>45755</v>
      </c>
      <c r="D574" t="inlineStr">
        <is>
          <t>STOCKHOLMS LÄN</t>
        </is>
      </c>
      <c r="E574" t="inlineStr">
        <is>
          <t>NORRTÄLJE</t>
        </is>
      </c>
      <c r="F574" t="inlineStr">
        <is>
          <t>Övriga Aktiebolag</t>
        </is>
      </c>
      <c r="G574" t="n">
        <v>4</v>
      </c>
      <c r="H574" t="n">
        <v>0</v>
      </c>
      <c r="I574" t="n">
        <v>0</v>
      </c>
      <c r="J574" t="n">
        <v>0</v>
      </c>
      <c r="K574" t="n">
        <v>0</v>
      </c>
      <c r="L574" t="n">
        <v>0</v>
      </c>
      <c r="M574" t="n">
        <v>0</v>
      </c>
      <c r="N574" t="n">
        <v>0</v>
      </c>
      <c r="O574" t="n">
        <v>0</v>
      </c>
      <c r="P574" t="n">
        <v>0</v>
      </c>
      <c r="Q574" t="n">
        <v>0</v>
      </c>
      <c r="R574" s="2" t="inlineStr"/>
    </row>
    <row r="575" ht="15" customHeight="1">
      <c r="A575" t="inlineStr">
        <is>
          <t>A 32051-2021</t>
        </is>
      </c>
      <c r="B575" s="1" t="n">
        <v>44370</v>
      </c>
      <c r="C575" s="1" t="n">
        <v>45755</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32055-2021</t>
        </is>
      </c>
      <c r="B576" s="1" t="n">
        <v>44370</v>
      </c>
      <c r="C576" s="1" t="n">
        <v>45755</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45755</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32857-2021</t>
        </is>
      </c>
      <c r="B578" s="1" t="n">
        <v>44375</v>
      </c>
      <c r="C578" s="1" t="n">
        <v>45755</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33053-2021</t>
        </is>
      </c>
      <c r="B579" s="1" t="n">
        <v>44376</v>
      </c>
      <c r="C579" s="1" t="n">
        <v>45755</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33046-2021</t>
        </is>
      </c>
      <c r="B580" s="1" t="n">
        <v>44376</v>
      </c>
      <c r="C580" s="1" t="n">
        <v>45755</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33040-2021</t>
        </is>
      </c>
      <c r="B581" s="1" t="n">
        <v>44376</v>
      </c>
      <c r="C581" s="1" t="n">
        <v>45755</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34520-2021</t>
        </is>
      </c>
      <c r="B582" s="1" t="n">
        <v>44379</v>
      </c>
      <c r="C582" s="1" t="n">
        <v>45755</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34432-2021</t>
        </is>
      </c>
      <c r="B583" s="1" t="n">
        <v>44380</v>
      </c>
      <c r="C583" s="1" t="n">
        <v>45755</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45755</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34436-2021</t>
        </is>
      </c>
      <c r="B585" s="1" t="n">
        <v>44380</v>
      </c>
      <c r="C585" s="1" t="n">
        <v>45755</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34731-2021</t>
        </is>
      </c>
      <c r="B586" s="1" t="n">
        <v>44382</v>
      </c>
      <c r="C586" s="1" t="n">
        <v>45755</v>
      </c>
      <c r="D586" t="inlineStr">
        <is>
          <t>STOCKHOLMS LÄN</t>
        </is>
      </c>
      <c r="E586" t="inlineStr">
        <is>
          <t>NORRTÄLJE</t>
        </is>
      </c>
      <c r="G586" t="n">
        <v>0.2</v>
      </c>
      <c r="H586" t="n">
        <v>0</v>
      </c>
      <c r="I586" t="n">
        <v>0</v>
      </c>
      <c r="J586" t="n">
        <v>0</v>
      </c>
      <c r="K586" t="n">
        <v>0</v>
      </c>
      <c r="L586" t="n">
        <v>0</v>
      </c>
      <c r="M586" t="n">
        <v>0</v>
      </c>
      <c r="N586" t="n">
        <v>0</v>
      </c>
      <c r="O586" t="n">
        <v>0</v>
      </c>
      <c r="P586" t="n">
        <v>0</v>
      </c>
      <c r="Q586" t="n">
        <v>0</v>
      </c>
      <c r="R586" s="2" t="inlineStr"/>
    </row>
    <row r="587" ht="15" customHeight="1">
      <c r="A587" t="inlineStr">
        <is>
          <t>A 34792-2021</t>
        </is>
      </c>
      <c r="B587" s="1" t="n">
        <v>44383</v>
      </c>
      <c r="C587" s="1" t="n">
        <v>45755</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36246-2021</t>
        </is>
      </c>
      <c r="B588" s="1" t="n">
        <v>44390</v>
      </c>
      <c r="C588" s="1" t="n">
        <v>45755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36565-2021</t>
        </is>
      </c>
      <c r="B589" s="1" t="n">
        <v>44391</v>
      </c>
      <c r="C589" s="1" t="n">
        <v>45755</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37085-2021</t>
        </is>
      </c>
      <c r="B590" s="1" t="n">
        <v>44395</v>
      </c>
      <c r="C590" s="1" t="n">
        <v>45755</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37344-2021</t>
        </is>
      </c>
      <c r="B591" s="1" t="n">
        <v>44397</v>
      </c>
      <c r="C591" s="1" t="n">
        <v>45755</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37415-2021</t>
        </is>
      </c>
      <c r="B592" s="1" t="n">
        <v>44397</v>
      </c>
      <c r="C592" s="1" t="n">
        <v>45755</v>
      </c>
      <c r="D592" t="inlineStr">
        <is>
          <t>STOCKHOLMS LÄN</t>
        </is>
      </c>
      <c r="E592" t="inlineStr">
        <is>
          <t>NORRTÄLJE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37444-2021</t>
        </is>
      </c>
      <c r="B593" s="1" t="n">
        <v>44398</v>
      </c>
      <c r="C593" s="1" t="n">
        <v>45755</v>
      </c>
      <c r="D593" t="inlineStr">
        <is>
          <t>STOCKHOLMS LÄN</t>
        </is>
      </c>
      <c r="E593" t="inlineStr">
        <is>
          <t>NORRTÄLJE</t>
        </is>
      </c>
      <c r="F593" t="inlineStr">
        <is>
          <t>Holmen skog AB</t>
        </is>
      </c>
      <c r="G593" t="n">
        <v>3.2</v>
      </c>
      <c r="H593" t="n">
        <v>0</v>
      </c>
      <c r="I593" t="n">
        <v>0</v>
      </c>
      <c r="J593" t="n">
        <v>0</v>
      </c>
      <c r="K593" t="n">
        <v>0</v>
      </c>
      <c r="L593" t="n">
        <v>0</v>
      </c>
      <c r="M593" t="n">
        <v>0</v>
      </c>
      <c r="N593" t="n">
        <v>0</v>
      </c>
      <c r="O593" t="n">
        <v>0</v>
      </c>
      <c r="P593" t="n">
        <v>0</v>
      </c>
      <c r="Q593" t="n">
        <v>0</v>
      </c>
      <c r="R593" s="2" t="inlineStr"/>
    </row>
    <row r="594" ht="15" customHeight="1">
      <c r="A594" t="inlineStr">
        <is>
          <t>A 37462-2021</t>
        </is>
      </c>
      <c r="B594" s="1" t="n">
        <v>44398</v>
      </c>
      <c r="C594" s="1" t="n">
        <v>45755</v>
      </c>
      <c r="D594" t="inlineStr">
        <is>
          <t>STOCKHOLMS LÄN</t>
        </is>
      </c>
      <c r="E594" t="inlineStr">
        <is>
          <t>NORRTÄLJE</t>
        </is>
      </c>
      <c r="G594" t="n">
        <v>3.5</v>
      </c>
      <c r="H594" t="n">
        <v>0</v>
      </c>
      <c r="I594" t="n">
        <v>0</v>
      </c>
      <c r="J594" t="n">
        <v>0</v>
      </c>
      <c r="K594" t="n">
        <v>0</v>
      </c>
      <c r="L594" t="n">
        <v>0</v>
      </c>
      <c r="M594" t="n">
        <v>0</v>
      </c>
      <c r="N594" t="n">
        <v>0</v>
      </c>
      <c r="O594" t="n">
        <v>0</v>
      </c>
      <c r="P594" t="n">
        <v>0</v>
      </c>
      <c r="Q594" t="n">
        <v>0</v>
      </c>
      <c r="R594" s="2" t="inlineStr"/>
    </row>
    <row r="595" ht="15" customHeight="1">
      <c r="A595" t="inlineStr">
        <is>
          <t>A 37530-2021</t>
        </is>
      </c>
      <c r="B595" s="1" t="n">
        <v>44399</v>
      </c>
      <c r="C595" s="1" t="n">
        <v>45755</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37522-2021</t>
        </is>
      </c>
      <c r="B596" s="1" t="n">
        <v>44399</v>
      </c>
      <c r="C596" s="1" t="n">
        <v>45755</v>
      </c>
      <c r="D596" t="inlineStr">
        <is>
          <t>STOCKHOLMS LÄN</t>
        </is>
      </c>
      <c r="E596" t="inlineStr">
        <is>
          <t>NORRTÄLJE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37525-2021</t>
        </is>
      </c>
      <c r="B597" s="1" t="n">
        <v>44399</v>
      </c>
      <c r="C597" s="1" t="n">
        <v>45755</v>
      </c>
      <c r="D597" t="inlineStr">
        <is>
          <t>STOCKHOLMS LÄN</t>
        </is>
      </c>
      <c r="E597" t="inlineStr">
        <is>
          <t>NORRTÄLJE</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37712-2021</t>
        </is>
      </c>
      <c r="B598" s="1" t="n">
        <v>44400</v>
      </c>
      <c r="C598" s="1" t="n">
        <v>45755</v>
      </c>
      <c r="D598" t="inlineStr">
        <is>
          <t>STOCKHOLMS LÄN</t>
        </is>
      </c>
      <c r="E598" t="inlineStr">
        <is>
          <t>NORRTÄLJE</t>
        </is>
      </c>
      <c r="G598" t="n">
        <v>22.9</v>
      </c>
      <c r="H598" t="n">
        <v>0</v>
      </c>
      <c r="I598" t="n">
        <v>0</v>
      </c>
      <c r="J598" t="n">
        <v>0</v>
      </c>
      <c r="K598" t="n">
        <v>0</v>
      </c>
      <c r="L598" t="n">
        <v>0</v>
      </c>
      <c r="M598" t="n">
        <v>0</v>
      </c>
      <c r="N598" t="n">
        <v>0</v>
      </c>
      <c r="O598" t="n">
        <v>0</v>
      </c>
      <c r="P598" t="n">
        <v>0</v>
      </c>
      <c r="Q598" t="n">
        <v>0</v>
      </c>
      <c r="R598" s="2" t="inlineStr"/>
    </row>
    <row r="599" ht="15" customHeight="1">
      <c r="A599" t="inlineStr">
        <is>
          <t>A 37859-2021</t>
        </is>
      </c>
      <c r="B599" s="1" t="n">
        <v>44403</v>
      </c>
      <c r="C599" s="1" t="n">
        <v>45755</v>
      </c>
      <c r="D599" t="inlineStr">
        <is>
          <t>STOCKHOLMS LÄN</t>
        </is>
      </c>
      <c r="E599" t="inlineStr">
        <is>
          <t>NORRTÄLJE</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39157-2021</t>
        </is>
      </c>
      <c r="B600" s="1" t="n">
        <v>44412</v>
      </c>
      <c r="C600" s="1" t="n">
        <v>45755</v>
      </c>
      <c r="D600" t="inlineStr">
        <is>
          <t>STOCKHOLMS LÄN</t>
        </is>
      </c>
      <c r="E600" t="inlineStr">
        <is>
          <t>NORRTÄLJE</t>
        </is>
      </c>
      <c r="G600" t="n">
        <v>3.1</v>
      </c>
      <c r="H600" t="n">
        <v>0</v>
      </c>
      <c r="I600" t="n">
        <v>0</v>
      </c>
      <c r="J600" t="n">
        <v>0</v>
      </c>
      <c r="K600" t="n">
        <v>0</v>
      </c>
      <c r="L600" t="n">
        <v>0</v>
      </c>
      <c r="M600" t="n">
        <v>0</v>
      </c>
      <c r="N600" t="n">
        <v>0</v>
      </c>
      <c r="O600" t="n">
        <v>0</v>
      </c>
      <c r="P600" t="n">
        <v>0</v>
      </c>
      <c r="Q600" t="n">
        <v>0</v>
      </c>
      <c r="R600" s="2" t="inlineStr"/>
    </row>
    <row r="601" ht="15" customHeight="1">
      <c r="A601" t="inlineStr">
        <is>
          <t>A 39496-2021</t>
        </is>
      </c>
      <c r="B601" s="1" t="n">
        <v>44414</v>
      </c>
      <c r="C601" s="1" t="n">
        <v>45755</v>
      </c>
      <c r="D601" t="inlineStr">
        <is>
          <t>STOCKHOLMS LÄN</t>
        </is>
      </c>
      <c r="E601" t="inlineStr">
        <is>
          <t>NORRTÄLJE</t>
        </is>
      </c>
      <c r="G601" t="n">
        <v>4.6</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v>
      </c>
      <c r="C602" s="1" t="n">
        <v>45755</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40425-2021</t>
        </is>
      </c>
      <c r="B603" s="1" t="n">
        <v>44419</v>
      </c>
      <c r="C603" s="1" t="n">
        <v>45755</v>
      </c>
      <c r="D603" t="inlineStr">
        <is>
          <t>STOCKHOLMS LÄN</t>
        </is>
      </c>
      <c r="E603" t="inlineStr">
        <is>
          <t>NORRTÄLJE</t>
        </is>
      </c>
      <c r="G603" t="n">
        <v>5</v>
      </c>
      <c r="H603" t="n">
        <v>0</v>
      </c>
      <c r="I603" t="n">
        <v>0</v>
      </c>
      <c r="J603" t="n">
        <v>0</v>
      </c>
      <c r="K603" t="n">
        <v>0</v>
      </c>
      <c r="L603" t="n">
        <v>0</v>
      </c>
      <c r="M603" t="n">
        <v>0</v>
      </c>
      <c r="N603" t="n">
        <v>0</v>
      </c>
      <c r="O603" t="n">
        <v>0</v>
      </c>
      <c r="P603" t="n">
        <v>0</v>
      </c>
      <c r="Q603" t="n">
        <v>0</v>
      </c>
      <c r="R603" s="2" t="inlineStr"/>
    </row>
    <row r="604" ht="15" customHeight="1">
      <c r="A604" t="inlineStr">
        <is>
          <t>A 40542-2021</t>
        </is>
      </c>
      <c r="B604" s="1" t="n">
        <v>44420</v>
      </c>
      <c r="C604" s="1" t="n">
        <v>45755</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40546-2021</t>
        </is>
      </c>
      <c r="B605" s="1" t="n">
        <v>44420</v>
      </c>
      <c r="C605" s="1" t="n">
        <v>45755</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41595-2021</t>
        </is>
      </c>
      <c r="B606" s="1" t="n">
        <v>44425</v>
      </c>
      <c r="C606" s="1" t="n">
        <v>45755</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41823-2021</t>
        </is>
      </c>
      <c r="B607" s="1" t="n">
        <v>44425</v>
      </c>
      <c r="C607" s="1" t="n">
        <v>45755</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41822-2021</t>
        </is>
      </c>
      <c r="B608" s="1" t="n">
        <v>44425</v>
      </c>
      <c r="C608" s="1" t="n">
        <v>45755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42396-2021</t>
        </is>
      </c>
      <c r="B609" s="1" t="n">
        <v>44427</v>
      </c>
      <c r="C609" s="1" t="n">
        <v>45755</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43478-2021</t>
        </is>
      </c>
      <c r="B610" s="1" t="n">
        <v>44432</v>
      </c>
      <c r="C610" s="1" t="n">
        <v>45755</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44274-2021</t>
        </is>
      </c>
      <c r="B611" s="1" t="n">
        <v>44435</v>
      </c>
      <c r="C611" s="1" t="n">
        <v>45755</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47344-2021</t>
        </is>
      </c>
      <c r="B612" s="1" t="n">
        <v>44447</v>
      </c>
      <c r="C612" s="1" t="n">
        <v>45755</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47349-2021</t>
        </is>
      </c>
      <c r="B613" s="1" t="n">
        <v>44447</v>
      </c>
      <c r="C613" s="1" t="n">
        <v>45755</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47691-2021</t>
        </is>
      </c>
      <c r="B614" s="1" t="n">
        <v>44448</v>
      </c>
      <c r="C614" s="1" t="n">
        <v>45755</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48384-2021</t>
        </is>
      </c>
      <c r="B615" s="1" t="n">
        <v>44451</v>
      </c>
      <c r="C615" s="1" t="n">
        <v>45755</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48798-2021</t>
        </is>
      </c>
      <c r="B616" s="1" t="n">
        <v>44452</v>
      </c>
      <c r="C616" s="1" t="n">
        <v>45755</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48932-2021</t>
        </is>
      </c>
      <c r="B617" s="1" t="n">
        <v>44453</v>
      </c>
      <c r="C617" s="1" t="n">
        <v>45755</v>
      </c>
      <c r="D617" t="inlineStr">
        <is>
          <t>STOCKHOLMS LÄN</t>
        </is>
      </c>
      <c r="E617" t="inlineStr">
        <is>
          <t>NORRTÄLJE</t>
        </is>
      </c>
      <c r="G617" t="n">
        <v>11.2</v>
      </c>
      <c r="H617" t="n">
        <v>0</v>
      </c>
      <c r="I617" t="n">
        <v>0</v>
      </c>
      <c r="J617" t="n">
        <v>0</v>
      </c>
      <c r="K617" t="n">
        <v>0</v>
      </c>
      <c r="L617" t="n">
        <v>0</v>
      </c>
      <c r="M617" t="n">
        <v>0</v>
      </c>
      <c r="N617" t="n">
        <v>0</v>
      </c>
      <c r="O617" t="n">
        <v>0</v>
      </c>
      <c r="P617" t="n">
        <v>0</v>
      </c>
      <c r="Q617" t="n">
        <v>0</v>
      </c>
      <c r="R617" s="2" t="inlineStr"/>
    </row>
    <row r="618" ht="15" customHeight="1">
      <c r="A618" t="inlineStr">
        <is>
          <t>A 49113-2021</t>
        </is>
      </c>
      <c r="B618" s="1" t="n">
        <v>44453</v>
      </c>
      <c r="C618" s="1" t="n">
        <v>45755</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50038-2021</t>
        </is>
      </c>
      <c r="B619" s="1" t="n">
        <v>44456</v>
      </c>
      <c r="C619" s="1" t="n">
        <v>45755</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50108-2021</t>
        </is>
      </c>
      <c r="B620" s="1" t="n">
        <v>44456</v>
      </c>
      <c r="C620" s="1" t="n">
        <v>45755</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50252-2021</t>
        </is>
      </c>
      <c r="B621" s="1" t="n">
        <v>44458</v>
      </c>
      <c r="C621" s="1" t="n">
        <v>45755</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50602-2021</t>
        </is>
      </c>
      <c r="B622" s="1" t="n">
        <v>44459</v>
      </c>
      <c r="C622" s="1" t="n">
        <v>45755</v>
      </c>
      <c r="D622" t="inlineStr">
        <is>
          <t>STOCKHOLMS LÄN</t>
        </is>
      </c>
      <c r="E622" t="inlineStr">
        <is>
          <t>NORRTÄLJE</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51279-2021</t>
        </is>
      </c>
      <c r="B623" s="1" t="n">
        <v>44461</v>
      </c>
      <c r="C623" s="1" t="n">
        <v>45755</v>
      </c>
      <c r="D623" t="inlineStr">
        <is>
          <t>STOCKHOLMS LÄN</t>
        </is>
      </c>
      <c r="E623" t="inlineStr">
        <is>
          <t>NORRTÄLJE</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51315-2021</t>
        </is>
      </c>
      <c r="B624" s="1" t="n">
        <v>44461</v>
      </c>
      <c r="C624" s="1" t="n">
        <v>45755</v>
      </c>
      <c r="D624" t="inlineStr">
        <is>
          <t>STOCKHOLMS LÄN</t>
        </is>
      </c>
      <c r="E624" t="inlineStr">
        <is>
          <t>NORRTÄLJE</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52090-2021</t>
        </is>
      </c>
      <c r="B625" s="1" t="n">
        <v>44463</v>
      </c>
      <c r="C625" s="1" t="n">
        <v>45755</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52449-2021</t>
        </is>
      </c>
      <c r="B626" s="1" t="n">
        <v>44466</v>
      </c>
      <c r="C626" s="1" t="n">
        <v>45755</v>
      </c>
      <c r="D626" t="inlineStr">
        <is>
          <t>STOCKHOLMS LÄN</t>
        </is>
      </c>
      <c r="E626" t="inlineStr">
        <is>
          <t>NORRTÄLJE</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45755</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54273-2021</t>
        </is>
      </c>
      <c r="B628" s="1" t="n">
        <v>44470</v>
      </c>
      <c r="C628" s="1" t="n">
        <v>45755</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54272-2021</t>
        </is>
      </c>
      <c r="B629" s="1" t="n">
        <v>44470</v>
      </c>
      <c r="C629" s="1" t="n">
        <v>45755</v>
      </c>
      <c r="D629" t="inlineStr">
        <is>
          <t>STOCKHOLMS LÄN</t>
        </is>
      </c>
      <c r="E629" t="inlineStr">
        <is>
          <t>NORRTÄLJE</t>
        </is>
      </c>
      <c r="G629" t="n">
        <v>5.8</v>
      </c>
      <c r="H629" t="n">
        <v>0</v>
      </c>
      <c r="I629" t="n">
        <v>0</v>
      </c>
      <c r="J629" t="n">
        <v>0</v>
      </c>
      <c r="K629" t="n">
        <v>0</v>
      </c>
      <c r="L629" t="n">
        <v>0</v>
      </c>
      <c r="M629" t="n">
        <v>0</v>
      </c>
      <c r="N629" t="n">
        <v>0</v>
      </c>
      <c r="O629" t="n">
        <v>0</v>
      </c>
      <c r="P629" t="n">
        <v>0</v>
      </c>
      <c r="Q629" t="n">
        <v>0</v>
      </c>
      <c r="R629" s="2" t="inlineStr"/>
    </row>
    <row r="630" ht="15" customHeight="1">
      <c r="A630" t="inlineStr">
        <is>
          <t>A 54396-2021</t>
        </is>
      </c>
      <c r="B630" s="1" t="n">
        <v>44472</v>
      </c>
      <c r="C630" s="1" t="n">
        <v>45755</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55058-2021</t>
        </is>
      </c>
      <c r="B631" s="1" t="n">
        <v>44474</v>
      </c>
      <c r="C631" s="1" t="n">
        <v>45755</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56219-2021</t>
        </is>
      </c>
      <c r="B632" s="1" t="n">
        <v>44477</v>
      </c>
      <c r="C632" s="1" t="n">
        <v>45755</v>
      </c>
      <c r="D632" t="inlineStr">
        <is>
          <t>STOCKHOLMS LÄN</t>
        </is>
      </c>
      <c r="E632" t="inlineStr">
        <is>
          <t>NORRTÄLJE</t>
        </is>
      </c>
      <c r="F632" t="inlineStr">
        <is>
          <t>Kommuner</t>
        </is>
      </c>
      <c r="G632" t="n">
        <v>2.3</v>
      </c>
      <c r="H632" t="n">
        <v>0</v>
      </c>
      <c r="I632" t="n">
        <v>0</v>
      </c>
      <c r="J632" t="n">
        <v>0</v>
      </c>
      <c r="K632" t="n">
        <v>0</v>
      </c>
      <c r="L632" t="n">
        <v>0</v>
      </c>
      <c r="M632" t="n">
        <v>0</v>
      </c>
      <c r="N632" t="n">
        <v>0</v>
      </c>
      <c r="O632" t="n">
        <v>0</v>
      </c>
      <c r="P632" t="n">
        <v>0</v>
      </c>
      <c r="Q632" t="n">
        <v>0</v>
      </c>
      <c r="R632" s="2" t="inlineStr"/>
    </row>
    <row r="633" ht="15" customHeight="1">
      <c r="A633" t="inlineStr">
        <is>
          <t>A 56225-2021</t>
        </is>
      </c>
      <c r="B633" s="1" t="n">
        <v>44478</v>
      </c>
      <c r="C633" s="1" t="n">
        <v>45755</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56878-2021</t>
        </is>
      </c>
      <c r="B634" s="1" t="n">
        <v>44481</v>
      </c>
      <c r="C634" s="1" t="n">
        <v>45755</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57442-2021</t>
        </is>
      </c>
      <c r="B635" s="1" t="n">
        <v>44483</v>
      </c>
      <c r="C635" s="1" t="n">
        <v>45755</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57507-2021</t>
        </is>
      </c>
      <c r="B636" s="1" t="n">
        <v>44483</v>
      </c>
      <c r="C636" s="1" t="n">
        <v>45755</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58989-2021</t>
        </is>
      </c>
      <c r="B637" s="1" t="n">
        <v>44490</v>
      </c>
      <c r="C637" s="1" t="n">
        <v>45755</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58990-2021</t>
        </is>
      </c>
      <c r="B638" s="1" t="n">
        <v>44490</v>
      </c>
      <c r="C638" s="1" t="n">
        <v>45755</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60217-2021</t>
        </is>
      </c>
      <c r="B639" s="1" t="n">
        <v>44495</v>
      </c>
      <c r="C639" s="1" t="n">
        <v>45755</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60184-2021</t>
        </is>
      </c>
      <c r="B640" s="1" t="n">
        <v>44495</v>
      </c>
      <c r="C640" s="1" t="n">
        <v>45755</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60186-2021</t>
        </is>
      </c>
      <c r="B641" s="1" t="n">
        <v>44495</v>
      </c>
      <c r="C641" s="1" t="n">
        <v>45755</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60209-2021</t>
        </is>
      </c>
      <c r="B642" s="1" t="n">
        <v>44495</v>
      </c>
      <c r="C642" s="1" t="n">
        <v>45755</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60671-2021</t>
        </is>
      </c>
      <c r="B643" s="1" t="n">
        <v>44496</v>
      </c>
      <c r="C643" s="1" t="n">
        <v>45755</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60733-2021</t>
        </is>
      </c>
      <c r="B644" s="1" t="n">
        <v>44496</v>
      </c>
      <c r="C644" s="1" t="n">
        <v>45755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60813-2021</t>
        </is>
      </c>
      <c r="B645" s="1" t="n">
        <v>44496</v>
      </c>
      <c r="C645" s="1" t="n">
        <v>45755</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60822-2021</t>
        </is>
      </c>
      <c r="B646" s="1" t="n">
        <v>44496</v>
      </c>
      <c r="C646" s="1" t="n">
        <v>45755</v>
      </c>
      <c r="D646" t="inlineStr">
        <is>
          <t>STOCKHOLMS LÄN</t>
        </is>
      </c>
      <c r="E646" t="inlineStr">
        <is>
          <t>NORRTÄLJE</t>
        </is>
      </c>
      <c r="G646" t="n">
        <v>7.6</v>
      </c>
      <c r="H646" t="n">
        <v>0</v>
      </c>
      <c r="I646" t="n">
        <v>0</v>
      </c>
      <c r="J646" t="n">
        <v>0</v>
      </c>
      <c r="K646" t="n">
        <v>0</v>
      </c>
      <c r="L646" t="n">
        <v>0</v>
      </c>
      <c r="M646" t="n">
        <v>0</v>
      </c>
      <c r="N646" t="n">
        <v>0</v>
      </c>
      <c r="O646" t="n">
        <v>0</v>
      </c>
      <c r="P646" t="n">
        <v>0</v>
      </c>
      <c r="Q646" t="n">
        <v>0</v>
      </c>
      <c r="R646" s="2" t="inlineStr"/>
    </row>
    <row r="647" ht="15" customHeight="1">
      <c r="A647" t="inlineStr">
        <is>
          <t>A 62030-2021</t>
        </is>
      </c>
      <c r="B647" s="1" t="n">
        <v>44502</v>
      </c>
      <c r="C647" s="1" t="n">
        <v>45755</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63530-2021</t>
        </is>
      </c>
      <c r="B648" s="1" t="n">
        <v>44508</v>
      </c>
      <c r="C648" s="1" t="n">
        <v>45755</v>
      </c>
      <c r="D648" t="inlineStr">
        <is>
          <t>STOCKHOLMS LÄN</t>
        </is>
      </c>
      <c r="E648" t="inlineStr">
        <is>
          <t>NORRTÄLJE</t>
        </is>
      </c>
      <c r="G648" t="n">
        <v>8.9</v>
      </c>
      <c r="H648" t="n">
        <v>0</v>
      </c>
      <c r="I648" t="n">
        <v>0</v>
      </c>
      <c r="J648" t="n">
        <v>0</v>
      </c>
      <c r="K648" t="n">
        <v>0</v>
      </c>
      <c r="L648" t="n">
        <v>0</v>
      </c>
      <c r="M648" t="n">
        <v>0</v>
      </c>
      <c r="N648" t="n">
        <v>0</v>
      </c>
      <c r="O648" t="n">
        <v>0</v>
      </c>
      <c r="P648" t="n">
        <v>0</v>
      </c>
      <c r="Q648" t="n">
        <v>0</v>
      </c>
      <c r="R648" s="2" t="inlineStr"/>
    </row>
    <row r="649" ht="15" customHeight="1">
      <c r="A649" t="inlineStr">
        <is>
          <t>A 64137-2021</t>
        </is>
      </c>
      <c r="B649" s="1" t="n">
        <v>44510</v>
      </c>
      <c r="C649" s="1" t="n">
        <v>45755</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64212-2021</t>
        </is>
      </c>
      <c r="B650" s="1" t="n">
        <v>44510</v>
      </c>
      <c r="C650" s="1" t="n">
        <v>45755</v>
      </c>
      <c r="D650" t="inlineStr">
        <is>
          <t>STOCKHOLMS LÄN</t>
        </is>
      </c>
      <c r="E650" t="inlineStr">
        <is>
          <t>NORRTÄLJE</t>
        </is>
      </c>
      <c r="G650" t="n">
        <v>28.7</v>
      </c>
      <c r="H650" t="n">
        <v>0</v>
      </c>
      <c r="I650" t="n">
        <v>0</v>
      </c>
      <c r="J650" t="n">
        <v>0</v>
      </c>
      <c r="K650" t="n">
        <v>0</v>
      </c>
      <c r="L650" t="n">
        <v>0</v>
      </c>
      <c r="M650" t="n">
        <v>0</v>
      </c>
      <c r="N650" t="n">
        <v>0</v>
      </c>
      <c r="O650" t="n">
        <v>0</v>
      </c>
      <c r="P650" t="n">
        <v>0</v>
      </c>
      <c r="Q650" t="n">
        <v>0</v>
      </c>
      <c r="R650" s="2" t="inlineStr"/>
    </row>
    <row r="651" ht="15" customHeight="1">
      <c r="A651" t="inlineStr">
        <is>
          <t>A 64074-2021</t>
        </is>
      </c>
      <c r="B651" s="1" t="n">
        <v>44510</v>
      </c>
      <c r="C651" s="1" t="n">
        <v>45755</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64145-2021</t>
        </is>
      </c>
      <c r="B652" s="1" t="n">
        <v>44510</v>
      </c>
      <c r="C652" s="1" t="n">
        <v>45755</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64600-2021</t>
        </is>
      </c>
      <c r="B653" s="1" t="n">
        <v>44511</v>
      </c>
      <c r="C653" s="1" t="n">
        <v>45755</v>
      </c>
      <c r="D653" t="inlineStr">
        <is>
          <t>STOCKHOLMS LÄN</t>
        </is>
      </c>
      <c r="E653" t="inlineStr">
        <is>
          <t>NORRTÄLJE</t>
        </is>
      </c>
      <c r="G653" t="n">
        <v>6.2</v>
      </c>
      <c r="H653" t="n">
        <v>0</v>
      </c>
      <c r="I653" t="n">
        <v>0</v>
      </c>
      <c r="J653" t="n">
        <v>0</v>
      </c>
      <c r="K653" t="n">
        <v>0</v>
      </c>
      <c r="L653" t="n">
        <v>0</v>
      </c>
      <c r="M653" t="n">
        <v>0</v>
      </c>
      <c r="N653" t="n">
        <v>0</v>
      </c>
      <c r="O653" t="n">
        <v>0</v>
      </c>
      <c r="P653" t="n">
        <v>0</v>
      </c>
      <c r="Q653" t="n">
        <v>0</v>
      </c>
      <c r="R653" s="2" t="inlineStr"/>
    </row>
    <row r="654" ht="15" customHeight="1">
      <c r="A654" t="inlineStr">
        <is>
          <t>A 64599-2021</t>
        </is>
      </c>
      <c r="B654" s="1" t="n">
        <v>44511</v>
      </c>
      <c r="C654" s="1" t="n">
        <v>45755</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64628-2021</t>
        </is>
      </c>
      <c r="B655" s="1" t="n">
        <v>44511</v>
      </c>
      <c r="C655" s="1" t="n">
        <v>45755</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64915-2021</t>
        </is>
      </c>
      <c r="B656" s="1" t="n">
        <v>44512</v>
      </c>
      <c r="C656" s="1" t="n">
        <v>45755</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65359-2021</t>
        </is>
      </c>
      <c r="B657" s="1" t="n">
        <v>44515</v>
      </c>
      <c r="C657" s="1" t="n">
        <v>45755</v>
      </c>
      <c r="D657" t="inlineStr">
        <is>
          <t>STOCKHOLMS LÄN</t>
        </is>
      </c>
      <c r="E657" t="inlineStr">
        <is>
          <t>NORRTÄLJE</t>
        </is>
      </c>
      <c r="F657" t="inlineStr">
        <is>
          <t>Kyrkan</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65499-2021</t>
        </is>
      </c>
      <c r="B658" s="1" t="n">
        <v>44516</v>
      </c>
      <c r="C658" s="1" t="n">
        <v>45755</v>
      </c>
      <c r="D658" t="inlineStr">
        <is>
          <t>STOCKHOLMS LÄN</t>
        </is>
      </c>
      <c r="E658" t="inlineStr">
        <is>
          <t>NORRTÄLJE</t>
        </is>
      </c>
      <c r="F658" t="inlineStr">
        <is>
          <t>Kommuner</t>
        </is>
      </c>
      <c r="G658" t="n">
        <v>5.2</v>
      </c>
      <c r="H658" t="n">
        <v>0</v>
      </c>
      <c r="I658" t="n">
        <v>0</v>
      </c>
      <c r="J658" t="n">
        <v>0</v>
      </c>
      <c r="K658" t="n">
        <v>0</v>
      </c>
      <c r="L658" t="n">
        <v>0</v>
      </c>
      <c r="M658" t="n">
        <v>0</v>
      </c>
      <c r="N658" t="n">
        <v>0</v>
      </c>
      <c r="O658" t="n">
        <v>0</v>
      </c>
      <c r="P658" t="n">
        <v>0</v>
      </c>
      <c r="Q658" t="n">
        <v>0</v>
      </c>
      <c r="R658" s="2" t="inlineStr"/>
    </row>
    <row r="659" ht="15" customHeight="1">
      <c r="A659" t="inlineStr">
        <is>
          <t>A 65513-2021</t>
        </is>
      </c>
      <c r="B659" s="1" t="n">
        <v>44516</v>
      </c>
      <c r="C659" s="1" t="n">
        <v>45755</v>
      </c>
      <c r="D659" t="inlineStr">
        <is>
          <t>STOCKHOLMS LÄN</t>
        </is>
      </c>
      <c r="E659" t="inlineStr">
        <is>
          <t>NORRTÄLJE</t>
        </is>
      </c>
      <c r="G659" t="n">
        <v>1.5</v>
      </c>
      <c r="H659" t="n">
        <v>0</v>
      </c>
      <c r="I659" t="n">
        <v>0</v>
      </c>
      <c r="J659" t="n">
        <v>0</v>
      </c>
      <c r="K659" t="n">
        <v>0</v>
      </c>
      <c r="L659" t="n">
        <v>0</v>
      </c>
      <c r="M659" t="n">
        <v>0</v>
      </c>
      <c r="N659" t="n">
        <v>0</v>
      </c>
      <c r="O659" t="n">
        <v>0</v>
      </c>
      <c r="P659" t="n">
        <v>0</v>
      </c>
      <c r="Q659" t="n">
        <v>0</v>
      </c>
      <c r="R659" s="2" t="inlineStr"/>
    </row>
    <row r="660" ht="15" customHeight="1">
      <c r="A660" t="inlineStr">
        <is>
          <t>A 65511-2021</t>
        </is>
      </c>
      <c r="B660" s="1" t="n">
        <v>44516</v>
      </c>
      <c r="C660" s="1" t="n">
        <v>45755</v>
      </c>
      <c r="D660" t="inlineStr">
        <is>
          <t>STOCKHOLMS LÄN</t>
        </is>
      </c>
      <c r="E660" t="inlineStr">
        <is>
          <t>NORRTÄLJE</t>
        </is>
      </c>
      <c r="F660" t="inlineStr">
        <is>
          <t>Kommuner</t>
        </is>
      </c>
      <c r="G660" t="n">
        <v>2.8</v>
      </c>
      <c r="H660" t="n">
        <v>0</v>
      </c>
      <c r="I660" t="n">
        <v>0</v>
      </c>
      <c r="J660" t="n">
        <v>0</v>
      </c>
      <c r="K660" t="n">
        <v>0</v>
      </c>
      <c r="L660" t="n">
        <v>0</v>
      </c>
      <c r="M660" t="n">
        <v>0</v>
      </c>
      <c r="N660" t="n">
        <v>0</v>
      </c>
      <c r="O660" t="n">
        <v>0</v>
      </c>
      <c r="P660" t="n">
        <v>0</v>
      </c>
      <c r="Q660" t="n">
        <v>0</v>
      </c>
      <c r="R660" s="2" t="inlineStr"/>
    </row>
    <row r="661" ht="15" customHeight="1">
      <c r="A661" t="inlineStr">
        <is>
          <t>A 65501-2021</t>
        </is>
      </c>
      <c r="B661" s="1" t="n">
        <v>44516</v>
      </c>
      <c r="C661" s="1" t="n">
        <v>45755</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65509-2021</t>
        </is>
      </c>
      <c r="B662" s="1" t="n">
        <v>44516</v>
      </c>
      <c r="C662" s="1" t="n">
        <v>45755</v>
      </c>
      <c r="D662" t="inlineStr">
        <is>
          <t>STOCKHOLMS LÄN</t>
        </is>
      </c>
      <c r="E662" t="inlineStr">
        <is>
          <t>NORRTÄLJE</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65611-2021</t>
        </is>
      </c>
      <c r="B663" s="1" t="n">
        <v>44516</v>
      </c>
      <c r="C663" s="1" t="n">
        <v>45755</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65737-2021</t>
        </is>
      </c>
      <c r="B664" s="1" t="n">
        <v>44516</v>
      </c>
      <c r="C664" s="1" t="n">
        <v>45755</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66450-2021</t>
        </is>
      </c>
      <c r="B665" s="1" t="n">
        <v>44518</v>
      </c>
      <c r="C665" s="1" t="n">
        <v>45755</v>
      </c>
      <c r="D665" t="inlineStr">
        <is>
          <t>STOCKHOLMS LÄN</t>
        </is>
      </c>
      <c r="E665" t="inlineStr">
        <is>
          <t>NORRTÄLJE</t>
        </is>
      </c>
      <c r="G665" t="n">
        <v>9.1</v>
      </c>
      <c r="H665" t="n">
        <v>0</v>
      </c>
      <c r="I665" t="n">
        <v>0</v>
      </c>
      <c r="J665" t="n">
        <v>0</v>
      </c>
      <c r="K665" t="n">
        <v>0</v>
      </c>
      <c r="L665" t="n">
        <v>0</v>
      </c>
      <c r="M665" t="n">
        <v>0</v>
      </c>
      <c r="N665" t="n">
        <v>0</v>
      </c>
      <c r="O665" t="n">
        <v>0</v>
      </c>
      <c r="P665" t="n">
        <v>0</v>
      </c>
      <c r="Q665" t="n">
        <v>0</v>
      </c>
      <c r="R665" s="2" t="inlineStr"/>
    </row>
    <row r="666" ht="15" customHeight="1">
      <c r="A666" t="inlineStr">
        <is>
          <t>A 66608-2021</t>
        </is>
      </c>
      <c r="B666" s="1" t="n">
        <v>44519</v>
      </c>
      <c r="C666" s="1" t="n">
        <v>45755</v>
      </c>
      <c r="D666" t="inlineStr">
        <is>
          <t>STOCKHOLMS LÄN</t>
        </is>
      </c>
      <c r="E666" t="inlineStr">
        <is>
          <t>NORRTÄLJE</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66592-2021</t>
        </is>
      </c>
      <c r="B667" s="1" t="n">
        <v>44519</v>
      </c>
      <c r="C667" s="1" t="n">
        <v>45755</v>
      </c>
      <c r="D667" t="inlineStr">
        <is>
          <t>STOCKHOLMS LÄN</t>
        </is>
      </c>
      <c r="E667" t="inlineStr">
        <is>
          <t>NORRTÄLJE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66769-2021</t>
        </is>
      </c>
      <c r="B668" s="1" t="n">
        <v>44521</v>
      </c>
      <c r="C668" s="1" t="n">
        <v>45755</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67285-2021</t>
        </is>
      </c>
      <c r="B669" s="1" t="n">
        <v>44523</v>
      </c>
      <c r="C669" s="1" t="n">
        <v>45755</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67525-2021</t>
        </is>
      </c>
      <c r="B670" s="1" t="n">
        <v>44524</v>
      </c>
      <c r="C670" s="1" t="n">
        <v>45755</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67598-2021</t>
        </is>
      </c>
      <c r="B671" s="1" t="n">
        <v>44524</v>
      </c>
      <c r="C671" s="1" t="n">
        <v>45755</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67921-2021</t>
        </is>
      </c>
      <c r="B672" s="1" t="n">
        <v>44525</v>
      </c>
      <c r="C672" s="1" t="n">
        <v>45755</v>
      </c>
      <c r="D672" t="inlineStr">
        <is>
          <t>STOCKHOLMS LÄN</t>
        </is>
      </c>
      <c r="E672" t="inlineStr">
        <is>
          <t>NORRTÄLJE</t>
        </is>
      </c>
      <c r="G672" t="n">
        <v>6.3</v>
      </c>
      <c r="H672" t="n">
        <v>0</v>
      </c>
      <c r="I672" t="n">
        <v>0</v>
      </c>
      <c r="J672" t="n">
        <v>0</v>
      </c>
      <c r="K672" t="n">
        <v>0</v>
      </c>
      <c r="L672" t="n">
        <v>0</v>
      </c>
      <c r="M672" t="n">
        <v>0</v>
      </c>
      <c r="N672" t="n">
        <v>0</v>
      </c>
      <c r="O672" t="n">
        <v>0</v>
      </c>
      <c r="P672" t="n">
        <v>0</v>
      </c>
      <c r="Q672" t="n">
        <v>0</v>
      </c>
      <c r="R672" s="2" t="inlineStr"/>
    </row>
    <row r="673" ht="15" customHeight="1">
      <c r="A673" t="inlineStr">
        <is>
          <t>A 67990-2021</t>
        </is>
      </c>
      <c r="B673" s="1" t="n">
        <v>44525</v>
      </c>
      <c r="C673" s="1" t="n">
        <v>45755</v>
      </c>
      <c r="D673" t="inlineStr">
        <is>
          <t>STOCKHOLMS LÄN</t>
        </is>
      </c>
      <c r="E673" t="inlineStr">
        <is>
          <t>NORRTÄLJE</t>
        </is>
      </c>
      <c r="F673" t="inlineStr">
        <is>
          <t>Sveaskog</t>
        </is>
      </c>
      <c r="G673" t="n">
        <v>7.8</v>
      </c>
      <c r="H673" t="n">
        <v>0</v>
      </c>
      <c r="I673" t="n">
        <v>0</v>
      </c>
      <c r="J673" t="n">
        <v>0</v>
      </c>
      <c r="K673" t="n">
        <v>0</v>
      </c>
      <c r="L673" t="n">
        <v>0</v>
      </c>
      <c r="M673" t="n">
        <v>0</v>
      </c>
      <c r="N673" t="n">
        <v>0</v>
      </c>
      <c r="O673" t="n">
        <v>0</v>
      </c>
      <c r="P673" t="n">
        <v>0</v>
      </c>
      <c r="Q673" t="n">
        <v>0</v>
      </c>
      <c r="R673" s="2" t="inlineStr"/>
    </row>
    <row r="674" ht="15" customHeight="1">
      <c r="A674" t="inlineStr">
        <is>
          <t>A 67992-2021</t>
        </is>
      </c>
      <c r="B674" s="1" t="n">
        <v>44525</v>
      </c>
      <c r="C674" s="1" t="n">
        <v>45755</v>
      </c>
      <c r="D674" t="inlineStr">
        <is>
          <t>STOCKHOLMS LÄN</t>
        </is>
      </c>
      <c r="E674" t="inlineStr">
        <is>
          <t>NORRTÄLJE</t>
        </is>
      </c>
      <c r="F674" t="inlineStr">
        <is>
          <t>Sveaskog</t>
        </is>
      </c>
      <c r="G674" t="n">
        <v>4.6</v>
      </c>
      <c r="H674" t="n">
        <v>0</v>
      </c>
      <c r="I674" t="n">
        <v>0</v>
      </c>
      <c r="J674" t="n">
        <v>0</v>
      </c>
      <c r="K674" t="n">
        <v>0</v>
      </c>
      <c r="L674" t="n">
        <v>0</v>
      </c>
      <c r="M674" t="n">
        <v>0</v>
      </c>
      <c r="N674" t="n">
        <v>0</v>
      </c>
      <c r="O674" t="n">
        <v>0</v>
      </c>
      <c r="P674" t="n">
        <v>0</v>
      </c>
      <c r="Q674" t="n">
        <v>0</v>
      </c>
      <c r="R674" s="2" t="inlineStr"/>
    </row>
    <row r="675" ht="15" customHeight="1">
      <c r="A675" t="inlineStr">
        <is>
          <t>A 67993-2021</t>
        </is>
      </c>
      <c r="B675" s="1" t="n">
        <v>44525</v>
      </c>
      <c r="C675" s="1" t="n">
        <v>45755</v>
      </c>
      <c r="D675" t="inlineStr">
        <is>
          <t>STOCKHOLMS LÄN</t>
        </is>
      </c>
      <c r="E675" t="inlineStr">
        <is>
          <t>NORRTÄLJE</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68273-2021</t>
        </is>
      </c>
      <c r="B676" s="1" t="n">
        <v>44526</v>
      </c>
      <c r="C676" s="1" t="n">
        <v>45755</v>
      </c>
      <c r="D676" t="inlineStr">
        <is>
          <t>STOCKHOLMS LÄN</t>
        </is>
      </c>
      <c r="E676" t="inlineStr">
        <is>
          <t>NORRTÄLJE</t>
        </is>
      </c>
      <c r="G676" t="n">
        <v>5.3</v>
      </c>
      <c r="H676" t="n">
        <v>0</v>
      </c>
      <c r="I676" t="n">
        <v>0</v>
      </c>
      <c r="J676" t="n">
        <v>0</v>
      </c>
      <c r="K676" t="n">
        <v>0</v>
      </c>
      <c r="L676" t="n">
        <v>0</v>
      </c>
      <c r="M676" t="n">
        <v>0</v>
      </c>
      <c r="N676" t="n">
        <v>0</v>
      </c>
      <c r="O676" t="n">
        <v>0</v>
      </c>
      <c r="P676" t="n">
        <v>0</v>
      </c>
      <c r="Q676" t="n">
        <v>0</v>
      </c>
      <c r="R676" s="2" t="inlineStr"/>
    </row>
    <row r="677" ht="15" customHeight="1">
      <c r="A677" t="inlineStr">
        <is>
          <t>A 68361-2021</t>
        </is>
      </c>
      <c r="B677" s="1" t="n">
        <v>44528</v>
      </c>
      <c r="C677" s="1" t="n">
        <v>45755</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69034-2021</t>
        </is>
      </c>
      <c r="B678" s="1" t="n">
        <v>44529</v>
      </c>
      <c r="C678" s="1" t="n">
        <v>45755</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69539-2021</t>
        </is>
      </c>
      <c r="B679" s="1" t="n">
        <v>44531</v>
      </c>
      <c r="C679" s="1" t="n">
        <v>45755</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69723-2021</t>
        </is>
      </c>
      <c r="B680" s="1" t="n">
        <v>44532</v>
      </c>
      <c r="C680" s="1" t="n">
        <v>45755</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69816-2021</t>
        </is>
      </c>
      <c r="B681" s="1" t="n">
        <v>44532</v>
      </c>
      <c r="C681" s="1" t="n">
        <v>45755</v>
      </c>
      <c r="D681" t="inlineStr">
        <is>
          <t>STOCKHOLMS LÄN</t>
        </is>
      </c>
      <c r="E681" t="inlineStr">
        <is>
          <t>NORRTÄLJE</t>
        </is>
      </c>
      <c r="G681" t="n">
        <v>4.9</v>
      </c>
      <c r="H681" t="n">
        <v>0</v>
      </c>
      <c r="I681" t="n">
        <v>0</v>
      </c>
      <c r="J681" t="n">
        <v>0</v>
      </c>
      <c r="K681" t="n">
        <v>0</v>
      </c>
      <c r="L681" t="n">
        <v>0</v>
      </c>
      <c r="M681" t="n">
        <v>0</v>
      </c>
      <c r="N681" t="n">
        <v>0</v>
      </c>
      <c r="O681" t="n">
        <v>0</v>
      </c>
      <c r="P681" t="n">
        <v>0</v>
      </c>
      <c r="Q681" t="n">
        <v>0</v>
      </c>
      <c r="R681" s="2" t="inlineStr"/>
    </row>
    <row r="682" ht="15" customHeight="1">
      <c r="A682" t="inlineStr">
        <is>
          <t>A 70170-2021</t>
        </is>
      </c>
      <c r="B682" s="1" t="n">
        <v>44533</v>
      </c>
      <c r="C682" s="1" t="n">
        <v>45755</v>
      </c>
      <c r="D682" t="inlineStr">
        <is>
          <t>STOCKHOLMS LÄN</t>
        </is>
      </c>
      <c r="E682" t="inlineStr">
        <is>
          <t>NORRTÄLJE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69988-2021</t>
        </is>
      </c>
      <c r="B683" s="1" t="n">
        <v>44533</v>
      </c>
      <c r="C683" s="1" t="n">
        <v>45755</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70469-2021</t>
        </is>
      </c>
      <c r="B684" s="1" t="n">
        <v>44536</v>
      </c>
      <c r="C684" s="1" t="n">
        <v>45755</v>
      </c>
      <c r="D684" t="inlineStr">
        <is>
          <t>STOCKHOLMS LÄN</t>
        </is>
      </c>
      <c r="E684" t="inlineStr">
        <is>
          <t>NORRTÄLJE</t>
        </is>
      </c>
      <c r="F684" t="inlineStr">
        <is>
          <t>Holmen skog AB</t>
        </is>
      </c>
      <c r="G684" t="n">
        <v>2.5</v>
      </c>
      <c r="H684" t="n">
        <v>0</v>
      </c>
      <c r="I684" t="n">
        <v>0</v>
      </c>
      <c r="J684" t="n">
        <v>0</v>
      </c>
      <c r="K684" t="n">
        <v>0</v>
      </c>
      <c r="L684" t="n">
        <v>0</v>
      </c>
      <c r="M684" t="n">
        <v>0</v>
      </c>
      <c r="N684" t="n">
        <v>0</v>
      </c>
      <c r="O684" t="n">
        <v>0</v>
      </c>
      <c r="P684" t="n">
        <v>0</v>
      </c>
      <c r="Q684" t="n">
        <v>0</v>
      </c>
      <c r="R684" s="2" t="inlineStr"/>
    </row>
    <row r="685" ht="15" customHeight="1">
      <c r="A685" t="inlineStr">
        <is>
          <t>A 71325-2021</t>
        </is>
      </c>
      <c r="B685" s="1" t="n">
        <v>44539</v>
      </c>
      <c r="C685" s="1" t="n">
        <v>45755</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71552-2021</t>
        </is>
      </c>
      <c r="B686" s="1" t="n">
        <v>44540</v>
      </c>
      <c r="C686" s="1" t="n">
        <v>45755</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71479-2021</t>
        </is>
      </c>
      <c r="B687" s="1" t="n">
        <v>44540</v>
      </c>
      <c r="C687" s="1" t="n">
        <v>45755</v>
      </c>
      <c r="D687" t="inlineStr">
        <is>
          <t>STOCKHOLMS LÄN</t>
        </is>
      </c>
      <c r="E687" t="inlineStr">
        <is>
          <t>NORRTÄLJE</t>
        </is>
      </c>
      <c r="G687" t="n">
        <v>3</v>
      </c>
      <c r="H687" t="n">
        <v>0</v>
      </c>
      <c r="I687" t="n">
        <v>0</v>
      </c>
      <c r="J687" t="n">
        <v>0</v>
      </c>
      <c r="K687" t="n">
        <v>0</v>
      </c>
      <c r="L687" t="n">
        <v>0</v>
      </c>
      <c r="M687" t="n">
        <v>0</v>
      </c>
      <c r="N687" t="n">
        <v>0</v>
      </c>
      <c r="O687" t="n">
        <v>0</v>
      </c>
      <c r="P687" t="n">
        <v>0</v>
      </c>
      <c r="Q687" t="n">
        <v>0</v>
      </c>
      <c r="R687" s="2" t="inlineStr"/>
    </row>
    <row r="688" ht="15" customHeight="1">
      <c r="A688" t="inlineStr">
        <is>
          <t>A 71543-2021</t>
        </is>
      </c>
      <c r="B688" s="1" t="n">
        <v>44540</v>
      </c>
      <c r="C688" s="1" t="n">
        <v>45755</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71873-2021</t>
        </is>
      </c>
      <c r="B689" s="1" t="n">
        <v>44543</v>
      </c>
      <c r="C689" s="1" t="n">
        <v>45755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71876-2021</t>
        </is>
      </c>
      <c r="B690" s="1" t="n">
        <v>44543</v>
      </c>
      <c r="C690" s="1" t="n">
        <v>45755</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71880-2021</t>
        </is>
      </c>
      <c r="B691" s="1" t="n">
        <v>44543</v>
      </c>
      <c r="C691" s="1" t="n">
        <v>45755</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71871-2021</t>
        </is>
      </c>
      <c r="B692" s="1" t="n">
        <v>44543</v>
      </c>
      <c r="C692" s="1" t="n">
        <v>45755</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71878-2021</t>
        </is>
      </c>
      <c r="B693" s="1" t="n">
        <v>44543</v>
      </c>
      <c r="C693" s="1" t="n">
        <v>45755</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72085-2021</t>
        </is>
      </c>
      <c r="B694" s="1" t="n">
        <v>44544</v>
      </c>
      <c r="C694" s="1" t="n">
        <v>45755</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72202-2021</t>
        </is>
      </c>
      <c r="B695" s="1" t="n">
        <v>44544</v>
      </c>
      <c r="C695" s="1" t="n">
        <v>45755</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72308-2021</t>
        </is>
      </c>
      <c r="B696" s="1" t="n">
        <v>44545</v>
      </c>
      <c r="C696" s="1" t="n">
        <v>45755</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72343-2021</t>
        </is>
      </c>
      <c r="B697" s="1" t="n">
        <v>44545</v>
      </c>
      <c r="C697" s="1" t="n">
        <v>45755</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72357-2021</t>
        </is>
      </c>
      <c r="B698" s="1" t="n">
        <v>44545</v>
      </c>
      <c r="C698" s="1" t="n">
        <v>45755</v>
      </c>
      <c r="D698" t="inlineStr">
        <is>
          <t>STOCKHOLMS LÄN</t>
        </is>
      </c>
      <c r="E698" t="inlineStr">
        <is>
          <t>NORRTÄLJE</t>
        </is>
      </c>
      <c r="G698" t="n">
        <v>5.1</v>
      </c>
      <c r="H698" t="n">
        <v>0</v>
      </c>
      <c r="I698" t="n">
        <v>0</v>
      </c>
      <c r="J698" t="n">
        <v>0</v>
      </c>
      <c r="K698" t="n">
        <v>0</v>
      </c>
      <c r="L698" t="n">
        <v>0</v>
      </c>
      <c r="M698" t="n">
        <v>0</v>
      </c>
      <c r="N698" t="n">
        <v>0</v>
      </c>
      <c r="O698" t="n">
        <v>0</v>
      </c>
      <c r="P698" t="n">
        <v>0</v>
      </c>
      <c r="Q698" t="n">
        <v>0</v>
      </c>
      <c r="R698" s="2" t="inlineStr"/>
    </row>
    <row r="699" ht="15" customHeight="1">
      <c r="A699" t="inlineStr">
        <is>
          <t>A 72355-2021</t>
        </is>
      </c>
      <c r="B699" s="1" t="n">
        <v>44545</v>
      </c>
      <c r="C699" s="1" t="n">
        <v>45755</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72353-2021</t>
        </is>
      </c>
      <c r="B700" s="1" t="n">
        <v>44545</v>
      </c>
      <c r="C700" s="1" t="n">
        <v>45755</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72747-2021</t>
        </is>
      </c>
      <c r="B701" s="1" t="n">
        <v>44546</v>
      </c>
      <c r="C701" s="1" t="n">
        <v>45755</v>
      </c>
      <c r="D701" t="inlineStr">
        <is>
          <t>STOCKHOLMS LÄN</t>
        </is>
      </c>
      <c r="E701" t="inlineStr">
        <is>
          <t>NORRTÄLJE</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72704-2021</t>
        </is>
      </c>
      <c r="B702" s="1" t="n">
        <v>44546</v>
      </c>
      <c r="C702" s="1" t="n">
        <v>45755</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72890-2021</t>
        </is>
      </c>
      <c r="B703" s="1" t="n">
        <v>44547</v>
      </c>
      <c r="C703" s="1" t="n">
        <v>45755</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73311-2021</t>
        </is>
      </c>
      <c r="B704" s="1" t="n">
        <v>44549</v>
      </c>
      <c r="C704" s="1" t="n">
        <v>45755</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73307-2021</t>
        </is>
      </c>
      <c r="B705" s="1" t="n">
        <v>44549</v>
      </c>
      <c r="C705" s="1" t="n">
        <v>45755</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73271-2021</t>
        </is>
      </c>
      <c r="B706" s="1" t="n">
        <v>44550</v>
      </c>
      <c r="C706" s="1" t="n">
        <v>45755</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73504-2021</t>
        </is>
      </c>
      <c r="B707" s="1" t="n">
        <v>44551</v>
      </c>
      <c r="C707" s="1" t="n">
        <v>45755</v>
      </c>
      <c r="D707" t="inlineStr">
        <is>
          <t>STOCKHOLMS LÄN</t>
        </is>
      </c>
      <c r="E707" t="inlineStr">
        <is>
          <t>NORRTÄLJE</t>
        </is>
      </c>
      <c r="G707" t="n">
        <v>4.7</v>
      </c>
      <c r="H707" t="n">
        <v>0</v>
      </c>
      <c r="I707" t="n">
        <v>0</v>
      </c>
      <c r="J707" t="n">
        <v>0</v>
      </c>
      <c r="K707" t="n">
        <v>0</v>
      </c>
      <c r="L707" t="n">
        <v>0</v>
      </c>
      <c r="M707" t="n">
        <v>0</v>
      </c>
      <c r="N707" t="n">
        <v>0</v>
      </c>
      <c r="O707" t="n">
        <v>0</v>
      </c>
      <c r="P707" t="n">
        <v>0</v>
      </c>
      <c r="Q707" t="n">
        <v>0</v>
      </c>
      <c r="R707" s="2" t="inlineStr"/>
    </row>
    <row r="708" ht="15" customHeight="1">
      <c r="A708" t="inlineStr">
        <is>
          <t>A 73855-2021</t>
        </is>
      </c>
      <c r="B708" s="1" t="n">
        <v>44552</v>
      </c>
      <c r="C708" s="1" t="n">
        <v>45755</v>
      </c>
      <c r="D708" t="inlineStr">
        <is>
          <t>STOCKHOLMS LÄN</t>
        </is>
      </c>
      <c r="E708" t="inlineStr">
        <is>
          <t>NORRTÄLJE</t>
        </is>
      </c>
      <c r="F708" t="inlineStr">
        <is>
          <t>Övriga Aktiebolag</t>
        </is>
      </c>
      <c r="G708" t="n">
        <v>4</v>
      </c>
      <c r="H708" t="n">
        <v>0</v>
      </c>
      <c r="I708" t="n">
        <v>0</v>
      </c>
      <c r="J708" t="n">
        <v>0</v>
      </c>
      <c r="K708" t="n">
        <v>0</v>
      </c>
      <c r="L708" t="n">
        <v>0</v>
      </c>
      <c r="M708" t="n">
        <v>0</v>
      </c>
      <c r="N708" t="n">
        <v>0</v>
      </c>
      <c r="O708" t="n">
        <v>0</v>
      </c>
      <c r="P708" t="n">
        <v>0</v>
      </c>
      <c r="Q708" t="n">
        <v>0</v>
      </c>
      <c r="R708" s="2" t="inlineStr"/>
    </row>
    <row r="709" ht="15" customHeight="1">
      <c r="A709" t="inlineStr">
        <is>
          <t>A 73992-2021</t>
        </is>
      </c>
      <c r="B709" s="1" t="n">
        <v>44556</v>
      </c>
      <c r="C709" s="1" t="n">
        <v>45755</v>
      </c>
      <c r="D709" t="inlineStr">
        <is>
          <t>STOCKHOLMS LÄN</t>
        </is>
      </c>
      <c r="E709" t="inlineStr">
        <is>
          <t>NORRTÄLJE</t>
        </is>
      </c>
      <c r="G709" t="n">
        <v>12.5</v>
      </c>
      <c r="H709" t="n">
        <v>0</v>
      </c>
      <c r="I709" t="n">
        <v>0</v>
      </c>
      <c r="J709" t="n">
        <v>0</v>
      </c>
      <c r="K709" t="n">
        <v>0</v>
      </c>
      <c r="L709" t="n">
        <v>0</v>
      </c>
      <c r="M709" t="n">
        <v>0</v>
      </c>
      <c r="N709" t="n">
        <v>0</v>
      </c>
      <c r="O709" t="n">
        <v>0</v>
      </c>
      <c r="P709" t="n">
        <v>0</v>
      </c>
      <c r="Q709" t="n">
        <v>0</v>
      </c>
      <c r="R709" s="2" t="inlineStr"/>
    </row>
    <row r="710" ht="15" customHeight="1">
      <c r="A710" t="inlineStr">
        <is>
          <t>A 73993-2021</t>
        </is>
      </c>
      <c r="B710" s="1" t="n">
        <v>44556</v>
      </c>
      <c r="C710" s="1" t="n">
        <v>45755</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74468-2021</t>
        </is>
      </c>
      <c r="B711" s="1" t="n">
        <v>44560</v>
      </c>
      <c r="C711" s="1" t="n">
        <v>45755</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185-2022</t>
        </is>
      </c>
      <c r="B712" s="1" t="n">
        <v>44564</v>
      </c>
      <c r="C712" s="1" t="n">
        <v>45755</v>
      </c>
      <c r="D712" t="inlineStr">
        <is>
          <t>STOCKHOLMS LÄN</t>
        </is>
      </c>
      <c r="E712" t="inlineStr">
        <is>
          <t>NORRTÄLJE</t>
        </is>
      </c>
      <c r="G712" t="n">
        <v>3.8</v>
      </c>
      <c r="H712" t="n">
        <v>0</v>
      </c>
      <c r="I712" t="n">
        <v>0</v>
      </c>
      <c r="J712" t="n">
        <v>0</v>
      </c>
      <c r="K712" t="n">
        <v>0</v>
      </c>
      <c r="L712" t="n">
        <v>0</v>
      </c>
      <c r="M712" t="n">
        <v>0</v>
      </c>
      <c r="N712" t="n">
        <v>0</v>
      </c>
      <c r="O712" t="n">
        <v>0</v>
      </c>
      <c r="P712" t="n">
        <v>0</v>
      </c>
      <c r="Q712" t="n">
        <v>0</v>
      </c>
      <c r="R712" s="2" t="inlineStr"/>
    </row>
    <row r="713" ht="15" customHeight="1">
      <c r="A713" t="inlineStr">
        <is>
          <t>A 190-2022</t>
        </is>
      </c>
      <c r="B713" s="1" t="n">
        <v>44564</v>
      </c>
      <c r="C713" s="1" t="n">
        <v>45755</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187-2022</t>
        </is>
      </c>
      <c r="B714" s="1" t="n">
        <v>44564</v>
      </c>
      <c r="C714" s="1" t="n">
        <v>45755</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77-2022</t>
        </is>
      </c>
      <c r="B715" s="1" t="n">
        <v>44564</v>
      </c>
      <c r="C715" s="1" t="n">
        <v>45755</v>
      </c>
      <c r="D715" t="inlineStr">
        <is>
          <t>STOCKHOLMS LÄN</t>
        </is>
      </c>
      <c r="E715" t="inlineStr">
        <is>
          <t>NORRTÄLJE</t>
        </is>
      </c>
      <c r="G715" t="n">
        <v>4.1</v>
      </c>
      <c r="H715" t="n">
        <v>0</v>
      </c>
      <c r="I715" t="n">
        <v>0</v>
      </c>
      <c r="J715" t="n">
        <v>0</v>
      </c>
      <c r="K715" t="n">
        <v>0</v>
      </c>
      <c r="L715" t="n">
        <v>0</v>
      </c>
      <c r="M715" t="n">
        <v>0</v>
      </c>
      <c r="N715" t="n">
        <v>0</v>
      </c>
      <c r="O715" t="n">
        <v>0</v>
      </c>
      <c r="P715" t="n">
        <v>0</v>
      </c>
      <c r="Q715" t="n">
        <v>0</v>
      </c>
      <c r="R715" s="2" t="inlineStr"/>
    </row>
    <row r="716" ht="15" customHeight="1">
      <c r="A716" t="inlineStr">
        <is>
          <t>A 1058-2022</t>
        </is>
      </c>
      <c r="B716" s="1" t="n">
        <v>44571</v>
      </c>
      <c r="C716" s="1" t="n">
        <v>45755</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1051-2022</t>
        </is>
      </c>
      <c r="B717" s="1" t="n">
        <v>44571</v>
      </c>
      <c r="C717" s="1" t="n">
        <v>45755</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1054-2022</t>
        </is>
      </c>
      <c r="B718" s="1" t="n">
        <v>44571</v>
      </c>
      <c r="C718" s="1" t="n">
        <v>45755</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1229-2022</t>
        </is>
      </c>
      <c r="B719" s="1" t="n">
        <v>44572</v>
      </c>
      <c r="C719" s="1" t="n">
        <v>45755</v>
      </c>
      <c r="D719" t="inlineStr">
        <is>
          <t>STOCKHOLMS LÄN</t>
        </is>
      </c>
      <c r="E719" t="inlineStr">
        <is>
          <t>NORRTÄLJE</t>
        </is>
      </c>
      <c r="G719" t="n">
        <v>11.5</v>
      </c>
      <c r="H719" t="n">
        <v>0</v>
      </c>
      <c r="I719" t="n">
        <v>0</v>
      </c>
      <c r="J719" t="n">
        <v>0</v>
      </c>
      <c r="K719" t="n">
        <v>0</v>
      </c>
      <c r="L719" t="n">
        <v>0</v>
      </c>
      <c r="M719" t="n">
        <v>0</v>
      </c>
      <c r="N719" t="n">
        <v>0</v>
      </c>
      <c r="O719" t="n">
        <v>0</v>
      </c>
      <c r="P719" t="n">
        <v>0</v>
      </c>
      <c r="Q719" t="n">
        <v>0</v>
      </c>
      <c r="R719" s="2" t="inlineStr"/>
    </row>
    <row r="720" ht="15" customHeight="1">
      <c r="A720" t="inlineStr">
        <is>
          <t>A 1704-2022</t>
        </is>
      </c>
      <c r="B720" s="1" t="n">
        <v>44574</v>
      </c>
      <c r="C720" s="1" t="n">
        <v>45755</v>
      </c>
      <c r="D720" t="inlineStr">
        <is>
          <t>STOCKHOLMS LÄN</t>
        </is>
      </c>
      <c r="E720" t="inlineStr">
        <is>
          <t>NORRTÄLJE</t>
        </is>
      </c>
      <c r="G720" t="n">
        <v>6.2</v>
      </c>
      <c r="H720" t="n">
        <v>0</v>
      </c>
      <c r="I720" t="n">
        <v>0</v>
      </c>
      <c r="J720" t="n">
        <v>0</v>
      </c>
      <c r="K720" t="n">
        <v>0</v>
      </c>
      <c r="L720" t="n">
        <v>0</v>
      </c>
      <c r="M720" t="n">
        <v>0</v>
      </c>
      <c r="N720" t="n">
        <v>0</v>
      </c>
      <c r="O720" t="n">
        <v>0</v>
      </c>
      <c r="P720" t="n">
        <v>0</v>
      </c>
      <c r="Q720" t="n">
        <v>0</v>
      </c>
      <c r="R720" s="2" t="inlineStr"/>
    </row>
    <row r="721" ht="15" customHeight="1">
      <c r="A721" t="inlineStr">
        <is>
          <t>A 1968-2022</t>
        </is>
      </c>
      <c r="B721" s="1" t="n">
        <v>44575</v>
      </c>
      <c r="C721" s="1" t="n">
        <v>45755</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2182-2022</t>
        </is>
      </c>
      <c r="B722" s="1" t="n">
        <v>44578</v>
      </c>
      <c r="C722" s="1" t="n">
        <v>45755</v>
      </c>
      <c r="D722" t="inlineStr">
        <is>
          <t>STOCKHOLMS LÄN</t>
        </is>
      </c>
      <c r="E722" t="inlineStr">
        <is>
          <t>NORRTÄLJE</t>
        </is>
      </c>
      <c r="G722" t="n">
        <v>7.2</v>
      </c>
      <c r="H722" t="n">
        <v>0</v>
      </c>
      <c r="I722" t="n">
        <v>0</v>
      </c>
      <c r="J722" t="n">
        <v>0</v>
      </c>
      <c r="K722" t="n">
        <v>0</v>
      </c>
      <c r="L722" t="n">
        <v>0</v>
      </c>
      <c r="M722" t="n">
        <v>0</v>
      </c>
      <c r="N722" t="n">
        <v>0</v>
      </c>
      <c r="O722" t="n">
        <v>0</v>
      </c>
      <c r="P722" t="n">
        <v>0</v>
      </c>
      <c r="Q722" t="n">
        <v>0</v>
      </c>
      <c r="R722" s="2" t="inlineStr"/>
    </row>
    <row r="723" ht="15" customHeight="1">
      <c r="A723" t="inlineStr">
        <is>
          <t>A 2549-2022</t>
        </is>
      </c>
      <c r="B723" s="1" t="n">
        <v>44580</v>
      </c>
      <c r="C723" s="1" t="n">
        <v>45755</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2732-2022</t>
        </is>
      </c>
      <c r="B724" s="1" t="n">
        <v>44580</v>
      </c>
      <c r="C724" s="1" t="n">
        <v>45755</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2888-2022</t>
        </is>
      </c>
      <c r="B725" s="1" t="n">
        <v>44581</v>
      </c>
      <c r="C725" s="1" t="n">
        <v>45755</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2977-2022</t>
        </is>
      </c>
      <c r="B726" s="1" t="n">
        <v>44581</v>
      </c>
      <c r="C726" s="1" t="n">
        <v>45755</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v>
      </c>
      <c r="C727" s="1" t="n">
        <v>45755</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3310-2022</t>
        </is>
      </c>
      <c r="B728" s="1" t="n">
        <v>44584</v>
      </c>
      <c r="C728" s="1" t="n">
        <v>45755</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3396-2022</t>
        </is>
      </c>
      <c r="B729" s="1" t="n">
        <v>44585</v>
      </c>
      <c r="C729" s="1" t="n">
        <v>45755</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3509-2022</t>
        </is>
      </c>
      <c r="B730" s="1" t="n">
        <v>44585</v>
      </c>
      <c r="C730" s="1" t="n">
        <v>45755</v>
      </c>
      <c r="D730" t="inlineStr">
        <is>
          <t>STOCKHOLMS LÄN</t>
        </is>
      </c>
      <c r="E730" t="inlineStr">
        <is>
          <t>NORRTÄLJE</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4860-2022</t>
        </is>
      </c>
      <c r="B731" s="1" t="n">
        <v>44592</v>
      </c>
      <c r="C731" s="1" t="n">
        <v>45755</v>
      </c>
      <c r="D731" t="inlineStr">
        <is>
          <t>STOCKHOLMS LÄN</t>
        </is>
      </c>
      <c r="E731" t="inlineStr">
        <is>
          <t>NORRTÄLJE</t>
        </is>
      </c>
      <c r="G731" t="n">
        <v>22.3</v>
      </c>
      <c r="H731" t="n">
        <v>0</v>
      </c>
      <c r="I731" t="n">
        <v>0</v>
      </c>
      <c r="J731" t="n">
        <v>0</v>
      </c>
      <c r="K731" t="n">
        <v>0</v>
      </c>
      <c r="L731" t="n">
        <v>0</v>
      </c>
      <c r="M731" t="n">
        <v>0</v>
      </c>
      <c r="N731" t="n">
        <v>0</v>
      </c>
      <c r="O731" t="n">
        <v>0</v>
      </c>
      <c r="P731" t="n">
        <v>0</v>
      </c>
      <c r="Q731" t="n">
        <v>0</v>
      </c>
      <c r="R731" s="2" t="inlineStr"/>
    </row>
    <row r="732" ht="15" customHeight="1">
      <c r="A732" t="inlineStr">
        <is>
          <t>A 5351-2022</t>
        </is>
      </c>
      <c r="B732" s="1" t="n">
        <v>44594</v>
      </c>
      <c r="C732" s="1" t="n">
        <v>45755</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5513-2022</t>
        </is>
      </c>
      <c r="B733" s="1" t="n">
        <v>44595</v>
      </c>
      <c r="C733" s="1" t="n">
        <v>45755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45755</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5831-2022</t>
        </is>
      </c>
      <c r="B735" s="1" t="n">
        <v>44596</v>
      </c>
      <c r="C735" s="1" t="n">
        <v>45755</v>
      </c>
      <c r="D735" t="inlineStr">
        <is>
          <t>STOCKHOLMS LÄN</t>
        </is>
      </c>
      <c r="E735" t="inlineStr">
        <is>
          <t>NORRTÄLJE</t>
        </is>
      </c>
      <c r="G735" t="n">
        <v>4.8</v>
      </c>
      <c r="H735" t="n">
        <v>0</v>
      </c>
      <c r="I735" t="n">
        <v>0</v>
      </c>
      <c r="J735" t="n">
        <v>0</v>
      </c>
      <c r="K735" t="n">
        <v>0</v>
      </c>
      <c r="L735" t="n">
        <v>0</v>
      </c>
      <c r="M735" t="n">
        <v>0</v>
      </c>
      <c r="N735" t="n">
        <v>0</v>
      </c>
      <c r="O735" t="n">
        <v>0</v>
      </c>
      <c r="P735" t="n">
        <v>0</v>
      </c>
      <c r="Q735" t="n">
        <v>0</v>
      </c>
      <c r="R735" s="2" t="inlineStr"/>
    </row>
    <row r="736" ht="15" customHeight="1">
      <c r="A736" t="inlineStr">
        <is>
          <t>A 5867-2022</t>
        </is>
      </c>
      <c r="B736" s="1" t="n">
        <v>44596</v>
      </c>
      <c r="C736" s="1" t="n">
        <v>45755</v>
      </c>
      <c r="D736" t="inlineStr">
        <is>
          <t>STOCKHOLMS LÄN</t>
        </is>
      </c>
      <c r="E736" t="inlineStr">
        <is>
          <t>NORRTÄLJE</t>
        </is>
      </c>
      <c r="F736" t="inlineStr">
        <is>
          <t>Naturvårdsverket</t>
        </is>
      </c>
      <c r="G736" t="n">
        <v>1.6</v>
      </c>
      <c r="H736" t="n">
        <v>0</v>
      </c>
      <c r="I736" t="n">
        <v>0</v>
      </c>
      <c r="J736" t="n">
        <v>0</v>
      </c>
      <c r="K736" t="n">
        <v>0</v>
      </c>
      <c r="L736" t="n">
        <v>0</v>
      </c>
      <c r="M736" t="n">
        <v>0</v>
      </c>
      <c r="N736" t="n">
        <v>0</v>
      </c>
      <c r="O736" t="n">
        <v>0</v>
      </c>
      <c r="P736" t="n">
        <v>0</v>
      </c>
      <c r="Q736" t="n">
        <v>0</v>
      </c>
      <c r="R736" s="2" t="inlineStr"/>
    </row>
    <row r="737" ht="15" customHeight="1">
      <c r="A737" t="inlineStr">
        <is>
          <t>A 6070-2022</t>
        </is>
      </c>
      <c r="B737" s="1" t="n">
        <v>44599</v>
      </c>
      <c r="C737" s="1" t="n">
        <v>45755</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6332-2022</t>
        </is>
      </c>
      <c r="B738" s="1" t="n">
        <v>44600</v>
      </c>
      <c r="C738" s="1" t="n">
        <v>45755</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7301-2022</t>
        </is>
      </c>
      <c r="B739" s="1" t="n">
        <v>44606</v>
      </c>
      <c r="C739" s="1" t="n">
        <v>45755</v>
      </c>
      <c r="D739" t="inlineStr">
        <is>
          <t>STOCKHOLMS LÄN</t>
        </is>
      </c>
      <c r="E739" t="inlineStr">
        <is>
          <t>NORRTÄLJE</t>
        </is>
      </c>
      <c r="G739" t="n">
        <v>6.1</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45755</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8049-2022</t>
        </is>
      </c>
      <c r="B741" s="1" t="n">
        <v>44609</v>
      </c>
      <c r="C741" s="1" t="n">
        <v>45755</v>
      </c>
      <c r="D741" t="inlineStr">
        <is>
          <t>STOCKHOLMS LÄN</t>
        </is>
      </c>
      <c r="E741" t="inlineStr">
        <is>
          <t>NORRTÄLJE</t>
        </is>
      </c>
      <c r="F741" t="inlineStr">
        <is>
          <t>Holmen skog AB</t>
        </is>
      </c>
      <c r="G741" t="n">
        <v>3</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45755</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8433-2022</t>
        </is>
      </c>
      <c r="B743" s="1" t="n">
        <v>44611</v>
      </c>
      <c r="C743" s="1" t="n">
        <v>45755</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9668-2022</t>
        </is>
      </c>
      <c r="B744" s="1" t="n">
        <v>44617</v>
      </c>
      <c r="C744" s="1" t="n">
        <v>45755</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9654-2022</t>
        </is>
      </c>
      <c r="B745" s="1" t="n">
        <v>44617</v>
      </c>
      <c r="C745" s="1" t="n">
        <v>45755</v>
      </c>
      <c r="D745" t="inlineStr">
        <is>
          <t>STOCKHOLMS LÄN</t>
        </is>
      </c>
      <c r="E745" t="inlineStr">
        <is>
          <t>NORRTÄLJE</t>
        </is>
      </c>
      <c r="G745" t="n">
        <v>6.4</v>
      </c>
      <c r="H745" t="n">
        <v>0</v>
      </c>
      <c r="I745" t="n">
        <v>0</v>
      </c>
      <c r="J745" t="n">
        <v>0</v>
      </c>
      <c r="K745" t="n">
        <v>0</v>
      </c>
      <c r="L745" t="n">
        <v>0</v>
      </c>
      <c r="M745" t="n">
        <v>0</v>
      </c>
      <c r="N745" t="n">
        <v>0</v>
      </c>
      <c r="O745" t="n">
        <v>0</v>
      </c>
      <c r="P745" t="n">
        <v>0</v>
      </c>
      <c r="Q745" t="n">
        <v>0</v>
      </c>
      <c r="R745" s="2" t="inlineStr"/>
    </row>
    <row r="746" ht="15" customHeight="1">
      <c r="A746" t="inlineStr">
        <is>
          <t>A 9749-2022</t>
        </is>
      </c>
      <c r="B746" s="1" t="n">
        <v>44618</v>
      </c>
      <c r="C746" s="1" t="n">
        <v>45755</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9988-2022</t>
        </is>
      </c>
      <c r="B747" s="1" t="n">
        <v>44621</v>
      </c>
      <c r="C747" s="1" t="n">
        <v>45755</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10090-2022</t>
        </is>
      </c>
      <c r="B748" s="1" t="n">
        <v>44621</v>
      </c>
      <c r="C748" s="1" t="n">
        <v>45755</v>
      </c>
      <c r="D748" t="inlineStr">
        <is>
          <t>STOCKHOLMS LÄN</t>
        </is>
      </c>
      <c r="E748" t="inlineStr">
        <is>
          <t>NORRTÄLJE</t>
        </is>
      </c>
      <c r="G748" t="n">
        <v>5.2</v>
      </c>
      <c r="H748" t="n">
        <v>0</v>
      </c>
      <c r="I748" t="n">
        <v>0</v>
      </c>
      <c r="J748" t="n">
        <v>0</v>
      </c>
      <c r="K748" t="n">
        <v>0</v>
      </c>
      <c r="L748" t="n">
        <v>0</v>
      </c>
      <c r="M748" t="n">
        <v>0</v>
      </c>
      <c r="N748" t="n">
        <v>0</v>
      </c>
      <c r="O748" t="n">
        <v>0</v>
      </c>
      <c r="P748" t="n">
        <v>0</v>
      </c>
      <c r="Q748" t="n">
        <v>0</v>
      </c>
      <c r="R748" s="2" t="inlineStr"/>
    </row>
    <row r="749" ht="15" customHeight="1">
      <c r="A749" t="inlineStr">
        <is>
          <t>A 10098-2022</t>
        </is>
      </c>
      <c r="B749" s="1" t="n">
        <v>44621</v>
      </c>
      <c r="C749" s="1" t="n">
        <v>45755</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45755</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v>
      </c>
      <c r="C751" s="1" t="n">
        <v>45755</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10710-2022</t>
        </is>
      </c>
      <c r="B752" s="1" t="n">
        <v>44626</v>
      </c>
      <c r="C752" s="1" t="n">
        <v>45755</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10711-2022</t>
        </is>
      </c>
      <c r="B753" s="1" t="n">
        <v>44626</v>
      </c>
      <c r="C753" s="1" t="n">
        <v>45755</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11150-2022</t>
        </is>
      </c>
      <c r="B754" s="1" t="n">
        <v>44629</v>
      </c>
      <c r="C754" s="1" t="n">
        <v>45755</v>
      </c>
      <c r="D754" t="inlineStr">
        <is>
          <t>STOCKHOLMS LÄN</t>
        </is>
      </c>
      <c r="E754" t="inlineStr">
        <is>
          <t>NORRTÄLJE</t>
        </is>
      </c>
      <c r="F754" t="inlineStr">
        <is>
          <t>Övriga Aktiebolag</t>
        </is>
      </c>
      <c r="G754" t="n">
        <v>6.5</v>
      </c>
      <c r="H754" t="n">
        <v>0</v>
      </c>
      <c r="I754" t="n">
        <v>0</v>
      </c>
      <c r="J754" t="n">
        <v>0</v>
      </c>
      <c r="K754" t="n">
        <v>0</v>
      </c>
      <c r="L754" t="n">
        <v>0</v>
      </c>
      <c r="M754" t="n">
        <v>0</v>
      </c>
      <c r="N754" t="n">
        <v>0</v>
      </c>
      <c r="O754" t="n">
        <v>0</v>
      </c>
      <c r="P754" t="n">
        <v>0</v>
      </c>
      <c r="Q754" t="n">
        <v>0</v>
      </c>
      <c r="R754" s="2" t="inlineStr"/>
    </row>
    <row r="755" ht="15" customHeight="1">
      <c r="A755" t="inlineStr">
        <is>
          <t>A 11229-2022</t>
        </is>
      </c>
      <c r="B755" s="1" t="n">
        <v>44629</v>
      </c>
      <c r="C755" s="1" t="n">
        <v>45755</v>
      </c>
      <c r="D755" t="inlineStr">
        <is>
          <t>STOCKHOLMS LÄN</t>
        </is>
      </c>
      <c r="E755" t="inlineStr">
        <is>
          <t>NORRTÄLJE</t>
        </is>
      </c>
      <c r="F755" t="inlineStr">
        <is>
          <t>Övriga Aktiebolag</t>
        </is>
      </c>
      <c r="G755" t="n">
        <v>4.1</v>
      </c>
      <c r="H755" t="n">
        <v>0</v>
      </c>
      <c r="I755" t="n">
        <v>0</v>
      </c>
      <c r="J755" t="n">
        <v>0</v>
      </c>
      <c r="K755" t="n">
        <v>0</v>
      </c>
      <c r="L755" t="n">
        <v>0</v>
      </c>
      <c r="M755" t="n">
        <v>0</v>
      </c>
      <c r="N755" t="n">
        <v>0</v>
      </c>
      <c r="O755" t="n">
        <v>0</v>
      </c>
      <c r="P755" t="n">
        <v>0</v>
      </c>
      <c r="Q755" t="n">
        <v>0</v>
      </c>
      <c r="R755" s="2" t="inlineStr"/>
    </row>
    <row r="756" ht="15" customHeight="1">
      <c r="A756" t="inlineStr">
        <is>
          <t>A 11533-2022</t>
        </is>
      </c>
      <c r="B756" s="1" t="n">
        <v>44631</v>
      </c>
      <c r="C756" s="1" t="n">
        <v>45755</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11821-2022</t>
        </is>
      </c>
      <c r="B757" s="1" t="n">
        <v>44634</v>
      </c>
      <c r="C757" s="1" t="n">
        <v>45755</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11900-2022</t>
        </is>
      </c>
      <c r="B758" s="1" t="n">
        <v>44635</v>
      </c>
      <c r="C758" s="1" t="n">
        <v>45755</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12355-2022</t>
        </is>
      </c>
      <c r="B759" s="1" t="n">
        <v>44637</v>
      </c>
      <c r="C759" s="1" t="n">
        <v>45755</v>
      </c>
      <c r="D759" t="inlineStr">
        <is>
          <t>STOCKHOLMS LÄN</t>
        </is>
      </c>
      <c r="E759" t="inlineStr">
        <is>
          <t>NORRTÄLJE</t>
        </is>
      </c>
      <c r="G759" t="n">
        <v>10.4</v>
      </c>
      <c r="H759" t="n">
        <v>0</v>
      </c>
      <c r="I759" t="n">
        <v>0</v>
      </c>
      <c r="J759" t="n">
        <v>0</v>
      </c>
      <c r="K759" t="n">
        <v>0</v>
      </c>
      <c r="L759" t="n">
        <v>0</v>
      </c>
      <c r="M759" t="n">
        <v>0</v>
      </c>
      <c r="N759" t="n">
        <v>0</v>
      </c>
      <c r="O759" t="n">
        <v>0</v>
      </c>
      <c r="P759" t="n">
        <v>0</v>
      </c>
      <c r="Q759" t="n">
        <v>0</v>
      </c>
      <c r="R759" s="2" t="inlineStr"/>
    </row>
    <row r="760" ht="15" customHeight="1">
      <c r="A760" t="inlineStr">
        <is>
          <t>A 12270-2022</t>
        </is>
      </c>
      <c r="B760" s="1" t="n">
        <v>44637</v>
      </c>
      <c r="C760" s="1" t="n">
        <v>45755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12314-2022</t>
        </is>
      </c>
      <c r="B761" s="1" t="n">
        <v>44637</v>
      </c>
      <c r="C761" s="1" t="n">
        <v>45755</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12268-2022</t>
        </is>
      </c>
      <c r="B762" s="1" t="n">
        <v>44637</v>
      </c>
      <c r="C762" s="1" t="n">
        <v>45755</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12357-2022</t>
        </is>
      </c>
      <c r="B763" s="1" t="n">
        <v>44637</v>
      </c>
      <c r="C763" s="1" t="n">
        <v>45755</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62765-2022</t>
        </is>
      </c>
      <c r="B764" s="1" t="n">
        <v>44637</v>
      </c>
      <c r="C764" s="1" t="n">
        <v>45755</v>
      </c>
      <c r="D764" t="inlineStr">
        <is>
          <t>STOCKHOLMS LÄN</t>
        </is>
      </c>
      <c r="E764" t="inlineStr">
        <is>
          <t>NORRTÄLJE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12874-2022</t>
        </is>
      </c>
      <c r="B765" s="1" t="n">
        <v>44642</v>
      </c>
      <c r="C765" s="1" t="n">
        <v>45755</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12816-2022</t>
        </is>
      </c>
      <c r="B766" s="1" t="n">
        <v>44642</v>
      </c>
      <c r="C766" s="1" t="n">
        <v>45755</v>
      </c>
      <c r="D766" t="inlineStr">
        <is>
          <t>STOCKHOLMS LÄN</t>
        </is>
      </c>
      <c r="E766" t="inlineStr">
        <is>
          <t>NORRTÄLJE</t>
        </is>
      </c>
      <c r="G766" t="n">
        <v>4.4</v>
      </c>
      <c r="H766" t="n">
        <v>0</v>
      </c>
      <c r="I766" t="n">
        <v>0</v>
      </c>
      <c r="J766" t="n">
        <v>0</v>
      </c>
      <c r="K766" t="n">
        <v>0</v>
      </c>
      <c r="L766" t="n">
        <v>0</v>
      </c>
      <c r="M766" t="n">
        <v>0</v>
      </c>
      <c r="N766" t="n">
        <v>0</v>
      </c>
      <c r="O766" t="n">
        <v>0</v>
      </c>
      <c r="P766" t="n">
        <v>0</v>
      </c>
      <c r="Q766" t="n">
        <v>0</v>
      </c>
      <c r="R766" s="2" t="inlineStr"/>
    </row>
    <row r="767" ht="15" customHeight="1">
      <c r="A767" t="inlineStr">
        <is>
          <t>A 12877-2022</t>
        </is>
      </c>
      <c r="B767" s="1" t="n">
        <v>44642</v>
      </c>
      <c r="C767" s="1" t="n">
        <v>45755</v>
      </c>
      <c r="D767" t="inlineStr">
        <is>
          <t>STOCKHOLMS LÄN</t>
        </is>
      </c>
      <c r="E767" t="inlineStr">
        <is>
          <t>NORRTÄLJE</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12875-2022</t>
        </is>
      </c>
      <c r="B768" s="1" t="n">
        <v>44642</v>
      </c>
      <c r="C768" s="1" t="n">
        <v>45755</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13077-2022</t>
        </is>
      </c>
      <c r="B769" s="1" t="n">
        <v>44643</v>
      </c>
      <c r="C769" s="1" t="n">
        <v>45755</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45755</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45755</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13106-2022</t>
        </is>
      </c>
      <c r="B772" s="1" t="n">
        <v>44644</v>
      </c>
      <c r="C772" s="1" t="n">
        <v>45755</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13278-2022</t>
        </is>
      </c>
      <c r="B773" s="1" t="n">
        <v>44644</v>
      </c>
      <c r="C773" s="1" t="n">
        <v>45755</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13276-2022</t>
        </is>
      </c>
      <c r="B774" s="1" t="n">
        <v>44644</v>
      </c>
      <c r="C774" s="1" t="n">
        <v>45755</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13395-2022</t>
        </is>
      </c>
      <c r="B775" s="1" t="n">
        <v>44645</v>
      </c>
      <c r="C775" s="1" t="n">
        <v>45755</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13696-2022</t>
        </is>
      </c>
      <c r="B776" s="1" t="n">
        <v>44648</v>
      </c>
      <c r="C776" s="1" t="n">
        <v>45755</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13701-2022</t>
        </is>
      </c>
      <c r="B777" s="1" t="n">
        <v>44648</v>
      </c>
      <c r="C777" s="1" t="n">
        <v>45755</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13718-2022</t>
        </is>
      </c>
      <c r="B778" s="1" t="n">
        <v>44649</v>
      </c>
      <c r="C778" s="1" t="n">
        <v>45755</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14036-2022</t>
        </is>
      </c>
      <c r="B779" s="1" t="n">
        <v>44650</v>
      </c>
      <c r="C779" s="1" t="n">
        <v>45755</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14033-2022</t>
        </is>
      </c>
      <c r="B780" s="1" t="n">
        <v>44650</v>
      </c>
      <c r="C780" s="1" t="n">
        <v>45755</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14034-2022</t>
        </is>
      </c>
      <c r="B781" s="1" t="n">
        <v>44650</v>
      </c>
      <c r="C781" s="1" t="n">
        <v>45755</v>
      </c>
      <c r="D781" t="inlineStr">
        <is>
          <t>STOCKHOLMS LÄN</t>
        </is>
      </c>
      <c r="E781" t="inlineStr">
        <is>
          <t>NORRTÄLJE</t>
        </is>
      </c>
      <c r="G781" t="n">
        <v>6.1</v>
      </c>
      <c r="H781" t="n">
        <v>0</v>
      </c>
      <c r="I781" t="n">
        <v>0</v>
      </c>
      <c r="J781" t="n">
        <v>0</v>
      </c>
      <c r="K781" t="n">
        <v>0</v>
      </c>
      <c r="L781" t="n">
        <v>0</v>
      </c>
      <c r="M781" t="n">
        <v>0</v>
      </c>
      <c r="N781" t="n">
        <v>0</v>
      </c>
      <c r="O781" t="n">
        <v>0</v>
      </c>
      <c r="P781" t="n">
        <v>0</v>
      </c>
      <c r="Q781" t="n">
        <v>0</v>
      </c>
      <c r="R781" s="2" t="inlineStr"/>
    </row>
    <row r="782" ht="15" customHeight="1">
      <c r="A782" t="inlineStr">
        <is>
          <t>A 14051-2022</t>
        </is>
      </c>
      <c r="B782" s="1" t="n">
        <v>44651</v>
      </c>
      <c r="C782" s="1" t="n">
        <v>45755</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14166-2022</t>
        </is>
      </c>
      <c r="B783" s="1" t="n">
        <v>44651</v>
      </c>
      <c r="C783" s="1" t="n">
        <v>45755</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14543-2022</t>
        </is>
      </c>
      <c r="B784" s="1" t="n">
        <v>44655</v>
      </c>
      <c r="C784" s="1" t="n">
        <v>45755</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14724-2022</t>
        </is>
      </c>
      <c r="B785" s="1" t="n">
        <v>44656</v>
      </c>
      <c r="C785" s="1" t="n">
        <v>45755</v>
      </c>
      <c r="D785" t="inlineStr">
        <is>
          <t>STOCKHOLMS LÄN</t>
        </is>
      </c>
      <c r="E785" t="inlineStr">
        <is>
          <t>NORRTÄLJE</t>
        </is>
      </c>
      <c r="F785" t="inlineStr">
        <is>
          <t>Sveaskog</t>
        </is>
      </c>
      <c r="G785" t="n">
        <v>9</v>
      </c>
      <c r="H785" t="n">
        <v>0</v>
      </c>
      <c r="I785" t="n">
        <v>0</v>
      </c>
      <c r="J785" t="n">
        <v>0</v>
      </c>
      <c r="K785" t="n">
        <v>0</v>
      </c>
      <c r="L785" t="n">
        <v>0</v>
      </c>
      <c r="M785" t="n">
        <v>0</v>
      </c>
      <c r="N785" t="n">
        <v>0</v>
      </c>
      <c r="O785" t="n">
        <v>0</v>
      </c>
      <c r="P785" t="n">
        <v>0</v>
      </c>
      <c r="Q785" t="n">
        <v>0</v>
      </c>
      <c r="R785" s="2" t="inlineStr"/>
    </row>
    <row r="786" ht="15" customHeight="1">
      <c r="A786" t="inlineStr">
        <is>
          <t>A 14716-2022</t>
        </is>
      </c>
      <c r="B786" s="1" t="n">
        <v>44656</v>
      </c>
      <c r="C786" s="1" t="n">
        <v>45755</v>
      </c>
      <c r="D786" t="inlineStr">
        <is>
          <t>STOCKHOLMS LÄN</t>
        </is>
      </c>
      <c r="E786" t="inlineStr">
        <is>
          <t>NORRTÄLJE</t>
        </is>
      </c>
      <c r="F786" t="inlineStr">
        <is>
          <t>Sveaskog</t>
        </is>
      </c>
      <c r="G786" t="n">
        <v>6.5</v>
      </c>
      <c r="H786" t="n">
        <v>0</v>
      </c>
      <c r="I786" t="n">
        <v>0</v>
      </c>
      <c r="J786" t="n">
        <v>0</v>
      </c>
      <c r="K786" t="n">
        <v>0</v>
      </c>
      <c r="L786" t="n">
        <v>0</v>
      </c>
      <c r="M786" t="n">
        <v>0</v>
      </c>
      <c r="N786" t="n">
        <v>0</v>
      </c>
      <c r="O786" t="n">
        <v>0</v>
      </c>
      <c r="P786" t="n">
        <v>0</v>
      </c>
      <c r="Q786" t="n">
        <v>0</v>
      </c>
      <c r="R786" s="2" t="inlineStr"/>
    </row>
    <row r="787" ht="15" customHeight="1">
      <c r="A787" t="inlineStr">
        <is>
          <t>A 14869-2022</t>
        </is>
      </c>
      <c r="B787" s="1" t="n">
        <v>44656</v>
      </c>
      <c r="C787" s="1" t="n">
        <v>45755</v>
      </c>
      <c r="D787" t="inlineStr">
        <is>
          <t>STOCKHOLMS LÄN</t>
        </is>
      </c>
      <c r="E787" t="inlineStr">
        <is>
          <t>NORRTÄLJE</t>
        </is>
      </c>
      <c r="F787" t="inlineStr">
        <is>
          <t>Holmen skog AB</t>
        </is>
      </c>
      <c r="G787" t="n">
        <v>9.1</v>
      </c>
      <c r="H787" t="n">
        <v>0</v>
      </c>
      <c r="I787" t="n">
        <v>0</v>
      </c>
      <c r="J787" t="n">
        <v>0</v>
      </c>
      <c r="K787" t="n">
        <v>0</v>
      </c>
      <c r="L787" t="n">
        <v>0</v>
      </c>
      <c r="M787" t="n">
        <v>0</v>
      </c>
      <c r="N787" t="n">
        <v>0</v>
      </c>
      <c r="O787" t="n">
        <v>0</v>
      </c>
      <c r="P787" t="n">
        <v>0</v>
      </c>
      <c r="Q787" t="n">
        <v>0</v>
      </c>
      <c r="R787" s="2" t="inlineStr"/>
    </row>
    <row r="788" ht="15" customHeight="1">
      <c r="A788" t="inlineStr">
        <is>
          <t>A 15225-2022</t>
        </is>
      </c>
      <c r="B788" s="1" t="n">
        <v>44658</v>
      </c>
      <c r="C788" s="1" t="n">
        <v>45755</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15226-2022</t>
        </is>
      </c>
      <c r="B789" s="1" t="n">
        <v>44658</v>
      </c>
      <c r="C789" s="1" t="n">
        <v>45755</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15861-2022</t>
        </is>
      </c>
      <c r="B790" s="1" t="n">
        <v>44664</v>
      </c>
      <c r="C790" s="1" t="n">
        <v>45755</v>
      </c>
      <c r="D790" t="inlineStr">
        <is>
          <t>STOCKHOLMS LÄN</t>
        </is>
      </c>
      <c r="E790" t="inlineStr">
        <is>
          <t>NORRTÄLJE</t>
        </is>
      </c>
      <c r="G790" t="n">
        <v>10.2</v>
      </c>
      <c r="H790" t="n">
        <v>0</v>
      </c>
      <c r="I790" t="n">
        <v>0</v>
      </c>
      <c r="J790" t="n">
        <v>0</v>
      </c>
      <c r="K790" t="n">
        <v>0</v>
      </c>
      <c r="L790" t="n">
        <v>0</v>
      </c>
      <c r="M790" t="n">
        <v>0</v>
      </c>
      <c r="N790" t="n">
        <v>0</v>
      </c>
      <c r="O790" t="n">
        <v>0</v>
      </c>
      <c r="P790" t="n">
        <v>0</v>
      </c>
      <c r="Q790" t="n">
        <v>0</v>
      </c>
      <c r="R790" s="2" t="inlineStr"/>
    </row>
    <row r="791" ht="15" customHeight="1">
      <c r="A791" t="inlineStr">
        <is>
          <t>A 16117-2022</t>
        </is>
      </c>
      <c r="B791" s="1" t="n">
        <v>44665</v>
      </c>
      <c r="C791" s="1" t="n">
        <v>45755</v>
      </c>
      <c r="D791" t="inlineStr">
        <is>
          <t>STOCKHOLMS LÄN</t>
        </is>
      </c>
      <c r="E791" t="inlineStr">
        <is>
          <t>NORRTÄLJE</t>
        </is>
      </c>
      <c r="G791" t="n">
        <v>8.1</v>
      </c>
      <c r="H791" t="n">
        <v>0</v>
      </c>
      <c r="I791" t="n">
        <v>0</v>
      </c>
      <c r="J791" t="n">
        <v>0</v>
      </c>
      <c r="K791" t="n">
        <v>0</v>
      </c>
      <c r="L791" t="n">
        <v>0</v>
      </c>
      <c r="M791" t="n">
        <v>0</v>
      </c>
      <c r="N791" t="n">
        <v>0</v>
      </c>
      <c r="O791" t="n">
        <v>0</v>
      </c>
      <c r="P791" t="n">
        <v>0</v>
      </c>
      <c r="Q791" t="n">
        <v>0</v>
      </c>
      <c r="R791" s="2" t="inlineStr"/>
    </row>
    <row r="792" ht="15" customHeight="1">
      <c r="A792" t="inlineStr">
        <is>
          <t>A 16119-2022</t>
        </is>
      </c>
      <c r="B792" s="1" t="n">
        <v>44665</v>
      </c>
      <c r="C792" s="1" t="n">
        <v>45755</v>
      </c>
      <c r="D792" t="inlineStr">
        <is>
          <t>STOCKHOLMS LÄN</t>
        </is>
      </c>
      <c r="E792" t="inlineStr">
        <is>
          <t>NORRTÄLJE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16132-2022</t>
        </is>
      </c>
      <c r="B793" s="1" t="n">
        <v>44665</v>
      </c>
      <c r="C793" s="1" t="n">
        <v>45755</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16224-2022</t>
        </is>
      </c>
      <c r="B794" s="1" t="n">
        <v>44670</v>
      </c>
      <c r="C794" s="1" t="n">
        <v>45755</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16202-2022</t>
        </is>
      </c>
      <c r="B795" s="1" t="n">
        <v>44670</v>
      </c>
      <c r="C795" s="1" t="n">
        <v>45755</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16229-2022</t>
        </is>
      </c>
      <c r="B796" s="1" t="n">
        <v>44670</v>
      </c>
      <c r="C796" s="1" t="n">
        <v>45755</v>
      </c>
      <c r="D796" t="inlineStr">
        <is>
          <t>STOCKHOLMS LÄN</t>
        </is>
      </c>
      <c r="E796" t="inlineStr">
        <is>
          <t>NORRTÄLJE</t>
        </is>
      </c>
      <c r="G796" t="n">
        <v>7.4</v>
      </c>
      <c r="H796" t="n">
        <v>0</v>
      </c>
      <c r="I796" t="n">
        <v>0</v>
      </c>
      <c r="J796" t="n">
        <v>0</v>
      </c>
      <c r="K796" t="n">
        <v>0</v>
      </c>
      <c r="L796" t="n">
        <v>0</v>
      </c>
      <c r="M796" t="n">
        <v>0</v>
      </c>
      <c r="N796" t="n">
        <v>0</v>
      </c>
      <c r="O796" t="n">
        <v>0</v>
      </c>
      <c r="P796" t="n">
        <v>0</v>
      </c>
      <c r="Q796" t="n">
        <v>0</v>
      </c>
      <c r="R796" s="2" t="inlineStr"/>
    </row>
    <row r="797" ht="15" customHeight="1">
      <c r="A797" t="inlineStr">
        <is>
          <t>A 16442-2022</t>
        </is>
      </c>
      <c r="B797" s="1" t="n">
        <v>44671</v>
      </c>
      <c r="C797" s="1" t="n">
        <v>45755</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16534-2022</t>
        </is>
      </c>
      <c r="B798" s="1" t="n">
        <v>44672</v>
      </c>
      <c r="C798" s="1" t="n">
        <v>45755</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16835-2022</t>
        </is>
      </c>
      <c r="B799" s="1" t="n">
        <v>44673</v>
      </c>
      <c r="C799" s="1" t="n">
        <v>45755</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17391-2022</t>
        </is>
      </c>
      <c r="B800" s="1" t="n">
        <v>44678</v>
      </c>
      <c r="C800" s="1" t="n">
        <v>45755</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17388-2022</t>
        </is>
      </c>
      <c r="B801" s="1" t="n">
        <v>44678</v>
      </c>
      <c r="C801" s="1" t="n">
        <v>45755</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17390-2022</t>
        </is>
      </c>
      <c r="B802" s="1" t="n">
        <v>44678</v>
      </c>
      <c r="C802" s="1" t="n">
        <v>45755</v>
      </c>
      <c r="D802" t="inlineStr">
        <is>
          <t>STOCKHOLMS LÄN</t>
        </is>
      </c>
      <c r="E802" t="inlineStr">
        <is>
          <t>NORRTÄLJE</t>
        </is>
      </c>
      <c r="G802" t="n">
        <v>4.9</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45755</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17629-2022</t>
        </is>
      </c>
      <c r="B804" s="1" t="n">
        <v>44680</v>
      </c>
      <c r="C804" s="1" t="n">
        <v>45755</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17771-2022</t>
        </is>
      </c>
      <c r="B805" s="1" t="n">
        <v>44682</v>
      </c>
      <c r="C805" s="1" t="n">
        <v>45755</v>
      </c>
      <c r="D805" t="inlineStr">
        <is>
          <t>STOCKHOLMS LÄN</t>
        </is>
      </c>
      <c r="E805" t="inlineStr">
        <is>
          <t>NORRTÄLJE</t>
        </is>
      </c>
      <c r="G805" t="n">
        <v>13.3</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v>
      </c>
      <c r="C806" s="1" t="n">
        <v>45755</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17773-2022</t>
        </is>
      </c>
      <c r="B807" s="1" t="n">
        <v>44682</v>
      </c>
      <c r="C807" s="1" t="n">
        <v>45755</v>
      </c>
      <c r="D807" t="inlineStr">
        <is>
          <t>STOCKHOLMS LÄN</t>
        </is>
      </c>
      <c r="E807" t="inlineStr">
        <is>
          <t>NORRTÄLJE</t>
        </is>
      </c>
      <c r="G807" t="n">
        <v>10.8</v>
      </c>
      <c r="H807" t="n">
        <v>0</v>
      </c>
      <c r="I807" t="n">
        <v>0</v>
      </c>
      <c r="J807" t="n">
        <v>0</v>
      </c>
      <c r="K807" t="n">
        <v>0</v>
      </c>
      <c r="L807" t="n">
        <v>0</v>
      </c>
      <c r="M807" t="n">
        <v>0</v>
      </c>
      <c r="N807" t="n">
        <v>0</v>
      </c>
      <c r="O807" t="n">
        <v>0</v>
      </c>
      <c r="P807" t="n">
        <v>0</v>
      </c>
      <c r="Q807" t="n">
        <v>0</v>
      </c>
      <c r="R807" s="2" t="inlineStr"/>
    </row>
    <row r="808" ht="15" customHeight="1">
      <c r="A808" t="inlineStr">
        <is>
          <t>A 17772-2022</t>
        </is>
      </c>
      <c r="B808" s="1" t="n">
        <v>44682</v>
      </c>
      <c r="C808" s="1" t="n">
        <v>45755</v>
      </c>
      <c r="D808" t="inlineStr">
        <is>
          <t>STOCKHOLMS LÄN</t>
        </is>
      </c>
      <c r="E808" t="inlineStr">
        <is>
          <t>NORRTÄLJE</t>
        </is>
      </c>
      <c r="G808" t="n">
        <v>4</v>
      </c>
      <c r="H808" t="n">
        <v>0</v>
      </c>
      <c r="I808" t="n">
        <v>0</v>
      </c>
      <c r="J808" t="n">
        <v>0</v>
      </c>
      <c r="K808" t="n">
        <v>0</v>
      </c>
      <c r="L808" t="n">
        <v>0</v>
      </c>
      <c r="M808" t="n">
        <v>0</v>
      </c>
      <c r="N808" t="n">
        <v>0</v>
      </c>
      <c r="O808" t="n">
        <v>0</v>
      </c>
      <c r="P808" t="n">
        <v>0</v>
      </c>
      <c r="Q808" t="n">
        <v>0</v>
      </c>
      <c r="R808" s="2" t="inlineStr"/>
    </row>
    <row r="809" ht="15" customHeight="1">
      <c r="A809" t="inlineStr">
        <is>
          <t>A 17777-2022</t>
        </is>
      </c>
      <c r="B809" s="1" t="n">
        <v>44682</v>
      </c>
      <c r="C809" s="1" t="n">
        <v>45755</v>
      </c>
      <c r="D809" t="inlineStr">
        <is>
          <t>STOCKHOLMS LÄN</t>
        </is>
      </c>
      <c r="E809" t="inlineStr">
        <is>
          <t>NORRTÄLJE</t>
        </is>
      </c>
      <c r="G809" t="n">
        <v>3.7</v>
      </c>
      <c r="H809" t="n">
        <v>0</v>
      </c>
      <c r="I809" t="n">
        <v>0</v>
      </c>
      <c r="J809" t="n">
        <v>0</v>
      </c>
      <c r="K809" t="n">
        <v>0</v>
      </c>
      <c r="L809" t="n">
        <v>0</v>
      </c>
      <c r="M809" t="n">
        <v>0</v>
      </c>
      <c r="N809" t="n">
        <v>0</v>
      </c>
      <c r="O809" t="n">
        <v>0</v>
      </c>
      <c r="P809" t="n">
        <v>0</v>
      </c>
      <c r="Q809" t="n">
        <v>0</v>
      </c>
      <c r="R809" s="2" t="inlineStr"/>
    </row>
    <row r="810" ht="15" customHeight="1">
      <c r="A810" t="inlineStr">
        <is>
          <t>A 17803-2022</t>
        </is>
      </c>
      <c r="B810" s="1" t="n">
        <v>44683</v>
      </c>
      <c r="C810" s="1" t="n">
        <v>45755</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17952-2022</t>
        </is>
      </c>
      <c r="B811" s="1" t="n">
        <v>44683</v>
      </c>
      <c r="C811" s="1" t="n">
        <v>45755</v>
      </c>
      <c r="D811" t="inlineStr">
        <is>
          <t>STOCKHOLMS LÄN</t>
        </is>
      </c>
      <c r="E811" t="inlineStr">
        <is>
          <t>NORRTÄLJE</t>
        </is>
      </c>
      <c r="G811" t="n">
        <v>51.1</v>
      </c>
      <c r="H811" t="n">
        <v>0</v>
      </c>
      <c r="I811" t="n">
        <v>0</v>
      </c>
      <c r="J811" t="n">
        <v>0</v>
      </c>
      <c r="K811" t="n">
        <v>0</v>
      </c>
      <c r="L811" t="n">
        <v>0</v>
      </c>
      <c r="M811" t="n">
        <v>0</v>
      </c>
      <c r="N811" t="n">
        <v>0</v>
      </c>
      <c r="O811" t="n">
        <v>0</v>
      </c>
      <c r="P811" t="n">
        <v>0</v>
      </c>
      <c r="Q811" t="n">
        <v>0</v>
      </c>
      <c r="R811" s="2" t="inlineStr"/>
    </row>
    <row r="812" ht="15" customHeight="1">
      <c r="A812" t="inlineStr">
        <is>
          <t>A 18092-2022</t>
        </is>
      </c>
      <c r="B812" s="1" t="n">
        <v>44684</v>
      </c>
      <c r="C812" s="1" t="n">
        <v>45755</v>
      </c>
      <c r="D812" t="inlineStr">
        <is>
          <t>STOCKHOLMS LÄN</t>
        </is>
      </c>
      <c r="E812" t="inlineStr">
        <is>
          <t>NORRTÄLJE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18103-2022</t>
        </is>
      </c>
      <c r="B813" s="1" t="n">
        <v>44684</v>
      </c>
      <c r="C813" s="1" t="n">
        <v>45755</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18350-2022</t>
        </is>
      </c>
      <c r="B814" s="1" t="n">
        <v>44685</v>
      </c>
      <c r="C814" s="1" t="n">
        <v>45755</v>
      </c>
      <c r="D814" t="inlineStr">
        <is>
          <t>STOCKHOLMS LÄN</t>
        </is>
      </c>
      <c r="E814" t="inlineStr">
        <is>
          <t>NORRTÄLJE</t>
        </is>
      </c>
      <c r="F814" t="inlineStr">
        <is>
          <t>Holmen skog AB</t>
        </is>
      </c>
      <c r="G814" t="n">
        <v>7.1</v>
      </c>
      <c r="H814" t="n">
        <v>0</v>
      </c>
      <c r="I814" t="n">
        <v>0</v>
      </c>
      <c r="J814" t="n">
        <v>0</v>
      </c>
      <c r="K814" t="n">
        <v>0</v>
      </c>
      <c r="L814" t="n">
        <v>0</v>
      </c>
      <c r="M814" t="n">
        <v>0</v>
      </c>
      <c r="N814" t="n">
        <v>0</v>
      </c>
      <c r="O814" t="n">
        <v>0</v>
      </c>
      <c r="P814" t="n">
        <v>0</v>
      </c>
      <c r="Q814" t="n">
        <v>0</v>
      </c>
      <c r="R814" s="2" t="inlineStr"/>
    </row>
    <row r="815" ht="15" customHeight="1">
      <c r="A815" t="inlineStr">
        <is>
          <t>A 18546-2022</t>
        </is>
      </c>
      <c r="B815" s="1" t="n">
        <v>44686</v>
      </c>
      <c r="C815" s="1" t="n">
        <v>45755</v>
      </c>
      <c r="D815" t="inlineStr">
        <is>
          <t>STOCKHOLMS LÄN</t>
        </is>
      </c>
      <c r="E815" t="inlineStr">
        <is>
          <t>NORRTÄLJE</t>
        </is>
      </c>
      <c r="G815" t="n">
        <v>15.2</v>
      </c>
      <c r="H815" t="n">
        <v>0</v>
      </c>
      <c r="I815" t="n">
        <v>0</v>
      </c>
      <c r="J815" t="n">
        <v>0</v>
      </c>
      <c r="K815" t="n">
        <v>0</v>
      </c>
      <c r="L815" t="n">
        <v>0</v>
      </c>
      <c r="M815" t="n">
        <v>0</v>
      </c>
      <c r="N815" t="n">
        <v>0</v>
      </c>
      <c r="O815" t="n">
        <v>0</v>
      </c>
      <c r="P815" t="n">
        <v>0</v>
      </c>
      <c r="Q815" t="n">
        <v>0</v>
      </c>
      <c r="R815" s="2" t="inlineStr"/>
    </row>
    <row r="816" ht="15" customHeight="1">
      <c r="A816" t="inlineStr">
        <is>
          <t>A 18665-2022</t>
        </is>
      </c>
      <c r="B816" s="1" t="n">
        <v>44687</v>
      </c>
      <c r="C816" s="1" t="n">
        <v>45755</v>
      </c>
      <c r="D816" t="inlineStr">
        <is>
          <t>STOCKHOLMS LÄN</t>
        </is>
      </c>
      <c r="E816" t="inlineStr">
        <is>
          <t>NORRTÄLJE</t>
        </is>
      </c>
      <c r="F816" t="inlineStr">
        <is>
          <t>Kyrkan</t>
        </is>
      </c>
      <c r="G816" t="n">
        <v>1.1</v>
      </c>
      <c r="H816" t="n">
        <v>0</v>
      </c>
      <c r="I816" t="n">
        <v>0</v>
      </c>
      <c r="J816" t="n">
        <v>0</v>
      </c>
      <c r="K816" t="n">
        <v>0</v>
      </c>
      <c r="L816" t="n">
        <v>0</v>
      </c>
      <c r="M816" t="n">
        <v>0</v>
      </c>
      <c r="N816" t="n">
        <v>0</v>
      </c>
      <c r="O816" t="n">
        <v>0</v>
      </c>
      <c r="P816" t="n">
        <v>0</v>
      </c>
      <c r="Q816" t="n">
        <v>0</v>
      </c>
      <c r="R816" s="2" t="inlineStr"/>
    </row>
    <row r="817" ht="15" customHeight="1">
      <c r="A817" t="inlineStr">
        <is>
          <t>A 18787-2022</t>
        </is>
      </c>
      <c r="B817" s="1" t="n">
        <v>44687</v>
      </c>
      <c r="C817" s="1" t="n">
        <v>45755</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18846-2022</t>
        </is>
      </c>
      <c r="B818" s="1" t="n">
        <v>44690</v>
      </c>
      <c r="C818" s="1" t="n">
        <v>45755</v>
      </c>
      <c r="D818" t="inlineStr">
        <is>
          <t>STOCKHOLMS LÄN</t>
        </is>
      </c>
      <c r="E818" t="inlineStr">
        <is>
          <t>NORRTÄLJE</t>
        </is>
      </c>
      <c r="G818" t="n">
        <v>7</v>
      </c>
      <c r="H818" t="n">
        <v>0</v>
      </c>
      <c r="I818" t="n">
        <v>0</v>
      </c>
      <c r="J818" t="n">
        <v>0</v>
      </c>
      <c r="K818" t="n">
        <v>0</v>
      </c>
      <c r="L818" t="n">
        <v>0</v>
      </c>
      <c r="M818" t="n">
        <v>0</v>
      </c>
      <c r="N818" t="n">
        <v>0</v>
      </c>
      <c r="O818" t="n">
        <v>0</v>
      </c>
      <c r="P818" t="n">
        <v>0</v>
      </c>
      <c r="Q818" t="n">
        <v>0</v>
      </c>
      <c r="R818" s="2" t="inlineStr"/>
    </row>
    <row r="819" ht="15" customHeight="1">
      <c r="A819" t="inlineStr">
        <is>
          <t>A 18905-2022</t>
        </is>
      </c>
      <c r="B819" s="1" t="n">
        <v>44690</v>
      </c>
      <c r="C819" s="1" t="n">
        <v>45755</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18894-2022</t>
        </is>
      </c>
      <c r="B820" s="1" t="n">
        <v>44690</v>
      </c>
      <c r="C820" s="1" t="n">
        <v>45755</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19116-2022</t>
        </is>
      </c>
      <c r="B821" s="1" t="n">
        <v>44691</v>
      </c>
      <c r="C821" s="1" t="n">
        <v>45755</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19118-2022</t>
        </is>
      </c>
      <c r="B822" s="1" t="n">
        <v>44691</v>
      </c>
      <c r="C822" s="1" t="n">
        <v>45755</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19580-2022</t>
        </is>
      </c>
      <c r="B823" s="1" t="n">
        <v>44693</v>
      </c>
      <c r="C823" s="1" t="n">
        <v>45755</v>
      </c>
      <c r="D823" t="inlineStr">
        <is>
          <t>STOCKHOLMS LÄN</t>
        </is>
      </c>
      <c r="E823" t="inlineStr">
        <is>
          <t>NORRTÄLJE</t>
        </is>
      </c>
      <c r="G823" t="n">
        <v>0.4</v>
      </c>
      <c r="H823" t="n">
        <v>0</v>
      </c>
      <c r="I823" t="n">
        <v>0</v>
      </c>
      <c r="J823" t="n">
        <v>0</v>
      </c>
      <c r="K823" t="n">
        <v>0</v>
      </c>
      <c r="L823" t="n">
        <v>0</v>
      </c>
      <c r="M823" t="n">
        <v>0</v>
      </c>
      <c r="N823" t="n">
        <v>0</v>
      </c>
      <c r="O823" t="n">
        <v>0</v>
      </c>
      <c r="P823" t="n">
        <v>0</v>
      </c>
      <c r="Q823" t="n">
        <v>0</v>
      </c>
      <c r="R823" s="2" t="inlineStr"/>
    </row>
    <row r="824" ht="15" customHeight="1">
      <c r="A824" t="inlineStr">
        <is>
          <t>A 19729-2022</t>
        </is>
      </c>
      <c r="B824" s="1" t="n">
        <v>44694</v>
      </c>
      <c r="C824" s="1" t="n">
        <v>45755</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19728-2022</t>
        </is>
      </c>
      <c r="B825" s="1" t="n">
        <v>44694</v>
      </c>
      <c r="C825" s="1" t="n">
        <v>45755</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45755</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19983-2022</t>
        </is>
      </c>
      <c r="B827" s="1" t="n">
        <v>44697</v>
      </c>
      <c r="C827" s="1" t="n">
        <v>45755</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20121-2022</t>
        </is>
      </c>
      <c r="B828" s="1" t="n">
        <v>44698</v>
      </c>
      <c r="C828" s="1" t="n">
        <v>45755</v>
      </c>
      <c r="D828" t="inlineStr">
        <is>
          <t>STOCKHOLMS LÄN</t>
        </is>
      </c>
      <c r="E828" t="inlineStr">
        <is>
          <t>NORRTÄLJE</t>
        </is>
      </c>
      <c r="G828" t="n">
        <v>4.2</v>
      </c>
      <c r="H828" t="n">
        <v>0</v>
      </c>
      <c r="I828" t="n">
        <v>0</v>
      </c>
      <c r="J828" t="n">
        <v>0</v>
      </c>
      <c r="K828" t="n">
        <v>0</v>
      </c>
      <c r="L828" t="n">
        <v>0</v>
      </c>
      <c r="M828" t="n">
        <v>0</v>
      </c>
      <c r="N828" t="n">
        <v>0</v>
      </c>
      <c r="O828" t="n">
        <v>0</v>
      </c>
      <c r="P828" t="n">
        <v>0</v>
      </c>
      <c r="Q828" t="n">
        <v>0</v>
      </c>
      <c r="R828" s="2" t="inlineStr"/>
    </row>
    <row r="829" ht="15" customHeight="1">
      <c r="A829" t="inlineStr">
        <is>
          <t>A 20129-2022</t>
        </is>
      </c>
      <c r="B829" s="1" t="n">
        <v>44698</v>
      </c>
      <c r="C829" s="1" t="n">
        <v>45755</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20291-2022</t>
        </is>
      </c>
      <c r="B830" s="1" t="n">
        <v>44698</v>
      </c>
      <c r="C830" s="1" t="n">
        <v>45755</v>
      </c>
      <c r="D830" t="inlineStr">
        <is>
          <t>STOCKHOLMS LÄN</t>
        </is>
      </c>
      <c r="E830" t="inlineStr">
        <is>
          <t>NORRTÄLJE</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20294-2022</t>
        </is>
      </c>
      <c r="B831" s="1" t="n">
        <v>44698</v>
      </c>
      <c r="C831" s="1" t="n">
        <v>45755</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20295-2022</t>
        </is>
      </c>
      <c r="B832" s="1" t="n">
        <v>44698</v>
      </c>
      <c r="C832" s="1" t="n">
        <v>45755</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20618-2022</t>
        </is>
      </c>
      <c r="B833" s="1" t="n">
        <v>44700</v>
      </c>
      <c r="C833" s="1" t="n">
        <v>45755</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21102-2022</t>
        </is>
      </c>
      <c r="B834" s="1" t="n">
        <v>44704</v>
      </c>
      <c r="C834" s="1" t="n">
        <v>45755</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21158-2022</t>
        </is>
      </c>
      <c r="B835" s="1" t="n">
        <v>44704</v>
      </c>
      <c r="C835" s="1" t="n">
        <v>45755</v>
      </c>
      <c r="D835" t="inlineStr">
        <is>
          <t>STOCKHOLMS LÄN</t>
        </is>
      </c>
      <c r="E835" t="inlineStr">
        <is>
          <t>NORRTÄLJE</t>
        </is>
      </c>
      <c r="G835" t="n">
        <v>17.8</v>
      </c>
      <c r="H835" t="n">
        <v>0</v>
      </c>
      <c r="I835" t="n">
        <v>0</v>
      </c>
      <c r="J835" t="n">
        <v>0</v>
      </c>
      <c r="K835" t="n">
        <v>0</v>
      </c>
      <c r="L835" t="n">
        <v>0</v>
      </c>
      <c r="M835" t="n">
        <v>0</v>
      </c>
      <c r="N835" t="n">
        <v>0</v>
      </c>
      <c r="O835" t="n">
        <v>0</v>
      </c>
      <c r="P835" t="n">
        <v>0</v>
      </c>
      <c r="Q835" t="n">
        <v>0</v>
      </c>
      <c r="R835" s="2" t="inlineStr"/>
    </row>
    <row r="836" ht="15" customHeight="1">
      <c r="A836" t="inlineStr">
        <is>
          <t>A 21174-2022</t>
        </is>
      </c>
      <c r="B836" s="1" t="n">
        <v>44704</v>
      </c>
      <c r="C836" s="1" t="n">
        <v>45755</v>
      </c>
      <c r="D836" t="inlineStr">
        <is>
          <t>STOCKHOLMS LÄN</t>
        </is>
      </c>
      <c r="E836" t="inlineStr">
        <is>
          <t>NORRTÄLJE</t>
        </is>
      </c>
      <c r="G836" t="n">
        <v>5.2</v>
      </c>
      <c r="H836" t="n">
        <v>0</v>
      </c>
      <c r="I836" t="n">
        <v>0</v>
      </c>
      <c r="J836" t="n">
        <v>0</v>
      </c>
      <c r="K836" t="n">
        <v>0</v>
      </c>
      <c r="L836" t="n">
        <v>0</v>
      </c>
      <c r="M836" t="n">
        <v>0</v>
      </c>
      <c r="N836" t="n">
        <v>0</v>
      </c>
      <c r="O836" t="n">
        <v>0</v>
      </c>
      <c r="P836" t="n">
        <v>0</v>
      </c>
      <c r="Q836" t="n">
        <v>0</v>
      </c>
      <c r="R836" s="2" t="inlineStr"/>
    </row>
    <row r="837" ht="15" customHeight="1">
      <c r="A837" t="inlineStr">
        <is>
          <t>A 21480-2022</t>
        </is>
      </c>
      <c r="B837" s="1" t="n">
        <v>44704</v>
      </c>
      <c r="C837" s="1" t="n">
        <v>45755</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21178-2022</t>
        </is>
      </c>
      <c r="B838" s="1" t="n">
        <v>44704</v>
      </c>
      <c r="C838" s="1" t="n">
        <v>45755</v>
      </c>
      <c r="D838" t="inlineStr">
        <is>
          <t>STOCKHOLMS LÄN</t>
        </is>
      </c>
      <c r="E838" t="inlineStr">
        <is>
          <t>NORRTÄLJE</t>
        </is>
      </c>
      <c r="G838" t="n">
        <v>6</v>
      </c>
      <c r="H838" t="n">
        <v>0</v>
      </c>
      <c r="I838" t="n">
        <v>0</v>
      </c>
      <c r="J838" t="n">
        <v>0</v>
      </c>
      <c r="K838" t="n">
        <v>0</v>
      </c>
      <c r="L838" t="n">
        <v>0</v>
      </c>
      <c r="M838" t="n">
        <v>0</v>
      </c>
      <c r="N838" t="n">
        <v>0</v>
      </c>
      <c r="O838" t="n">
        <v>0</v>
      </c>
      <c r="P838" t="n">
        <v>0</v>
      </c>
      <c r="Q838" t="n">
        <v>0</v>
      </c>
      <c r="R838" s="2" t="inlineStr"/>
    </row>
    <row r="839" ht="15" customHeight="1">
      <c r="A839" t="inlineStr">
        <is>
          <t>A 21329-2022</t>
        </is>
      </c>
      <c r="B839" s="1" t="n">
        <v>44705</v>
      </c>
      <c r="C839" s="1" t="n">
        <v>45755</v>
      </c>
      <c r="D839" t="inlineStr">
        <is>
          <t>STOCKHOLMS LÄN</t>
        </is>
      </c>
      <c r="E839" t="inlineStr">
        <is>
          <t>NORRTÄLJE</t>
        </is>
      </c>
      <c r="G839" t="n">
        <v>4.1</v>
      </c>
      <c r="H839" t="n">
        <v>0</v>
      </c>
      <c r="I839" t="n">
        <v>0</v>
      </c>
      <c r="J839" t="n">
        <v>0</v>
      </c>
      <c r="K839" t="n">
        <v>0</v>
      </c>
      <c r="L839" t="n">
        <v>0</v>
      </c>
      <c r="M839" t="n">
        <v>0</v>
      </c>
      <c r="N839" t="n">
        <v>0</v>
      </c>
      <c r="O839" t="n">
        <v>0</v>
      </c>
      <c r="P839" t="n">
        <v>0</v>
      </c>
      <c r="Q839" t="n">
        <v>0</v>
      </c>
      <c r="R839" s="2" t="inlineStr"/>
    </row>
    <row r="840" ht="15" customHeight="1">
      <c r="A840" t="inlineStr">
        <is>
          <t>A 21739-2022</t>
        </is>
      </c>
      <c r="B840" s="1" t="n">
        <v>44708</v>
      </c>
      <c r="C840" s="1" t="n">
        <v>45755</v>
      </c>
      <c r="D840" t="inlineStr">
        <is>
          <t>STOCKHOLMS LÄN</t>
        </is>
      </c>
      <c r="E840" t="inlineStr">
        <is>
          <t>NORRTÄLJE</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21723-2022</t>
        </is>
      </c>
      <c r="B841" s="1" t="n">
        <v>44708</v>
      </c>
      <c r="C841" s="1" t="n">
        <v>45755</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21726-2022</t>
        </is>
      </c>
      <c r="B842" s="1" t="n">
        <v>44708</v>
      </c>
      <c r="C842" s="1" t="n">
        <v>45755</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21803-2022</t>
        </is>
      </c>
      <c r="B843" s="1" t="n">
        <v>44708</v>
      </c>
      <c r="C843" s="1" t="n">
        <v>45755</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21970-2022</t>
        </is>
      </c>
      <c r="B844" s="1" t="n">
        <v>44711</v>
      </c>
      <c r="C844" s="1" t="n">
        <v>45755</v>
      </c>
      <c r="D844" t="inlineStr">
        <is>
          <t>STOCKHOLMS LÄN</t>
        </is>
      </c>
      <c r="E844" t="inlineStr">
        <is>
          <t>NORRTÄLJE</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22072-2022</t>
        </is>
      </c>
      <c r="B845" s="1" t="n">
        <v>44711</v>
      </c>
      <c r="C845" s="1" t="n">
        <v>45755</v>
      </c>
      <c r="D845" t="inlineStr">
        <is>
          <t>STOCKHOLMS LÄN</t>
        </is>
      </c>
      <c r="E845" t="inlineStr">
        <is>
          <t>NORRTÄLJE</t>
        </is>
      </c>
      <c r="G845" t="n">
        <v>9.6</v>
      </c>
      <c r="H845" t="n">
        <v>0</v>
      </c>
      <c r="I845" t="n">
        <v>0</v>
      </c>
      <c r="J845" t="n">
        <v>0</v>
      </c>
      <c r="K845" t="n">
        <v>0</v>
      </c>
      <c r="L845" t="n">
        <v>0</v>
      </c>
      <c r="M845" t="n">
        <v>0</v>
      </c>
      <c r="N845" t="n">
        <v>0</v>
      </c>
      <c r="O845" t="n">
        <v>0</v>
      </c>
      <c r="P845" t="n">
        <v>0</v>
      </c>
      <c r="Q845" t="n">
        <v>0</v>
      </c>
      <c r="R845" s="2" t="inlineStr"/>
    </row>
    <row r="846" ht="15" customHeight="1">
      <c r="A846" t="inlineStr">
        <is>
          <t>A 22071-2022</t>
        </is>
      </c>
      <c r="B846" s="1" t="n">
        <v>44711</v>
      </c>
      <c r="C846" s="1" t="n">
        <v>45755</v>
      </c>
      <c r="D846" t="inlineStr">
        <is>
          <t>STOCKHOLMS LÄN</t>
        </is>
      </c>
      <c r="E846" t="inlineStr">
        <is>
          <t>NORRTÄLJE</t>
        </is>
      </c>
      <c r="G846" t="n">
        <v>7</v>
      </c>
      <c r="H846" t="n">
        <v>0</v>
      </c>
      <c r="I846" t="n">
        <v>0</v>
      </c>
      <c r="J846" t="n">
        <v>0</v>
      </c>
      <c r="K846" t="n">
        <v>0</v>
      </c>
      <c r="L846" t="n">
        <v>0</v>
      </c>
      <c r="M846" t="n">
        <v>0</v>
      </c>
      <c r="N846" t="n">
        <v>0</v>
      </c>
      <c r="O846" t="n">
        <v>0</v>
      </c>
      <c r="P846" t="n">
        <v>0</v>
      </c>
      <c r="Q846" t="n">
        <v>0</v>
      </c>
      <c r="R846" s="2" t="inlineStr"/>
    </row>
    <row r="847" ht="15" customHeight="1">
      <c r="A847" t="inlineStr">
        <is>
          <t>A 22269-2022</t>
        </is>
      </c>
      <c r="B847" s="1" t="n">
        <v>44712</v>
      </c>
      <c r="C847" s="1" t="n">
        <v>45755</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22316-2022</t>
        </is>
      </c>
      <c r="B848" s="1" t="n">
        <v>44712</v>
      </c>
      <c r="C848" s="1" t="n">
        <v>45755</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22503-2022</t>
        </is>
      </c>
      <c r="B849" s="1" t="n">
        <v>44713</v>
      </c>
      <c r="C849" s="1" t="n">
        <v>45755</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22697-2022</t>
        </is>
      </c>
      <c r="B850" s="1" t="n">
        <v>44714</v>
      </c>
      <c r="C850" s="1" t="n">
        <v>45755</v>
      </c>
      <c r="D850" t="inlineStr">
        <is>
          <t>STOCKHOLMS LÄN</t>
        </is>
      </c>
      <c r="E850" t="inlineStr">
        <is>
          <t>NORRTÄLJE</t>
        </is>
      </c>
      <c r="G850" t="n">
        <v>5.6</v>
      </c>
      <c r="H850" t="n">
        <v>0</v>
      </c>
      <c r="I850" t="n">
        <v>0</v>
      </c>
      <c r="J850" t="n">
        <v>0</v>
      </c>
      <c r="K850" t="n">
        <v>0</v>
      </c>
      <c r="L850" t="n">
        <v>0</v>
      </c>
      <c r="M850" t="n">
        <v>0</v>
      </c>
      <c r="N850" t="n">
        <v>0</v>
      </c>
      <c r="O850" t="n">
        <v>0</v>
      </c>
      <c r="P850" t="n">
        <v>0</v>
      </c>
      <c r="Q850" t="n">
        <v>0</v>
      </c>
      <c r="R850" s="2" t="inlineStr"/>
    </row>
    <row r="851" ht="15" customHeight="1">
      <c r="A851" t="inlineStr">
        <is>
          <t>A 22628-2022</t>
        </is>
      </c>
      <c r="B851" s="1" t="n">
        <v>44714</v>
      </c>
      <c r="C851" s="1" t="n">
        <v>45755</v>
      </c>
      <c r="D851" t="inlineStr">
        <is>
          <t>STOCKHOLMS LÄN</t>
        </is>
      </c>
      <c r="E851" t="inlineStr">
        <is>
          <t>NORRTÄLJE</t>
        </is>
      </c>
      <c r="G851" t="n">
        <v>11.4</v>
      </c>
      <c r="H851" t="n">
        <v>0</v>
      </c>
      <c r="I851" t="n">
        <v>0</v>
      </c>
      <c r="J851" t="n">
        <v>0</v>
      </c>
      <c r="K851" t="n">
        <v>0</v>
      </c>
      <c r="L851" t="n">
        <v>0</v>
      </c>
      <c r="M851" t="n">
        <v>0</v>
      </c>
      <c r="N851" t="n">
        <v>0</v>
      </c>
      <c r="O851" t="n">
        <v>0</v>
      </c>
      <c r="P851" t="n">
        <v>0</v>
      </c>
      <c r="Q851" t="n">
        <v>0</v>
      </c>
      <c r="R851" s="2" t="inlineStr"/>
    </row>
    <row r="852" ht="15" customHeight="1">
      <c r="A852" t="inlineStr">
        <is>
          <t>A 22636-2022</t>
        </is>
      </c>
      <c r="B852" s="1" t="n">
        <v>44714</v>
      </c>
      <c r="C852" s="1" t="n">
        <v>45755</v>
      </c>
      <c r="D852" t="inlineStr">
        <is>
          <t>STOCKHOLMS LÄN</t>
        </is>
      </c>
      <c r="E852" t="inlineStr">
        <is>
          <t>NORRTÄLJE</t>
        </is>
      </c>
      <c r="G852" t="n">
        <v>16.6</v>
      </c>
      <c r="H852" t="n">
        <v>0</v>
      </c>
      <c r="I852" t="n">
        <v>0</v>
      </c>
      <c r="J852" t="n">
        <v>0</v>
      </c>
      <c r="K852" t="n">
        <v>0</v>
      </c>
      <c r="L852" t="n">
        <v>0</v>
      </c>
      <c r="M852" t="n">
        <v>0</v>
      </c>
      <c r="N852" t="n">
        <v>0</v>
      </c>
      <c r="O852" t="n">
        <v>0</v>
      </c>
      <c r="P852" t="n">
        <v>0</v>
      </c>
      <c r="Q852" t="n">
        <v>0</v>
      </c>
      <c r="R852" s="2" t="inlineStr"/>
    </row>
    <row r="853" ht="15" customHeight="1">
      <c r="A853" t="inlineStr">
        <is>
          <t>A 22716-2022</t>
        </is>
      </c>
      <c r="B853" s="1" t="n">
        <v>44714</v>
      </c>
      <c r="C853" s="1" t="n">
        <v>45755</v>
      </c>
      <c r="D853" t="inlineStr">
        <is>
          <t>STOCKHOLMS LÄN</t>
        </is>
      </c>
      <c r="E853" t="inlineStr">
        <is>
          <t>NORRTÄLJE</t>
        </is>
      </c>
      <c r="G853" t="n">
        <v>13.5</v>
      </c>
      <c r="H853" t="n">
        <v>0</v>
      </c>
      <c r="I853" t="n">
        <v>0</v>
      </c>
      <c r="J853" t="n">
        <v>0</v>
      </c>
      <c r="K853" t="n">
        <v>0</v>
      </c>
      <c r="L853" t="n">
        <v>0</v>
      </c>
      <c r="M853" t="n">
        <v>0</v>
      </c>
      <c r="N853" t="n">
        <v>0</v>
      </c>
      <c r="O853" t="n">
        <v>0</v>
      </c>
      <c r="P853" t="n">
        <v>0</v>
      </c>
      <c r="Q853" t="n">
        <v>0</v>
      </c>
      <c r="R853" s="2" t="inlineStr"/>
    </row>
    <row r="854" ht="15" customHeight="1">
      <c r="A854" t="inlineStr">
        <is>
          <t>A 22756-2022</t>
        </is>
      </c>
      <c r="B854" s="1" t="n">
        <v>44715</v>
      </c>
      <c r="C854" s="1" t="n">
        <v>45755</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23125-2022</t>
        </is>
      </c>
      <c r="B855" s="1" t="n">
        <v>44719</v>
      </c>
      <c r="C855" s="1" t="n">
        <v>45755</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23770-2022</t>
        </is>
      </c>
      <c r="B856" s="1" t="n">
        <v>44722</v>
      </c>
      <c r="C856" s="1" t="n">
        <v>45755</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23801-2022</t>
        </is>
      </c>
      <c r="B857" s="1" t="n">
        <v>44722</v>
      </c>
      <c r="C857" s="1" t="n">
        <v>45755</v>
      </c>
      <c r="D857" t="inlineStr">
        <is>
          <t>STOCKHOLMS LÄN</t>
        </is>
      </c>
      <c r="E857" t="inlineStr">
        <is>
          <t>NORRTÄLJE</t>
        </is>
      </c>
      <c r="G857" t="n">
        <v>6.8</v>
      </c>
      <c r="H857" t="n">
        <v>0</v>
      </c>
      <c r="I857" t="n">
        <v>0</v>
      </c>
      <c r="J857" t="n">
        <v>0</v>
      </c>
      <c r="K857" t="n">
        <v>0</v>
      </c>
      <c r="L857" t="n">
        <v>0</v>
      </c>
      <c r="M857" t="n">
        <v>0</v>
      </c>
      <c r="N857" t="n">
        <v>0</v>
      </c>
      <c r="O857" t="n">
        <v>0</v>
      </c>
      <c r="P857" t="n">
        <v>0</v>
      </c>
      <c r="Q857" t="n">
        <v>0</v>
      </c>
      <c r="R857" s="2" t="inlineStr"/>
    </row>
    <row r="858" ht="15" customHeight="1">
      <c r="A858" t="inlineStr">
        <is>
          <t>A 24101-2022</t>
        </is>
      </c>
      <c r="B858" s="1" t="n">
        <v>44725</v>
      </c>
      <c r="C858" s="1" t="n">
        <v>45755</v>
      </c>
      <c r="D858" t="inlineStr">
        <is>
          <t>STOCKHOLMS LÄN</t>
        </is>
      </c>
      <c r="E858" t="inlineStr">
        <is>
          <t>NORRTÄLJE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24162-2022</t>
        </is>
      </c>
      <c r="B859" s="1" t="n">
        <v>44725</v>
      </c>
      <c r="C859" s="1" t="n">
        <v>45755</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24167-2022</t>
        </is>
      </c>
      <c r="B860" s="1" t="n">
        <v>44725</v>
      </c>
      <c r="C860" s="1" t="n">
        <v>45755</v>
      </c>
      <c r="D860" t="inlineStr">
        <is>
          <t>STOCKHOLMS LÄN</t>
        </is>
      </c>
      <c r="E860" t="inlineStr">
        <is>
          <t>NORRTÄLJE</t>
        </is>
      </c>
      <c r="G860" t="n">
        <v>3.4</v>
      </c>
      <c r="H860" t="n">
        <v>0</v>
      </c>
      <c r="I860" t="n">
        <v>0</v>
      </c>
      <c r="J860" t="n">
        <v>0</v>
      </c>
      <c r="K860" t="n">
        <v>0</v>
      </c>
      <c r="L860" t="n">
        <v>0</v>
      </c>
      <c r="M860" t="n">
        <v>0</v>
      </c>
      <c r="N860" t="n">
        <v>0</v>
      </c>
      <c r="O860" t="n">
        <v>0</v>
      </c>
      <c r="P860" t="n">
        <v>0</v>
      </c>
      <c r="Q860" t="n">
        <v>0</v>
      </c>
      <c r="R860" s="2" t="inlineStr"/>
    </row>
    <row r="861" ht="15" customHeight="1">
      <c r="A861" t="inlineStr">
        <is>
          <t>A 24152-2022</t>
        </is>
      </c>
      <c r="B861" s="1" t="n">
        <v>44725</v>
      </c>
      <c r="C861" s="1" t="n">
        <v>45755</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24534-2022</t>
        </is>
      </c>
      <c r="B862" s="1" t="n">
        <v>44727</v>
      </c>
      <c r="C862" s="1" t="n">
        <v>45755</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24977-2022</t>
        </is>
      </c>
      <c r="B863" s="1" t="n">
        <v>44728</v>
      </c>
      <c r="C863" s="1" t="n">
        <v>45755</v>
      </c>
      <c r="D863" t="inlineStr">
        <is>
          <t>STOCKHOLMS LÄN</t>
        </is>
      </c>
      <c r="E863" t="inlineStr">
        <is>
          <t>NORRTÄLJE</t>
        </is>
      </c>
      <c r="F863" t="inlineStr">
        <is>
          <t>Kyrkan</t>
        </is>
      </c>
      <c r="G863" t="n">
        <v>1</v>
      </c>
      <c r="H863" t="n">
        <v>0</v>
      </c>
      <c r="I863" t="n">
        <v>0</v>
      </c>
      <c r="J863" t="n">
        <v>0</v>
      </c>
      <c r="K863" t="n">
        <v>0</v>
      </c>
      <c r="L863" t="n">
        <v>0</v>
      </c>
      <c r="M863" t="n">
        <v>0</v>
      </c>
      <c r="N863" t="n">
        <v>0</v>
      </c>
      <c r="O863" t="n">
        <v>0</v>
      </c>
      <c r="P863" t="n">
        <v>0</v>
      </c>
      <c r="Q863" t="n">
        <v>0</v>
      </c>
      <c r="R863" s="2" t="inlineStr"/>
    </row>
    <row r="864" ht="15" customHeight="1">
      <c r="A864" t="inlineStr">
        <is>
          <t>A 25525-2022</t>
        </is>
      </c>
      <c r="B864" s="1" t="n">
        <v>44732</v>
      </c>
      <c r="C864" s="1" t="n">
        <v>45755</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25621-2022</t>
        </is>
      </c>
      <c r="B865" s="1" t="n">
        <v>44732</v>
      </c>
      <c r="C865" s="1" t="n">
        <v>45755</v>
      </c>
      <c r="D865" t="inlineStr">
        <is>
          <t>STOCKHOLMS LÄN</t>
        </is>
      </c>
      <c r="E865" t="inlineStr">
        <is>
          <t>NORRTÄLJE</t>
        </is>
      </c>
      <c r="G865" t="n">
        <v>3.1</v>
      </c>
      <c r="H865" t="n">
        <v>0</v>
      </c>
      <c r="I865" t="n">
        <v>0</v>
      </c>
      <c r="J865" t="n">
        <v>0</v>
      </c>
      <c r="K865" t="n">
        <v>0</v>
      </c>
      <c r="L865" t="n">
        <v>0</v>
      </c>
      <c r="M865" t="n">
        <v>0</v>
      </c>
      <c r="N865" t="n">
        <v>0</v>
      </c>
      <c r="O865" t="n">
        <v>0</v>
      </c>
      <c r="P865" t="n">
        <v>0</v>
      </c>
      <c r="Q865" t="n">
        <v>0</v>
      </c>
      <c r="R865" s="2" t="inlineStr"/>
    </row>
    <row r="866" ht="15" customHeight="1">
      <c r="A866" t="inlineStr">
        <is>
          <t>A 25619-2022</t>
        </is>
      </c>
      <c r="B866" s="1" t="n">
        <v>44732</v>
      </c>
      <c r="C866" s="1" t="n">
        <v>45755</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26328-2022</t>
        </is>
      </c>
      <c r="B867" s="1" t="n">
        <v>44735</v>
      </c>
      <c r="C867" s="1" t="n">
        <v>45755</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26335-2022</t>
        </is>
      </c>
      <c r="B868" s="1" t="n">
        <v>44735</v>
      </c>
      <c r="C868" s="1" t="n">
        <v>45755</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27538-2022</t>
        </is>
      </c>
      <c r="B869" s="1" t="n">
        <v>44742</v>
      </c>
      <c r="C869" s="1" t="n">
        <v>45755</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27715-2022</t>
        </is>
      </c>
      <c r="B870" s="1" t="n">
        <v>44743</v>
      </c>
      <c r="C870" s="1" t="n">
        <v>45755</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27827-2022</t>
        </is>
      </c>
      <c r="B871" s="1" t="n">
        <v>44743</v>
      </c>
      <c r="C871" s="1" t="n">
        <v>45755</v>
      </c>
      <c r="D871" t="inlineStr">
        <is>
          <t>STOCKHOLMS LÄN</t>
        </is>
      </c>
      <c r="E871" t="inlineStr">
        <is>
          <t>NORRTÄLJE</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27870-2022</t>
        </is>
      </c>
      <c r="B872" s="1" t="n">
        <v>44743</v>
      </c>
      <c r="C872" s="1" t="n">
        <v>45755</v>
      </c>
      <c r="D872" t="inlineStr">
        <is>
          <t>STOCKHOLMS LÄN</t>
        </is>
      </c>
      <c r="E872" t="inlineStr">
        <is>
          <t>NORRTÄLJE</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27828-2022</t>
        </is>
      </c>
      <c r="B873" s="1" t="n">
        <v>44743</v>
      </c>
      <c r="C873" s="1" t="n">
        <v>45755</v>
      </c>
      <c r="D873" t="inlineStr">
        <is>
          <t>STOCKHOLMS LÄN</t>
        </is>
      </c>
      <c r="E873" t="inlineStr">
        <is>
          <t>NORRTÄLJE</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27824-2022</t>
        </is>
      </c>
      <c r="B874" s="1" t="n">
        <v>44743</v>
      </c>
      <c r="C874" s="1" t="n">
        <v>45755</v>
      </c>
      <c r="D874" t="inlineStr">
        <is>
          <t>STOCKHOLMS LÄN</t>
        </is>
      </c>
      <c r="E874" t="inlineStr">
        <is>
          <t>NORRTÄLJE</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27831-2022</t>
        </is>
      </c>
      <c r="B875" s="1" t="n">
        <v>44743</v>
      </c>
      <c r="C875" s="1" t="n">
        <v>45755</v>
      </c>
      <c r="D875" t="inlineStr">
        <is>
          <t>STOCKHOLMS LÄN</t>
        </is>
      </c>
      <c r="E875" t="inlineStr">
        <is>
          <t>NORRTÄLJE</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27885-2022</t>
        </is>
      </c>
      <c r="B876" s="1" t="n">
        <v>44743</v>
      </c>
      <c r="C876" s="1" t="n">
        <v>45755</v>
      </c>
      <c r="D876" t="inlineStr">
        <is>
          <t>STOCKHOLMS LÄN</t>
        </is>
      </c>
      <c r="E876" t="inlineStr">
        <is>
          <t>NORRTÄLJE</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27867-2022</t>
        </is>
      </c>
      <c r="B877" s="1" t="n">
        <v>44743</v>
      </c>
      <c r="C877" s="1" t="n">
        <v>45755</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28042-2022</t>
        </is>
      </c>
      <c r="B878" s="1" t="n">
        <v>44744</v>
      </c>
      <c r="C878" s="1" t="n">
        <v>45755</v>
      </c>
      <c r="D878" t="inlineStr">
        <is>
          <t>STOCKHOLMS LÄN</t>
        </is>
      </c>
      <c r="E878" t="inlineStr">
        <is>
          <t>NORRTÄLJE</t>
        </is>
      </c>
      <c r="G878" t="n">
        <v>0.2</v>
      </c>
      <c r="H878" t="n">
        <v>0</v>
      </c>
      <c r="I878" t="n">
        <v>0</v>
      </c>
      <c r="J878" t="n">
        <v>0</v>
      </c>
      <c r="K878" t="n">
        <v>0</v>
      </c>
      <c r="L878" t="n">
        <v>0</v>
      </c>
      <c r="M878" t="n">
        <v>0</v>
      </c>
      <c r="N878" t="n">
        <v>0</v>
      </c>
      <c r="O878" t="n">
        <v>0</v>
      </c>
      <c r="P878" t="n">
        <v>0</v>
      </c>
      <c r="Q878" t="n">
        <v>0</v>
      </c>
      <c r="R878" s="2" t="inlineStr"/>
    </row>
    <row r="879" ht="15" customHeight="1">
      <c r="A879" t="inlineStr">
        <is>
          <t>A 28100-2022</t>
        </is>
      </c>
      <c r="B879" s="1" t="n">
        <v>44746</v>
      </c>
      <c r="C879" s="1" t="n">
        <v>45755</v>
      </c>
      <c r="D879" t="inlineStr">
        <is>
          <t>STOCKHOLMS LÄN</t>
        </is>
      </c>
      <c r="E879" t="inlineStr">
        <is>
          <t>NORRTÄLJE</t>
        </is>
      </c>
      <c r="F879" t="inlineStr">
        <is>
          <t>Holmen skog AB</t>
        </is>
      </c>
      <c r="G879" t="n">
        <v>5.8</v>
      </c>
      <c r="H879" t="n">
        <v>0</v>
      </c>
      <c r="I879" t="n">
        <v>0</v>
      </c>
      <c r="J879" t="n">
        <v>0</v>
      </c>
      <c r="K879" t="n">
        <v>0</v>
      </c>
      <c r="L879" t="n">
        <v>0</v>
      </c>
      <c r="M879" t="n">
        <v>0</v>
      </c>
      <c r="N879" t="n">
        <v>0</v>
      </c>
      <c r="O879" t="n">
        <v>0</v>
      </c>
      <c r="P879" t="n">
        <v>0</v>
      </c>
      <c r="Q879" t="n">
        <v>0</v>
      </c>
      <c r="R879" s="2" t="inlineStr"/>
    </row>
    <row r="880" ht="15" customHeight="1">
      <c r="A880" t="inlineStr">
        <is>
          <t>A 28182-2022</t>
        </is>
      </c>
      <c r="B880" s="1" t="n">
        <v>44746</v>
      </c>
      <c r="C880" s="1" t="n">
        <v>45755</v>
      </c>
      <c r="D880" t="inlineStr">
        <is>
          <t>STOCKHOLMS LÄN</t>
        </is>
      </c>
      <c r="E880" t="inlineStr">
        <is>
          <t>NORRTÄLJE</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28209-2022</t>
        </is>
      </c>
      <c r="B881" s="1" t="n">
        <v>44746</v>
      </c>
      <c r="C881" s="1" t="n">
        <v>45755</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28365-2022</t>
        </is>
      </c>
      <c r="B882" s="1" t="n">
        <v>44747</v>
      </c>
      <c r="C882" s="1" t="n">
        <v>45755</v>
      </c>
      <c r="D882" t="inlineStr">
        <is>
          <t>STOCKHOLMS LÄN</t>
        </is>
      </c>
      <c r="E882" t="inlineStr">
        <is>
          <t>NORRTÄLJE</t>
        </is>
      </c>
      <c r="G882" t="n">
        <v>5.1</v>
      </c>
      <c r="H882" t="n">
        <v>0</v>
      </c>
      <c r="I882" t="n">
        <v>0</v>
      </c>
      <c r="J882" t="n">
        <v>0</v>
      </c>
      <c r="K882" t="n">
        <v>0</v>
      </c>
      <c r="L882" t="n">
        <v>0</v>
      </c>
      <c r="M882" t="n">
        <v>0</v>
      </c>
      <c r="N882" t="n">
        <v>0</v>
      </c>
      <c r="O882" t="n">
        <v>0</v>
      </c>
      <c r="P882" t="n">
        <v>0</v>
      </c>
      <c r="Q882" t="n">
        <v>0</v>
      </c>
      <c r="R882" s="2" t="inlineStr"/>
    </row>
    <row r="883" ht="15" customHeight="1">
      <c r="A883" t="inlineStr">
        <is>
          <t>A 28900-2022</t>
        </is>
      </c>
      <c r="B883" s="1" t="n">
        <v>44749</v>
      </c>
      <c r="C883" s="1" t="n">
        <v>45755</v>
      </c>
      <c r="D883" t="inlineStr">
        <is>
          <t>STOCKHOLMS LÄN</t>
        </is>
      </c>
      <c r="E883" t="inlineStr">
        <is>
          <t>NORRTÄLJE</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28959-2022</t>
        </is>
      </c>
      <c r="B884" s="1" t="n">
        <v>44749</v>
      </c>
      <c r="C884" s="1" t="n">
        <v>45755</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29070-2022</t>
        </is>
      </c>
      <c r="B885" s="1" t="n">
        <v>44750</v>
      </c>
      <c r="C885" s="1" t="n">
        <v>45755</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29266-2022</t>
        </is>
      </c>
      <c r="B886" s="1" t="n">
        <v>44750</v>
      </c>
      <c r="C886" s="1" t="n">
        <v>45755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29278-2022</t>
        </is>
      </c>
      <c r="B887" s="1" t="n">
        <v>44750</v>
      </c>
      <c r="C887" s="1" t="n">
        <v>45755</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29362-2022</t>
        </is>
      </c>
      <c r="B888" s="1" t="n">
        <v>44753</v>
      </c>
      <c r="C888" s="1" t="n">
        <v>45755</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29395-2022</t>
        </is>
      </c>
      <c r="B889" s="1" t="n">
        <v>44753</v>
      </c>
      <c r="C889" s="1" t="n">
        <v>45755</v>
      </c>
      <c r="D889" t="inlineStr">
        <is>
          <t>STOCKHOLMS LÄN</t>
        </is>
      </c>
      <c r="E889" t="inlineStr">
        <is>
          <t>NORRTÄLJE</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29868-2022</t>
        </is>
      </c>
      <c r="B890" s="1" t="n">
        <v>44756</v>
      </c>
      <c r="C890" s="1" t="n">
        <v>45755</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30151-2022</t>
        </is>
      </c>
      <c r="B891" s="1" t="n">
        <v>44757</v>
      </c>
      <c r="C891" s="1" t="n">
        <v>45755</v>
      </c>
      <c r="D891" t="inlineStr">
        <is>
          <t>STOCKHOLMS LÄN</t>
        </is>
      </c>
      <c r="E891" t="inlineStr">
        <is>
          <t>NORRTÄLJE</t>
        </is>
      </c>
      <c r="G891" t="n">
        <v>12.6</v>
      </c>
      <c r="H891" t="n">
        <v>0</v>
      </c>
      <c r="I891" t="n">
        <v>0</v>
      </c>
      <c r="J891" t="n">
        <v>0</v>
      </c>
      <c r="K891" t="n">
        <v>0</v>
      </c>
      <c r="L891" t="n">
        <v>0</v>
      </c>
      <c r="M891" t="n">
        <v>0</v>
      </c>
      <c r="N891" t="n">
        <v>0</v>
      </c>
      <c r="O891" t="n">
        <v>0</v>
      </c>
      <c r="P891" t="n">
        <v>0</v>
      </c>
      <c r="Q891" t="n">
        <v>0</v>
      </c>
      <c r="R891" s="2" t="inlineStr"/>
    </row>
    <row r="892" ht="15" customHeight="1">
      <c r="A892" t="inlineStr">
        <is>
          <t>A 30164-2022</t>
        </is>
      </c>
      <c r="B892" s="1" t="n">
        <v>44757</v>
      </c>
      <c r="C892" s="1" t="n">
        <v>45755</v>
      </c>
      <c r="D892" t="inlineStr">
        <is>
          <t>STOCKHOLMS LÄN</t>
        </is>
      </c>
      <c r="E892" t="inlineStr">
        <is>
          <t>NORRTÄLJE</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30171-2022</t>
        </is>
      </c>
      <c r="B893" s="1" t="n">
        <v>44757</v>
      </c>
      <c r="C893" s="1" t="n">
        <v>45755</v>
      </c>
      <c r="D893" t="inlineStr">
        <is>
          <t>STOCKHOLMS LÄN</t>
        </is>
      </c>
      <c r="E893" t="inlineStr">
        <is>
          <t>NORRTÄLJE</t>
        </is>
      </c>
      <c r="F893" t="inlineStr">
        <is>
          <t>Holmen skog AB</t>
        </is>
      </c>
      <c r="G893" t="n">
        <v>6.3</v>
      </c>
      <c r="H893" t="n">
        <v>0</v>
      </c>
      <c r="I893" t="n">
        <v>0</v>
      </c>
      <c r="J893" t="n">
        <v>0</v>
      </c>
      <c r="K893" t="n">
        <v>0</v>
      </c>
      <c r="L893" t="n">
        <v>0</v>
      </c>
      <c r="M893" t="n">
        <v>0</v>
      </c>
      <c r="N893" t="n">
        <v>0</v>
      </c>
      <c r="O893" t="n">
        <v>0</v>
      </c>
      <c r="P893" t="n">
        <v>0</v>
      </c>
      <c r="Q893" t="n">
        <v>0</v>
      </c>
      <c r="R893" s="2" t="inlineStr"/>
    </row>
    <row r="894" ht="15" customHeight="1">
      <c r="A894" t="inlineStr">
        <is>
          <t>A 30283-2022</t>
        </is>
      </c>
      <c r="B894" s="1" t="n">
        <v>44760</v>
      </c>
      <c r="C894" s="1" t="n">
        <v>45755</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30338-2022</t>
        </is>
      </c>
      <c r="B895" s="1" t="n">
        <v>44760</v>
      </c>
      <c r="C895" s="1" t="n">
        <v>45755</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30286-2022</t>
        </is>
      </c>
      <c r="B896" s="1" t="n">
        <v>44760</v>
      </c>
      <c r="C896" s="1" t="n">
        <v>45755</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30290-2022</t>
        </is>
      </c>
      <c r="B897" s="1" t="n">
        <v>44760</v>
      </c>
      <c r="C897" s="1" t="n">
        <v>45755</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30620-2022</t>
        </is>
      </c>
      <c r="B898" s="1" t="n">
        <v>44763</v>
      </c>
      <c r="C898" s="1" t="n">
        <v>45755</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30624-2022</t>
        </is>
      </c>
      <c r="B899" s="1" t="n">
        <v>44763</v>
      </c>
      <c r="C899" s="1" t="n">
        <v>45755</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30758-2022</t>
        </is>
      </c>
      <c r="B900" s="1" t="n">
        <v>44764</v>
      </c>
      <c r="C900" s="1" t="n">
        <v>45755</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30740-2022</t>
        </is>
      </c>
      <c r="B901" s="1" t="n">
        <v>44764</v>
      </c>
      <c r="C901" s="1" t="n">
        <v>45755</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30750-2022</t>
        </is>
      </c>
      <c r="B902" s="1" t="n">
        <v>44764</v>
      </c>
      <c r="C902" s="1" t="n">
        <v>45755</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30802-2022</t>
        </is>
      </c>
      <c r="B903" s="1" t="n">
        <v>44764</v>
      </c>
      <c r="C903" s="1" t="n">
        <v>45755</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30886-2022</t>
        </is>
      </c>
      <c r="B904" s="1" t="n">
        <v>44767</v>
      </c>
      <c r="C904" s="1" t="n">
        <v>45755</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31102-2022</t>
        </is>
      </c>
      <c r="B905" s="1" t="n">
        <v>44769</v>
      </c>
      <c r="C905" s="1" t="n">
        <v>45755</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31092-2022</t>
        </is>
      </c>
      <c r="B906" s="1" t="n">
        <v>44769</v>
      </c>
      <c r="C906" s="1" t="n">
        <v>45755</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31052-2022</t>
        </is>
      </c>
      <c r="B907" s="1" t="n">
        <v>44769</v>
      </c>
      <c r="C907" s="1" t="n">
        <v>45755</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31105-2022</t>
        </is>
      </c>
      <c r="B908" s="1" t="n">
        <v>44769</v>
      </c>
      <c r="C908" s="1" t="n">
        <v>45755</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31107-2022</t>
        </is>
      </c>
      <c r="B909" s="1" t="n">
        <v>44769</v>
      </c>
      <c r="C909" s="1" t="n">
        <v>45755</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31057-2022</t>
        </is>
      </c>
      <c r="B910" s="1" t="n">
        <v>44769</v>
      </c>
      <c r="C910" s="1" t="n">
        <v>45755</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31236-2022</t>
        </is>
      </c>
      <c r="B911" s="1" t="n">
        <v>44771</v>
      </c>
      <c r="C911" s="1" t="n">
        <v>45755</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31281-2022</t>
        </is>
      </c>
      <c r="B912" s="1" t="n">
        <v>44771</v>
      </c>
      <c r="C912" s="1" t="n">
        <v>45755</v>
      </c>
      <c r="D912" t="inlineStr">
        <is>
          <t>STOCKHOLMS LÄN</t>
        </is>
      </c>
      <c r="E912" t="inlineStr">
        <is>
          <t>NORRTÄLJE</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31283-2022</t>
        </is>
      </c>
      <c r="B913" s="1" t="n">
        <v>44771</v>
      </c>
      <c r="C913" s="1" t="n">
        <v>45755</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31559-2022</t>
        </is>
      </c>
      <c r="B914" s="1" t="n">
        <v>44775</v>
      </c>
      <c r="C914" s="1" t="n">
        <v>45755</v>
      </c>
      <c r="D914" t="inlineStr">
        <is>
          <t>STOCKHOLMS LÄN</t>
        </is>
      </c>
      <c r="E914" t="inlineStr">
        <is>
          <t>NORRTÄLJE</t>
        </is>
      </c>
      <c r="G914" t="n">
        <v>5.6</v>
      </c>
      <c r="H914" t="n">
        <v>0</v>
      </c>
      <c r="I914" t="n">
        <v>0</v>
      </c>
      <c r="J914" t="n">
        <v>0</v>
      </c>
      <c r="K914" t="n">
        <v>0</v>
      </c>
      <c r="L914" t="n">
        <v>0</v>
      </c>
      <c r="M914" t="n">
        <v>0</v>
      </c>
      <c r="N914" t="n">
        <v>0</v>
      </c>
      <c r="O914" t="n">
        <v>0</v>
      </c>
      <c r="P914" t="n">
        <v>0</v>
      </c>
      <c r="Q914" t="n">
        <v>0</v>
      </c>
      <c r="R914" s="2" t="inlineStr"/>
    </row>
    <row r="915" ht="15" customHeight="1">
      <c r="A915" t="inlineStr">
        <is>
          <t>A 31807-2022</t>
        </is>
      </c>
      <c r="B915" s="1" t="n">
        <v>44776</v>
      </c>
      <c r="C915" s="1" t="n">
        <v>45755</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31938-2022</t>
        </is>
      </c>
      <c r="B916" s="1" t="n">
        <v>44777</v>
      </c>
      <c r="C916" s="1" t="n">
        <v>45755</v>
      </c>
      <c r="D916" t="inlineStr">
        <is>
          <t>STOCKHOLMS LÄN</t>
        </is>
      </c>
      <c r="E916" t="inlineStr">
        <is>
          <t>NORRTÄLJE</t>
        </is>
      </c>
      <c r="G916" t="n">
        <v>7.8</v>
      </c>
      <c r="H916" t="n">
        <v>0</v>
      </c>
      <c r="I916" t="n">
        <v>0</v>
      </c>
      <c r="J916" t="n">
        <v>0</v>
      </c>
      <c r="K916" t="n">
        <v>0</v>
      </c>
      <c r="L916" t="n">
        <v>0</v>
      </c>
      <c r="M916" t="n">
        <v>0</v>
      </c>
      <c r="N916" t="n">
        <v>0</v>
      </c>
      <c r="O916" t="n">
        <v>0</v>
      </c>
      <c r="P916" t="n">
        <v>0</v>
      </c>
      <c r="Q916" t="n">
        <v>0</v>
      </c>
      <c r="R916" s="2" t="inlineStr"/>
    </row>
    <row r="917" ht="15" customHeight="1">
      <c r="A917" t="inlineStr">
        <is>
          <t>A 31936-2022</t>
        </is>
      </c>
      <c r="B917" s="1" t="n">
        <v>44777</v>
      </c>
      <c r="C917" s="1" t="n">
        <v>45755</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31924-2022</t>
        </is>
      </c>
      <c r="B918" s="1" t="n">
        <v>44777</v>
      </c>
      <c r="C918" s="1" t="n">
        <v>45755</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31939-2022</t>
        </is>
      </c>
      <c r="B919" s="1" t="n">
        <v>44777</v>
      </c>
      <c r="C919" s="1" t="n">
        <v>45755</v>
      </c>
      <c r="D919" t="inlineStr">
        <is>
          <t>STOCKHOLMS LÄN</t>
        </is>
      </c>
      <c r="E919" t="inlineStr">
        <is>
          <t>NORRTÄLJE</t>
        </is>
      </c>
      <c r="G919" t="n">
        <v>13.5</v>
      </c>
      <c r="H919" t="n">
        <v>0</v>
      </c>
      <c r="I919" t="n">
        <v>0</v>
      </c>
      <c r="J919" t="n">
        <v>0</v>
      </c>
      <c r="K919" t="n">
        <v>0</v>
      </c>
      <c r="L919" t="n">
        <v>0</v>
      </c>
      <c r="M919" t="n">
        <v>0</v>
      </c>
      <c r="N919" t="n">
        <v>0</v>
      </c>
      <c r="O919" t="n">
        <v>0</v>
      </c>
      <c r="P919" t="n">
        <v>0</v>
      </c>
      <c r="Q919" t="n">
        <v>0</v>
      </c>
      <c r="R919" s="2" t="inlineStr"/>
    </row>
    <row r="920" ht="15" customHeight="1">
      <c r="A920" t="inlineStr">
        <is>
          <t>A 31926-2022</t>
        </is>
      </c>
      <c r="B920" s="1" t="n">
        <v>44777</v>
      </c>
      <c r="C920" s="1" t="n">
        <v>45755</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31934-2022</t>
        </is>
      </c>
      <c r="B921" s="1" t="n">
        <v>44777</v>
      </c>
      <c r="C921" s="1" t="n">
        <v>45755</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32103-2022</t>
        </is>
      </c>
      <c r="B922" s="1" t="n">
        <v>44778</v>
      </c>
      <c r="C922" s="1" t="n">
        <v>45755</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32111-2022</t>
        </is>
      </c>
      <c r="B923" s="1" t="n">
        <v>44779</v>
      </c>
      <c r="C923" s="1" t="n">
        <v>45755</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32101-2022</t>
        </is>
      </c>
      <c r="B924" s="1" t="n">
        <v>44778</v>
      </c>
      <c r="C924" s="1" t="n">
        <v>45755</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32100-2022</t>
        </is>
      </c>
      <c r="B925" s="1" t="n">
        <v>44778</v>
      </c>
      <c r="C925" s="1" t="n">
        <v>45755</v>
      </c>
      <c r="D925" t="inlineStr">
        <is>
          <t>STOCKHOLMS LÄN</t>
        </is>
      </c>
      <c r="E925" t="inlineStr">
        <is>
          <t>NORRTÄLJE</t>
        </is>
      </c>
      <c r="G925" t="n">
        <v>3.3</v>
      </c>
      <c r="H925" t="n">
        <v>0</v>
      </c>
      <c r="I925" t="n">
        <v>0</v>
      </c>
      <c r="J925" t="n">
        <v>0</v>
      </c>
      <c r="K925" t="n">
        <v>0</v>
      </c>
      <c r="L925" t="n">
        <v>0</v>
      </c>
      <c r="M925" t="n">
        <v>0</v>
      </c>
      <c r="N925" t="n">
        <v>0</v>
      </c>
      <c r="O925" t="n">
        <v>0</v>
      </c>
      <c r="P925" t="n">
        <v>0</v>
      </c>
      <c r="Q925" t="n">
        <v>0</v>
      </c>
      <c r="R925" s="2" t="inlineStr"/>
    </row>
    <row r="926" ht="15" customHeight="1">
      <c r="A926" t="inlineStr">
        <is>
          <t>A 32102-2022</t>
        </is>
      </c>
      <c r="B926" s="1" t="n">
        <v>44778</v>
      </c>
      <c r="C926" s="1" t="n">
        <v>45755</v>
      </c>
      <c r="D926" t="inlineStr">
        <is>
          <t>STOCKHOLMS LÄN</t>
        </is>
      </c>
      <c r="E926" t="inlineStr">
        <is>
          <t>NORRTÄLJE</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32514-2022</t>
        </is>
      </c>
      <c r="B927" s="1" t="n">
        <v>44782</v>
      </c>
      <c r="C927" s="1" t="n">
        <v>45755</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32705-2022</t>
        </is>
      </c>
      <c r="B928" s="1" t="n">
        <v>44783</v>
      </c>
      <c r="C928" s="1" t="n">
        <v>45755</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33055-2022</t>
        </is>
      </c>
      <c r="B929" s="1" t="n">
        <v>44785</v>
      </c>
      <c r="C929" s="1" t="n">
        <v>45755</v>
      </c>
      <c r="D929" t="inlineStr">
        <is>
          <t>STOCKHOLMS LÄN</t>
        </is>
      </c>
      <c r="E929" t="inlineStr">
        <is>
          <t>NORRTÄLJE</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33149-2022</t>
        </is>
      </c>
      <c r="B930" s="1" t="n">
        <v>44785</v>
      </c>
      <c r="C930" s="1" t="n">
        <v>45755</v>
      </c>
      <c r="D930" t="inlineStr">
        <is>
          <t>STOCKHOLMS LÄN</t>
        </is>
      </c>
      <c r="E930" t="inlineStr">
        <is>
          <t>NORRTÄLJE</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33445-2022</t>
        </is>
      </c>
      <c r="B931" s="1" t="n">
        <v>44788</v>
      </c>
      <c r="C931" s="1" t="n">
        <v>45755</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33793-2022</t>
        </is>
      </c>
      <c r="B932" s="1" t="n">
        <v>44790</v>
      </c>
      <c r="C932" s="1" t="n">
        <v>45755</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33895-2022</t>
        </is>
      </c>
      <c r="B933" s="1" t="n">
        <v>44790</v>
      </c>
      <c r="C933" s="1" t="n">
        <v>45755</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34773-2022</t>
        </is>
      </c>
      <c r="B934" s="1" t="n">
        <v>44795</v>
      </c>
      <c r="C934" s="1" t="n">
        <v>45755</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35121-2022</t>
        </is>
      </c>
      <c r="B935" s="1" t="n">
        <v>44797</v>
      </c>
      <c r="C935" s="1" t="n">
        <v>45755</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35161-2022</t>
        </is>
      </c>
      <c r="B936" s="1" t="n">
        <v>44797</v>
      </c>
      <c r="C936" s="1" t="n">
        <v>45755</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35156-2022</t>
        </is>
      </c>
      <c r="B937" s="1" t="n">
        <v>44797</v>
      </c>
      <c r="C937" s="1" t="n">
        <v>45755</v>
      </c>
      <c r="D937" t="inlineStr">
        <is>
          <t>STOCKHOLMS LÄN</t>
        </is>
      </c>
      <c r="E937" t="inlineStr">
        <is>
          <t>NORRTÄLJE</t>
        </is>
      </c>
      <c r="G937" t="n">
        <v>3.6</v>
      </c>
      <c r="H937" t="n">
        <v>0</v>
      </c>
      <c r="I937" t="n">
        <v>0</v>
      </c>
      <c r="J937" t="n">
        <v>0</v>
      </c>
      <c r="K937" t="n">
        <v>0</v>
      </c>
      <c r="L937" t="n">
        <v>0</v>
      </c>
      <c r="M937" t="n">
        <v>0</v>
      </c>
      <c r="N937" t="n">
        <v>0</v>
      </c>
      <c r="O937" t="n">
        <v>0</v>
      </c>
      <c r="P937" t="n">
        <v>0</v>
      </c>
      <c r="Q937" t="n">
        <v>0</v>
      </c>
      <c r="R937" s="2" t="inlineStr"/>
    </row>
    <row r="938" ht="15" customHeight="1">
      <c r="A938" t="inlineStr">
        <is>
          <t>A 35708-2022</t>
        </is>
      </c>
      <c r="B938" s="1" t="n">
        <v>44799</v>
      </c>
      <c r="C938" s="1" t="n">
        <v>45755</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36269-2022</t>
        </is>
      </c>
      <c r="B939" s="1" t="n">
        <v>44803</v>
      </c>
      <c r="C939" s="1" t="n">
        <v>45755</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45755</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36975-2022</t>
        </is>
      </c>
      <c r="B941" s="1" t="n">
        <v>44806</v>
      </c>
      <c r="C941" s="1" t="n">
        <v>45755</v>
      </c>
      <c r="D941" t="inlineStr">
        <is>
          <t>STOCKHOLMS LÄN</t>
        </is>
      </c>
      <c r="E941" t="inlineStr">
        <is>
          <t>NORRTÄLJE</t>
        </is>
      </c>
      <c r="G941" t="n">
        <v>4.7</v>
      </c>
      <c r="H941" t="n">
        <v>0</v>
      </c>
      <c r="I941" t="n">
        <v>0</v>
      </c>
      <c r="J941" t="n">
        <v>0</v>
      </c>
      <c r="K941" t="n">
        <v>0</v>
      </c>
      <c r="L941" t="n">
        <v>0</v>
      </c>
      <c r="M941" t="n">
        <v>0</v>
      </c>
      <c r="N941" t="n">
        <v>0</v>
      </c>
      <c r="O941" t="n">
        <v>0</v>
      </c>
      <c r="P941" t="n">
        <v>0</v>
      </c>
      <c r="Q941" t="n">
        <v>0</v>
      </c>
      <c r="R941" s="2" t="inlineStr"/>
    </row>
    <row r="942" ht="15" customHeight="1">
      <c r="A942" t="inlineStr">
        <is>
          <t>A 37550-2022</t>
        </is>
      </c>
      <c r="B942" s="1" t="n">
        <v>44809</v>
      </c>
      <c r="C942" s="1" t="n">
        <v>45755</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37679-2022</t>
        </is>
      </c>
      <c r="B943" s="1" t="n">
        <v>44810</v>
      </c>
      <c r="C943" s="1" t="n">
        <v>45755</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37815-2022</t>
        </is>
      </c>
      <c r="B944" s="1" t="n">
        <v>44810</v>
      </c>
      <c r="C944" s="1" t="n">
        <v>45755</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38449-2022</t>
        </is>
      </c>
      <c r="B945" s="1" t="n">
        <v>44813</v>
      </c>
      <c r="C945" s="1" t="n">
        <v>45755</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38612-2022</t>
        </is>
      </c>
      <c r="B946" s="1" t="n">
        <v>44813</v>
      </c>
      <c r="C946" s="1" t="n">
        <v>45755</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38590-2022</t>
        </is>
      </c>
      <c r="B947" s="1" t="n">
        <v>44813</v>
      </c>
      <c r="C947" s="1" t="n">
        <v>45755</v>
      </c>
      <c r="D947" t="inlineStr">
        <is>
          <t>STOCKHOLMS LÄN</t>
        </is>
      </c>
      <c r="E947" t="inlineStr">
        <is>
          <t>NORRTÄLJE</t>
        </is>
      </c>
      <c r="G947" t="n">
        <v>5.9</v>
      </c>
      <c r="H947" t="n">
        <v>0</v>
      </c>
      <c r="I947" t="n">
        <v>0</v>
      </c>
      <c r="J947" t="n">
        <v>0</v>
      </c>
      <c r="K947" t="n">
        <v>0</v>
      </c>
      <c r="L947" t="n">
        <v>0</v>
      </c>
      <c r="M947" t="n">
        <v>0</v>
      </c>
      <c r="N947" t="n">
        <v>0</v>
      </c>
      <c r="O947" t="n">
        <v>0</v>
      </c>
      <c r="P947" t="n">
        <v>0</v>
      </c>
      <c r="Q947" t="n">
        <v>0</v>
      </c>
      <c r="R947" s="2" t="inlineStr"/>
    </row>
    <row r="948" ht="15" customHeight="1">
      <c r="A948" t="inlineStr">
        <is>
          <t>A 38610-2022</t>
        </is>
      </c>
      <c r="B948" s="1" t="n">
        <v>44813</v>
      </c>
      <c r="C948" s="1" t="n">
        <v>45755</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38720-2022</t>
        </is>
      </c>
      <c r="B949" s="1" t="n">
        <v>44815</v>
      </c>
      <c r="C949" s="1" t="n">
        <v>45755</v>
      </c>
      <c r="D949" t="inlineStr">
        <is>
          <t>STOCKHOLMS LÄN</t>
        </is>
      </c>
      <c r="E949" t="inlineStr">
        <is>
          <t>NORRTÄLJE</t>
        </is>
      </c>
      <c r="G949" t="n">
        <v>2.5</v>
      </c>
      <c r="H949" t="n">
        <v>0</v>
      </c>
      <c r="I949" t="n">
        <v>0</v>
      </c>
      <c r="J949" t="n">
        <v>0</v>
      </c>
      <c r="K949" t="n">
        <v>0</v>
      </c>
      <c r="L949" t="n">
        <v>0</v>
      </c>
      <c r="M949" t="n">
        <v>0</v>
      </c>
      <c r="N949" t="n">
        <v>0</v>
      </c>
      <c r="O949" t="n">
        <v>0</v>
      </c>
      <c r="P949" t="n">
        <v>0</v>
      </c>
      <c r="Q949" t="n">
        <v>0</v>
      </c>
      <c r="R949" s="2" t="inlineStr"/>
    </row>
    <row r="950" ht="15" customHeight="1">
      <c r="A950" t="inlineStr">
        <is>
          <t>A 38721-2022</t>
        </is>
      </c>
      <c r="B950" s="1" t="n">
        <v>44815</v>
      </c>
      <c r="C950" s="1" t="n">
        <v>45755</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38927-2022</t>
        </is>
      </c>
      <c r="B951" s="1" t="n">
        <v>44816</v>
      </c>
      <c r="C951" s="1" t="n">
        <v>45755</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38759-2022</t>
        </is>
      </c>
      <c r="B952" s="1" t="n">
        <v>44816</v>
      </c>
      <c r="C952" s="1" t="n">
        <v>45755</v>
      </c>
      <c r="D952" t="inlineStr">
        <is>
          <t>STOCKHOLMS LÄN</t>
        </is>
      </c>
      <c r="E952" t="inlineStr">
        <is>
          <t>NORRTÄLJE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38990-2022</t>
        </is>
      </c>
      <c r="B953" s="1" t="n">
        <v>44816</v>
      </c>
      <c r="C953" s="1" t="n">
        <v>45755</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38991-2022</t>
        </is>
      </c>
      <c r="B954" s="1" t="n">
        <v>44816</v>
      </c>
      <c r="C954" s="1" t="n">
        <v>45755</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38985-2022</t>
        </is>
      </c>
      <c r="B955" s="1" t="n">
        <v>44816</v>
      </c>
      <c r="C955" s="1" t="n">
        <v>45755</v>
      </c>
      <c r="D955" t="inlineStr">
        <is>
          <t>STOCKHOLMS LÄN</t>
        </is>
      </c>
      <c r="E955" t="inlineStr">
        <is>
          <t>NORRTÄLJE</t>
        </is>
      </c>
      <c r="G955" t="n">
        <v>10.1</v>
      </c>
      <c r="H955" t="n">
        <v>0</v>
      </c>
      <c r="I955" t="n">
        <v>0</v>
      </c>
      <c r="J955" t="n">
        <v>0</v>
      </c>
      <c r="K955" t="n">
        <v>0</v>
      </c>
      <c r="L955" t="n">
        <v>0</v>
      </c>
      <c r="M955" t="n">
        <v>0</v>
      </c>
      <c r="N955" t="n">
        <v>0</v>
      </c>
      <c r="O955" t="n">
        <v>0</v>
      </c>
      <c r="P955" t="n">
        <v>0</v>
      </c>
      <c r="Q955" t="n">
        <v>0</v>
      </c>
      <c r="R955" s="2" t="inlineStr"/>
    </row>
    <row r="956" ht="15" customHeight="1">
      <c r="A956" t="inlineStr">
        <is>
          <t>A 38992-2022</t>
        </is>
      </c>
      <c r="B956" s="1" t="n">
        <v>44817</v>
      </c>
      <c r="C956" s="1" t="n">
        <v>45755</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39213-2022</t>
        </is>
      </c>
      <c r="B957" s="1" t="n">
        <v>44817</v>
      </c>
      <c r="C957" s="1" t="n">
        <v>45755</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39319-2022</t>
        </is>
      </c>
      <c r="B958" s="1" t="n">
        <v>44817</v>
      </c>
      <c r="C958" s="1" t="n">
        <v>45755</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39854-2022</t>
        </is>
      </c>
      <c r="B959" s="1" t="n">
        <v>44819</v>
      </c>
      <c r="C959" s="1" t="n">
        <v>45755</v>
      </c>
      <c r="D959" t="inlineStr">
        <is>
          <t>STOCKHOLMS LÄN</t>
        </is>
      </c>
      <c r="E959" t="inlineStr">
        <is>
          <t>NORRTÄLJE</t>
        </is>
      </c>
      <c r="G959" t="n">
        <v>4.4</v>
      </c>
      <c r="H959" t="n">
        <v>0</v>
      </c>
      <c r="I959" t="n">
        <v>0</v>
      </c>
      <c r="J959" t="n">
        <v>0</v>
      </c>
      <c r="K959" t="n">
        <v>0</v>
      </c>
      <c r="L959" t="n">
        <v>0</v>
      </c>
      <c r="M959" t="n">
        <v>0</v>
      </c>
      <c r="N959" t="n">
        <v>0</v>
      </c>
      <c r="O959" t="n">
        <v>0</v>
      </c>
      <c r="P959" t="n">
        <v>0</v>
      </c>
      <c r="Q959" t="n">
        <v>0</v>
      </c>
      <c r="R959" s="2" t="inlineStr"/>
    </row>
    <row r="960" ht="15" customHeight="1">
      <c r="A960" t="inlineStr">
        <is>
          <t>A 39869-2022</t>
        </is>
      </c>
      <c r="B960" s="1" t="n">
        <v>44819</v>
      </c>
      <c r="C960" s="1" t="n">
        <v>45755</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39867-2022</t>
        </is>
      </c>
      <c r="B961" s="1" t="n">
        <v>44819</v>
      </c>
      <c r="C961" s="1" t="n">
        <v>45755</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40504-2022</t>
        </is>
      </c>
      <c r="B962" s="1" t="n">
        <v>44823</v>
      </c>
      <c r="C962" s="1" t="n">
        <v>45755</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40503-2022</t>
        </is>
      </c>
      <c r="B963" s="1" t="n">
        <v>44823</v>
      </c>
      <c r="C963" s="1" t="n">
        <v>45755</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40656-2022</t>
        </is>
      </c>
      <c r="B964" s="1" t="n">
        <v>44824</v>
      </c>
      <c r="C964" s="1" t="n">
        <v>45755</v>
      </c>
      <c r="D964" t="inlineStr">
        <is>
          <t>STOCKHOLMS LÄN</t>
        </is>
      </c>
      <c r="E964" t="inlineStr">
        <is>
          <t>NORRTÄLJE</t>
        </is>
      </c>
      <c r="G964" t="n">
        <v>2.7</v>
      </c>
      <c r="H964" t="n">
        <v>0</v>
      </c>
      <c r="I964" t="n">
        <v>0</v>
      </c>
      <c r="J964" t="n">
        <v>0</v>
      </c>
      <c r="K964" t="n">
        <v>0</v>
      </c>
      <c r="L964" t="n">
        <v>0</v>
      </c>
      <c r="M964" t="n">
        <v>0</v>
      </c>
      <c r="N964" t="n">
        <v>0</v>
      </c>
      <c r="O964" t="n">
        <v>0</v>
      </c>
      <c r="P964" t="n">
        <v>0</v>
      </c>
      <c r="Q964" t="n">
        <v>0</v>
      </c>
      <c r="R964" s="2" t="inlineStr"/>
    </row>
    <row r="965" ht="15" customHeight="1">
      <c r="A965" t="inlineStr">
        <is>
          <t>A 40751-2022</t>
        </is>
      </c>
      <c r="B965" s="1" t="n">
        <v>44824</v>
      </c>
      <c r="C965" s="1" t="n">
        <v>45755</v>
      </c>
      <c r="D965" t="inlineStr">
        <is>
          <t>STOCKHOLMS LÄN</t>
        </is>
      </c>
      <c r="E965" t="inlineStr">
        <is>
          <t>NORRTÄLJE</t>
        </is>
      </c>
      <c r="G965" t="n">
        <v>6.1</v>
      </c>
      <c r="H965" t="n">
        <v>0</v>
      </c>
      <c r="I965" t="n">
        <v>0</v>
      </c>
      <c r="J965" t="n">
        <v>0</v>
      </c>
      <c r="K965" t="n">
        <v>0</v>
      </c>
      <c r="L965" t="n">
        <v>0</v>
      </c>
      <c r="M965" t="n">
        <v>0</v>
      </c>
      <c r="N965" t="n">
        <v>0</v>
      </c>
      <c r="O965" t="n">
        <v>0</v>
      </c>
      <c r="P965" t="n">
        <v>0</v>
      </c>
      <c r="Q965" t="n">
        <v>0</v>
      </c>
      <c r="R965" s="2" t="inlineStr"/>
    </row>
    <row r="966" ht="15" customHeight="1">
      <c r="A966" t="inlineStr">
        <is>
          <t>A 41398-2022</t>
        </is>
      </c>
      <c r="B966" s="1" t="n">
        <v>44826</v>
      </c>
      <c r="C966" s="1" t="n">
        <v>45755</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41320-2022</t>
        </is>
      </c>
      <c r="B967" s="1" t="n">
        <v>44826</v>
      </c>
      <c r="C967" s="1" t="n">
        <v>45755</v>
      </c>
      <c r="D967" t="inlineStr">
        <is>
          <t>STOCKHOLMS LÄN</t>
        </is>
      </c>
      <c r="E967" t="inlineStr">
        <is>
          <t>NORRTÄLJE</t>
        </is>
      </c>
      <c r="F967" t="inlineStr">
        <is>
          <t>Holmen skog AB</t>
        </is>
      </c>
      <c r="G967" t="n">
        <v>1.6</v>
      </c>
      <c r="H967" t="n">
        <v>0</v>
      </c>
      <c r="I967" t="n">
        <v>0</v>
      </c>
      <c r="J967" t="n">
        <v>0</v>
      </c>
      <c r="K967" t="n">
        <v>0</v>
      </c>
      <c r="L967" t="n">
        <v>0</v>
      </c>
      <c r="M967" t="n">
        <v>0</v>
      </c>
      <c r="N967" t="n">
        <v>0</v>
      </c>
      <c r="O967" t="n">
        <v>0</v>
      </c>
      <c r="P967" t="n">
        <v>0</v>
      </c>
      <c r="Q967" t="n">
        <v>0</v>
      </c>
      <c r="R967" s="2" t="inlineStr"/>
    </row>
    <row r="968" ht="15" customHeight="1">
      <c r="A968" t="inlineStr">
        <is>
          <t>A 42087-2022</t>
        </is>
      </c>
      <c r="B968" s="1" t="n">
        <v>44830</v>
      </c>
      <c r="C968" s="1" t="n">
        <v>45755</v>
      </c>
      <c r="D968" t="inlineStr">
        <is>
          <t>STOCKHOLMS LÄN</t>
        </is>
      </c>
      <c r="E968" t="inlineStr">
        <is>
          <t>NORRTÄLJE</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42112-2022</t>
        </is>
      </c>
      <c r="B969" s="1" t="n">
        <v>44830</v>
      </c>
      <c r="C969" s="1" t="n">
        <v>45755</v>
      </c>
      <c r="D969" t="inlineStr">
        <is>
          <t>STOCKHOLMS LÄN</t>
        </is>
      </c>
      <c r="E969" t="inlineStr">
        <is>
          <t>NORRTÄLJE</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42126-2022</t>
        </is>
      </c>
      <c r="B970" s="1" t="n">
        <v>44830</v>
      </c>
      <c r="C970" s="1" t="n">
        <v>45755</v>
      </c>
      <c r="D970" t="inlineStr">
        <is>
          <t>STOCKHOLMS LÄN</t>
        </is>
      </c>
      <c r="E970" t="inlineStr">
        <is>
          <t>NORRTÄLJE</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42867-2022</t>
        </is>
      </c>
      <c r="B971" s="1" t="n">
        <v>44832</v>
      </c>
      <c r="C971" s="1" t="n">
        <v>45755</v>
      </c>
      <c r="D971" t="inlineStr">
        <is>
          <t>STOCKHOLMS LÄN</t>
        </is>
      </c>
      <c r="E971" t="inlineStr">
        <is>
          <t>NORRTÄLJE</t>
        </is>
      </c>
      <c r="G971" t="n">
        <v>6.4</v>
      </c>
      <c r="H971" t="n">
        <v>0</v>
      </c>
      <c r="I971" t="n">
        <v>0</v>
      </c>
      <c r="J971" t="n">
        <v>0</v>
      </c>
      <c r="K971" t="n">
        <v>0</v>
      </c>
      <c r="L971" t="n">
        <v>0</v>
      </c>
      <c r="M971" t="n">
        <v>0</v>
      </c>
      <c r="N971" t="n">
        <v>0</v>
      </c>
      <c r="O971" t="n">
        <v>0</v>
      </c>
      <c r="P971" t="n">
        <v>0</v>
      </c>
      <c r="Q971" t="n">
        <v>0</v>
      </c>
      <c r="R971" s="2" t="inlineStr"/>
    </row>
    <row r="972" ht="15" customHeight="1">
      <c r="A972" t="inlineStr">
        <is>
          <t>A 42955-2022</t>
        </is>
      </c>
      <c r="B972" s="1" t="n">
        <v>44833</v>
      </c>
      <c r="C972" s="1" t="n">
        <v>45755</v>
      </c>
      <c r="D972" t="inlineStr">
        <is>
          <t>STOCKHOLMS LÄN</t>
        </is>
      </c>
      <c r="E972" t="inlineStr">
        <is>
          <t>NORRTÄLJE</t>
        </is>
      </c>
      <c r="G972" t="n">
        <v>13.1</v>
      </c>
      <c r="H972" t="n">
        <v>0</v>
      </c>
      <c r="I972" t="n">
        <v>0</v>
      </c>
      <c r="J972" t="n">
        <v>0</v>
      </c>
      <c r="K972" t="n">
        <v>0</v>
      </c>
      <c r="L972" t="n">
        <v>0</v>
      </c>
      <c r="M972" t="n">
        <v>0</v>
      </c>
      <c r="N972" t="n">
        <v>0</v>
      </c>
      <c r="O972" t="n">
        <v>0</v>
      </c>
      <c r="P972" t="n">
        <v>0</v>
      </c>
      <c r="Q972" t="n">
        <v>0</v>
      </c>
      <c r="R972" s="2" t="inlineStr"/>
    </row>
    <row r="973" ht="15" customHeight="1">
      <c r="A973" t="inlineStr">
        <is>
          <t>A 43036-2022</t>
        </is>
      </c>
      <c r="B973" s="1" t="n">
        <v>44833</v>
      </c>
      <c r="C973" s="1" t="n">
        <v>45755</v>
      </c>
      <c r="D973" t="inlineStr">
        <is>
          <t>STOCKHOLMS LÄN</t>
        </is>
      </c>
      <c r="E973" t="inlineStr">
        <is>
          <t>NORRTÄLJE</t>
        </is>
      </c>
      <c r="F973" t="inlineStr">
        <is>
          <t>Kyrkan</t>
        </is>
      </c>
      <c r="G973" t="n">
        <v>1.7</v>
      </c>
      <c r="H973" t="n">
        <v>0</v>
      </c>
      <c r="I973" t="n">
        <v>0</v>
      </c>
      <c r="J973" t="n">
        <v>0</v>
      </c>
      <c r="K973" t="n">
        <v>0</v>
      </c>
      <c r="L973" t="n">
        <v>0</v>
      </c>
      <c r="M973" t="n">
        <v>0</v>
      </c>
      <c r="N973" t="n">
        <v>0</v>
      </c>
      <c r="O973" t="n">
        <v>0</v>
      </c>
      <c r="P973" t="n">
        <v>0</v>
      </c>
      <c r="Q973" t="n">
        <v>0</v>
      </c>
      <c r="R973" s="2" t="inlineStr"/>
    </row>
    <row r="974" ht="15" customHeight="1">
      <c r="A974" t="inlineStr">
        <is>
          <t>A 43212-2022</t>
        </is>
      </c>
      <c r="B974" s="1" t="n">
        <v>44834</v>
      </c>
      <c r="C974" s="1" t="n">
        <v>45755</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43374-2022</t>
        </is>
      </c>
      <c r="B975" s="1" t="n">
        <v>44834</v>
      </c>
      <c r="C975" s="1" t="n">
        <v>45755</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43972-2022</t>
        </is>
      </c>
      <c r="B976" s="1" t="n">
        <v>44838</v>
      </c>
      <c r="C976" s="1" t="n">
        <v>45755</v>
      </c>
      <c r="D976" t="inlineStr">
        <is>
          <t>STOCKHOLMS LÄN</t>
        </is>
      </c>
      <c r="E976" t="inlineStr">
        <is>
          <t>NORRTÄLJE</t>
        </is>
      </c>
      <c r="F976" t="inlineStr">
        <is>
          <t>Holmen skog AB</t>
        </is>
      </c>
      <c r="G976" t="n">
        <v>8.6</v>
      </c>
      <c r="H976" t="n">
        <v>0</v>
      </c>
      <c r="I976" t="n">
        <v>0</v>
      </c>
      <c r="J976" t="n">
        <v>0</v>
      </c>
      <c r="K976" t="n">
        <v>0</v>
      </c>
      <c r="L976" t="n">
        <v>0</v>
      </c>
      <c r="M976" t="n">
        <v>0</v>
      </c>
      <c r="N976" t="n">
        <v>0</v>
      </c>
      <c r="O976" t="n">
        <v>0</v>
      </c>
      <c r="P976" t="n">
        <v>0</v>
      </c>
      <c r="Q976" t="n">
        <v>0</v>
      </c>
      <c r="R976" s="2" t="inlineStr"/>
    </row>
    <row r="977" ht="15" customHeight="1">
      <c r="A977" t="inlineStr">
        <is>
          <t>A 44349-2022</t>
        </is>
      </c>
      <c r="B977" s="1" t="n">
        <v>44839</v>
      </c>
      <c r="C977" s="1" t="n">
        <v>45755</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45255-2022</t>
        </is>
      </c>
      <c r="B978" s="1" t="n">
        <v>44840</v>
      </c>
      <c r="C978" s="1" t="n">
        <v>45755</v>
      </c>
      <c r="D978" t="inlineStr">
        <is>
          <t>STOCKHOLMS LÄN</t>
        </is>
      </c>
      <c r="E978" t="inlineStr">
        <is>
          <t>NORRTÄLJE</t>
        </is>
      </c>
      <c r="G978" t="n">
        <v>4.1</v>
      </c>
      <c r="H978" t="n">
        <v>0</v>
      </c>
      <c r="I978" t="n">
        <v>0</v>
      </c>
      <c r="J978" t="n">
        <v>0</v>
      </c>
      <c r="K978" t="n">
        <v>0</v>
      </c>
      <c r="L978" t="n">
        <v>0</v>
      </c>
      <c r="M978" t="n">
        <v>0</v>
      </c>
      <c r="N978" t="n">
        <v>0</v>
      </c>
      <c r="O978" t="n">
        <v>0</v>
      </c>
      <c r="P978" t="n">
        <v>0</v>
      </c>
      <c r="Q978" t="n">
        <v>0</v>
      </c>
      <c r="R978" s="2" t="inlineStr"/>
    </row>
    <row r="979" ht="15" customHeight="1">
      <c r="A979" t="inlineStr">
        <is>
          <t>A 44917-2022</t>
        </is>
      </c>
      <c r="B979" s="1" t="n">
        <v>44841</v>
      </c>
      <c r="C979" s="1" t="n">
        <v>45755</v>
      </c>
      <c r="D979" t="inlineStr">
        <is>
          <t>STOCKHOLMS LÄN</t>
        </is>
      </c>
      <c r="E979" t="inlineStr">
        <is>
          <t>NORRTÄLJE</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45541-2022</t>
        </is>
      </c>
      <c r="B980" s="1" t="n">
        <v>44845</v>
      </c>
      <c r="C980" s="1" t="n">
        <v>45755</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45539-2022</t>
        </is>
      </c>
      <c r="B981" s="1" t="n">
        <v>44845</v>
      </c>
      <c r="C981" s="1" t="n">
        <v>45755</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45549-2022</t>
        </is>
      </c>
      <c r="B982" s="1" t="n">
        <v>44845</v>
      </c>
      <c r="C982" s="1" t="n">
        <v>45755</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46914-2022</t>
        </is>
      </c>
      <c r="B983" s="1" t="n">
        <v>44851</v>
      </c>
      <c r="C983" s="1" t="n">
        <v>45755</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47076-2022</t>
        </is>
      </c>
      <c r="B984" s="1" t="n">
        <v>44852</v>
      </c>
      <c r="C984" s="1" t="n">
        <v>45755</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47079-2022</t>
        </is>
      </c>
      <c r="B985" s="1" t="n">
        <v>44852</v>
      </c>
      <c r="C985" s="1" t="n">
        <v>45755</v>
      </c>
      <c r="D985" t="inlineStr">
        <is>
          <t>STOCKHOLMS LÄN</t>
        </is>
      </c>
      <c r="E985" t="inlineStr">
        <is>
          <t>NORRTÄLJE</t>
        </is>
      </c>
      <c r="G985" t="n">
        <v>4.5</v>
      </c>
      <c r="H985" t="n">
        <v>0</v>
      </c>
      <c r="I985" t="n">
        <v>0</v>
      </c>
      <c r="J985" t="n">
        <v>0</v>
      </c>
      <c r="K985" t="n">
        <v>0</v>
      </c>
      <c r="L985" t="n">
        <v>0</v>
      </c>
      <c r="M985" t="n">
        <v>0</v>
      </c>
      <c r="N985" t="n">
        <v>0</v>
      </c>
      <c r="O985" t="n">
        <v>0</v>
      </c>
      <c r="P985" t="n">
        <v>0</v>
      </c>
      <c r="Q985" t="n">
        <v>0</v>
      </c>
      <c r="R985" s="2" t="inlineStr"/>
    </row>
    <row r="986" ht="15" customHeight="1">
      <c r="A986" t="inlineStr">
        <is>
          <t>A 47626-2022</t>
        </is>
      </c>
      <c r="B986" s="1" t="n">
        <v>44854</v>
      </c>
      <c r="C986" s="1" t="n">
        <v>45755</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48316-2022</t>
        </is>
      </c>
      <c r="B987" s="1" t="n">
        <v>44854</v>
      </c>
      <c r="C987" s="1" t="n">
        <v>45755</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47929-2022</t>
        </is>
      </c>
      <c r="B988" s="1" t="n">
        <v>44855</v>
      </c>
      <c r="C988" s="1" t="n">
        <v>45755</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48161-2022</t>
        </is>
      </c>
      <c r="B989" s="1" t="n">
        <v>44858</v>
      </c>
      <c r="C989" s="1" t="n">
        <v>45755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48453-2022</t>
        </is>
      </c>
      <c r="B990" s="1" t="n">
        <v>44858</v>
      </c>
      <c r="C990" s="1" t="n">
        <v>45755</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48492-2022</t>
        </is>
      </c>
      <c r="B991" s="1" t="n">
        <v>44858</v>
      </c>
      <c r="C991" s="1" t="n">
        <v>45755</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50065-2022</t>
        </is>
      </c>
      <c r="B992" s="1" t="n">
        <v>44865</v>
      </c>
      <c r="C992" s="1" t="n">
        <v>45755</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50469-2022</t>
        </is>
      </c>
      <c r="B993" s="1" t="n">
        <v>44866</v>
      </c>
      <c r="C993" s="1" t="n">
        <v>45755</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50481-2022</t>
        </is>
      </c>
      <c r="B994" s="1" t="n">
        <v>44866</v>
      </c>
      <c r="C994" s="1" t="n">
        <v>45755</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50465-2022</t>
        </is>
      </c>
      <c r="B995" s="1" t="n">
        <v>44866</v>
      </c>
      <c r="C995" s="1" t="n">
        <v>45755</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50488-2022</t>
        </is>
      </c>
      <c r="B996" s="1" t="n">
        <v>44866</v>
      </c>
      <c r="C996" s="1" t="n">
        <v>45755</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50563-2022</t>
        </is>
      </c>
      <c r="B997" s="1" t="n">
        <v>44866</v>
      </c>
      <c r="C997" s="1" t="n">
        <v>45755</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50569-2022</t>
        </is>
      </c>
      <c r="B998" s="1" t="n">
        <v>44866</v>
      </c>
      <c r="C998" s="1" t="n">
        <v>45755</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50484-2022</t>
        </is>
      </c>
      <c r="B999" s="1" t="n">
        <v>44866</v>
      </c>
      <c r="C999" s="1" t="n">
        <v>45755</v>
      </c>
      <c r="D999" t="inlineStr">
        <is>
          <t>STOCKHOLMS LÄN</t>
        </is>
      </c>
      <c r="E999" t="inlineStr">
        <is>
          <t>NORRTÄLJE</t>
        </is>
      </c>
      <c r="G999" t="n">
        <v>6.7</v>
      </c>
      <c r="H999" t="n">
        <v>0</v>
      </c>
      <c r="I999" t="n">
        <v>0</v>
      </c>
      <c r="J999" t="n">
        <v>0</v>
      </c>
      <c r="K999" t="n">
        <v>0</v>
      </c>
      <c r="L999" t="n">
        <v>0</v>
      </c>
      <c r="M999" t="n">
        <v>0</v>
      </c>
      <c r="N999" t="n">
        <v>0</v>
      </c>
      <c r="O999" t="n">
        <v>0</v>
      </c>
      <c r="P999" t="n">
        <v>0</v>
      </c>
      <c r="Q999" t="n">
        <v>0</v>
      </c>
      <c r="R999" s="2" t="inlineStr"/>
    </row>
    <row r="1000" ht="15" customHeight="1">
      <c r="A1000" t="inlineStr">
        <is>
          <t>A 50970-2022</t>
        </is>
      </c>
      <c r="B1000" s="1" t="n">
        <v>44867</v>
      </c>
      <c r="C1000" s="1" t="n">
        <v>45755</v>
      </c>
      <c r="D1000" t="inlineStr">
        <is>
          <t>STOCKHOLMS LÄN</t>
        </is>
      </c>
      <c r="E1000" t="inlineStr">
        <is>
          <t>NORRTÄLJE</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50983-2022</t>
        </is>
      </c>
      <c r="B1001" s="1" t="n">
        <v>44867</v>
      </c>
      <c r="C1001" s="1" t="n">
        <v>45755</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v>
      </c>
      <c r="C1002" s="1" t="n">
        <v>45755</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51653-2022</t>
        </is>
      </c>
      <c r="B1003" s="1" t="n">
        <v>44867</v>
      </c>
      <c r="C1003" s="1" t="n">
        <v>45755</v>
      </c>
      <c r="D1003" t="inlineStr">
        <is>
          <t>STOCKHOLMS LÄN</t>
        </is>
      </c>
      <c r="E1003" t="inlineStr">
        <is>
          <t>NORRTÄLJE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51116-2022</t>
        </is>
      </c>
      <c r="B1004" s="1" t="n">
        <v>44868</v>
      </c>
      <c r="C1004" s="1" t="n">
        <v>45755</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51265-2022</t>
        </is>
      </c>
      <c r="B1005" s="1" t="n">
        <v>44868</v>
      </c>
      <c r="C1005" s="1" t="n">
        <v>45755</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52139-2022</t>
        </is>
      </c>
      <c r="B1006" s="1" t="n">
        <v>44868</v>
      </c>
      <c r="C1006" s="1" t="n">
        <v>45755</v>
      </c>
      <c r="D1006" t="inlineStr">
        <is>
          <t>STOCKHOLMS LÄN</t>
        </is>
      </c>
      <c r="E1006" t="inlineStr">
        <is>
          <t>NORRTÄLJE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52133-2022</t>
        </is>
      </c>
      <c r="B1007" s="1" t="n">
        <v>44868</v>
      </c>
      <c r="C1007" s="1" t="n">
        <v>45755</v>
      </c>
      <c r="D1007" t="inlineStr">
        <is>
          <t>STOCKHOLMS LÄN</t>
        </is>
      </c>
      <c r="E1007" t="inlineStr">
        <is>
          <t>NORRTÄLJE</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52260-2022</t>
        </is>
      </c>
      <c r="B1008" s="1" t="n">
        <v>44869</v>
      </c>
      <c r="C1008" s="1" t="n">
        <v>45755</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51984-2022</t>
        </is>
      </c>
      <c r="B1009" s="1" t="n">
        <v>44872</v>
      </c>
      <c r="C1009" s="1" t="n">
        <v>45755</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52322-2022</t>
        </is>
      </c>
      <c r="B1010" s="1" t="n">
        <v>44873</v>
      </c>
      <c r="C1010" s="1" t="n">
        <v>45755</v>
      </c>
      <c r="D1010" t="inlineStr">
        <is>
          <t>STOCKHOLMS LÄN</t>
        </is>
      </c>
      <c r="E1010" t="inlineStr">
        <is>
          <t>NORRTÄLJE</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53461-2022</t>
        </is>
      </c>
      <c r="B1011" s="1" t="n">
        <v>44879</v>
      </c>
      <c r="C1011" s="1" t="n">
        <v>45755</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53600-2022</t>
        </is>
      </c>
      <c r="B1012" s="1" t="n">
        <v>44879</v>
      </c>
      <c r="C1012" s="1" t="n">
        <v>45755</v>
      </c>
      <c r="D1012" t="inlineStr">
        <is>
          <t>STOCKHOLMS LÄN</t>
        </is>
      </c>
      <c r="E1012" t="inlineStr">
        <is>
          <t>NORRTÄLJE</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53459-2022</t>
        </is>
      </c>
      <c r="B1013" s="1" t="n">
        <v>44879</v>
      </c>
      <c r="C1013" s="1" t="n">
        <v>45755</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53884-2022</t>
        </is>
      </c>
      <c r="B1014" s="1" t="n">
        <v>44880</v>
      </c>
      <c r="C1014" s="1" t="n">
        <v>45755</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54169-2022</t>
        </is>
      </c>
      <c r="B1015" s="1" t="n">
        <v>44881</v>
      </c>
      <c r="C1015" s="1" t="n">
        <v>45755</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54175-2022</t>
        </is>
      </c>
      <c r="B1016" s="1" t="n">
        <v>44881</v>
      </c>
      <c r="C1016" s="1" t="n">
        <v>45755</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54355-2022</t>
        </is>
      </c>
      <c r="B1017" s="1" t="n">
        <v>44882</v>
      </c>
      <c r="C1017" s="1" t="n">
        <v>45755</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54427-2022</t>
        </is>
      </c>
      <c r="B1018" s="1" t="n">
        <v>44882</v>
      </c>
      <c r="C1018" s="1" t="n">
        <v>45755</v>
      </c>
      <c r="D1018" t="inlineStr">
        <is>
          <t>STOCKHOLMS LÄN</t>
        </is>
      </c>
      <c r="E1018" t="inlineStr">
        <is>
          <t>NORRTÄLJE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54340-2022</t>
        </is>
      </c>
      <c r="B1019" s="1" t="n">
        <v>44882</v>
      </c>
      <c r="C1019" s="1" t="n">
        <v>45755</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54358-2022</t>
        </is>
      </c>
      <c r="B1020" s="1" t="n">
        <v>44882</v>
      </c>
      <c r="C1020" s="1" t="n">
        <v>45755</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54354-2022</t>
        </is>
      </c>
      <c r="B1021" s="1" t="n">
        <v>44882</v>
      </c>
      <c r="C1021" s="1" t="n">
        <v>45755</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55047-2022</t>
        </is>
      </c>
      <c r="B1022" s="1" t="n">
        <v>44886</v>
      </c>
      <c r="C1022" s="1" t="n">
        <v>45755</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45755</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57037-2022</t>
        </is>
      </c>
      <c r="B1024" s="1" t="n">
        <v>44895</v>
      </c>
      <c r="C1024" s="1" t="n">
        <v>45755</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59767-2022</t>
        </is>
      </c>
      <c r="B1025" s="1" t="n">
        <v>44900</v>
      </c>
      <c r="C1025" s="1" t="n">
        <v>45755</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58302-2022</t>
        </is>
      </c>
      <c r="B1026" s="1" t="n">
        <v>44901</v>
      </c>
      <c r="C1026" s="1" t="n">
        <v>45755</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58492-2022</t>
        </is>
      </c>
      <c r="B1027" s="1" t="n">
        <v>44902</v>
      </c>
      <c r="C1027" s="1" t="n">
        <v>45755</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58543-2022</t>
        </is>
      </c>
      <c r="B1028" s="1" t="n">
        <v>44902</v>
      </c>
      <c r="C1028" s="1" t="n">
        <v>45755</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58993-2022</t>
        </is>
      </c>
      <c r="B1029" s="1" t="n">
        <v>44903</v>
      </c>
      <c r="C1029" s="1" t="n">
        <v>45755</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60525-2022</t>
        </is>
      </c>
      <c r="B1030" s="1" t="n">
        <v>44904</v>
      </c>
      <c r="C1030" s="1" t="n">
        <v>45755</v>
      </c>
      <c r="D1030" t="inlineStr">
        <is>
          <t>STOCKHOLMS LÄN</t>
        </is>
      </c>
      <c r="E1030" t="inlineStr">
        <is>
          <t>NORRTÄLJE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59717-2022</t>
        </is>
      </c>
      <c r="B1031" s="1" t="n">
        <v>44908</v>
      </c>
      <c r="C1031" s="1" t="n">
        <v>45755</v>
      </c>
      <c r="D1031" t="inlineStr">
        <is>
          <t>STOCKHOLMS LÄN</t>
        </is>
      </c>
      <c r="E1031" t="inlineStr">
        <is>
          <t>NORRTÄLJE</t>
        </is>
      </c>
      <c r="F1031" t="inlineStr">
        <is>
          <t>Holmen skog AB</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v>
      </c>
      <c r="C1032" s="1" t="n">
        <v>45755</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59892-2022</t>
        </is>
      </c>
      <c r="B1033" s="1" t="n">
        <v>44908</v>
      </c>
      <c r="C1033" s="1" t="n">
        <v>45755</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60840-2022</t>
        </is>
      </c>
      <c r="B1034" s="1" t="n">
        <v>44914</v>
      </c>
      <c r="C1034" s="1" t="n">
        <v>45755</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61016-2022</t>
        </is>
      </c>
      <c r="B1035" s="1" t="n">
        <v>44914</v>
      </c>
      <c r="C1035" s="1" t="n">
        <v>45755</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62206-2022</t>
        </is>
      </c>
      <c r="B1036" s="1" t="n">
        <v>44922</v>
      </c>
      <c r="C1036" s="1" t="n">
        <v>45755</v>
      </c>
      <c r="D1036" t="inlineStr">
        <is>
          <t>STOCKHOLMS LÄN</t>
        </is>
      </c>
      <c r="E1036" t="inlineStr">
        <is>
          <t>NORRTÄLJE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62398-2022</t>
        </is>
      </c>
      <c r="B1037" s="1" t="n">
        <v>44923</v>
      </c>
      <c r="C1037" s="1" t="n">
        <v>45755</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62593-2022</t>
        </is>
      </c>
      <c r="B1038" s="1" t="n">
        <v>44925</v>
      </c>
      <c r="C1038" s="1" t="n">
        <v>45755</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45755</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574-2023</t>
        </is>
      </c>
      <c r="B1040" s="1" t="n">
        <v>44925</v>
      </c>
      <c r="C1040" s="1" t="n">
        <v>45755</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755-2023</t>
        </is>
      </c>
      <c r="B1041" s="1" t="n">
        <v>44931</v>
      </c>
      <c r="C1041" s="1" t="n">
        <v>45755</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875-2023</t>
        </is>
      </c>
      <c r="B1042" s="1" t="n">
        <v>44931</v>
      </c>
      <c r="C1042" s="1" t="n">
        <v>45755</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951-2023</t>
        </is>
      </c>
      <c r="B1043" s="1" t="n">
        <v>44934</v>
      </c>
      <c r="C1043" s="1" t="n">
        <v>45755</v>
      </c>
      <c r="D1043" t="inlineStr">
        <is>
          <t>STOCKHOLMS LÄN</t>
        </is>
      </c>
      <c r="E1043" t="inlineStr">
        <is>
          <t>NORRTÄLJE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1183-2023</t>
        </is>
      </c>
      <c r="B1044" s="1" t="n">
        <v>44935</v>
      </c>
      <c r="C1044" s="1" t="n">
        <v>45755</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1335-2023</t>
        </is>
      </c>
      <c r="B1045" s="1" t="n">
        <v>44936</v>
      </c>
      <c r="C1045" s="1" t="n">
        <v>45755</v>
      </c>
      <c r="D1045" t="inlineStr">
        <is>
          <t>STOCKHOLMS LÄN</t>
        </is>
      </c>
      <c r="E1045" t="inlineStr">
        <is>
          <t>NORRTÄLJE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1373-2023</t>
        </is>
      </c>
      <c r="B1046" s="1" t="n">
        <v>44936</v>
      </c>
      <c r="C1046" s="1" t="n">
        <v>45755</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1448-2023</t>
        </is>
      </c>
      <c r="B1047" s="1" t="n">
        <v>44937</v>
      </c>
      <c r="C1047" s="1" t="n">
        <v>45755</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1740-2023</t>
        </is>
      </c>
      <c r="B1048" s="1" t="n">
        <v>44938</v>
      </c>
      <c r="C1048" s="1" t="n">
        <v>45755</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1847-2023</t>
        </is>
      </c>
      <c r="B1049" s="1" t="n">
        <v>44938</v>
      </c>
      <c r="C1049" s="1" t="n">
        <v>45755</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2103-2023</t>
        </is>
      </c>
      <c r="B1050" s="1" t="n">
        <v>44939</v>
      </c>
      <c r="C1050" s="1" t="n">
        <v>45755</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2976-2023</t>
        </is>
      </c>
      <c r="B1051" s="1" t="n">
        <v>44945</v>
      </c>
      <c r="C1051" s="1" t="n">
        <v>45755</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2890-2023</t>
        </is>
      </c>
      <c r="B1052" s="1" t="n">
        <v>44945</v>
      </c>
      <c r="C1052" s="1" t="n">
        <v>45755</v>
      </c>
      <c r="D1052" t="inlineStr">
        <is>
          <t>STOCKHOLMS LÄN</t>
        </is>
      </c>
      <c r="E1052" t="inlineStr">
        <is>
          <t>NORRTÄLJE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2982-2023</t>
        </is>
      </c>
      <c r="B1053" s="1" t="n">
        <v>44945</v>
      </c>
      <c r="C1053" s="1" t="n">
        <v>45755</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3383-2023</t>
        </is>
      </c>
      <c r="B1054" s="1" t="n">
        <v>44949</v>
      </c>
      <c r="C1054" s="1" t="n">
        <v>45755</v>
      </c>
      <c r="D1054" t="inlineStr">
        <is>
          <t>STOCKHOLMS LÄN</t>
        </is>
      </c>
      <c r="E1054" t="inlineStr">
        <is>
          <t>NORRTÄLJE</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3444-2023</t>
        </is>
      </c>
      <c r="B1055" s="1" t="n">
        <v>44949</v>
      </c>
      <c r="C1055" s="1" t="n">
        <v>45755</v>
      </c>
      <c r="D1055" t="inlineStr">
        <is>
          <t>STOCKHOLMS LÄN</t>
        </is>
      </c>
      <c r="E1055" t="inlineStr">
        <is>
          <t>NORRTÄLJE</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4035-2023</t>
        </is>
      </c>
      <c r="B1056" s="1" t="n">
        <v>44952</v>
      </c>
      <c r="C1056" s="1" t="n">
        <v>45755</v>
      </c>
      <c r="D1056" t="inlineStr">
        <is>
          <t>STOCKHOLMS LÄN</t>
        </is>
      </c>
      <c r="E1056" t="inlineStr">
        <is>
          <t>NORRTÄLJE</t>
        </is>
      </c>
      <c r="F1056" t="inlineStr">
        <is>
          <t>Holmen skog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4058-2023</t>
        </is>
      </c>
      <c r="B1057" s="1" t="n">
        <v>44952</v>
      </c>
      <c r="C1057" s="1" t="n">
        <v>45755</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4194-2023</t>
        </is>
      </c>
      <c r="B1058" s="1" t="n">
        <v>44953</v>
      </c>
      <c r="C1058" s="1" t="n">
        <v>45755</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4168-2023</t>
        </is>
      </c>
      <c r="B1059" s="1" t="n">
        <v>44953</v>
      </c>
      <c r="C1059" s="1" t="n">
        <v>45755</v>
      </c>
      <c r="D1059" t="inlineStr">
        <is>
          <t>STOCKHOLMS LÄN</t>
        </is>
      </c>
      <c r="E1059" t="inlineStr">
        <is>
          <t>NORRTÄLJE</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4316-2023</t>
        </is>
      </c>
      <c r="B1060" s="1" t="n">
        <v>44953</v>
      </c>
      <c r="C1060" s="1" t="n">
        <v>45755</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4326-2023</t>
        </is>
      </c>
      <c r="B1061" s="1" t="n">
        <v>44953</v>
      </c>
      <c r="C1061" s="1" t="n">
        <v>45755</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4322-2023</t>
        </is>
      </c>
      <c r="B1062" s="1" t="n">
        <v>44953</v>
      </c>
      <c r="C1062" s="1" t="n">
        <v>45755</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4364-2023</t>
        </is>
      </c>
      <c r="B1063" s="1" t="n">
        <v>44954</v>
      </c>
      <c r="C1063" s="1" t="n">
        <v>45755</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4395-2023</t>
        </is>
      </c>
      <c r="B1064" s="1" t="n">
        <v>44956</v>
      </c>
      <c r="C1064" s="1" t="n">
        <v>45755</v>
      </c>
      <c r="D1064" t="inlineStr">
        <is>
          <t>STOCKHOLMS LÄN</t>
        </is>
      </c>
      <c r="E1064" t="inlineStr">
        <is>
          <t>NORRTÄLJE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4438-2023</t>
        </is>
      </c>
      <c r="B1065" s="1" t="n">
        <v>44956</v>
      </c>
      <c r="C1065" s="1" t="n">
        <v>45755</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4593-2023</t>
        </is>
      </c>
      <c r="B1066" s="1" t="n">
        <v>44956</v>
      </c>
      <c r="C1066" s="1" t="n">
        <v>45755</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4596-2023</t>
        </is>
      </c>
      <c r="B1067" s="1" t="n">
        <v>44956</v>
      </c>
      <c r="C1067" s="1" t="n">
        <v>45755</v>
      </c>
      <c r="D1067" t="inlineStr">
        <is>
          <t>STOCKHOLMS LÄN</t>
        </is>
      </c>
      <c r="E1067" t="inlineStr">
        <is>
          <t>NORRTÄLJE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4553-2023</t>
        </is>
      </c>
      <c r="B1068" s="1" t="n">
        <v>44956</v>
      </c>
      <c r="C1068" s="1" t="n">
        <v>45755</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5137-2023</t>
        </is>
      </c>
      <c r="B1069" s="1" t="n">
        <v>44958</v>
      </c>
      <c r="C1069" s="1" t="n">
        <v>45755</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5207-2023</t>
        </is>
      </c>
      <c r="B1070" s="1" t="n">
        <v>44959</v>
      </c>
      <c r="C1070" s="1" t="n">
        <v>45755</v>
      </c>
      <c r="D1070" t="inlineStr">
        <is>
          <t>STOCKHOLMS LÄN</t>
        </is>
      </c>
      <c r="E1070" t="inlineStr">
        <is>
          <t>NORRTÄLJE</t>
        </is>
      </c>
      <c r="F1070" t="inlineStr">
        <is>
          <t>Holmen skog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5422-2023</t>
        </is>
      </c>
      <c r="B1071" s="1" t="n">
        <v>44959</v>
      </c>
      <c r="C1071" s="1" t="n">
        <v>45755</v>
      </c>
      <c r="D1071" t="inlineStr">
        <is>
          <t>STOCKHOLMS LÄN</t>
        </is>
      </c>
      <c r="E1071" t="inlineStr">
        <is>
          <t>NORRTÄLJE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5244-2023</t>
        </is>
      </c>
      <c r="B1072" s="1" t="n">
        <v>44959</v>
      </c>
      <c r="C1072" s="1" t="n">
        <v>45755</v>
      </c>
      <c r="D1072" t="inlineStr">
        <is>
          <t>STOCKHOLMS LÄN</t>
        </is>
      </c>
      <c r="E1072" t="inlineStr">
        <is>
          <t>NORRTÄLJE</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5423-2023</t>
        </is>
      </c>
      <c r="B1073" s="1" t="n">
        <v>44959</v>
      </c>
      <c r="C1073" s="1" t="n">
        <v>45755</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6312-2023</t>
        </is>
      </c>
      <c r="B1074" s="1" t="n">
        <v>44959</v>
      </c>
      <c r="C1074" s="1" t="n">
        <v>45755</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5645-2023</t>
        </is>
      </c>
      <c r="B1075" s="1" t="n">
        <v>44960</v>
      </c>
      <c r="C1075" s="1" t="n">
        <v>45755</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5501-2023</t>
        </is>
      </c>
      <c r="B1076" s="1" t="n">
        <v>44960</v>
      </c>
      <c r="C1076" s="1" t="n">
        <v>45755</v>
      </c>
      <c r="D1076" t="inlineStr">
        <is>
          <t>STOCKHOLMS LÄN</t>
        </is>
      </c>
      <c r="E1076" t="inlineStr">
        <is>
          <t>NORRTÄLJE</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6496-2023</t>
        </is>
      </c>
      <c r="B1077" s="1" t="n">
        <v>44960</v>
      </c>
      <c r="C1077" s="1" t="n">
        <v>45755</v>
      </c>
      <c r="D1077" t="inlineStr">
        <is>
          <t>STOCKHOLMS LÄN</t>
        </is>
      </c>
      <c r="E1077" t="inlineStr">
        <is>
          <t>NORRTÄLJE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5732-2023</t>
        </is>
      </c>
      <c r="B1078" s="1" t="n">
        <v>44962</v>
      </c>
      <c r="C1078" s="1" t="n">
        <v>45755</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5823-2023</t>
        </is>
      </c>
      <c r="B1079" s="1" t="n">
        <v>44963</v>
      </c>
      <c r="C1079" s="1" t="n">
        <v>45755</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45755</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6433-2023</t>
        </is>
      </c>
      <c r="B1081" s="1" t="n">
        <v>44965</v>
      </c>
      <c r="C1081" s="1" t="n">
        <v>45755</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7230-2023</t>
        </is>
      </c>
      <c r="B1082" s="1" t="n">
        <v>44965</v>
      </c>
      <c r="C1082" s="1" t="n">
        <v>45755</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6437-2023</t>
        </is>
      </c>
      <c r="B1083" s="1" t="n">
        <v>44965</v>
      </c>
      <c r="C1083" s="1" t="n">
        <v>45755</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7093-2023</t>
        </is>
      </c>
      <c r="B1084" s="1" t="n">
        <v>44970</v>
      </c>
      <c r="C1084" s="1" t="n">
        <v>45755</v>
      </c>
      <c r="D1084" t="inlineStr">
        <is>
          <t>STOCKHOLMS LÄN</t>
        </is>
      </c>
      <c r="E1084" t="inlineStr">
        <is>
          <t>NORRTÄLJE</t>
        </is>
      </c>
      <c r="F1084" t="inlineStr">
        <is>
          <t>Sveaskog</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7190-2023</t>
        </is>
      </c>
      <c r="B1085" s="1" t="n">
        <v>44970</v>
      </c>
      <c r="C1085" s="1" t="n">
        <v>45755</v>
      </c>
      <c r="D1085" t="inlineStr">
        <is>
          <t>STOCKHOLMS LÄN</t>
        </is>
      </c>
      <c r="E1085" t="inlineStr">
        <is>
          <t>NORRTÄLJE</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7120-2023</t>
        </is>
      </c>
      <c r="B1086" s="1" t="n">
        <v>44970</v>
      </c>
      <c r="C1086" s="1" t="n">
        <v>45755</v>
      </c>
      <c r="D1086" t="inlineStr">
        <is>
          <t>STOCKHOLMS LÄN</t>
        </is>
      </c>
      <c r="E1086" t="inlineStr">
        <is>
          <t>NORRTÄLJE</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7638-2023</t>
        </is>
      </c>
      <c r="B1087" s="1" t="n">
        <v>44972</v>
      </c>
      <c r="C1087" s="1" t="n">
        <v>45755</v>
      </c>
      <c r="D1087" t="inlineStr">
        <is>
          <t>STOCKHOLMS LÄN</t>
        </is>
      </c>
      <c r="E1087" t="inlineStr">
        <is>
          <t>NORRTÄLJE</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7966-2023</t>
        </is>
      </c>
      <c r="B1088" s="1" t="n">
        <v>44973</v>
      </c>
      <c r="C1088" s="1" t="n">
        <v>45755</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7974-2023</t>
        </is>
      </c>
      <c r="B1089" s="1" t="n">
        <v>44973</v>
      </c>
      <c r="C1089" s="1" t="n">
        <v>45755</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8296-2023</t>
        </is>
      </c>
      <c r="B1090" s="1" t="n">
        <v>44974</v>
      </c>
      <c r="C1090" s="1" t="n">
        <v>45755</v>
      </c>
      <c r="D1090" t="inlineStr">
        <is>
          <t>STOCKHOLMS LÄN</t>
        </is>
      </c>
      <c r="E1090" t="inlineStr">
        <is>
          <t>NORRTÄLJE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8586-2023</t>
        </is>
      </c>
      <c r="B1091" s="1" t="n">
        <v>44977</v>
      </c>
      <c r="C1091" s="1" t="n">
        <v>45755</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9401-2023</t>
        </is>
      </c>
      <c r="B1092" s="1" t="n">
        <v>44977</v>
      </c>
      <c r="C1092" s="1" t="n">
        <v>45755</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8730-2023</t>
        </is>
      </c>
      <c r="B1093" s="1" t="n">
        <v>44978</v>
      </c>
      <c r="C1093" s="1" t="n">
        <v>45755</v>
      </c>
      <c r="D1093" t="inlineStr">
        <is>
          <t>STOCKHOLMS LÄN</t>
        </is>
      </c>
      <c r="E1093" t="inlineStr">
        <is>
          <t>NORRTÄLJE</t>
        </is>
      </c>
      <c r="F1093" t="inlineStr">
        <is>
          <t>Holmen skog AB</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8762-2023</t>
        </is>
      </c>
      <c r="B1094" s="1" t="n">
        <v>44978</v>
      </c>
      <c r="C1094" s="1" t="n">
        <v>45755</v>
      </c>
      <c r="D1094" t="inlineStr">
        <is>
          <t>STOCKHOLMS LÄN</t>
        </is>
      </c>
      <c r="E1094" t="inlineStr">
        <is>
          <t>NORRTÄLJE</t>
        </is>
      </c>
      <c r="F1094" t="inlineStr">
        <is>
          <t>Holmen skog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8899-2023</t>
        </is>
      </c>
      <c r="B1095" s="1" t="n">
        <v>44979</v>
      </c>
      <c r="C1095" s="1" t="n">
        <v>45755</v>
      </c>
      <c r="D1095" t="inlineStr">
        <is>
          <t>STOCKHOLMS LÄN</t>
        </is>
      </c>
      <c r="E1095" t="inlineStr">
        <is>
          <t>NORRTÄLJE</t>
        </is>
      </c>
      <c r="F1095" t="inlineStr">
        <is>
          <t>Naturvårdsverket</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9189-2023</t>
        </is>
      </c>
      <c r="B1096" s="1" t="n">
        <v>44980</v>
      </c>
      <c r="C1096" s="1" t="n">
        <v>45755</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9184-2023</t>
        </is>
      </c>
      <c r="B1097" s="1" t="n">
        <v>44980</v>
      </c>
      <c r="C1097" s="1" t="n">
        <v>45755</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9255-2023</t>
        </is>
      </c>
      <c r="B1098" s="1" t="n">
        <v>44980</v>
      </c>
      <c r="C1098" s="1" t="n">
        <v>45755</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9329-2023</t>
        </is>
      </c>
      <c r="B1099" s="1" t="n">
        <v>44980</v>
      </c>
      <c r="C1099" s="1" t="n">
        <v>45755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9793-2023</t>
        </is>
      </c>
      <c r="B1100" s="1" t="n">
        <v>44984</v>
      </c>
      <c r="C1100" s="1" t="n">
        <v>45755</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9914-2023</t>
        </is>
      </c>
      <c r="B1101" s="1" t="n">
        <v>44985</v>
      </c>
      <c r="C1101" s="1" t="n">
        <v>45755</v>
      </c>
      <c r="D1101" t="inlineStr">
        <is>
          <t>STOCKHOLMS LÄN</t>
        </is>
      </c>
      <c r="E1101" t="inlineStr">
        <is>
          <t>NORRTÄLJE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9965-2023</t>
        </is>
      </c>
      <c r="B1102" s="1" t="n">
        <v>44985</v>
      </c>
      <c r="C1102" s="1" t="n">
        <v>45755</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9995-2023</t>
        </is>
      </c>
      <c r="B1103" s="1" t="n">
        <v>44985</v>
      </c>
      <c r="C1103" s="1" t="n">
        <v>45755</v>
      </c>
      <c r="D1103" t="inlineStr">
        <is>
          <t>STOCKHOLMS LÄN</t>
        </is>
      </c>
      <c r="E1103" t="inlineStr">
        <is>
          <t>NORRTÄLJE</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10036-2023</t>
        </is>
      </c>
      <c r="B1104" s="1" t="n">
        <v>44985</v>
      </c>
      <c r="C1104" s="1" t="n">
        <v>45755</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10039-2023</t>
        </is>
      </c>
      <c r="B1105" s="1" t="n">
        <v>44985</v>
      </c>
      <c r="C1105" s="1" t="n">
        <v>45755</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9945-2023</t>
        </is>
      </c>
      <c r="B1106" s="1" t="n">
        <v>44985</v>
      </c>
      <c r="C1106" s="1" t="n">
        <v>45755</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10105-2023</t>
        </is>
      </c>
      <c r="B1107" s="1" t="n">
        <v>44986</v>
      </c>
      <c r="C1107" s="1" t="n">
        <v>45755</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10215-2023</t>
        </is>
      </c>
      <c r="B1108" s="1" t="n">
        <v>44986</v>
      </c>
      <c r="C1108" s="1" t="n">
        <v>45755</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11280-2023</t>
        </is>
      </c>
      <c r="B1109" s="1" t="n">
        <v>44992</v>
      </c>
      <c r="C1109" s="1" t="n">
        <v>45755</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11499-2023</t>
        </is>
      </c>
      <c r="B1110" s="1" t="n">
        <v>44993</v>
      </c>
      <c r="C1110" s="1" t="n">
        <v>45755</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11844-2023</t>
        </is>
      </c>
      <c r="B1111" s="1" t="n">
        <v>44995</v>
      </c>
      <c r="C1111" s="1" t="n">
        <v>45755</v>
      </c>
      <c r="D1111" t="inlineStr">
        <is>
          <t>STOCKHOLMS LÄN</t>
        </is>
      </c>
      <c r="E1111" t="inlineStr">
        <is>
          <t>NORRTÄLJE</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11940-2023</t>
        </is>
      </c>
      <c r="B1112" s="1" t="n">
        <v>44995</v>
      </c>
      <c r="C1112" s="1" t="n">
        <v>45755</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11852-2023</t>
        </is>
      </c>
      <c r="B1113" s="1" t="n">
        <v>44995</v>
      </c>
      <c r="C1113" s="1" t="n">
        <v>45755</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12609-2023</t>
        </is>
      </c>
      <c r="B1114" s="1" t="n">
        <v>45000</v>
      </c>
      <c r="C1114" s="1" t="n">
        <v>45755</v>
      </c>
      <c r="D1114" t="inlineStr">
        <is>
          <t>STOCKHOLMS LÄN</t>
        </is>
      </c>
      <c r="E1114" t="inlineStr">
        <is>
          <t>NORRTÄLJE</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12756-2023</t>
        </is>
      </c>
      <c r="B1115" s="1" t="n">
        <v>45000</v>
      </c>
      <c r="C1115" s="1" t="n">
        <v>45755</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13072-2023</t>
        </is>
      </c>
      <c r="B1116" s="1" t="n">
        <v>45002</v>
      </c>
      <c r="C1116" s="1" t="n">
        <v>45755</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13354-2023</t>
        </is>
      </c>
      <c r="B1117" s="1" t="n">
        <v>45005</v>
      </c>
      <c r="C1117" s="1" t="n">
        <v>45755</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13360-2023</t>
        </is>
      </c>
      <c r="B1118" s="1" t="n">
        <v>45005</v>
      </c>
      <c r="C1118" s="1" t="n">
        <v>45755</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13860-2023</t>
        </is>
      </c>
      <c r="B1119" s="1" t="n">
        <v>45007</v>
      </c>
      <c r="C1119" s="1" t="n">
        <v>45755</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13957-2023</t>
        </is>
      </c>
      <c r="B1120" s="1" t="n">
        <v>45008</v>
      </c>
      <c r="C1120" s="1" t="n">
        <v>45755</v>
      </c>
      <c r="D1120" t="inlineStr">
        <is>
          <t>STOCKHOLMS LÄN</t>
        </is>
      </c>
      <c r="E1120" t="inlineStr">
        <is>
          <t>NORRTÄLJE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13947-2023</t>
        </is>
      </c>
      <c r="B1121" s="1" t="n">
        <v>45008</v>
      </c>
      <c r="C1121" s="1" t="n">
        <v>45755</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13977-2023</t>
        </is>
      </c>
      <c r="B1122" s="1" t="n">
        <v>45008</v>
      </c>
      <c r="C1122" s="1" t="n">
        <v>45755</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14135-2023</t>
        </is>
      </c>
      <c r="B1123" s="1" t="n">
        <v>45009</v>
      </c>
      <c r="C1123" s="1" t="n">
        <v>45755</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15217-2023</t>
        </is>
      </c>
      <c r="B1124" s="1" t="n">
        <v>45019</v>
      </c>
      <c r="C1124" s="1" t="n">
        <v>45755</v>
      </c>
      <c r="D1124" t="inlineStr">
        <is>
          <t>STOCKHOLMS LÄN</t>
        </is>
      </c>
      <c r="E1124" t="inlineStr">
        <is>
          <t>NORRTÄLJE</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15256-2023</t>
        </is>
      </c>
      <c r="B1125" s="1" t="n">
        <v>45019</v>
      </c>
      <c r="C1125" s="1" t="n">
        <v>45755</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15447-2023</t>
        </is>
      </c>
      <c r="B1126" s="1" t="n">
        <v>45020</v>
      </c>
      <c r="C1126" s="1" t="n">
        <v>45755</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15459-2023</t>
        </is>
      </c>
      <c r="B1127" s="1" t="n">
        <v>45020</v>
      </c>
      <c r="C1127" s="1" t="n">
        <v>45755</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15655-2023</t>
        </is>
      </c>
      <c r="B1128" s="1" t="n">
        <v>45021</v>
      </c>
      <c r="C1128" s="1" t="n">
        <v>45755</v>
      </c>
      <c r="D1128" t="inlineStr">
        <is>
          <t>STOCKHOLMS LÄN</t>
        </is>
      </c>
      <c r="E1128" t="inlineStr">
        <is>
          <t>NORRTÄLJE</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15905-2023</t>
        </is>
      </c>
      <c r="B1129" s="1" t="n">
        <v>45022</v>
      </c>
      <c r="C1129" s="1" t="n">
        <v>45755</v>
      </c>
      <c r="D1129" t="inlineStr">
        <is>
          <t>STOCKHOLMS LÄN</t>
        </is>
      </c>
      <c r="E1129" t="inlineStr">
        <is>
          <t>NORRTÄLJE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15915-2023</t>
        </is>
      </c>
      <c r="B1130" s="1" t="n">
        <v>45022</v>
      </c>
      <c r="C1130" s="1" t="n">
        <v>45755</v>
      </c>
      <c r="D1130" t="inlineStr">
        <is>
          <t>STOCKHOLMS LÄN</t>
        </is>
      </c>
      <c r="E1130" t="inlineStr">
        <is>
          <t>NORRTÄLJE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15956-2023</t>
        </is>
      </c>
      <c r="B1131" s="1" t="n">
        <v>45022</v>
      </c>
      <c r="C1131" s="1" t="n">
        <v>45755</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15954-2023</t>
        </is>
      </c>
      <c r="B1132" s="1" t="n">
        <v>45022</v>
      </c>
      <c r="C1132" s="1" t="n">
        <v>45755</v>
      </c>
      <c r="D1132" t="inlineStr">
        <is>
          <t>STOCKHOLMS LÄN</t>
        </is>
      </c>
      <c r="E1132" t="inlineStr">
        <is>
          <t>NORRTÄLJE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16006-2023</t>
        </is>
      </c>
      <c r="B1133" s="1" t="n">
        <v>45025</v>
      </c>
      <c r="C1133" s="1" t="n">
        <v>45755</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16980-2023</t>
        </is>
      </c>
      <c r="B1134" s="1" t="n">
        <v>45033</v>
      </c>
      <c r="C1134" s="1" t="n">
        <v>45755</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16977-2023</t>
        </is>
      </c>
      <c r="B1135" s="1" t="n">
        <v>45033</v>
      </c>
      <c r="C1135" s="1" t="n">
        <v>45755</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17140-2023</t>
        </is>
      </c>
      <c r="B1136" s="1" t="n">
        <v>45034</v>
      </c>
      <c r="C1136" s="1" t="n">
        <v>45755</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17133-2023</t>
        </is>
      </c>
      <c r="B1137" s="1" t="n">
        <v>45034</v>
      </c>
      <c r="C1137" s="1" t="n">
        <v>45755</v>
      </c>
      <c r="D1137" t="inlineStr">
        <is>
          <t>STOCKHOLMS LÄN</t>
        </is>
      </c>
      <c r="E1137" t="inlineStr">
        <is>
          <t>NORRTÄLJE</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17919-2023</t>
        </is>
      </c>
      <c r="B1138" s="1" t="n">
        <v>45040</v>
      </c>
      <c r="C1138" s="1" t="n">
        <v>45755</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17939-2023</t>
        </is>
      </c>
      <c r="B1139" s="1" t="n">
        <v>45040</v>
      </c>
      <c r="C1139" s="1" t="n">
        <v>45755</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17930-2023</t>
        </is>
      </c>
      <c r="B1140" s="1" t="n">
        <v>45040</v>
      </c>
      <c r="C1140" s="1" t="n">
        <v>45755</v>
      </c>
      <c r="D1140" t="inlineStr">
        <is>
          <t>STOCKHOLMS LÄN</t>
        </is>
      </c>
      <c r="E1140" t="inlineStr">
        <is>
          <t>NORRTÄLJE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17984-2023</t>
        </is>
      </c>
      <c r="B1141" s="1" t="n">
        <v>45040</v>
      </c>
      <c r="C1141" s="1" t="n">
        <v>45755</v>
      </c>
      <c r="D1141" t="inlineStr">
        <is>
          <t>STOCKHOLMS LÄN</t>
        </is>
      </c>
      <c r="E1141" t="inlineStr">
        <is>
          <t>NORRTÄLJE</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18023-2023</t>
        </is>
      </c>
      <c r="B1142" s="1" t="n">
        <v>45040</v>
      </c>
      <c r="C1142" s="1" t="n">
        <v>45755</v>
      </c>
      <c r="D1142" t="inlineStr">
        <is>
          <t>STOCKHOLMS LÄN</t>
        </is>
      </c>
      <c r="E1142" t="inlineStr">
        <is>
          <t>NORRTÄLJE</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18541-2023</t>
        </is>
      </c>
      <c r="B1143" s="1" t="n">
        <v>45042</v>
      </c>
      <c r="C1143" s="1" t="n">
        <v>45755</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18540-2023</t>
        </is>
      </c>
      <c r="B1144" s="1" t="n">
        <v>45042</v>
      </c>
      <c r="C1144" s="1" t="n">
        <v>45755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18895-2023</t>
        </is>
      </c>
      <c r="B1145" s="1" t="n">
        <v>45044</v>
      </c>
      <c r="C1145" s="1" t="n">
        <v>45755</v>
      </c>
      <c r="D1145" t="inlineStr">
        <is>
          <t>STOCKHOLMS LÄN</t>
        </is>
      </c>
      <c r="E1145" t="inlineStr">
        <is>
          <t>NORRTÄLJE</t>
        </is>
      </c>
      <c r="F1145" t="inlineStr">
        <is>
          <t>Kommuner</t>
        </is>
      </c>
      <c r="G1145" t="n">
        <v>12.7</v>
      </c>
      <c r="H1145" t="n">
        <v>0</v>
      </c>
      <c r="I1145" t="n">
        <v>0</v>
      </c>
      <c r="J1145" t="n">
        <v>0</v>
      </c>
      <c r="K1145" t="n">
        <v>0</v>
      </c>
      <c r="L1145" t="n">
        <v>0</v>
      </c>
      <c r="M1145" t="n">
        <v>0</v>
      </c>
      <c r="N1145" t="n">
        <v>0</v>
      </c>
      <c r="O1145" t="n">
        <v>0</v>
      </c>
      <c r="P1145" t="n">
        <v>0</v>
      </c>
      <c r="Q1145" t="n">
        <v>0</v>
      </c>
      <c r="R1145" s="2" t="inlineStr"/>
    </row>
    <row r="1146" ht="15" customHeight="1">
      <c r="A1146" t="inlineStr">
        <is>
          <t>A 19074-2023</t>
        </is>
      </c>
      <c r="B1146" s="1" t="n">
        <v>45048</v>
      </c>
      <c r="C1146" s="1" t="n">
        <v>45755</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19058-2023</t>
        </is>
      </c>
      <c r="B1147" s="1" t="n">
        <v>45048</v>
      </c>
      <c r="C1147" s="1" t="n">
        <v>45755</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19702-2023</t>
        </is>
      </c>
      <c r="B1148" s="1" t="n">
        <v>45051</v>
      </c>
      <c r="C1148" s="1" t="n">
        <v>45755</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19706-2023</t>
        </is>
      </c>
      <c r="B1149" s="1" t="n">
        <v>45051</v>
      </c>
      <c r="C1149" s="1" t="n">
        <v>45755</v>
      </c>
      <c r="D1149" t="inlineStr">
        <is>
          <t>STOCKHOLMS LÄN</t>
        </is>
      </c>
      <c r="E1149" t="inlineStr">
        <is>
          <t>NORRTÄLJE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19719-2023</t>
        </is>
      </c>
      <c r="B1150" s="1" t="n">
        <v>45051</v>
      </c>
      <c r="C1150" s="1" t="n">
        <v>45755</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19951-2023</t>
        </is>
      </c>
      <c r="B1151" s="1" t="n">
        <v>45054</v>
      </c>
      <c r="C1151" s="1" t="n">
        <v>45755</v>
      </c>
      <c r="D1151" t="inlineStr">
        <is>
          <t>STOCKHOLMS LÄN</t>
        </is>
      </c>
      <c r="E1151" t="inlineStr">
        <is>
          <t>NORRTÄLJE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19971-2023</t>
        </is>
      </c>
      <c r="B1152" s="1" t="n">
        <v>45054</v>
      </c>
      <c r="C1152" s="1" t="n">
        <v>45755</v>
      </c>
      <c r="D1152" t="inlineStr">
        <is>
          <t>STOCKHOLMS LÄN</t>
        </is>
      </c>
      <c r="E1152" t="inlineStr">
        <is>
          <t>NORRTÄLJE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19994-2023</t>
        </is>
      </c>
      <c r="B1153" s="1" t="n">
        <v>45054</v>
      </c>
      <c r="C1153" s="1" t="n">
        <v>45755</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19952-2023</t>
        </is>
      </c>
      <c r="B1154" s="1" t="n">
        <v>45054</v>
      </c>
      <c r="C1154" s="1" t="n">
        <v>45755</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20004-2023</t>
        </is>
      </c>
      <c r="B1155" s="1" t="n">
        <v>45054</v>
      </c>
      <c r="C1155" s="1" t="n">
        <v>45755</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20015-2023</t>
        </is>
      </c>
      <c r="B1156" s="1" t="n">
        <v>45054</v>
      </c>
      <c r="C1156" s="1" t="n">
        <v>45755</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20144-2023</t>
        </is>
      </c>
      <c r="B1157" s="1" t="n">
        <v>45055</v>
      </c>
      <c r="C1157" s="1" t="n">
        <v>45755</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20304-2023</t>
        </is>
      </c>
      <c r="B1158" s="1" t="n">
        <v>45056</v>
      </c>
      <c r="C1158" s="1" t="n">
        <v>45755</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20535-2023</t>
        </is>
      </c>
      <c r="B1159" s="1" t="n">
        <v>45057</v>
      </c>
      <c r="C1159" s="1" t="n">
        <v>45755</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20852-2023</t>
        </is>
      </c>
      <c r="B1160" s="1" t="n">
        <v>45058</v>
      </c>
      <c r="C1160" s="1" t="n">
        <v>45755</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21237-2023</t>
        </is>
      </c>
      <c r="B1161" s="1" t="n">
        <v>45062</v>
      </c>
      <c r="C1161" s="1" t="n">
        <v>45755</v>
      </c>
      <c r="D1161" t="inlineStr">
        <is>
          <t>STOCKHOLMS LÄN</t>
        </is>
      </c>
      <c r="E1161" t="inlineStr">
        <is>
          <t>NORRTÄLJE</t>
        </is>
      </c>
      <c r="F1161" t="inlineStr">
        <is>
          <t>Övriga Aktiebolag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21386-2023</t>
        </is>
      </c>
      <c r="B1162" s="1" t="n">
        <v>45063</v>
      </c>
      <c r="C1162" s="1" t="n">
        <v>45755</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21435-2023</t>
        </is>
      </c>
      <c r="B1163" s="1" t="n">
        <v>45063</v>
      </c>
      <c r="C1163" s="1" t="n">
        <v>45755</v>
      </c>
      <c r="D1163" t="inlineStr">
        <is>
          <t>STOCKHOLMS LÄN</t>
        </is>
      </c>
      <c r="E1163" t="inlineStr">
        <is>
          <t>NORRTÄLJE</t>
        </is>
      </c>
      <c r="G1163" t="n">
        <v>19.1</v>
      </c>
      <c r="H1163" t="n">
        <v>0</v>
      </c>
      <c r="I1163" t="n">
        <v>0</v>
      </c>
      <c r="J1163" t="n">
        <v>0</v>
      </c>
      <c r="K1163" t="n">
        <v>0</v>
      </c>
      <c r="L1163" t="n">
        <v>0</v>
      </c>
      <c r="M1163" t="n">
        <v>0</v>
      </c>
      <c r="N1163" t="n">
        <v>0</v>
      </c>
      <c r="O1163" t="n">
        <v>0</v>
      </c>
      <c r="P1163" t="n">
        <v>0</v>
      </c>
      <c r="Q1163" t="n">
        <v>0</v>
      </c>
      <c r="R1163" s="2" t="inlineStr"/>
    </row>
    <row r="1164" ht="15" customHeight="1">
      <c r="A1164" t="inlineStr">
        <is>
          <t>A 21732-2023</t>
        </is>
      </c>
      <c r="B1164" s="1" t="n">
        <v>45063</v>
      </c>
      <c r="C1164" s="1" t="n">
        <v>45755</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21733-2023</t>
        </is>
      </c>
      <c r="B1165" s="1" t="n">
        <v>45063</v>
      </c>
      <c r="C1165" s="1" t="n">
        <v>45755</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21731-2023</t>
        </is>
      </c>
      <c r="B1166" s="1" t="n">
        <v>45063</v>
      </c>
      <c r="C1166" s="1" t="n">
        <v>45755</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21718-2023</t>
        </is>
      </c>
      <c r="B1167" s="1" t="n">
        <v>45065</v>
      </c>
      <c r="C1167" s="1" t="n">
        <v>45755</v>
      </c>
      <c r="D1167" t="inlineStr">
        <is>
          <t>STOCKHOLMS LÄN</t>
        </is>
      </c>
      <c r="E1167" t="inlineStr">
        <is>
          <t>NORRTÄLJE</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21719-2023</t>
        </is>
      </c>
      <c r="B1168" s="1" t="n">
        <v>45065</v>
      </c>
      <c r="C1168" s="1" t="n">
        <v>45755</v>
      </c>
      <c r="D1168" t="inlineStr">
        <is>
          <t>STOCKHOLMS LÄN</t>
        </is>
      </c>
      <c r="E1168" t="inlineStr">
        <is>
          <t>NORRTÄLJE</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21745-2023</t>
        </is>
      </c>
      <c r="B1169" s="1" t="n">
        <v>45065</v>
      </c>
      <c r="C1169" s="1" t="n">
        <v>45755</v>
      </c>
      <c r="D1169" t="inlineStr">
        <is>
          <t>STOCKHOLMS LÄN</t>
        </is>
      </c>
      <c r="E1169" t="inlineStr">
        <is>
          <t>NORRTÄLJE</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21720-2023</t>
        </is>
      </c>
      <c r="B1170" s="1" t="n">
        <v>45065</v>
      </c>
      <c r="C1170" s="1" t="n">
        <v>45755</v>
      </c>
      <c r="D1170" t="inlineStr">
        <is>
          <t>STOCKHOLMS LÄN</t>
        </is>
      </c>
      <c r="E1170" t="inlineStr">
        <is>
          <t>NORRTÄLJE</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21716-2023</t>
        </is>
      </c>
      <c r="B1171" s="1" t="n">
        <v>45065</v>
      </c>
      <c r="C1171" s="1" t="n">
        <v>45755</v>
      </c>
      <c r="D1171" t="inlineStr">
        <is>
          <t>STOCKHOLMS LÄN</t>
        </is>
      </c>
      <c r="E1171" t="inlineStr">
        <is>
          <t>NORRTÄLJE</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21894-2023</t>
        </is>
      </c>
      <c r="B1172" s="1" t="n">
        <v>45068</v>
      </c>
      <c r="C1172" s="1" t="n">
        <v>45755</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21832-2023</t>
        </is>
      </c>
      <c r="B1173" s="1" t="n">
        <v>45068</v>
      </c>
      <c r="C1173" s="1" t="n">
        <v>45755</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21825-2023</t>
        </is>
      </c>
      <c r="B1174" s="1" t="n">
        <v>45068</v>
      </c>
      <c r="C1174" s="1" t="n">
        <v>45755</v>
      </c>
      <c r="D1174" t="inlineStr">
        <is>
          <t>STOCKHOLMS LÄN</t>
        </is>
      </c>
      <c r="E1174" t="inlineStr">
        <is>
          <t>NORRTÄLJE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21897-2023</t>
        </is>
      </c>
      <c r="B1175" s="1" t="n">
        <v>45068</v>
      </c>
      <c r="C1175" s="1" t="n">
        <v>45755</v>
      </c>
      <c r="D1175" t="inlineStr">
        <is>
          <t>STOCKHOLMS LÄN</t>
        </is>
      </c>
      <c r="E1175" t="inlineStr">
        <is>
          <t>NORRTÄLJE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21993-2023</t>
        </is>
      </c>
      <c r="B1176" s="1" t="n">
        <v>45068</v>
      </c>
      <c r="C1176" s="1" t="n">
        <v>45755</v>
      </c>
      <c r="D1176" t="inlineStr">
        <is>
          <t>STOCKHOLMS LÄN</t>
        </is>
      </c>
      <c r="E1176" t="inlineStr">
        <is>
          <t>NORRTÄLJE</t>
        </is>
      </c>
      <c r="G1176" t="n">
        <v>17.2</v>
      </c>
      <c r="H1176" t="n">
        <v>0</v>
      </c>
      <c r="I1176" t="n">
        <v>0</v>
      </c>
      <c r="J1176" t="n">
        <v>0</v>
      </c>
      <c r="K1176" t="n">
        <v>0</v>
      </c>
      <c r="L1176" t="n">
        <v>0</v>
      </c>
      <c r="M1176" t="n">
        <v>0</v>
      </c>
      <c r="N1176" t="n">
        <v>0</v>
      </c>
      <c r="O1176" t="n">
        <v>0</v>
      </c>
      <c r="P1176" t="n">
        <v>0</v>
      </c>
      <c r="Q1176" t="n">
        <v>0</v>
      </c>
      <c r="R1176" s="2" t="inlineStr"/>
    </row>
    <row r="1177" ht="15" customHeight="1">
      <c r="A1177" t="inlineStr">
        <is>
          <t>A 21961-2023</t>
        </is>
      </c>
      <c r="B1177" s="1" t="n">
        <v>45068</v>
      </c>
      <c r="C1177" s="1" t="n">
        <v>45755</v>
      </c>
      <c r="D1177" t="inlineStr">
        <is>
          <t>STOCKHOLMS LÄN</t>
        </is>
      </c>
      <c r="E1177" t="inlineStr">
        <is>
          <t>NORRTÄLJE</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22157-2023</t>
        </is>
      </c>
      <c r="B1178" s="1" t="n">
        <v>45069</v>
      </c>
      <c r="C1178" s="1" t="n">
        <v>45755</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c r="U1178">
        <f>HYPERLINK("https://klasma.github.io/Logging_0188/knärot/A 22157-2023 karta knärot.png", "A 22157-2023")</f>
        <v/>
      </c>
      <c r="V1178">
        <f>HYPERLINK("https://klasma.github.io/Logging_0188/klagomål/A 22157-2023 FSC-klagomål.docx", "A 22157-2023")</f>
        <v/>
      </c>
      <c r="W1178">
        <f>HYPERLINK("https://klasma.github.io/Logging_0188/klagomålsmail/A 22157-2023 FSC-klagomål mail.docx", "A 22157-2023")</f>
        <v/>
      </c>
      <c r="X1178">
        <f>HYPERLINK("https://klasma.github.io/Logging_0188/tillsyn/A 22157-2023 tillsynsbegäran.docx", "A 22157-2023")</f>
        <v/>
      </c>
      <c r="Y1178">
        <f>HYPERLINK("https://klasma.github.io/Logging_0188/tillsynsmail/A 22157-2023 tillsynsbegäran mail.docx", "A 22157-2023")</f>
        <v/>
      </c>
    </row>
    <row r="1179" ht="15" customHeight="1">
      <c r="A1179" t="inlineStr">
        <is>
          <t>A 22175-2023</t>
        </is>
      </c>
      <c r="B1179" s="1" t="n">
        <v>45069</v>
      </c>
      <c r="C1179" s="1" t="n">
        <v>45755</v>
      </c>
      <c r="D1179" t="inlineStr">
        <is>
          <t>STOCKHOLMS LÄN</t>
        </is>
      </c>
      <c r="E1179" t="inlineStr">
        <is>
          <t>NORRTÄLJE</t>
        </is>
      </c>
      <c r="G1179" t="n">
        <v>32.7</v>
      </c>
      <c r="H1179" t="n">
        <v>0</v>
      </c>
      <c r="I1179" t="n">
        <v>0</v>
      </c>
      <c r="J1179" t="n">
        <v>0</v>
      </c>
      <c r="K1179" t="n">
        <v>0</v>
      </c>
      <c r="L1179" t="n">
        <v>0</v>
      </c>
      <c r="M1179" t="n">
        <v>0</v>
      </c>
      <c r="N1179" t="n">
        <v>0</v>
      </c>
      <c r="O1179" t="n">
        <v>0</v>
      </c>
      <c r="P1179" t="n">
        <v>0</v>
      </c>
      <c r="Q1179" t="n">
        <v>0</v>
      </c>
      <c r="R1179" s="2" t="inlineStr"/>
    </row>
    <row r="1180" ht="15" customHeight="1">
      <c r="A1180" t="inlineStr">
        <is>
          <t>A 22249-2023</t>
        </is>
      </c>
      <c r="B1180" s="1" t="n">
        <v>45070</v>
      </c>
      <c r="C1180" s="1" t="n">
        <v>45755</v>
      </c>
      <c r="D1180" t="inlineStr">
        <is>
          <t>STOCKHOLMS LÄN</t>
        </is>
      </c>
      <c r="E1180" t="inlineStr">
        <is>
          <t>NORRTÄLJE</t>
        </is>
      </c>
      <c r="F1180" t="inlineStr">
        <is>
          <t>Övriga Aktiebolag</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22398-2023</t>
        </is>
      </c>
      <c r="B1181" s="1" t="n">
        <v>45070</v>
      </c>
      <c r="C1181" s="1" t="n">
        <v>45755</v>
      </c>
      <c r="D1181" t="inlineStr">
        <is>
          <t>STOCKHOLMS LÄN</t>
        </is>
      </c>
      <c r="E1181" t="inlineStr">
        <is>
          <t>NORRTÄLJE</t>
        </is>
      </c>
      <c r="F1181" t="inlineStr">
        <is>
          <t>Övriga Aktiebolag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22376-2023</t>
        </is>
      </c>
      <c r="B1182" s="1" t="n">
        <v>45070</v>
      </c>
      <c r="C1182" s="1" t="n">
        <v>45755</v>
      </c>
      <c r="D1182" t="inlineStr">
        <is>
          <t>STOCKHOLMS LÄN</t>
        </is>
      </c>
      <c r="E1182" t="inlineStr">
        <is>
          <t>NORRTÄLJE</t>
        </is>
      </c>
      <c r="F1182" t="inlineStr">
        <is>
          <t>Kommuner</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22456-2023</t>
        </is>
      </c>
      <c r="B1183" s="1" t="n">
        <v>45070</v>
      </c>
      <c r="C1183" s="1" t="n">
        <v>45755</v>
      </c>
      <c r="D1183" t="inlineStr">
        <is>
          <t>STOCKHOLMS LÄN</t>
        </is>
      </c>
      <c r="E1183" t="inlineStr">
        <is>
          <t>NORRTÄLJE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22378-2023</t>
        </is>
      </c>
      <c r="B1184" s="1" t="n">
        <v>45070</v>
      </c>
      <c r="C1184" s="1" t="n">
        <v>45755</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22406-2023</t>
        </is>
      </c>
      <c r="B1185" s="1" t="n">
        <v>45070</v>
      </c>
      <c r="C1185" s="1" t="n">
        <v>45755</v>
      </c>
      <c r="D1185" t="inlineStr">
        <is>
          <t>STOCKHOLMS LÄN</t>
        </is>
      </c>
      <c r="E1185" t="inlineStr">
        <is>
          <t>NORRTÄLJE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22553-2023</t>
        </is>
      </c>
      <c r="B1186" s="1" t="n">
        <v>45071</v>
      </c>
      <c r="C1186" s="1" t="n">
        <v>45755</v>
      </c>
      <c r="D1186" t="inlineStr">
        <is>
          <t>STOCKHOLMS LÄN</t>
        </is>
      </c>
      <c r="E1186" t="inlineStr">
        <is>
          <t>NORRTÄLJE</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22962-2023</t>
        </is>
      </c>
      <c r="B1187" s="1" t="n">
        <v>45072</v>
      </c>
      <c r="C1187" s="1" t="n">
        <v>45755</v>
      </c>
      <c r="D1187" t="inlineStr">
        <is>
          <t>STOCKHOLMS LÄN</t>
        </is>
      </c>
      <c r="E1187" t="inlineStr">
        <is>
          <t>NORRTÄLJE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23056-2023</t>
        </is>
      </c>
      <c r="B1188" s="1" t="n">
        <v>45075</v>
      </c>
      <c r="C1188" s="1" t="n">
        <v>45755</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23060-2023</t>
        </is>
      </c>
      <c r="B1189" s="1" t="n">
        <v>45075</v>
      </c>
      <c r="C1189" s="1" t="n">
        <v>45755</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23070-2023</t>
        </is>
      </c>
      <c r="B1190" s="1" t="n">
        <v>45075</v>
      </c>
      <c r="C1190" s="1" t="n">
        <v>45755</v>
      </c>
      <c r="D1190" t="inlineStr">
        <is>
          <t>STOCKHOLMS LÄN</t>
        </is>
      </c>
      <c r="E1190" t="inlineStr">
        <is>
          <t>NORRTÄLJE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23130-2023</t>
        </is>
      </c>
      <c r="B1191" s="1" t="n">
        <v>45075</v>
      </c>
      <c r="C1191" s="1" t="n">
        <v>45755</v>
      </c>
      <c r="D1191" t="inlineStr">
        <is>
          <t>STOCKHOLMS LÄN</t>
        </is>
      </c>
      <c r="E1191" t="inlineStr">
        <is>
          <t>NORRTÄLJE</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23265-2023</t>
        </is>
      </c>
      <c r="B1192" s="1" t="n">
        <v>45075</v>
      </c>
      <c r="C1192" s="1" t="n">
        <v>45755</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23269-2023</t>
        </is>
      </c>
      <c r="B1193" s="1" t="n">
        <v>45075</v>
      </c>
      <c r="C1193" s="1" t="n">
        <v>45755</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23273-2023</t>
        </is>
      </c>
      <c r="B1194" s="1" t="n">
        <v>45076</v>
      </c>
      <c r="C1194" s="1" t="n">
        <v>45755</v>
      </c>
      <c r="D1194" t="inlineStr">
        <is>
          <t>STOCKHOLMS LÄN</t>
        </is>
      </c>
      <c r="E1194" t="inlineStr">
        <is>
          <t>NORRTÄLJE</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23134-2023</t>
        </is>
      </c>
      <c r="B1195" s="1" t="n">
        <v>45075</v>
      </c>
      <c r="C1195" s="1" t="n">
        <v>45755</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23263-2023</t>
        </is>
      </c>
      <c r="B1196" s="1" t="n">
        <v>45075</v>
      </c>
      <c r="C1196" s="1" t="n">
        <v>45755</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23267-2023</t>
        </is>
      </c>
      <c r="B1197" s="1" t="n">
        <v>45075</v>
      </c>
      <c r="C1197" s="1" t="n">
        <v>45755</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23271-2023</t>
        </is>
      </c>
      <c r="B1198" s="1" t="n">
        <v>45075</v>
      </c>
      <c r="C1198" s="1" t="n">
        <v>45755</v>
      </c>
      <c r="D1198" t="inlineStr">
        <is>
          <t>STOCKHOLMS LÄN</t>
        </is>
      </c>
      <c r="E1198" t="inlineStr">
        <is>
          <t>NORRTÄLJE</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23264-2023</t>
        </is>
      </c>
      <c r="B1199" s="1" t="n">
        <v>45075</v>
      </c>
      <c r="C1199" s="1" t="n">
        <v>45755</v>
      </c>
      <c r="D1199" t="inlineStr">
        <is>
          <t>STOCKHOLMS LÄN</t>
        </is>
      </c>
      <c r="E1199" t="inlineStr">
        <is>
          <t>NORRTÄLJE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23268-2023</t>
        </is>
      </c>
      <c r="B1200" s="1" t="n">
        <v>45075</v>
      </c>
      <c r="C1200" s="1" t="n">
        <v>45755</v>
      </c>
      <c r="D1200" t="inlineStr">
        <is>
          <t>STOCKHOLMS LÄN</t>
        </is>
      </c>
      <c r="E1200" t="inlineStr">
        <is>
          <t>NORRTÄLJE</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23272-2023</t>
        </is>
      </c>
      <c r="B1201" s="1" t="n">
        <v>45075</v>
      </c>
      <c r="C1201" s="1" t="n">
        <v>45755</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23262-2023</t>
        </is>
      </c>
      <c r="B1202" s="1" t="n">
        <v>45075</v>
      </c>
      <c r="C1202" s="1" t="n">
        <v>45755</v>
      </c>
      <c r="D1202" t="inlineStr">
        <is>
          <t>STOCKHOLMS LÄN</t>
        </is>
      </c>
      <c r="E1202" t="inlineStr">
        <is>
          <t>NORRTÄLJE</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23266-2023</t>
        </is>
      </c>
      <c r="B1203" s="1" t="n">
        <v>45075</v>
      </c>
      <c r="C1203" s="1" t="n">
        <v>45755</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23270-2023</t>
        </is>
      </c>
      <c r="B1204" s="1" t="n">
        <v>45075</v>
      </c>
      <c r="C1204" s="1" t="n">
        <v>45755</v>
      </c>
      <c r="D1204" t="inlineStr">
        <is>
          <t>STOCKHOLMS LÄN</t>
        </is>
      </c>
      <c r="E1204" t="inlineStr">
        <is>
          <t>NORRTÄLJE</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23274-2023</t>
        </is>
      </c>
      <c r="B1205" s="1" t="n">
        <v>45076</v>
      </c>
      <c r="C1205" s="1" t="n">
        <v>45755</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23699-2023</t>
        </is>
      </c>
      <c r="B1206" s="1" t="n">
        <v>45077</v>
      </c>
      <c r="C1206" s="1" t="n">
        <v>45755</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24129-2023</t>
        </is>
      </c>
      <c r="B1207" s="1" t="n">
        <v>45079</v>
      </c>
      <c r="C1207" s="1" t="n">
        <v>45755</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24330-2023</t>
        </is>
      </c>
      <c r="B1208" s="1" t="n">
        <v>45081</v>
      </c>
      <c r="C1208" s="1" t="n">
        <v>45755</v>
      </c>
      <c r="D1208" t="inlineStr">
        <is>
          <t>STOCKHOLMS LÄN</t>
        </is>
      </c>
      <c r="E1208" t="inlineStr">
        <is>
          <t>NORRTÄLJE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24520-2023</t>
        </is>
      </c>
      <c r="B1209" s="1" t="n">
        <v>45082</v>
      </c>
      <c r="C1209" s="1" t="n">
        <v>45755</v>
      </c>
      <c r="D1209" t="inlineStr">
        <is>
          <t>STOCKHOLMS LÄN</t>
        </is>
      </c>
      <c r="E1209" t="inlineStr">
        <is>
          <t>NORRTÄLJE</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24501-2023</t>
        </is>
      </c>
      <c r="B1210" s="1" t="n">
        <v>45082</v>
      </c>
      <c r="C1210" s="1" t="n">
        <v>45755</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24522-2023</t>
        </is>
      </c>
      <c r="B1211" s="1" t="n">
        <v>45082</v>
      </c>
      <c r="C1211" s="1" t="n">
        <v>45755</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24705-2023</t>
        </is>
      </c>
      <c r="B1212" s="1" t="n">
        <v>45084</v>
      </c>
      <c r="C1212" s="1" t="n">
        <v>45755</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24727-2023</t>
        </is>
      </c>
      <c r="B1213" s="1" t="n">
        <v>45084</v>
      </c>
      <c r="C1213" s="1" t="n">
        <v>45755</v>
      </c>
      <c r="D1213" t="inlineStr">
        <is>
          <t>STOCKHOLMS LÄN</t>
        </is>
      </c>
      <c r="E1213" t="inlineStr">
        <is>
          <t>NORRTÄLJE</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24788-2023</t>
        </is>
      </c>
      <c r="B1214" s="1" t="n">
        <v>45084</v>
      </c>
      <c r="C1214" s="1" t="n">
        <v>45755</v>
      </c>
      <c r="D1214" t="inlineStr">
        <is>
          <t>STOCKHOLMS LÄN</t>
        </is>
      </c>
      <c r="E1214" t="inlineStr">
        <is>
          <t>NORRTÄLJE</t>
        </is>
      </c>
      <c r="F1214" t="inlineStr">
        <is>
          <t>Sveaskog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24789-2023</t>
        </is>
      </c>
      <c r="B1215" s="1" t="n">
        <v>45084</v>
      </c>
      <c r="C1215" s="1" t="n">
        <v>45755</v>
      </c>
      <c r="D1215" t="inlineStr">
        <is>
          <t>STOCKHOLMS LÄN</t>
        </is>
      </c>
      <c r="E1215" t="inlineStr">
        <is>
          <t>NORRTÄLJE</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24887-2023</t>
        </is>
      </c>
      <c r="B1216" s="1" t="n">
        <v>45085</v>
      </c>
      <c r="C1216" s="1" t="n">
        <v>45755</v>
      </c>
      <c r="D1216" t="inlineStr">
        <is>
          <t>STOCKHOLMS LÄN</t>
        </is>
      </c>
      <c r="E1216" t="inlineStr">
        <is>
          <t>NORRTÄLJE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24933-2023</t>
        </is>
      </c>
      <c r="B1217" s="1" t="n">
        <v>45085</v>
      </c>
      <c r="C1217" s="1" t="n">
        <v>45755</v>
      </c>
      <c r="D1217" t="inlineStr">
        <is>
          <t>STOCKHOLMS LÄN</t>
        </is>
      </c>
      <c r="E1217" t="inlineStr">
        <is>
          <t>NORRTÄLJE</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25174-2023</t>
        </is>
      </c>
      <c r="B1218" s="1" t="n">
        <v>45086</v>
      </c>
      <c r="C1218" s="1" t="n">
        <v>45755</v>
      </c>
      <c r="D1218" t="inlineStr">
        <is>
          <t>STOCKHOLMS LÄN</t>
        </is>
      </c>
      <c r="E1218" t="inlineStr">
        <is>
          <t>NORRTÄLJE</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25094-2023</t>
        </is>
      </c>
      <c r="B1219" s="1" t="n">
        <v>45086</v>
      </c>
      <c r="C1219" s="1" t="n">
        <v>45755</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25257-2023</t>
        </is>
      </c>
      <c r="B1220" s="1" t="n">
        <v>45086</v>
      </c>
      <c r="C1220" s="1" t="n">
        <v>45755</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25614-2023</t>
        </is>
      </c>
      <c r="B1221" s="1" t="n">
        <v>45089</v>
      </c>
      <c r="C1221" s="1" t="n">
        <v>45755</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25625-2023</t>
        </is>
      </c>
      <c r="B1222" s="1" t="n">
        <v>45089</v>
      </c>
      <c r="C1222" s="1" t="n">
        <v>45755</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25557-2023</t>
        </is>
      </c>
      <c r="B1223" s="1" t="n">
        <v>45089</v>
      </c>
      <c r="C1223" s="1" t="n">
        <v>45755</v>
      </c>
      <c r="D1223" t="inlineStr">
        <is>
          <t>STOCKHOLMS LÄN</t>
        </is>
      </c>
      <c r="E1223" t="inlineStr">
        <is>
          <t>NORRTÄLJE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25609-2023</t>
        </is>
      </c>
      <c r="B1224" s="1" t="n">
        <v>45089</v>
      </c>
      <c r="C1224" s="1" t="n">
        <v>45755</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25618-2023</t>
        </is>
      </c>
      <c r="B1225" s="1" t="n">
        <v>45089</v>
      </c>
      <c r="C1225" s="1" t="n">
        <v>45755</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25656-2023</t>
        </is>
      </c>
      <c r="B1226" s="1" t="n">
        <v>45089</v>
      </c>
      <c r="C1226" s="1" t="n">
        <v>45755</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25654-2023</t>
        </is>
      </c>
      <c r="B1227" s="1" t="n">
        <v>45089</v>
      </c>
      <c r="C1227" s="1" t="n">
        <v>45755</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25831-2023</t>
        </is>
      </c>
      <c r="B1228" s="1" t="n">
        <v>45090</v>
      </c>
      <c r="C1228" s="1" t="n">
        <v>45755</v>
      </c>
      <c r="D1228" t="inlineStr">
        <is>
          <t>STOCKHOLMS LÄN</t>
        </is>
      </c>
      <c r="E1228" t="inlineStr">
        <is>
          <t>NORRTÄLJE</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25915-2023</t>
        </is>
      </c>
      <c r="B1229" s="1" t="n">
        <v>45090</v>
      </c>
      <c r="C1229" s="1" t="n">
        <v>45755</v>
      </c>
      <c r="D1229" t="inlineStr">
        <is>
          <t>STOCKHOLMS LÄN</t>
        </is>
      </c>
      <c r="E1229" t="inlineStr">
        <is>
          <t>NORRTÄLJE</t>
        </is>
      </c>
      <c r="F1229" t="inlineStr">
        <is>
          <t>Naturvårdsverket</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26065-2023</t>
        </is>
      </c>
      <c r="B1230" s="1" t="n">
        <v>45091</v>
      </c>
      <c r="C1230" s="1" t="n">
        <v>45755</v>
      </c>
      <c r="D1230" t="inlineStr">
        <is>
          <t>STOCKHOLMS LÄN</t>
        </is>
      </c>
      <c r="E1230" t="inlineStr">
        <is>
          <t>NORRTÄLJE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26315-2023</t>
        </is>
      </c>
      <c r="B1231" s="1" t="n">
        <v>45091</v>
      </c>
      <c r="C1231" s="1" t="n">
        <v>45755</v>
      </c>
      <c r="D1231" t="inlineStr">
        <is>
          <t>STOCKHOLMS LÄN</t>
        </is>
      </c>
      <c r="E1231" t="inlineStr">
        <is>
          <t>NORRTÄLJE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26570-2023</t>
        </is>
      </c>
      <c r="B1232" s="1" t="n">
        <v>45092</v>
      </c>
      <c r="C1232" s="1" t="n">
        <v>45755</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26636-2023</t>
        </is>
      </c>
      <c r="B1233" s="1" t="n">
        <v>45092</v>
      </c>
      <c r="C1233" s="1" t="n">
        <v>45755</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45755</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26637-2023</t>
        </is>
      </c>
      <c r="B1235" s="1" t="n">
        <v>45092</v>
      </c>
      <c r="C1235" s="1" t="n">
        <v>45755</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26639-2023</t>
        </is>
      </c>
      <c r="B1236" s="1" t="n">
        <v>45092</v>
      </c>
      <c r="C1236" s="1" t="n">
        <v>45755</v>
      </c>
      <c r="D1236" t="inlineStr">
        <is>
          <t>STOCKHOLMS LÄN</t>
        </is>
      </c>
      <c r="E1236" t="inlineStr">
        <is>
          <t>NORRTÄLJE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27651-2023</t>
        </is>
      </c>
      <c r="B1237" s="1" t="n">
        <v>45097</v>
      </c>
      <c r="C1237" s="1" t="n">
        <v>45755</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28281-2023</t>
        </is>
      </c>
      <c r="B1238" s="1" t="n">
        <v>45099</v>
      </c>
      <c r="C1238" s="1" t="n">
        <v>45755</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28820-2023</t>
        </is>
      </c>
      <c r="B1239" s="1" t="n">
        <v>45104</v>
      </c>
      <c r="C1239" s="1" t="n">
        <v>45755</v>
      </c>
      <c r="D1239" t="inlineStr">
        <is>
          <t>STOCKHOLMS LÄN</t>
        </is>
      </c>
      <c r="E1239" t="inlineStr">
        <is>
          <t>NORRTÄLJE</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28813-2023</t>
        </is>
      </c>
      <c r="B1240" s="1" t="n">
        <v>45104</v>
      </c>
      <c r="C1240" s="1" t="n">
        <v>45755</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29003-2023</t>
        </is>
      </c>
      <c r="B1241" s="1" t="n">
        <v>45104</v>
      </c>
      <c r="C1241" s="1" t="n">
        <v>45755</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28816-2023</t>
        </is>
      </c>
      <c r="B1242" s="1" t="n">
        <v>45104</v>
      </c>
      <c r="C1242" s="1" t="n">
        <v>45755</v>
      </c>
      <c r="D1242" t="inlineStr">
        <is>
          <t>STOCKHOLMS LÄN</t>
        </is>
      </c>
      <c r="E1242" t="inlineStr">
        <is>
          <t>NORRTÄLJE</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28809-2023</t>
        </is>
      </c>
      <c r="B1243" s="1" t="n">
        <v>45104</v>
      </c>
      <c r="C1243" s="1" t="n">
        <v>45755</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29254-2023</t>
        </is>
      </c>
      <c r="B1244" s="1" t="n">
        <v>45105</v>
      </c>
      <c r="C1244" s="1" t="n">
        <v>45755</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29433-2023</t>
        </is>
      </c>
      <c r="B1245" s="1" t="n">
        <v>45106</v>
      </c>
      <c r="C1245" s="1" t="n">
        <v>45755</v>
      </c>
      <c r="D1245" t="inlineStr">
        <is>
          <t>STOCKHOLMS LÄN</t>
        </is>
      </c>
      <c r="E1245" t="inlineStr">
        <is>
          <t>NORRTÄLJE</t>
        </is>
      </c>
      <c r="F1245" t="inlineStr">
        <is>
          <t>Övriga Aktiebolag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29681-2023</t>
        </is>
      </c>
      <c r="B1246" s="1" t="n">
        <v>45107</v>
      </c>
      <c r="C1246" s="1" t="n">
        <v>45755</v>
      </c>
      <c r="D1246" t="inlineStr">
        <is>
          <t>STOCKHOLMS LÄN</t>
        </is>
      </c>
      <c r="E1246" t="inlineStr">
        <is>
          <t>NORRTÄLJE</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29710-2023</t>
        </is>
      </c>
      <c r="B1247" s="1" t="n">
        <v>45107</v>
      </c>
      <c r="C1247" s="1" t="n">
        <v>45755</v>
      </c>
      <c r="D1247" t="inlineStr">
        <is>
          <t>STOCKHOLMS LÄN</t>
        </is>
      </c>
      <c r="E1247" t="inlineStr">
        <is>
          <t>NORRTÄLJE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29714-2023</t>
        </is>
      </c>
      <c r="B1248" s="1" t="n">
        <v>45107</v>
      </c>
      <c r="C1248" s="1" t="n">
        <v>45755</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30116-2023</t>
        </is>
      </c>
      <c r="B1249" s="1" t="n">
        <v>45110</v>
      </c>
      <c r="C1249" s="1" t="n">
        <v>45755</v>
      </c>
      <c r="D1249" t="inlineStr">
        <is>
          <t>STOCKHOLMS LÄN</t>
        </is>
      </c>
      <c r="E1249" t="inlineStr">
        <is>
          <t>NORRTÄLJE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30281-2023</t>
        </is>
      </c>
      <c r="B1250" s="1" t="n">
        <v>45110</v>
      </c>
      <c r="C1250" s="1" t="n">
        <v>45755</v>
      </c>
      <c r="D1250" t="inlineStr">
        <is>
          <t>STOCKHOLMS LÄN</t>
        </is>
      </c>
      <c r="E1250" t="inlineStr">
        <is>
          <t>NORRTÄLJE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30508-2023</t>
        </is>
      </c>
      <c r="B1251" s="1" t="n">
        <v>45111</v>
      </c>
      <c r="C1251" s="1" t="n">
        <v>45755</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30496-2023</t>
        </is>
      </c>
      <c r="B1252" s="1" t="n">
        <v>45111</v>
      </c>
      <c r="C1252" s="1" t="n">
        <v>45755</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30516-2023</t>
        </is>
      </c>
      <c r="B1253" s="1" t="n">
        <v>45111</v>
      </c>
      <c r="C1253" s="1" t="n">
        <v>45755</v>
      </c>
      <c r="D1253" t="inlineStr">
        <is>
          <t>STOCKHOLMS LÄN</t>
        </is>
      </c>
      <c r="E1253" t="inlineStr">
        <is>
          <t>NORRTÄLJE</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30525-2023</t>
        </is>
      </c>
      <c r="B1254" s="1" t="n">
        <v>45111</v>
      </c>
      <c r="C1254" s="1" t="n">
        <v>45755</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30424-2023</t>
        </is>
      </c>
      <c r="B1255" s="1" t="n">
        <v>45111</v>
      </c>
      <c r="C1255" s="1" t="n">
        <v>45755</v>
      </c>
      <c r="D1255" t="inlineStr">
        <is>
          <t>STOCKHOLMS LÄN</t>
        </is>
      </c>
      <c r="E1255" t="inlineStr">
        <is>
          <t>NORRTÄLJE</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30425-2023</t>
        </is>
      </c>
      <c r="B1256" s="1" t="n">
        <v>45111</v>
      </c>
      <c r="C1256" s="1" t="n">
        <v>45755</v>
      </c>
      <c r="D1256" t="inlineStr">
        <is>
          <t>STOCKHOLMS LÄN</t>
        </is>
      </c>
      <c r="E1256" t="inlineStr">
        <is>
          <t>NORRTÄLJE</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30731-2023</t>
        </is>
      </c>
      <c r="B1257" s="1" t="n">
        <v>45112</v>
      </c>
      <c r="C1257" s="1" t="n">
        <v>45755</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30663-2023</t>
        </is>
      </c>
      <c r="B1258" s="1" t="n">
        <v>45112</v>
      </c>
      <c r="C1258" s="1" t="n">
        <v>45755</v>
      </c>
      <c r="D1258" t="inlineStr">
        <is>
          <t>STOCKHOLMS LÄN</t>
        </is>
      </c>
      <c r="E1258" t="inlineStr">
        <is>
          <t>NORRTÄLJE</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30780-2023</t>
        </is>
      </c>
      <c r="B1259" s="1" t="n">
        <v>45112</v>
      </c>
      <c r="C1259" s="1" t="n">
        <v>45755</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30773-2023</t>
        </is>
      </c>
      <c r="B1260" s="1" t="n">
        <v>45112</v>
      </c>
      <c r="C1260" s="1" t="n">
        <v>45755</v>
      </c>
      <c r="D1260" t="inlineStr">
        <is>
          <t>STOCKHOLMS LÄN</t>
        </is>
      </c>
      <c r="E1260" t="inlineStr">
        <is>
          <t>NORRTÄLJE</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30924-2023</t>
        </is>
      </c>
      <c r="B1261" s="1" t="n">
        <v>45113</v>
      </c>
      <c r="C1261" s="1" t="n">
        <v>45755</v>
      </c>
      <c r="D1261" t="inlineStr">
        <is>
          <t>STOCKHOLMS LÄN</t>
        </is>
      </c>
      <c r="E1261" t="inlineStr">
        <is>
          <t>NORRTÄLJE</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30923-2023</t>
        </is>
      </c>
      <c r="B1262" s="1" t="n">
        <v>45113</v>
      </c>
      <c r="C1262" s="1" t="n">
        <v>45755</v>
      </c>
      <c r="D1262" t="inlineStr">
        <is>
          <t>STOCKHOLMS LÄN</t>
        </is>
      </c>
      <c r="E1262" t="inlineStr">
        <is>
          <t>NORRTÄLJE</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31140-2023</t>
        </is>
      </c>
      <c r="B1263" s="1" t="n">
        <v>45113</v>
      </c>
      <c r="C1263" s="1" t="n">
        <v>45755</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30921-2023</t>
        </is>
      </c>
      <c r="B1264" s="1" t="n">
        <v>45113</v>
      </c>
      <c r="C1264" s="1" t="n">
        <v>45755</v>
      </c>
      <c r="D1264" t="inlineStr">
        <is>
          <t>STOCKHOLMS LÄN</t>
        </is>
      </c>
      <c r="E1264" t="inlineStr">
        <is>
          <t>NORRTÄLJE</t>
        </is>
      </c>
      <c r="F1264" t="inlineStr">
        <is>
          <t>Sveaskog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31149-2023</t>
        </is>
      </c>
      <c r="B1265" s="1" t="n">
        <v>45113</v>
      </c>
      <c r="C1265" s="1" t="n">
        <v>45755</v>
      </c>
      <c r="D1265" t="inlineStr">
        <is>
          <t>STOCKHOLMS LÄN</t>
        </is>
      </c>
      <c r="E1265" t="inlineStr">
        <is>
          <t>NORRTÄLJE</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31153-2023</t>
        </is>
      </c>
      <c r="B1266" s="1" t="n">
        <v>45113</v>
      </c>
      <c r="C1266" s="1" t="n">
        <v>45755</v>
      </c>
      <c r="D1266" t="inlineStr">
        <is>
          <t>STOCKHOLMS LÄN</t>
        </is>
      </c>
      <c r="E1266" t="inlineStr">
        <is>
          <t>NORRTÄLJE</t>
        </is>
      </c>
      <c r="G1266" t="n">
        <v>17.5</v>
      </c>
      <c r="H1266" t="n">
        <v>0</v>
      </c>
      <c r="I1266" t="n">
        <v>0</v>
      </c>
      <c r="J1266" t="n">
        <v>0</v>
      </c>
      <c r="K1266" t="n">
        <v>0</v>
      </c>
      <c r="L1266" t="n">
        <v>0</v>
      </c>
      <c r="M1266" t="n">
        <v>0</v>
      </c>
      <c r="N1266" t="n">
        <v>0</v>
      </c>
      <c r="O1266" t="n">
        <v>0</v>
      </c>
      <c r="P1266" t="n">
        <v>0</v>
      </c>
      <c r="Q1266" t="n">
        <v>0</v>
      </c>
      <c r="R1266" s="2" t="inlineStr"/>
    </row>
    <row r="1267" ht="15" customHeight="1">
      <c r="A1267" t="inlineStr">
        <is>
          <t>A 31827-2023</t>
        </is>
      </c>
      <c r="B1267" s="1" t="n">
        <v>45118</v>
      </c>
      <c r="C1267" s="1" t="n">
        <v>45755</v>
      </c>
      <c r="D1267" t="inlineStr">
        <is>
          <t>STOCKHOLMS LÄN</t>
        </is>
      </c>
      <c r="E1267" t="inlineStr">
        <is>
          <t>NORRTÄLJE</t>
        </is>
      </c>
      <c r="F1267" t="inlineStr">
        <is>
          <t>Kyrkan</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31832-2023</t>
        </is>
      </c>
      <c r="B1268" s="1" t="n">
        <v>45118</v>
      </c>
      <c r="C1268" s="1" t="n">
        <v>45755</v>
      </c>
      <c r="D1268" t="inlineStr">
        <is>
          <t>STOCKHOLMS LÄN</t>
        </is>
      </c>
      <c r="E1268" t="inlineStr">
        <is>
          <t>NORRTÄLJE</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32071-2023</t>
        </is>
      </c>
      <c r="B1269" s="1" t="n">
        <v>45119</v>
      </c>
      <c r="C1269" s="1" t="n">
        <v>45755</v>
      </c>
      <c r="D1269" t="inlineStr">
        <is>
          <t>STOCKHOLMS LÄN</t>
        </is>
      </c>
      <c r="E1269" t="inlineStr">
        <is>
          <t>NORRTÄLJE</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32621-2023</t>
        </is>
      </c>
      <c r="B1270" s="1" t="n">
        <v>45121</v>
      </c>
      <c r="C1270" s="1" t="n">
        <v>45755</v>
      </c>
      <c r="D1270" t="inlineStr">
        <is>
          <t>STOCKHOLMS LÄN</t>
        </is>
      </c>
      <c r="E1270" t="inlineStr">
        <is>
          <t>NORRTÄLJE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32595-2023</t>
        </is>
      </c>
      <c r="B1271" s="1" t="n">
        <v>45121</v>
      </c>
      <c r="C1271" s="1" t="n">
        <v>45755</v>
      </c>
      <c r="D1271" t="inlineStr">
        <is>
          <t>STOCKHOLMS LÄN</t>
        </is>
      </c>
      <c r="E1271" t="inlineStr">
        <is>
          <t>NORRTÄLJE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32948-2023</t>
        </is>
      </c>
      <c r="B1272" s="1" t="n">
        <v>45125</v>
      </c>
      <c r="C1272" s="1" t="n">
        <v>45755</v>
      </c>
      <c r="D1272" t="inlineStr">
        <is>
          <t>STOCKHOLMS LÄN</t>
        </is>
      </c>
      <c r="E1272" t="inlineStr">
        <is>
          <t>NORRTÄLJE</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33025-2023</t>
        </is>
      </c>
      <c r="B1273" s="1" t="n">
        <v>45125</v>
      </c>
      <c r="C1273" s="1" t="n">
        <v>45755</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33130-2023</t>
        </is>
      </c>
      <c r="B1274" s="1" t="n">
        <v>45126</v>
      </c>
      <c r="C1274" s="1" t="n">
        <v>45755</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33295-2023</t>
        </is>
      </c>
      <c r="B1275" s="1" t="n">
        <v>45127</v>
      </c>
      <c r="C1275" s="1" t="n">
        <v>45755</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33270-2023</t>
        </is>
      </c>
      <c r="B1276" s="1" t="n">
        <v>45127</v>
      </c>
      <c r="C1276" s="1" t="n">
        <v>45755</v>
      </c>
      <c r="D1276" t="inlineStr">
        <is>
          <t>STOCKHOLMS LÄN</t>
        </is>
      </c>
      <c r="E1276" t="inlineStr">
        <is>
          <t>NORRTÄLJE</t>
        </is>
      </c>
      <c r="F1276" t="inlineStr">
        <is>
          <t>Holmen skog AB</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33226-2023</t>
        </is>
      </c>
      <c r="B1277" s="1" t="n">
        <v>45127</v>
      </c>
      <c r="C1277" s="1" t="n">
        <v>45755</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33243-2023</t>
        </is>
      </c>
      <c r="B1278" s="1" t="n">
        <v>45127</v>
      </c>
      <c r="C1278" s="1" t="n">
        <v>45755</v>
      </c>
      <c r="D1278" t="inlineStr">
        <is>
          <t>STOCKHOLMS LÄN</t>
        </is>
      </c>
      <c r="E1278" t="inlineStr">
        <is>
          <t>NORRTÄLJE</t>
        </is>
      </c>
      <c r="F1278" t="inlineStr">
        <is>
          <t>Holmen skog AB</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33291-2023</t>
        </is>
      </c>
      <c r="B1279" s="1" t="n">
        <v>45127</v>
      </c>
      <c r="C1279" s="1" t="n">
        <v>45755</v>
      </c>
      <c r="D1279" t="inlineStr">
        <is>
          <t>STOCKHOLMS LÄN</t>
        </is>
      </c>
      <c r="E1279" t="inlineStr">
        <is>
          <t>NORRTÄLJE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33353-2023</t>
        </is>
      </c>
      <c r="B1280" s="1" t="n">
        <v>45128</v>
      </c>
      <c r="C1280" s="1" t="n">
        <v>45755</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33569-2023</t>
        </is>
      </c>
      <c r="B1281" s="1" t="n">
        <v>45131</v>
      </c>
      <c r="C1281" s="1" t="n">
        <v>45755</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33646-2023</t>
        </is>
      </c>
      <c r="B1282" s="1" t="n">
        <v>45132</v>
      </c>
      <c r="C1282" s="1" t="n">
        <v>45755</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33641-2023</t>
        </is>
      </c>
      <c r="B1283" s="1" t="n">
        <v>45132</v>
      </c>
      <c r="C1283" s="1" t="n">
        <v>45755</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34085-2023</t>
        </is>
      </c>
      <c r="B1284" s="1" t="n">
        <v>45135</v>
      </c>
      <c r="C1284" s="1" t="n">
        <v>45755</v>
      </c>
      <c r="D1284" t="inlineStr">
        <is>
          <t>STOCKHOLMS LÄN</t>
        </is>
      </c>
      <c r="E1284" t="inlineStr">
        <is>
          <t>NORRTÄLJE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34084-2023</t>
        </is>
      </c>
      <c r="B1285" s="1" t="n">
        <v>45135</v>
      </c>
      <c r="C1285" s="1" t="n">
        <v>45755</v>
      </c>
      <c r="D1285" t="inlineStr">
        <is>
          <t>STOCKHOLMS LÄN</t>
        </is>
      </c>
      <c r="E1285" t="inlineStr">
        <is>
          <t>NORRTÄLJE</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34132-2023</t>
        </is>
      </c>
      <c r="B1286" s="1" t="n">
        <v>45135</v>
      </c>
      <c r="C1286" s="1" t="n">
        <v>45755</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34391-2023</t>
        </is>
      </c>
      <c r="B1287" s="1" t="n">
        <v>45139</v>
      </c>
      <c r="C1287" s="1" t="n">
        <v>45755</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34461-2023</t>
        </is>
      </c>
      <c r="B1288" s="1" t="n">
        <v>45139</v>
      </c>
      <c r="C1288" s="1" t="n">
        <v>45755</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34462-2023</t>
        </is>
      </c>
      <c r="B1289" s="1" t="n">
        <v>45139</v>
      </c>
      <c r="C1289" s="1" t="n">
        <v>45755</v>
      </c>
      <c r="D1289" t="inlineStr">
        <is>
          <t>STOCKHOLMS LÄN</t>
        </is>
      </c>
      <c r="E1289" t="inlineStr">
        <is>
          <t>NORRTÄLJE</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34825-2023</t>
        </is>
      </c>
      <c r="B1290" s="1" t="n">
        <v>45141</v>
      </c>
      <c r="C1290" s="1" t="n">
        <v>45755</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35215-2023</t>
        </is>
      </c>
      <c r="B1291" s="1" t="n">
        <v>45145</v>
      </c>
      <c r="C1291" s="1" t="n">
        <v>45755</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35219-2023</t>
        </is>
      </c>
      <c r="B1292" s="1" t="n">
        <v>45145</v>
      </c>
      <c r="C1292" s="1" t="n">
        <v>45755</v>
      </c>
      <c r="D1292" t="inlineStr">
        <is>
          <t>STOCKHOLMS LÄN</t>
        </is>
      </c>
      <c r="E1292" t="inlineStr">
        <is>
          <t>NORRTÄLJE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35127-2023</t>
        </is>
      </c>
      <c r="B1293" s="1" t="n">
        <v>45145</v>
      </c>
      <c r="C1293" s="1" t="n">
        <v>45755</v>
      </c>
      <c r="D1293" t="inlineStr">
        <is>
          <t>STOCKHOLMS LÄN</t>
        </is>
      </c>
      <c r="E1293" t="inlineStr">
        <is>
          <t>NORRTÄLJE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35131-2023</t>
        </is>
      </c>
      <c r="B1294" s="1" t="n">
        <v>45145</v>
      </c>
      <c r="C1294" s="1" t="n">
        <v>45755</v>
      </c>
      <c r="D1294" t="inlineStr">
        <is>
          <t>STOCKHOLMS LÄN</t>
        </is>
      </c>
      <c r="E1294" t="inlineStr">
        <is>
          <t>NORRTÄLJE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35128-2023</t>
        </is>
      </c>
      <c r="B1295" s="1" t="n">
        <v>45145</v>
      </c>
      <c r="C1295" s="1" t="n">
        <v>45755</v>
      </c>
      <c r="D1295" t="inlineStr">
        <is>
          <t>STOCKHOLMS LÄN</t>
        </is>
      </c>
      <c r="E1295" t="inlineStr">
        <is>
          <t>NORRTÄLJE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35210-2023</t>
        </is>
      </c>
      <c r="B1296" s="1" t="n">
        <v>45145</v>
      </c>
      <c r="C1296" s="1" t="n">
        <v>45755</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35438-2023</t>
        </is>
      </c>
      <c r="B1297" s="1" t="n">
        <v>45146</v>
      </c>
      <c r="C1297" s="1" t="n">
        <v>45755</v>
      </c>
      <c r="D1297" t="inlineStr">
        <is>
          <t>STOCKHOLMS LÄN</t>
        </is>
      </c>
      <c r="E1297" t="inlineStr">
        <is>
          <t>NORRTÄLJE</t>
        </is>
      </c>
      <c r="F1297" t="inlineStr">
        <is>
          <t>Kommuner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35698-2023</t>
        </is>
      </c>
      <c r="B1298" s="1" t="n">
        <v>45147</v>
      </c>
      <c r="C1298" s="1" t="n">
        <v>45755</v>
      </c>
      <c r="D1298" t="inlineStr">
        <is>
          <t>STOCKHOLMS LÄN</t>
        </is>
      </c>
      <c r="E1298" t="inlineStr">
        <is>
          <t>NORRTÄLJE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35702-2023</t>
        </is>
      </c>
      <c r="B1299" s="1" t="n">
        <v>45147</v>
      </c>
      <c r="C1299" s="1" t="n">
        <v>45755</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35691-2023</t>
        </is>
      </c>
      <c r="B1300" s="1" t="n">
        <v>45147</v>
      </c>
      <c r="C1300" s="1" t="n">
        <v>45755</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35695-2023</t>
        </is>
      </c>
      <c r="B1301" s="1" t="n">
        <v>45147</v>
      </c>
      <c r="C1301" s="1" t="n">
        <v>45755</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35696-2023</t>
        </is>
      </c>
      <c r="B1302" s="1" t="n">
        <v>45147</v>
      </c>
      <c r="C1302" s="1" t="n">
        <v>45755</v>
      </c>
      <c r="D1302" t="inlineStr">
        <is>
          <t>STOCKHOLMS LÄN</t>
        </is>
      </c>
      <c r="E1302" t="inlineStr">
        <is>
          <t>NORRTÄLJE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35700-2023</t>
        </is>
      </c>
      <c r="B1303" s="1" t="n">
        <v>45147</v>
      </c>
      <c r="C1303" s="1" t="n">
        <v>45755</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35704-2023</t>
        </is>
      </c>
      <c r="B1304" s="1" t="n">
        <v>45147</v>
      </c>
      <c r="C1304" s="1" t="n">
        <v>45755</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35693-2023</t>
        </is>
      </c>
      <c r="B1305" s="1" t="n">
        <v>45147</v>
      </c>
      <c r="C1305" s="1" t="n">
        <v>45755</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35701-2023</t>
        </is>
      </c>
      <c r="B1306" s="1" t="n">
        <v>45147</v>
      </c>
      <c r="C1306" s="1" t="n">
        <v>45755</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35823-2023</t>
        </is>
      </c>
      <c r="B1307" s="1" t="n">
        <v>45148</v>
      </c>
      <c r="C1307" s="1" t="n">
        <v>45755</v>
      </c>
      <c r="D1307" t="inlineStr">
        <is>
          <t>STOCKHOLMS LÄN</t>
        </is>
      </c>
      <c r="E1307" t="inlineStr">
        <is>
          <t>NORRTÄLJE</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36253-2023</t>
        </is>
      </c>
      <c r="B1308" s="1" t="n">
        <v>45151</v>
      </c>
      <c r="C1308" s="1" t="n">
        <v>45755</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36257-2023</t>
        </is>
      </c>
      <c r="B1309" s="1" t="n">
        <v>45151</v>
      </c>
      <c r="C1309" s="1" t="n">
        <v>45755</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36259-2023</t>
        </is>
      </c>
      <c r="B1310" s="1" t="n">
        <v>45151</v>
      </c>
      <c r="C1310" s="1" t="n">
        <v>45755</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36254-2023</t>
        </is>
      </c>
      <c r="B1311" s="1" t="n">
        <v>45151</v>
      </c>
      <c r="C1311" s="1" t="n">
        <v>45755</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36258-2023</t>
        </is>
      </c>
      <c r="B1312" s="1" t="n">
        <v>45151</v>
      </c>
      <c r="C1312" s="1" t="n">
        <v>45755</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36689-2023</t>
        </is>
      </c>
      <c r="B1313" s="1" t="n">
        <v>45152</v>
      </c>
      <c r="C1313" s="1" t="n">
        <v>45755</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36865-2023</t>
        </is>
      </c>
      <c r="B1314" s="1" t="n">
        <v>45154</v>
      </c>
      <c r="C1314" s="1" t="n">
        <v>45755</v>
      </c>
      <c r="D1314" t="inlineStr">
        <is>
          <t>STOCKHOLMS LÄN</t>
        </is>
      </c>
      <c r="E1314" t="inlineStr">
        <is>
          <t>NORRTÄLJE</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37139-2023</t>
        </is>
      </c>
      <c r="B1315" s="1" t="n">
        <v>45155</v>
      </c>
      <c r="C1315" s="1" t="n">
        <v>45755</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37136-2023</t>
        </is>
      </c>
      <c r="B1316" s="1" t="n">
        <v>45155</v>
      </c>
      <c r="C1316" s="1" t="n">
        <v>45755</v>
      </c>
      <c r="D1316" t="inlineStr">
        <is>
          <t>STOCKHOLMS LÄN</t>
        </is>
      </c>
      <c r="E1316" t="inlineStr">
        <is>
          <t>NORRTÄLJE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37147-2023</t>
        </is>
      </c>
      <c r="B1317" s="1" t="n">
        <v>45155</v>
      </c>
      <c r="C1317" s="1" t="n">
        <v>45755</v>
      </c>
      <c r="D1317" t="inlineStr">
        <is>
          <t>STOCKHOLMS LÄN</t>
        </is>
      </c>
      <c r="E1317" t="inlineStr">
        <is>
          <t>NORRTÄLJE</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37670-2023</t>
        </is>
      </c>
      <c r="B1318" s="1" t="n">
        <v>45159</v>
      </c>
      <c r="C1318" s="1" t="n">
        <v>45755</v>
      </c>
      <c r="D1318" t="inlineStr">
        <is>
          <t>STOCKHOLMS LÄN</t>
        </is>
      </c>
      <c r="E1318" t="inlineStr">
        <is>
          <t>NORRTÄLJE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38049-2023</t>
        </is>
      </c>
      <c r="B1319" s="1" t="n">
        <v>45159</v>
      </c>
      <c r="C1319" s="1" t="n">
        <v>45755</v>
      </c>
      <c r="D1319" t="inlineStr">
        <is>
          <t>STOCKHOLMS LÄN</t>
        </is>
      </c>
      <c r="E1319" t="inlineStr">
        <is>
          <t>NORRTÄLJE</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38022-2023</t>
        </is>
      </c>
      <c r="B1320" s="1" t="n">
        <v>45160</v>
      </c>
      <c r="C1320" s="1" t="n">
        <v>45755</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38482-2023</t>
        </is>
      </c>
      <c r="B1321" s="1" t="n">
        <v>45162</v>
      </c>
      <c r="C1321" s="1" t="n">
        <v>45755</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38487-2023</t>
        </is>
      </c>
      <c r="B1322" s="1" t="n">
        <v>45162</v>
      </c>
      <c r="C1322" s="1" t="n">
        <v>45755</v>
      </c>
      <c r="D1322" t="inlineStr">
        <is>
          <t>STOCKHOLMS LÄN</t>
        </is>
      </c>
      <c r="E1322" t="inlineStr">
        <is>
          <t>NORRTÄLJE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38591-2023</t>
        </is>
      </c>
      <c r="B1323" s="1" t="n">
        <v>45162</v>
      </c>
      <c r="C1323" s="1" t="n">
        <v>45755</v>
      </c>
      <c r="D1323" t="inlineStr">
        <is>
          <t>STOCKHOLMS LÄN</t>
        </is>
      </c>
      <c r="E1323" t="inlineStr">
        <is>
          <t>NORRTÄLJE</t>
        </is>
      </c>
      <c r="F1323" t="inlineStr">
        <is>
          <t>Övriga Aktiebolag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39229-2023</t>
        </is>
      </c>
      <c r="B1324" s="1" t="n">
        <v>45166</v>
      </c>
      <c r="C1324" s="1" t="n">
        <v>45755</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39255-2023</t>
        </is>
      </c>
      <c r="B1325" s="1" t="n">
        <v>45166</v>
      </c>
      <c r="C1325" s="1" t="n">
        <v>45755</v>
      </c>
      <c r="D1325" t="inlineStr">
        <is>
          <t>STOCKHOLMS LÄN</t>
        </is>
      </c>
      <c r="E1325" t="inlineStr">
        <is>
          <t>NORRTÄLJE</t>
        </is>
      </c>
      <c r="G1325" t="n">
        <v>14.2</v>
      </c>
      <c r="H1325" t="n">
        <v>0</v>
      </c>
      <c r="I1325" t="n">
        <v>0</v>
      </c>
      <c r="J1325" t="n">
        <v>0</v>
      </c>
      <c r="K1325" t="n">
        <v>0</v>
      </c>
      <c r="L1325" t="n">
        <v>0</v>
      </c>
      <c r="M1325" t="n">
        <v>0</v>
      </c>
      <c r="N1325" t="n">
        <v>0</v>
      </c>
      <c r="O1325" t="n">
        <v>0</v>
      </c>
      <c r="P1325" t="n">
        <v>0</v>
      </c>
      <c r="Q1325" t="n">
        <v>0</v>
      </c>
      <c r="R1325" s="2" t="inlineStr"/>
    </row>
    <row r="1326" ht="15" customHeight="1">
      <c r="A1326" t="inlineStr">
        <is>
          <t>A 39879-2023</t>
        </is>
      </c>
      <c r="B1326" s="1" t="n">
        <v>45168</v>
      </c>
      <c r="C1326" s="1" t="n">
        <v>45755</v>
      </c>
      <c r="D1326" t="inlineStr">
        <is>
          <t>STOCKHOLMS LÄN</t>
        </is>
      </c>
      <c r="E1326" t="inlineStr">
        <is>
          <t>NORRTÄLJE</t>
        </is>
      </c>
      <c r="F1326" t="inlineStr">
        <is>
          <t>Holmen skog AB</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39905-2023</t>
        </is>
      </c>
      <c r="B1327" s="1" t="n">
        <v>45168</v>
      </c>
      <c r="C1327" s="1" t="n">
        <v>45755</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40139-2023</t>
        </is>
      </c>
      <c r="B1328" s="1" t="n">
        <v>45169</v>
      </c>
      <c r="C1328" s="1" t="n">
        <v>45755</v>
      </c>
      <c r="D1328" t="inlineStr">
        <is>
          <t>STOCKHOLMS LÄN</t>
        </is>
      </c>
      <c r="E1328" t="inlineStr">
        <is>
          <t>NORRTÄLJE</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40192-2023</t>
        </is>
      </c>
      <c r="B1329" s="1" t="n">
        <v>45169</v>
      </c>
      <c r="C1329" s="1" t="n">
        <v>45755</v>
      </c>
      <c r="D1329" t="inlineStr">
        <is>
          <t>STOCKHOLMS LÄN</t>
        </is>
      </c>
      <c r="E1329" t="inlineStr">
        <is>
          <t>NORRTÄLJE</t>
        </is>
      </c>
      <c r="F1329" t="inlineStr">
        <is>
          <t>Kyrkan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40161-2023</t>
        </is>
      </c>
      <c r="B1330" s="1" t="n">
        <v>45169</v>
      </c>
      <c r="C1330" s="1" t="n">
        <v>45755</v>
      </c>
      <c r="D1330" t="inlineStr">
        <is>
          <t>STOCKHOLMS LÄN</t>
        </is>
      </c>
      <c r="E1330" t="inlineStr">
        <is>
          <t>NORRTÄLJE</t>
        </is>
      </c>
      <c r="F1330" t="inlineStr">
        <is>
          <t>Kyrkan</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40190-2023</t>
        </is>
      </c>
      <c r="B1331" s="1" t="n">
        <v>45169</v>
      </c>
      <c r="C1331" s="1" t="n">
        <v>45755</v>
      </c>
      <c r="D1331" t="inlineStr">
        <is>
          <t>STOCKHOLMS LÄN</t>
        </is>
      </c>
      <c r="E1331" t="inlineStr">
        <is>
          <t>NORRTÄLJE</t>
        </is>
      </c>
      <c r="F1331" t="inlineStr">
        <is>
          <t>Kyrkan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40379-2023</t>
        </is>
      </c>
      <c r="B1332" s="1" t="n">
        <v>45169</v>
      </c>
      <c r="C1332" s="1" t="n">
        <v>45755</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41172-2023</t>
        </is>
      </c>
      <c r="B1333" s="1" t="n">
        <v>45170</v>
      </c>
      <c r="C1333" s="1" t="n">
        <v>45755</v>
      </c>
      <c r="D1333" t="inlineStr">
        <is>
          <t>STOCKHOLMS LÄN</t>
        </is>
      </c>
      <c r="E1333" t="inlineStr">
        <is>
          <t>NORRTÄLJE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40995-2023</t>
        </is>
      </c>
      <c r="B1334" s="1" t="n">
        <v>45173</v>
      </c>
      <c r="C1334" s="1" t="n">
        <v>45755</v>
      </c>
      <c r="D1334" t="inlineStr">
        <is>
          <t>STOCKHOLMS LÄN</t>
        </is>
      </c>
      <c r="E1334" t="inlineStr">
        <is>
          <t>NORRTÄLJE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41335-2023</t>
        </is>
      </c>
      <c r="B1335" s="1" t="n">
        <v>45174</v>
      </c>
      <c r="C1335" s="1" t="n">
        <v>45755</v>
      </c>
      <c r="D1335" t="inlineStr">
        <is>
          <t>STOCKHOLMS LÄN</t>
        </is>
      </c>
      <c r="E1335" t="inlineStr">
        <is>
          <t>NORRTÄLJE</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41587-2023</t>
        </is>
      </c>
      <c r="B1336" s="1" t="n">
        <v>45175</v>
      </c>
      <c r="C1336" s="1" t="n">
        <v>45755</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41716-2023</t>
        </is>
      </c>
      <c r="B1337" s="1" t="n">
        <v>45176</v>
      </c>
      <c r="C1337" s="1" t="n">
        <v>45755</v>
      </c>
      <c r="D1337" t="inlineStr">
        <is>
          <t>STOCKHOLMS LÄN</t>
        </is>
      </c>
      <c r="E1337" t="inlineStr">
        <is>
          <t>NORRTÄLJE</t>
        </is>
      </c>
      <c r="F1337" t="inlineStr">
        <is>
          <t>Kyrkan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41715-2023</t>
        </is>
      </c>
      <c r="B1338" s="1" t="n">
        <v>45176</v>
      </c>
      <c r="C1338" s="1" t="n">
        <v>45755</v>
      </c>
      <c r="D1338" t="inlineStr">
        <is>
          <t>STOCKHOLMS LÄN</t>
        </is>
      </c>
      <c r="E1338" t="inlineStr">
        <is>
          <t>NORRTÄLJE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41880-2023</t>
        </is>
      </c>
      <c r="B1339" s="1" t="n">
        <v>45176</v>
      </c>
      <c r="C1339" s="1" t="n">
        <v>45755</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42094-2023</t>
        </is>
      </c>
      <c r="B1340" s="1" t="n">
        <v>45177</v>
      </c>
      <c r="C1340" s="1" t="n">
        <v>45755</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42075-2023</t>
        </is>
      </c>
      <c r="B1341" s="1" t="n">
        <v>45177</v>
      </c>
      <c r="C1341" s="1" t="n">
        <v>45755</v>
      </c>
      <c r="D1341" t="inlineStr">
        <is>
          <t>STOCKHOLMS LÄN</t>
        </is>
      </c>
      <c r="E1341" t="inlineStr">
        <is>
          <t>NORRTÄLJE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42199-2023</t>
        </is>
      </c>
      <c r="B1342" s="1" t="n">
        <v>45179</v>
      </c>
      <c r="C1342" s="1" t="n">
        <v>45755</v>
      </c>
      <c r="D1342" t="inlineStr">
        <is>
          <t>STOCKHOLMS LÄN</t>
        </is>
      </c>
      <c r="E1342" t="inlineStr">
        <is>
          <t>NORRTÄLJE</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42200-2023</t>
        </is>
      </c>
      <c r="B1343" s="1" t="n">
        <v>45179</v>
      </c>
      <c r="C1343" s="1" t="n">
        <v>45755</v>
      </c>
      <c r="D1343" t="inlineStr">
        <is>
          <t>STOCKHOLMS LÄN</t>
        </is>
      </c>
      <c r="E1343" t="inlineStr">
        <is>
          <t>NORRTÄLJE</t>
        </is>
      </c>
      <c r="F1343" t="inlineStr">
        <is>
          <t>Sveaskog</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42765-2023</t>
        </is>
      </c>
      <c r="B1344" s="1" t="n">
        <v>45181</v>
      </c>
      <c r="C1344" s="1" t="n">
        <v>45755</v>
      </c>
      <c r="D1344" t="inlineStr">
        <is>
          <t>STOCKHOLMS LÄN</t>
        </is>
      </c>
      <c r="E1344" t="inlineStr">
        <is>
          <t>NORRTÄLJE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42775-2023</t>
        </is>
      </c>
      <c r="B1345" s="1" t="n">
        <v>45181</v>
      </c>
      <c r="C1345" s="1" t="n">
        <v>45755</v>
      </c>
      <c r="D1345" t="inlineStr">
        <is>
          <t>STOCKHOLMS LÄN</t>
        </is>
      </c>
      <c r="E1345" t="inlineStr">
        <is>
          <t>NORRTÄLJE</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42948-2023</t>
        </is>
      </c>
      <c r="B1346" s="1" t="n">
        <v>45182</v>
      </c>
      <c r="C1346" s="1" t="n">
        <v>45755</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42977-2023</t>
        </is>
      </c>
      <c r="B1347" s="1" t="n">
        <v>45182</v>
      </c>
      <c r="C1347" s="1" t="n">
        <v>45755</v>
      </c>
      <c r="D1347" t="inlineStr">
        <is>
          <t>STOCKHOLMS LÄN</t>
        </is>
      </c>
      <c r="E1347" t="inlineStr">
        <is>
          <t>NORRTÄLJE</t>
        </is>
      </c>
      <c r="F1347" t="inlineStr">
        <is>
          <t>Sveaskog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43140-2023</t>
        </is>
      </c>
      <c r="B1348" s="1" t="n">
        <v>45183</v>
      </c>
      <c r="C1348" s="1" t="n">
        <v>45755</v>
      </c>
      <c r="D1348" t="inlineStr">
        <is>
          <t>STOCKHOLMS LÄN</t>
        </is>
      </c>
      <c r="E1348" t="inlineStr">
        <is>
          <t>NORRTÄLJE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43207-2023</t>
        </is>
      </c>
      <c r="B1349" s="1" t="n">
        <v>45183</v>
      </c>
      <c r="C1349" s="1" t="n">
        <v>45755</v>
      </c>
      <c r="D1349" t="inlineStr">
        <is>
          <t>STOCKHOLMS LÄN</t>
        </is>
      </c>
      <c r="E1349" t="inlineStr">
        <is>
          <t>NORRTÄLJE</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43150-2023</t>
        </is>
      </c>
      <c r="B1350" s="1" t="n">
        <v>45183</v>
      </c>
      <c r="C1350" s="1" t="n">
        <v>45755</v>
      </c>
      <c r="D1350" t="inlineStr">
        <is>
          <t>STOCKHOLMS LÄN</t>
        </is>
      </c>
      <c r="E1350" t="inlineStr">
        <is>
          <t>NORRTÄLJE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43170-2023</t>
        </is>
      </c>
      <c r="B1351" s="1" t="n">
        <v>45183</v>
      </c>
      <c r="C1351" s="1" t="n">
        <v>45755</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43289-2023</t>
        </is>
      </c>
      <c r="B1352" s="1" t="n">
        <v>45183</v>
      </c>
      <c r="C1352" s="1" t="n">
        <v>45755</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43300-2023</t>
        </is>
      </c>
      <c r="B1353" s="1" t="n">
        <v>45183</v>
      </c>
      <c r="C1353" s="1" t="n">
        <v>45755</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43638-2023</t>
        </is>
      </c>
      <c r="B1354" s="1" t="n">
        <v>45186</v>
      </c>
      <c r="C1354" s="1" t="n">
        <v>45755</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43684-2023</t>
        </is>
      </c>
      <c r="B1355" s="1" t="n">
        <v>45187</v>
      </c>
      <c r="C1355" s="1" t="n">
        <v>45755</v>
      </c>
      <c r="D1355" t="inlineStr">
        <is>
          <t>STOCKHOLMS LÄN</t>
        </is>
      </c>
      <c r="E1355" t="inlineStr">
        <is>
          <t>NORRTÄLJE</t>
        </is>
      </c>
      <c r="F1355" t="inlineStr">
        <is>
          <t>Holmen skog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43836-2023</t>
        </is>
      </c>
      <c r="B1356" s="1" t="n">
        <v>45187</v>
      </c>
      <c r="C1356" s="1" t="n">
        <v>45755</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43710-2023</t>
        </is>
      </c>
      <c r="B1357" s="1" t="n">
        <v>45187</v>
      </c>
      <c r="C1357" s="1" t="n">
        <v>45755</v>
      </c>
      <c r="D1357" t="inlineStr">
        <is>
          <t>STOCKHOLMS LÄN</t>
        </is>
      </c>
      <c r="E1357" t="inlineStr">
        <is>
          <t>NORRTÄLJE</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44891-2023</t>
        </is>
      </c>
      <c r="B1358" s="1" t="n">
        <v>45187</v>
      </c>
      <c r="C1358" s="1" t="n">
        <v>45755</v>
      </c>
      <c r="D1358" t="inlineStr">
        <is>
          <t>STOCKHOLMS LÄN</t>
        </is>
      </c>
      <c r="E1358" t="inlineStr">
        <is>
          <t>NORRTÄLJE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44885-2023</t>
        </is>
      </c>
      <c r="B1359" s="1" t="n">
        <v>45187</v>
      </c>
      <c r="C1359" s="1" t="n">
        <v>45755</v>
      </c>
      <c r="D1359" t="inlineStr">
        <is>
          <t>STOCKHOLMS LÄN</t>
        </is>
      </c>
      <c r="E1359" t="inlineStr">
        <is>
          <t>NORRTÄLJE</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44075-2023</t>
        </is>
      </c>
      <c r="B1360" s="1" t="n">
        <v>45188</v>
      </c>
      <c r="C1360" s="1" t="n">
        <v>45755</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44154-2023</t>
        </is>
      </c>
      <c r="B1361" s="1" t="n">
        <v>45188</v>
      </c>
      <c r="C1361" s="1" t="n">
        <v>45755</v>
      </c>
      <c r="D1361" t="inlineStr">
        <is>
          <t>STOCKHOLMS LÄN</t>
        </is>
      </c>
      <c r="E1361" t="inlineStr">
        <is>
          <t>NORRTÄLJE</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44571-2023</t>
        </is>
      </c>
      <c r="B1362" s="1" t="n">
        <v>45189</v>
      </c>
      <c r="C1362" s="1" t="n">
        <v>45755</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44836-2023</t>
        </is>
      </c>
      <c r="B1363" s="1" t="n">
        <v>45190</v>
      </c>
      <c r="C1363" s="1" t="n">
        <v>45755</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45173-2023</t>
        </is>
      </c>
      <c r="B1364" s="1" t="n">
        <v>45191</v>
      </c>
      <c r="C1364" s="1" t="n">
        <v>45755</v>
      </c>
      <c r="D1364" t="inlineStr">
        <is>
          <t>STOCKHOLMS LÄN</t>
        </is>
      </c>
      <c r="E1364" t="inlineStr">
        <is>
          <t>NORRTÄLJE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45174-2023</t>
        </is>
      </c>
      <c r="B1365" s="1" t="n">
        <v>45191</v>
      </c>
      <c r="C1365" s="1" t="n">
        <v>45755</v>
      </c>
      <c r="D1365" t="inlineStr">
        <is>
          <t>STOCKHOLMS LÄN</t>
        </is>
      </c>
      <c r="E1365" t="inlineStr">
        <is>
          <t>NORRTÄLJE</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46161-2023</t>
        </is>
      </c>
      <c r="B1366" s="1" t="n">
        <v>45196</v>
      </c>
      <c r="C1366" s="1" t="n">
        <v>45755</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46155-2023</t>
        </is>
      </c>
      <c r="B1367" s="1" t="n">
        <v>45196</v>
      </c>
      <c r="C1367" s="1" t="n">
        <v>45755</v>
      </c>
      <c r="D1367" t="inlineStr">
        <is>
          <t>STOCKHOLMS LÄN</t>
        </is>
      </c>
      <c r="E1367" t="inlineStr">
        <is>
          <t>NORRTÄLJE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46621-2023</t>
        </is>
      </c>
      <c r="B1368" s="1" t="n">
        <v>45198</v>
      </c>
      <c r="C1368" s="1" t="n">
        <v>45755</v>
      </c>
      <c r="D1368" t="inlineStr">
        <is>
          <t>STOCKHOLMS LÄN</t>
        </is>
      </c>
      <c r="E1368" t="inlineStr">
        <is>
          <t>NORRTÄLJE</t>
        </is>
      </c>
      <c r="F1368" t="inlineStr">
        <is>
          <t>Holmen skog AB</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47419-2023</t>
        </is>
      </c>
      <c r="B1369" s="1" t="n">
        <v>45202</v>
      </c>
      <c r="C1369" s="1" t="n">
        <v>45755</v>
      </c>
      <c r="D1369" t="inlineStr">
        <is>
          <t>STOCKHOLMS LÄN</t>
        </is>
      </c>
      <c r="E1369" t="inlineStr">
        <is>
          <t>NORRTÄLJE</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47431-2023</t>
        </is>
      </c>
      <c r="B1370" s="1" t="n">
        <v>45202</v>
      </c>
      <c r="C1370" s="1" t="n">
        <v>45755</v>
      </c>
      <c r="D1370" t="inlineStr">
        <is>
          <t>STOCKHOLMS LÄN</t>
        </is>
      </c>
      <c r="E1370" t="inlineStr">
        <is>
          <t>NORRTÄLJE</t>
        </is>
      </c>
      <c r="F1370" t="inlineStr">
        <is>
          <t>Naturvårdsverket</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47325-2023</t>
        </is>
      </c>
      <c r="B1371" s="1" t="n">
        <v>45202</v>
      </c>
      <c r="C1371" s="1" t="n">
        <v>45755</v>
      </c>
      <c r="D1371" t="inlineStr">
        <is>
          <t>STOCKHOLMS LÄN</t>
        </is>
      </c>
      <c r="E1371" t="inlineStr">
        <is>
          <t>NORRTÄLJE</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47433-2023</t>
        </is>
      </c>
      <c r="B1372" s="1" t="n">
        <v>45202</v>
      </c>
      <c r="C1372" s="1" t="n">
        <v>45755</v>
      </c>
      <c r="D1372" t="inlineStr">
        <is>
          <t>STOCKHOLMS LÄN</t>
        </is>
      </c>
      <c r="E1372" t="inlineStr">
        <is>
          <t>NORRTÄLJE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47388-2023</t>
        </is>
      </c>
      <c r="B1373" s="1" t="n">
        <v>45202</v>
      </c>
      <c r="C1373" s="1" t="n">
        <v>45755</v>
      </c>
      <c r="D1373" t="inlineStr">
        <is>
          <t>STOCKHOLMS LÄN</t>
        </is>
      </c>
      <c r="E1373" t="inlineStr">
        <is>
          <t>NORRTÄLJE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47430-2023</t>
        </is>
      </c>
      <c r="B1374" s="1" t="n">
        <v>45202</v>
      </c>
      <c r="C1374" s="1" t="n">
        <v>45755</v>
      </c>
      <c r="D1374" t="inlineStr">
        <is>
          <t>STOCKHOLMS LÄN</t>
        </is>
      </c>
      <c r="E1374" t="inlineStr">
        <is>
          <t>NORRTÄLJE</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49775-2023</t>
        </is>
      </c>
      <c r="B1375" s="1" t="n">
        <v>45202</v>
      </c>
      <c r="C1375" s="1" t="n">
        <v>45755</v>
      </c>
      <c r="D1375" t="inlineStr">
        <is>
          <t>STOCKHOLMS LÄN</t>
        </is>
      </c>
      <c r="E1375" t="inlineStr">
        <is>
          <t>NORRTÄLJE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48578-2023</t>
        </is>
      </c>
      <c r="B1376" s="1" t="n">
        <v>45202</v>
      </c>
      <c r="C1376" s="1" t="n">
        <v>45755</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49774-2023</t>
        </is>
      </c>
      <c r="B1377" s="1" t="n">
        <v>45202</v>
      </c>
      <c r="C1377" s="1" t="n">
        <v>45755</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47672-2023</t>
        </is>
      </c>
      <c r="B1378" s="1" t="n">
        <v>45203</v>
      </c>
      <c r="C1378" s="1" t="n">
        <v>45755</v>
      </c>
      <c r="D1378" t="inlineStr">
        <is>
          <t>STOCKHOLMS LÄN</t>
        </is>
      </c>
      <c r="E1378" t="inlineStr">
        <is>
          <t>NORRTÄLJE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47694-2023</t>
        </is>
      </c>
      <c r="B1379" s="1" t="n">
        <v>45203</v>
      </c>
      <c r="C1379" s="1" t="n">
        <v>45755</v>
      </c>
      <c r="D1379" t="inlineStr">
        <is>
          <t>STOCKHOLMS LÄN</t>
        </is>
      </c>
      <c r="E1379" t="inlineStr">
        <is>
          <t>NORRTÄLJE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47708-2023</t>
        </is>
      </c>
      <c r="B1380" s="1" t="n">
        <v>45203</v>
      </c>
      <c r="C1380" s="1" t="n">
        <v>45755</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47758-2023</t>
        </is>
      </c>
      <c r="B1381" s="1" t="n">
        <v>45203</v>
      </c>
      <c r="C1381" s="1" t="n">
        <v>45755</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47699-2023</t>
        </is>
      </c>
      <c r="B1382" s="1" t="n">
        <v>45203</v>
      </c>
      <c r="C1382" s="1" t="n">
        <v>45755</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47735-2023</t>
        </is>
      </c>
      <c r="B1383" s="1" t="n">
        <v>45203</v>
      </c>
      <c r="C1383" s="1" t="n">
        <v>45755</v>
      </c>
      <c r="D1383" t="inlineStr">
        <is>
          <t>STOCKHOLMS LÄN</t>
        </is>
      </c>
      <c r="E1383" t="inlineStr">
        <is>
          <t>NORRTÄLJE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48167-2023</t>
        </is>
      </c>
      <c r="B1384" s="1" t="n">
        <v>45205</v>
      </c>
      <c r="C1384" s="1" t="n">
        <v>45755</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48180-2023</t>
        </is>
      </c>
      <c r="B1385" s="1" t="n">
        <v>45205</v>
      </c>
      <c r="C1385" s="1" t="n">
        <v>45755</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48185-2023</t>
        </is>
      </c>
      <c r="B1386" s="1" t="n">
        <v>45205</v>
      </c>
      <c r="C1386" s="1" t="n">
        <v>45755</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48302-2023</t>
        </is>
      </c>
      <c r="B1387" s="1" t="n">
        <v>45205</v>
      </c>
      <c r="C1387" s="1" t="n">
        <v>45755</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48333-2023</t>
        </is>
      </c>
      <c r="B1388" s="1" t="n">
        <v>45205</v>
      </c>
      <c r="C1388" s="1" t="n">
        <v>45755</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48541-2023</t>
        </is>
      </c>
      <c r="B1389" s="1" t="n">
        <v>45208</v>
      </c>
      <c r="C1389" s="1" t="n">
        <v>45755</v>
      </c>
      <c r="D1389" t="inlineStr">
        <is>
          <t>STOCKHOLMS LÄN</t>
        </is>
      </c>
      <c r="E1389" t="inlineStr">
        <is>
          <t>NORRTÄLJE</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48552-2023</t>
        </is>
      </c>
      <c r="B1390" s="1" t="n">
        <v>45208</v>
      </c>
      <c r="C1390" s="1" t="n">
        <v>45755</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48587-2023</t>
        </is>
      </c>
      <c r="B1391" s="1" t="n">
        <v>45208</v>
      </c>
      <c r="C1391" s="1" t="n">
        <v>45755</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48633-2023</t>
        </is>
      </c>
      <c r="B1392" s="1" t="n">
        <v>45208</v>
      </c>
      <c r="C1392" s="1" t="n">
        <v>45755</v>
      </c>
      <c r="D1392" t="inlineStr">
        <is>
          <t>STOCKHOLMS LÄN</t>
        </is>
      </c>
      <c r="E1392" t="inlineStr">
        <is>
          <t>NORRTÄLJE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48641-2023</t>
        </is>
      </c>
      <c r="B1393" s="1" t="n">
        <v>45208</v>
      </c>
      <c r="C1393" s="1" t="n">
        <v>45755</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48686-2023</t>
        </is>
      </c>
      <c r="B1394" s="1" t="n">
        <v>45208</v>
      </c>
      <c r="C1394" s="1" t="n">
        <v>45755</v>
      </c>
      <c r="D1394" t="inlineStr">
        <is>
          <t>STOCKHOLMS LÄN</t>
        </is>
      </c>
      <c r="E1394" t="inlineStr">
        <is>
          <t>NORRTÄLJE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48629-2023</t>
        </is>
      </c>
      <c r="B1395" s="1" t="n">
        <v>45208</v>
      </c>
      <c r="C1395" s="1" t="n">
        <v>45755</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48668-2023</t>
        </is>
      </c>
      <c r="B1396" s="1" t="n">
        <v>45208</v>
      </c>
      <c r="C1396" s="1" t="n">
        <v>45755</v>
      </c>
      <c r="D1396" t="inlineStr">
        <is>
          <t>STOCKHOLMS LÄN</t>
        </is>
      </c>
      <c r="E1396" t="inlineStr">
        <is>
          <t>NORRTÄLJE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48685-2023</t>
        </is>
      </c>
      <c r="B1397" s="1" t="n">
        <v>45208</v>
      </c>
      <c r="C1397" s="1" t="n">
        <v>45755</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48691-2023</t>
        </is>
      </c>
      <c r="B1398" s="1" t="n">
        <v>45208</v>
      </c>
      <c r="C1398" s="1" t="n">
        <v>45755</v>
      </c>
      <c r="D1398" t="inlineStr">
        <is>
          <t>STOCKHOLMS LÄN</t>
        </is>
      </c>
      <c r="E1398" t="inlineStr">
        <is>
          <t>NORRTÄLJE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48701-2023</t>
        </is>
      </c>
      <c r="B1399" s="1" t="n">
        <v>45208</v>
      </c>
      <c r="C1399" s="1" t="n">
        <v>45755</v>
      </c>
      <c r="D1399" t="inlineStr">
        <is>
          <t>STOCKHOLMS LÄN</t>
        </is>
      </c>
      <c r="E1399" t="inlineStr">
        <is>
          <t>NORRTÄLJE</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48716-2023</t>
        </is>
      </c>
      <c r="B1400" s="1" t="n">
        <v>45208</v>
      </c>
      <c r="C1400" s="1" t="n">
        <v>45755</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48709-2023</t>
        </is>
      </c>
      <c r="B1401" s="1" t="n">
        <v>45208</v>
      </c>
      <c r="C1401" s="1" t="n">
        <v>45755</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48722-2023</t>
        </is>
      </c>
      <c r="B1402" s="1" t="n">
        <v>45208</v>
      </c>
      <c r="C1402" s="1" t="n">
        <v>45755</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48726-2023</t>
        </is>
      </c>
      <c r="B1403" s="1" t="n">
        <v>45208</v>
      </c>
      <c r="C1403" s="1" t="n">
        <v>45755</v>
      </c>
      <c r="D1403" t="inlineStr">
        <is>
          <t>STOCKHOLMS LÄN</t>
        </is>
      </c>
      <c r="E1403" t="inlineStr">
        <is>
          <t>NORRTÄLJE</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49169-2023</t>
        </is>
      </c>
      <c r="B1404" s="1" t="n">
        <v>45210</v>
      </c>
      <c r="C1404" s="1" t="n">
        <v>45755</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49176-2023</t>
        </is>
      </c>
      <c r="B1405" s="1" t="n">
        <v>45210</v>
      </c>
      <c r="C1405" s="1" t="n">
        <v>45755</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49224-2023</t>
        </is>
      </c>
      <c r="B1406" s="1" t="n">
        <v>45210</v>
      </c>
      <c r="C1406" s="1" t="n">
        <v>45755</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49696-2023</t>
        </is>
      </c>
      <c r="B1407" s="1" t="n">
        <v>45212</v>
      </c>
      <c r="C1407" s="1" t="n">
        <v>45755</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49700-2023</t>
        </is>
      </c>
      <c r="B1408" s="1" t="n">
        <v>45212</v>
      </c>
      <c r="C1408" s="1" t="n">
        <v>45755</v>
      </c>
      <c r="D1408" t="inlineStr">
        <is>
          <t>STOCKHOLMS LÄN</t>
        </is>
      </c>
      <c r="E1408" t="inlineStr">
        <is>
          <t>NORRTÄLJE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49694-2023</t>
        </is>
      </c>
      <c r="B1409" s="1" t="n">
        <v>45212</v>
      </c>
      <c r="C1409" s="1" t="n">
        <v>45755</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50143-2023</t>
        </is>
      </c>
      <c r="B1410" s="1" t="n">
        <v>45215</v>
      </c>
      <c r="C1410" s="1" t="n">
        <v>45755</v>
      </c>
      <c r="D1410" t="inlineStr">
        <is>
          <t>STOCKHOLMS LÄN</t>
        </is>
      </c>
      <c r="E1410" t="inlineStr">
        <is>
          <t>NORRTÄLJE</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50107-2023</t>
        </is>
      </c>
      <c r="B1411" s="1" t="n">
        <v>45215</v>
      </c>
      <c r="C1411" s="1" t="n">
        <v>45755</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50033-2023</t>
        </is>
      </c>
      <c r="B1412" s="1" t="n">
        <v>45215</v>
      </c>
      <c r="C1412" s="1" t="n">
        <v>45755</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50136-2023</t>
        </is>
      </c>
      <c r="B1413" s="1" t="n">
        <v>45215</v>
      </c>
      <c r="C1413" s="1" t="n">
        <v>45755</v>
      </c>
      <c r="D1413" t="inlineStr">
        <is>
          <t>STOCKHOLMS LÄN</t>
        </is>
      </c>
      <c r="E1413" t="inlineStr">
        <is>
          <t>NORRTÄLJE</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50150-2023</t>
        </is>
      </c>
      <c r="B1414" s="1" t="n">
        <v>45215</v>
      </c>
      <c r="C1414" s="1" t="n">
        <v>45755</v>
      </c>
      <c r="D1414" t="inlineStr">
        <is>
          <t>STOCKHOLMS LÄN</t>
        </is>
      </c>
      <c r="E1414" t="inlineStr">
        <is>
          <t>NORRTÄLJE</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50289-2023</t>
        </is>
      </c>
      <c r="B1415" s="1" t="n">
        <v>45216</v>
      </c>
      <c r="C1415" s="1" t="n">
        <v>45755</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50436-2023</t>
        </is>
      </c>
      <c r="B1416" s="1" t="n">
        <v>45216</v>
      </c>
      <c r="C1416" s="1" t="n">
        <v>45755</v>
      </c>
      <c r="D1416" t="inlineStr">
        <is>
          <t>STOCKHOLMS LÄN</t>
        </is>
      </c>
      <c r="E1416" t="inlineStr">
        <is>
          <t>NORRTÄLJE</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50690-2023</t>
        </is>
      </c>
      <c r="B1417" s="1" t="n">
        <v>45217</v>
      </c>
      <c r="C1417" s="1" t="n">
        <v>45755</v>
      </c>
      <c r="D1417" t="inlineStr">
        <is>
          <t>STOCKHOLMS LÄN</t>
        </is>
      </c>
      <c r="E1417" t="inlineStr">
        <is>
          <t>NORRTÄLJE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51049-2023</t>
        </is>
      </c>
      <c r="B1418" s="1" t="n">
        <v>45218</v>
      </c>
      <c r="C1418" s="1" t="n">
        <v>45755</v>
      </c>
      <c r="D1418" t="inlineStr">
        <is>
          <t>STOCKHOLMS LÄN</t>
        </is>
      </c>
      <c r="E1418" t="inlineStr">
        <is>
          <t>NORRTÄLJE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51063-2023</t>
        </is>
      </c>
      <c r="B1419" s="1" t="n">
        <v>45218</v>
      </c>
      <c r="C1419" s="1" t="n">
        <v>45755</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50880-2023</t>
        </is>
      </c>
      <c r="B1420" s="1" t="n">
        <v>45218</v>
      </c>
      <c r="C1420" s="1" t="n">
        <v>45755</v>
      </c>
      <c r="D1420" t="inlineStr">
        <is>
          <t>STOCKHOLMS LÄN</t>
        </is>
      </c>
      <c r="E1420" t="inlineStr">
        <is>
          <t>NORRTÄLJE</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51046-2023</t>
        </is>
      </c>
      <c r="B1421" s="1" t="n">
        <v>45218</v>
      </c>
      <c r="C1421" s="1" t="n">
        <v>45755</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51043-2023</t>
        </is>
      </c>
      <c r="B1422" s="1" t="n">
        <v>45218</v>
      </c>
      <c r="C1422" s="1" t="n">
        <v>45755</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51061-2023</t>
        </is>
      </c>
      <c r="B1423" s="1" t="n">
        <v>45218</v>
      </c>
      <c r="C1423" s="1" t="n">
        <v>45755</v>
      </c>
      <c r="D1423" t="inlineStr">
        <is>
          <t>STOCKHOLMS LÄN</t>
        </is>
      </c>
      <c r="E1423" t="inlineStr">
        <is>
          <t>NORRTÄLJE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51325-2023</t>
        </is>
      </c>
      <c r="B1424" s="1" t="n">
        <v>45219</v>
      </c>
      <c r="C1424" s="1" t="n">
        <v>45755</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51312-2023</t>
        </is>
      </c>
      <c r="B1425" s="1" t="n">
        <v>45219</v>
      </c>
      <c r="C1425" s="1" t="n">
        <v>45755</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51597-2023</t>
        </is>
      </c>
      <c r="B1426" s="1" t="n">
        <v>45222</v>
      </c>
      <c r="C1426" s="1" t="n">
        <v>45755</v>
      </c>
      <c r="D1426" t="inlineStr">
        <is>
          <t>STOCKHOLMS LÄN</t>
        </is>
      </c>
      <c r="E1426" t="inlineStr">
        <is>
          <t>NORRTÄLJE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51657-2023</t>
        </is>
      </c>
      <c r="B1427" s="1" t="n">
        <v>45222</v>
      </c>
      <c r="C1427" s="1" t="n">
        <v>45755</v>
      </c>
      <c r="D1427" t="inlineStr">
        <is>
          <t>STOCKHOLMS LÄN</t>
        </is>
      </c>
      <c r="E1427" t="inlineStr">
        <is>
          <t>NORRTÄLJE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51903-2023</t>
        </is>
      </c>
      <c r="B1428" s="1" t="n">
        <v>45223</v>
      </c>
      <c r="C1428" s="1" t="n">
        <v>45755</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52095-2023</t>
        </is>
      </c>
      <c r="B1429" s="1" t="n">
        <v>45223</v>
      </c>
      <c r="C1429" s="1" t="n">
        <v>45755</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51978-2023</t>
        </is>
      </c>
      <c r="B1430" s="1" t="n">
        <v>45223</v>
      </c>
      <c r="C1430" s="1" t="n">
        <v>45755</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51997-2023</t>
        </is>
      </c>
      <c r="B1431" s="1" t="n">
        <v>45223</v>
      </c>
      <c r="C1431" s="1" t="n">
        <v>45755</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52001-2023</t>
        </is>
      </c>
      <c r="B1432" s="1" t="n">
        <v>45223</v>
      </c>
      <c r="C1432" s="1" t="n">
        <v>45755</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52096-2023</t>
        </is>
      </c>
      <c r="B1433" s="1" t="n">
        <v>45223</v>
      </c>
      <c r="C1433" s="1" t="n">
        <v>45755</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53362-2023</t>
        </is>
      </c>
      <c r="B1434" s="1" t="n">
        <v>45223</v>
      </c>
      <c r="C1434" s="1" t="n">
        <v>45755</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53372-2023</t>
        </is>
      </c>
      <c r="B1435" s="1" t="n">
        <v>45223</v>
      </c>
      <c r="C1435" s="1" t="n">
        <v>45755</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52221-2023</t>
        </is>
      </c>
      <c r="B1436" s="1" t="n">
        <v>45224</v>
      </c>
      <c r="C1436" s="1" t="n">
        <v>45755</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53561-2023</t>
        </is>
      </c>
      <c r="B1437" s="1" t="n">
        <v>45224</v>
      </c>
      <c r="C1437" s="1" t="n">
        <v>45755</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53556-2023</t>
        </is>
      </c>
      <c r="B1438" s="1" t="n">
        <v>45224</v>
      </c>
      <c r="C1438" s="1" t="n">
        <v>45755</v>
      </c>
      <c r="D1438" t="inlineStr">
        <is>
          <t>STOCKHOLMS LÄN</t>
        </is>
      </c>
      <c r="E1438" t="inlineStr">
        <is>
          <t>NORRTÄLJE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52570-2023</t>
        </is>
      </c>
      <c r="B1439" s="1" t="n">
        <v>45225</v>
      </c>
      <c r="C1439" s="1" t="n">
        <v>45755</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52619-2023</t>
        </is>
      </c>
      <c r="B1440" s="1" t="n">
        <v>45225</v>
      </c>
      <c r="C1440" s="1" t="n">
        <v>45755</v>
      </c>
      <c r="D1440" t="inlineStr">
        <is>
          <t>STOCKHOLMS LÄN</t>
        </is>
      </c>
      <c r="E1440" t="inlineStr">
        <is>
          <t>NORRTÄLJE</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52875-2023</t>
        </is>
      </c>
      <c r="B1441" s="1" t="n">
        <v>45226</v>
      </c>
      <c r="C1441" s="1" t="n">
        <v>45755</v>
      </c>
      <c r="D1441" t="inlineStr">
        <is>
          <t>STOCKHOLMS LÄN</t>
        </is>
      </c>
      <c r="E1441" t="inlineStr">
        <is>
          <t>NORRTÄLJE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52899-2023</t>
        </is>
      </c>
      <c r="B1442" s="1" t="n">
        <v>45226</v>
      </c>
      <c r="C1442" s="1" t="n">
        <v>45755</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53563-2023</t>
        </is>
      </c>
      <c r="B1443" s="1" t="n">
        <v>45230</v>
      </c>
      <c r="C1443" s="1" t="n">
        <v>45755</v>
      </c>
      <c r="D1443" t="inlineStr">
        <is>
          <t>STOCKHOLMS LÄN</t>
        </is>
      </c>
      <c r="E1443" t="inlineStr">
        <is>
          <t>NORRTÄLJE</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53718-2023</t>
        </is>
      </c>
      <c r="B1444" s="1" t="n">
        <v>45230</v>
      </c>
      <c r="C1444" s="1" t="n">
        <v>45755</v>
      </c>
      <c r="D1444" t="inlineStr">
        <is>
          <t>STOCKHOLMS LÄN</t>
        </is>
      </c>
      <c r="E1444" t="inlineStr">
        <is>
          <t>NORRTÄLJE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53787-2023</t>
        </is>
      </c>
      <c r="B1445" s="1" t="n">
        <v>45231</v>
      </c>
      <c r="C1445" s="1" t="n">
        <v>45755</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53792-2023</t>
        </is>
      </c>
      <c r="B1446" s="1" t="n">
        <v>45231</v>
      </c>
      <c r="C1446" s="1" t="n">
        <v>45755</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55518-2023</t>
        </is>
      </c>
      <c r="B1447" s="1" t="n">
        <v>45231</v>
      </c>
      <c r="C1447" s="1" t="n">
        <v>45755</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55533-2023</t>
        </is>
      </c>
      <c r="B1448" s="1" t="n">
        <v>45231</v>
      </c>
      <c r="C1448" s="1" t="n">
        <v>45755</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54259-2023</t>
        </is>
      </c>
      <c r="B1449" s="1" t="n">
        <v>45232</v>
      </c>
      <c r="C1449" s="1" t="n">
        <v>45755</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54546-2023</t>
        </is>
      </c>
      <c r="B1450" s="1" t="n">
        <v>45233</v>
      </c>
      <c r="C1450" s="1" t="n">
        <v>45755</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54776-2023</t>
        </is>
      </c>
      <c r="B1451" s="1" t="n">
        <v>45236</v>
      </c>
      <c r="C1451" s="1" t="n">
        <v>45755</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55038-2023</t>
        </is>
      </c>
      <c r="B1452" s="1" t="n">
        <v>45237</v>
      </c>
      <c r="C1452" s="1" t="n">
        <v>45755</v>
      </c>
      <c r="D1452" t="inlineStr">
        <is>
          <t>STOCKHOLMS LÄN</t>
        </is>
      </c>
      <c r="E1452" t="inlineStr">
        <is>
          <t>NORRTÄLJE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55243-2023</t>
        </is>
      </c>
      <c r="B1453" s="1" t="n">
        <v>45237</v>
      </c>
      <c r="C1453" s="1" t="n">
        <v>45755</v>
      </c>
      <c r="D1453" t="inlineStr">
        <is>
          <t>STOCKHOLMS LÄN</t>
        </is>
      </c>
      <c r="E1453" t="inlineStr">
        <is>
          <t>NORRTÄLJE</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55369-2023</t>
        </is>
      </c>
      <c r="B1454" s="1" t="n">
        <v>45238</v>
      </c>
      <c r="C1454" s="1" t="n">
        <v>45755</v>
      </c>
      <c r="D1454" t="inlineStr">
        <is>
          <t>STOCKHOLMS LÄN</t>
        </is>
      </c>
      <c r="E1454" t="inlineStr">
        <is>
          <t>NORRTÄLJE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55755-2023</t>
        </is>
      </c>
      <c r="B1455" s="1" t="n">
        <v>45239</v>
      </c>
      <c r="C1455" s="1" t="n">
        <v>45755</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56428-2023</t>
        </is>
      </c>
      <c r="B1456" s="1" t="n">
        <v>45243</v>
      </c>
      <c r="C1456" s="1" t="n">
        <v>45755</v>
      </c>
      <c r="D1456" t="inlineStr">
        <is>
          <t>STOCKHOLMS LÄN</t>
        </is>
      </c>
      <c r="E1456" t="inlineStr">
        <is>
          <t>NORRTÄLJE</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56439-2023</t>
        </is>
      </c>
      <c r="B1457" s="1" t="n">
        <v>45243</v>
      </c>
      <c r="C1457" s="1" t="n">
        <v>45755</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56445-2023</t>
        </is>
      </c>
      <c r="B1458" s="1" t="n">
        <v>45243</v>
      </c>
      <c r="C1458" s="1" t="n">
        <v>45755</v>
      </c>
      <c r="D1458" t="inlineStr">
        <is>
          <t>STOCKHOLMS LÄN</t>
        </is>
      </c>
      <c r="E1458" t="inlineStr">
        <is>
          <t>NORRTÄLJE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56577-2023</t>
        </is>
      </c>
      <c r="B1459" s="1" t="n">
        <v>45243</v>
      </c>
      <c r="C1459" s="1" t="n">
        <v>45755</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56593-2023</t>
        </is>
      </c>
      <c r="B1460" s="1" t="n">
        <v>45243</v>
      </c>
      <c r="C1460" s="1" t="n">
        <v>45755</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56819-2023</t>
        </is>
      </c>
      <c r="B1461" s="1" t="n">
        <v>45244</v>
      </c>
      <c r="C1461" s="1" t="n">
        <v>45755</v>
      </c>
      <c r="D1461" t="inlineStr">
        <is>
          <t>STOCKHOLMS LÄN</t>
        </is>
      </c>
      <c r="E1461" t="inlineStr">
        <is>
          <t>NORRTÄLJE</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58261-2023</t>
        </is>
      </c>
      <c r="B1462" s="1" t="n">
        <v>45245</v>
      </c>
      <c r="C1462" s="1" t="n">
        <v>45755</v>
      </c>
      <c r="D1462" t="inlineStr">
        <is>
          <t>STOCKHOLMS LÄN</t>
        </is>
      </c>
      <c r="E1462" t="inlineStr">
        <is>
          <t>NORRTÄLJE</t>
        </is>
      </c>
      <c r="G1462" t="n">
        <v>53.5</v>
      </c>
      <c r="H1462" t="n">
        <v>0</v>
      </c>
      <c r="I1462" t="n">
        <v>0</v>
      </c>
      <c r="J1462" t="n">
        <v>0</v>
      </c>
      <c r="K1462" t="n">
        <v>0</v>
      </c>
      <c r="L1462" t="n">
        <v>0</v>
      </c>
      <c r="M1462" t="n">
        <v>0</v>
      </c>
      <c r="N1462" t="n">
        <v>0</v>
      </c>
      <c r="O1462" t="n">
        <v>0</v>
      </c>
      <c r="P1462" t="n">
        <v>0</v>
      </c>
      <c r="Q1462" t="n">
        <v>0</v>
      </c>
      <c r="R1462" s="2" t="inlineStr"/>
    </row>
    <row r="1463" ht="15" customHeight="1">
      <c r="A1463" t="inlineStr">
        <is>
          <t>A 58209-2023</t>
        </is>
      </c>
      <c r="B1463" s="1" t="n">
        <v>45245</v>
      </c>
      <c r="C1463" s="1" t="n">
        <v>45755</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58227-2023</t>
        </is>
      </c>
      <c r="B1464" s="1" t="n">
        <v>45245</v>
      </c>
      <c r="C1464" s="1" t="n">
        <v>45755</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58291-2023</t>
        </is>
      </c>
      <c r="B1465" s="1" t="n">
        <v>45245</v>
      </c>
      <c r="C1465" s="1" t="n">
        <v>45755</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58277-2023</t>
        </is>
      </c>
      <c r="B1466" s="1" t="n">
        <v>45245</v>
      </c>
      <c r="C1466" s="1" t="n">
        <v>45755</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58213-2023</t>
        </is>
      </c>
      <c r="B1467" s="1" t="n">
        <v>45245</v>
      </c>
      <c r="C1467" s="1" t="n">
        <v>45755</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58311-2023</t>
        </is>
      </c>
      <c r="B1468" s="1" t="n">
        <v>45245</v>
      </c>
      <c r="C1468" s="1" t="n">
        <v>45755</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58300-2023</t>
        </is>
      </c>
      <c r="B1469" s="1" t="n">
        <v>45245</v>
      </c>
      <c r="C1469" s="1" t="n">
        <v>45755</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58260-2023</t>
        </is>
      </c>
      <c r="B1470" s="1" t="n">
        <v>45245</v>
      </c>
      <c r="C1470" s="1" t="n">
        <v>45755</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58297-2023</t>
        </is>
      </c>
      <c r="B1471" s="1" t="n">
        <v>45245</v>
      </c>
      <c r="C1471" s="1" t="n">
        <v>45755</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58306-2023</t>
        </is>
      </c>
      <c r="B1472" s="1" t="n">
        <v>45245</v>
      </c>
      <c r="C1472" s="1" t="n">
        <v>45755</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58404-2023</t>
        </is>
      </c>
      <c r="B1473" s="1" t="n">
        <v>45245</v>
      </c>
      <c r="C1473" s="1" t="n">
        <v>45755</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58191-2023</t>
        </is>
      </c>
      <c r="B1474" s="1" t="n">
        <v>45250</v>
      </c>
      <c r="C1474" s="1" t="n">
        <v>45755</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58186-2023</t>
        </is>
      </c>
      <c r="B1475" s="1" t="n">
        <v>45250</v>
      </c>
      <c r="C1475" s="1" t="n">
        <v>45755</v>
      </c>
      <c r="D1475" t="inlineStr">
        <is>
          <t>STOCKHOLMS LÄN</t>
        </is>
      </c>
      <c r="E1475" t="inlineStr">
        <is>
          <t>NORRTÄLJE</t>
        </is>
      </c>
      <c r="F1475" t="inlineStr">
        <is>
          <t>Kyrkan</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58981-2023</t>
        </is>
      </c>
      <c r="B1476" s="1" t="n">
        <v>45250</v>
      </c>
      <c r="C1476" s="1" t="n">
        <v>45755</v>
      </c>
      <c r="D1476" t="inlineStr">
        <is>
          <t>STOCKHOLMS LÄN</t>
        </is>
      </c>
      <c r="E1476" t="inlineStr">
        <is>
          <t>NORRTÄLJE</t>
        </is>
      </c>
      <c r="F1476" t="inlineStr">
        <is>
          <t>Övriga statliga verk och myndigheter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58601-2023</t>
        </is>
      </c>
      <c r="B1477" s="1" t="n">
        <v>45251</v>
      </c>
      <c r="C1477" s="1" t="n">
        <v>45755</v>
      </c>
      <c r="D1477" t="inlineStr">
        <is>
          <t>STOCKHOLMS LÄN</t>
        </is>
      </c>
      <c r="E1477" t="inlineStr">
        <is>
          <t>NORRTÄLJE</t>
        </is>
      </c>
      <c r="F1477" t="inlineStr">
        <is>
          <t>Holmen skog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59310-2023</t>
        </is>
      </c>
      <c r="B1478" s="1" t="n">
        <v>45253</v>
      </c>
      <c r="C1478" s="1" t="n">
        <v>45755</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59326-2023</t>
        </is>
      </c>
      <c r="B1479" s="1" t="n">
        <v>45253</v>
      </c>
      <c r="C1479" s="1" t="n">
        <v>45755</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59212-2023</t>
        </is>
      </c>
      <c r="B1480" s="1" t="n">
        <v>45253</v>
      </c>
      <c r="C1480" s="1" t="n">
        <v>45755</v>
      </c>
      <c r="D1480" t="inlineStr">
        <is>
          <t>STOCKHOLMS LÄN</t>
        </is>
      </c>
      <c r="E1480" t="inlineStr">
        <is>
          <t>NORRTÄLJE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59276-2023</t>
        </is>
      </c>
      <c r="B1481" s="1" t="n">
        <v>45253</v>
      </c>
      <c r="C1481" s="1" t="n">
        <v>45755</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59468-2023</t>
        </is>
      </c>
      <c r="B1482" s="1" t="n">
        <v>45254</v>
      </c>
      <c r="C1482" s="1" t="n">
        <v>45755</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59499-2023</t>
        </is>
      </c>
      <c r="B1483" s="1" t="n">
        <v>45254</v>
      </c>
      <c r="C1483" s="1" t="n">
        <v>45755</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59504-2023</t>
        </is>
      </c>
      <c r="B1484" s="1" t="n">
        <v>45254</v>
      </c>
      <c r="C1484" s="1" t="n">
        <v>45755</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59676-2023</t>
        </is>
      </c>
      <c r="B1485" s="1" t="n">
        <v>45255</v>
      </c>
      <c r="C1485" s="1" t="n">
        <v>45755</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59904-2023</t>
        </is>
      </c>
      <c r="B1486" s="1" t="n">
        <v>45257</v>
      </c>
      <c r="C1486" s="1" t="n">
        <v>45755</v>
      </c>
      <c r="D1486" t="inlineStr">
        <is>
          <t>STOCKHOLMS LÄN</t>
        </is>
      </c>
      <c r="E1486" t="inlineStr">
        <is>
          <t>NORRTÄLJE</t>
        </is>
      </c>
      <c r="G1486" t="n">
        <v>17.4</v>
      </c>
      <c r="H1486" t="n">
        <v>0</v>
      </c>
      <c r="I1486" t="n">
        <v>0</v>
      </c>
      <c r="J1486" t="n">
        <v>0</v>
      </c>
      <c r="K1486" t="n">
        <v>0</v>
      </c>
      <c r="L1486" t="n">
        <v>0</v>
      </c>
      <c r="M1486" t="n">
        <v>0</v>
      </c>
      <c r="N1486" t="n">
        <v>0</v>
      </c>
      <c r="O1486" t="n">
        <v>0</v>
      </c>
      <c r="P1486" t="n">
        <v>0</v>
      </c>
      <c r="Q1486" t="n">
        <v>0</v>
      </c>
      <c r="R1486" s="2" t="inlineStr"/>
    </row>
    <row r="1487" ht="15" customHeight="1">
      <c r="A1487" t="inlineStr">
        <is>
          <t>A 59906-2023</t>
        </is>
      </c>
      <c r="B1487" s="1" t="n">
        <v>45257</v>
      </c>
      <c r="C1487" s="1" t="n">
        <v>45755</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59992-2023</t>
        </is>
      </c>
      <c r="B1488" s="1" t="n">
        <v>45257</v>
      </c>
      <c r="C1488" s="1" t="n">
        <v>45755</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60224-2023</t>
        </is>
      </c>
      <c r="B1489" s="1" t="n">
        <v>45257</v>
      </c>
      <c r="C1489" s="1" t="n">
        <v>45755</v>
      </c>
      <c r="D1489" t="inlineStr">
        <is>
          <t>STOCKHOLMS LÄN</t>
        </is>
      </c>
      <c r="E1489" t="inlineStr">
        <is>
          <t>NORRTÄLJE</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60073-2023</t>
        </is>
      </c>
      <c r="B1490" s="1" t="n">
        <v>45258</v>
      </c>
      <c r="C1490" s="1" t="n">
        <v>45755</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60492-2023</t>
        </is>
      </c>
      <c r="B1491" s="1" t="n">
        <v>45259</v>
      </c>
      <c r="C1491" s="1" t="n">
        <v>45755</v>
      </c>
      <c r="D1491" t="inlineStr">
        <is>
          <t>STOCKHOLMS LÄN</t>
        </is>
      </c>
      <c r="E1491" t="inlineStr">
        <is>
          <t>NORRTÄLJE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60529-2023</t>
        </is>
      </c>
      <c r="B1492" s="1" t="n">
        <v>45259</v>
      </c>
      <c r="C1492" s="1" t="n">
        <v>45755</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60822-2023</t>
        </is>
      </c>
      <c r="B1493" s="1" t="n">
        <v>45259</v>
      </c>
      <c r="C1493" s="1" t="n">
        <v>45755</v>
      </c>
      <c r="D1493" t="inlineStr">
        <is>
          <t>STOCKHOLMS LÄN</t>
        </is>
      </c>
      <c r="E1493" t="inlineStr">
        <is>
          <t>NORRTÄLJE</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60654-2023</t>
        </is>
      </c>
      <c r="B1494" s="1" t="n">
        <v>45260</v>
      </c>
      <c r="C1494" s="1" t="n">
        <v>45755</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60640-2023</t>
        </is>
      </c>
      <c r="B1495" s="1" t="n">
        <v>45260</v>
      </c>
      <c r="C1495" s="1" t="n">
        <v>45755</v>
      </c>
      <c r="D1495" t="inlineStr">
        <is>
          <t>STOCKHOLMS LÄN</t>
        </is>
      </c>
      <c r="E1495" t="inlineStr">
        <is>
          <t>NORRTÄLJE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60672-2023</t>
        </is>
      </c>
      <c r="B1496" s="1" t="n">
        <v>45260</v>
      </c>
      <c r="C1496" s="1" t="n">
        <v>45755</v>
      </c>
      <c r="D1496" t="inlineStr">
        <is>
          <t>STOCKHOLMS LÄN</t>
        </is>
      </c>
      <c r="E1496" t="inlineStr">
        <is>
          <t>NORRTÄLJE</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60823-2023</t>
        </is>
      </c>
      <c r="B1497" s="1" t="n">
        <v>45260</v>
      </c>
      <c r="C1497" s="1" t="n">
        <v>45755</v>
      </c>
      <c r="D1497" t="inlineStr">
        <is>
          <t>STOCKHOLMS LÄN</t>
        </is>
      </c>
      <c r="E1497" t="inlineStr">
        <is>
          <t>NORRTÄLJE</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60656-2023</t>
        </is>
      </c>
      <c r="B1498" s="1" t="n">
        <v>45260</v>
      </c>
      <c r="C1498" s="1" t="n">
        <v>45755</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60765-2023</t>
        </is>
      </c>
      <c r="B1499" s="1" t="n">
        <v>45260</v>
      </c>
      <c r="C1499" s="1" t="n">
        <v>45755</v>
      </c>
      <c r="D1499" t="inlineStr">
        <is>
          <t>STOCKHOLMS LÄN</t>
        </is>
      </c>
      <c r="E1499" t="inlineStr">
        <is>
          <t>NORRTÄLJE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61113-2023</t>
        </is>
      </c>
      <c r="B1500" s="1" t="n">
        <v>45261</v>
      </c>
      <c r="C1500" s="1" t="n">
        <v>45755</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62644-2023</t>
        </is>
      </c>
      <c r="B1501" s="1" t="n">
        <v>45271</v>
      </c>
      <c r="C1501" s="1" t="n">
        <v>45755</v>
      </c>
      <c r="D1501" t="inlineStr">
        <is>
          <t>STOCKHOLMS LÄN</t>
        </is>
      </c>
      <c r="E1501" t="inlineStr">
        <is>
          <t>NORRTÄLJE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62998-2023</t>
        </is>
      </c>
      <c r="B1502" s="1" t="n">
        <v>45272</v>
      </c>
      <c r="C1502" s="1" t="n">
        <v>45755</v>
      </c>
      <c r="D1502" t="inlineStr">
        <is>
          <t>STOCKHOLMS LÄN</t>
        </is>
      </c>
      <c r="E1502" t="inlineStr">
        <is>
          <t>NORRTÄLJE</t>
        </is>
      </c>
      <c r="G1502" t="n">
        <v>16.3</v>
      </c>
      <c r="H1502" t="n">
        <v>0</v>
      </c>
      <c r="I1502" t="n">
        <v>0</v>
      </c>
      <c r="J1502" t="n">
        <v>0</v>
      </c>
      <c r="K1502" t="n">
        <v>0</v>
      </c>
      <c r="L1502" t="n">
        <v>0</v>
      </c>
      <c r="M1502" t="n">
        <v>0</v>
      </c>
      <c r="N1502" t="n">
        <v>0</v>
      </c>
      <c r="O1502" t="n">
        <v>0</v>
      </c>
      <c r="P1502" t="n">
        <v>0</v>
      </c>
      <c r="Q1502" t="n">
        <v>0</v>
      </c>
      <c r="R1502" s="2" t="inlineStr"/>
    </row>
    <row r="1503" ht="15" customHeight="1">
      <c r="A1503" t="inlineStr">
        <is>
          <t>A 63015-2023</t>
        </is>
      </c>
      <c r="B1503" s="1" t="n">
        <v>45272</v>
      </c>
      <c r="C1503" s="1" t="n">
        <v>45755</v>
      </c>
      <c r="D1503" t="inlineStr">
        <is>
          <t>STOCKHOLMS LÄN</t>
        </is>
      </c>
      <c r="E1503" t="inlineStr">
        <is>
          <t>NORRTÄLJE</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62971-2023</t>
        </is>
      </c>
      <c r="B1504" s="1" t="n">
        <v>45272</v>
      </c>
      <c r="C1504" s="1" t="n">
        <v>45755</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63013-2023</t>
        </is>
      </c>
      <c r="B1505" s="1" t="n">
        <v>45272</v>
      </c>
      <c r="C1505" s="1" t="n">
        <v>45755</v>
      </c>
      <c r="D1505" t="inlineStr">
        <is>
          <t>STOCKHOLMS LÄN</t>
        </is>
      </c>
      <c r="E1505" t="inlineStr">
        <is>
          <t>NORRTÄLJE</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63161-2023</t>
        </is>
      </c>
      <c r="B1506" s="1" t="n">
        <v>45273</v>
      </c>
      <c r="C1506" s="1" t="n">
        <v>45755</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63655-2023</t>
        </is>
      </c>
      <c r="B1507" s="1" t="n">
        <v>45275</v>
      </c>
      <c r="C1507" s="1" t="n">
        <v>45755</v>
      </c>
      <c r="D1507" t="inlineStr">
        <is>
          <t>STOCKHOLMS LÄN</t>
        </is>
      </c>
      <c r="E1507" t="inlineStr">
        <is>
          <t>NORRTÄLJE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64902-2023</t>
        </is>
      </c>
      <c r="B1508" s="1" t="n">
        <v>45282</v>
      </c>
      <c r="C1508" s="1" t="n">
        <v>45755</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64899-2023</t>
        </is>
      </c>
      <c r="B1509" s="1" t="n">
        <v>45282</v>
      </c>
      <c r="C1509" s="1" t="n">
        <v>45755</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9-2024</t>
        </is>
      </c>
      <c r="B1510" s="1" t="n">
        <v>45293</v>
      </c>
      <c r="C1510" s="1" t="n">
        <v>45755</v>
      </c>
      <c r="D1510" t="inlineStr">
        <is>
          <t>STOCKHOLMS LÄN</t>
        </is>
      </c>
      <c r="E1510" t="inlineStr">
        <is>
          <t>NORRTÄLJE</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13-2024</t>
        </is>
      </c>
      <c r="B1511" s="1" t="n">
        <v>45293</v>
      </c>
      <c r="C1511" s="1" t="n">
        <v>45755</v>
      </c>
      <c r="D1511" t="inlineStr">
        <is>
          <t>STOCKHOLMS LÄN</t>
        </is>
      </c>
      <c r="E1511" t="inlineStr">
        <is>
          <t>NORRTÄLJE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11-2024</t>
        </is>
      </c>
      <c r="B1512" s="1" t="n">
        <v>45293</v>
      </c>
      <c r="C1512" s="1" t="n">
        <v>45755</v>
      </c>
      <c r="D1512" t="inlineStr">
        <is>
          <t>STOCKHOLMS LÄN</t>
        </is>
      </c>
      <c r="E1512" t="inlineStr">
        <is>
          <t>NORRTÄLJE</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19-2024</t>
        </is>
      </c>
      <c r="B1513" s="1" t="n">
        <v>45293</v>
      </c>
      <c r="C1513" s="1" t="n">
        <v>45755</v>
      </c>
      <c r="D1513" t="inlineStr">
        <is>
          <t>STOCKHOLMS LÄN</t>
        </is>
      </c>
      <c r="E1513" t="inlineStr">
        <is>
          <t>NORRTÄLJE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329-2024</t>
        </is>
      </c>
      <c r="B1514" s="1" t="n">
        <v>45295</v>
      </c>
      <c r="C1514" s="1" t="n">
        <v>45755</v>
      </c>
      <c r="D1514" t="inlineStr">
        <is>
          <t>STOCKHOLMS LÄN</t>
        </is>
      </c>
      <c r="E1514" t="inlineStr">
        <is>
          <t>NORRTÄLJE</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498-2024</t>
        </is>
      </c>
      <c r="B1515" s="1" t="n">
        <v>45299</v>
      </c>
      <c r="C1515" s="1" t="n">
        <v>45755</v>
      </c>
      <c r="D1515" t="inlineStr">
        <is>
          <t>STOCKHOLMS LÄN</t>
        </is>
      </c>
      <c r="E1515" t="inlineStr">
        <is>
          <t>NORRTÄLJE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577-2024</t>
        </is>
      </c>
      <c r="B1516" s="1" t="n">
        <v>45299</v>
      </c>
      <c r="C1516" s="1" t="n">
        <v>45755</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1372-2024</t>
        </is>
      </c>
      <c r="B1517" s="1" t="n">
        <v>45303</v>
      </c>
      <c r="C1517" s="1" t="n">
        <v>45755</v>
      </c>
      <c r="D1517" t="inlineStr">
        <is>
          <t>STOCKHOLMS LÄN</t>
        </is>
      </c>
      <c r="E1517" t="inlineStr">
        <is>
          <t>NORRTÄLJE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1996-2024</t>
        </is>
      </c>
      <c r="B1518" s="1" t="n">
        <v>45308</v>
      </c>
      <c r="C1518" s="1" t="n">
        <v>45755</v>
      </c>
      <c r="D1518" t="inlineStr">
        <is>
          <t>STOCKHOLMS LÄN</t>
        </is>
      </c>
      <c r="E1518" t="inlineStr">
        <is>
          <t>NORRTÄLJE</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2287-2024</t>
        </is>
      </c>
      <c r="B1519" s="1" t="n">
        <v>45310</v>
      </c>
      <c r="C1519" s="1" t="n">
        <v>45755</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2281-2024</t>
        </is>
      </c>
      <c r="B1520" s="1" t="n">
        <v>45310</v>
      </c>
      <c r="C1520" s="1" t="n">
        <v>45755</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2613-2024</t>
        </is>
      </c>
      <c r="B1521" s="1" t="n">
        <v>45313</v>
      </c>
      <c r="C1521" s="1" t="n">
        <v>45755</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2611-2024</t>
        </is>
      </c>
      <c r="B1522" s="1" t="n">
        <v>45313</v>
      </c>
      <c r="C1522" s="1" t="n">
        <v>45755</v>
      </c>
      <c r="D1522" t="inlineStr">
        <is>
          <t>STOCKHOLMS LÄN</t>
        </is>
      </c>
      <c r="E1522" t="inlineStr">
        <is>
          <t>NORRTÄLJE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3084-2024</t>
        </is>
      </c>
      <c r="B1523" s="1" t="n">
        <v>45316</v>
      </c>
      <c r="C1523" s="1" t="n">
        <v>45755</v>
      </c>
      <c r="D1523" t="inlineStr">
        <is>
          <t>STOCKHOLMS LÄN</t>
        </is>
      </c>
      <c r="E1523" t="inlineStr">
        <is>
          <t>NORRTÄLJE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3152-2024</t>
        </is>
      </c>
      <c r="B1524" s="1" t="n">
        <v>45316</v>
      </c>
      <c r="C1524" s="1" t="n">
        <v>45755</v>
      </c>
      <c r="D1524" t="inlineStr">
        <is>
          <t>STOCKHOLMS LÄN</t>
        </is>
      </c>
      <c r="E1524" t="inlineStr">
        <is>
          <t>NORRTÄLJE</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3381-2024</t>
        </is>
      </c>
      <c r="B1525" s="1" t="n">
        <v>45317</v>
      </c>
      <c r="C1525" s="1" t="n">
        <v>45755</v>
      </c>
      <c r="D1525" t="inlineStr">
        <is>
          <t>STOCKHOLMS LÄN</t>
        </is>
      </c>
      <c r="E1525" t="inlineStr">
        <is>
          <t>NORRTÄLJE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3942-2024</t>
        </is>
      </c>
      <c r="B1526" s="1" t="n">
        <v>45322</v>
      </c>
      <c r="C1526" s="1" t="n">
        <v>45755</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3966-2024</t>
        </is>
      </c>
      <c r="B1527" s="1" t="n">
        <v>45322</v>
      </c>
      <c r="C1527" s="1" t="n">
        <v>45755</v>
      </c>
      <c r="D1527" t="inlineStr">
        <is>
          <t>STOCKHOLMS LÄN</t>
        </is>
      </c>
      <c r="E1527" t="inlineStr">
        <is>
          <t>NORRTÄLJE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4051-2024</t>
        </is>
      </c>
      <c r="B1528" s="1" t="n">
        <v>45323</v>
      </c>
      <c r="C1528" s="1" t="n">
        <v>45755</v>
      </c>
      <c r="D1528" t="inlineStr">
        <is>
          <t>STOCKHOLMS LÄN</t>
        </is>
      </c>
      <c r="E1528" t="inlineStr">
        <is>
          <t>NORRTÄLJE</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4542-2024</t>
        </is>
      </c>
      <c r="B1529" s="1" t="n">
        <v>45327</v>
      </c>
      <c r="C1529" s="1" t="n">
        <v>45755</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4658-2024</t>
        </is>
      </c>
      <c r="B1530" s="1" t="n">
        <v>45328</v>
      </c>
      <c r="C1530" s="1" t="n">
        <v>45755</v>
      </c>
      <c r="D1530" t="inlineStr">
        <is>
          <t>STOCKHOLMS LÄN</t>
        </is>
      </c>
      <c r="E1530" t="inlineStr">
        <is>
          <t>NORRTÄLJE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5158-2024</t>
        </is>
      </c>
      <c r="B1531" s="1" t="n">
        <v>45330</v>
      </c>
      <c r="C1531" s="1" t="n">
        <v>45755</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5670-2024</t>
        </is>
      </c>
      <c r="B1532" s="1" t="n">
        <v>45334</v>
      </c>
      <c r="C1532" s="1" t="n">
        <v>45755</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5664-2024</t>
        </is>
      </c>
      <c r="B1533" s="1" t="n">
        <v>45334</v>
      </c>
      <c r="C1533" s="1" t="n">
        <v>45755</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5683-2024</t>
        </is>
      </c>
      <c r="B1534" s="1" t="n">
        <v>45334</v>
      </c>
      <c r="C1534" s="1" t="n">
        <v>45755</v>
      </c>
      <c r="D1534" t="inlineStr">
        <is>
          <t>STOCKHOLMS LÄN</t>
        </is>
      </c>
      <c r="E1534" t="inlineStr">
        <is>
          <t>NORRTÄLJE</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5625-2024</t>
        </is>
      </c>
      <c r="B1535" s="1" t="n">
        <v>45334</v>
      </c>
      <c r="C1535" s="1" t="n">
        <v>45755</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5862-2024</t>
        </is>
      </c>
      <c r="B1536" s="1" t="n">
        <v>45335</v>
      </c>
      <c r="C1536" s="1" t="n">
        <v>45755</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5831-2024</t>
        </is>
      </c>
      <c r="B1537" s="1" t="n">
        <v>45335</v>
      </c>
      <c r="C1537" s="1" t="n">
        <v>45755</v>
      </c>
      <c r="D1537" t="inlineStr">
        <is>
          <t>STOCKHOLMS LÄN</t>
        </is>
      </c>
      <c r="E1537" t="inlineStr">
        <is>
          <t>NORRTÄLJE</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5894-2024</t>
        </is>
      </c>
      <c r="B1538" s="1" t="n">
        <v>45335</v>
      </c>
      <c r="C1538" s="1" t="n">
        <v>45755</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6401-2024</t>
        </is>
      </c>
      <c r="B1539" s="1" t="n">
        <v>45338</v>
      </c>
      <c r="C1539" s="1" t="n">
        <v>45755</v>
      </c>
      <c r="D1539" t="inlineStr">
        <is>
          <t>STOCKHOLMS LÄN</t>
        </is>
      </c>
      <c r="E1539" t="inlineStr">
        <is>
          <t>NORRTÄLJE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6537-2024</t>
        </is>
      </c>
      <c r="B1540" s="1" t="n">
        <v>45341</v>
      </c>
      <c r="C1540" s="1" t="n">
        <v>45755</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7009-2024</t>
        </is>
      </c>
      <c r="B1541" s="1" t="n">
        <v>45343</v>
      </c>
      <c r="C1541" s="1" t="n">
        <v>45755</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7186-2024</t>
        </is>
      </c>
      <c r="B1542" s="1" t="n">
        <v>45344</v>
      </c>
      <c r="C1542" s="1" t="n">
        <v>45755</v>
      </c>
      <c r="D1542" t="inlineStr">
        <is>
          <t>STOCKHOLMS LÄN</t>
        </is>
      </c>
      <c r="E1542" t="inlineStr">
        <is>
          <t>NORRTÄLJE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7408-2024</t>
        </is>
      </c>
      <c r="B1543" s="1" t="n">
        <v>45345</v>
      </c>
      <c r="C1543" s="1" t="n">
        <v>45755</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7573-2024</t>
        </is>
      </c>
      <c r="B1544" s="1" t="n">
        <v>45345</v>
      </c>
      <c r="C1544" s="1" t="n">
        <v>45755</v>
      </c>
      <c r="D1544" t="inlineStr">
        <is>
          <t>STOCKHOLMS LÄN</t>
        </is>
      </c>
      <c r="E1544" t="inlineStr">
        <is>
          <t>NORRTÄLJE</t>
        </is>
      </c>
      <c r="F1544" t="inlineStr">
        <is>
          <t>Övriga Aktiebolag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7425-2024</t>
        </is>
      </c>
      <c r="B1545" s="1" t="n">
        <v>45345</v>
      </c>
      <c r="C1545" s="1" t="n">
        <v>45755</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7413-2024</t>
        </is>
      </c>
      <c r="B1546" s="1" t="n">
        <v>45345</v>
      </c>
      <c r="C1546" s="1" t="n">
        <v>45755</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7385-2024</t>
        </is>
      </c>
      <c r="B1547" s="1" t="n">
        <v>45345</v>
      </c>
      <c r="C1547" s="1" t="n">
        <v>45755</v>
      </c>
      <c r="D1547" t="inlineStr">
        <is>
          <t>STOCKHOLMS LÄN</t>
        </is>
      </c>
      <c r="E1547" t="inlineStr">
        <is>
          <t>NORRTÄLJE</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7329-2024</t>
        </is>
      </c>
      <c r="B1548" s="1" t="n">
        <v>45345</v>
      </c>
      <c r="C1548" s="1" t="n">
        <v>45755</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7483-2024</t>
        </is>
      </c>
      <c r="B1549" s="1" t="n">
        <v>45346</v>
      </c>
      <c r="C1549" s="1" t="n">
        <v>45755</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7571-2024</t>
        </is>
      </c>
      <c r="B1550" s="1" t="n">
        <v>45348</v>
      </c>
      <c r="C1550" s="1" t="n">
        <v>45755</v>
      </c>
      <c r="D1550" t="inlineStr">
        <is>
          <t>STOCKHOLMS LÄN</t>
        </is>
      </c>
      <c r="E1550" t="inlineStr">
        <is>
          <t>NORRTÄLJE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8270-2024</t>
        </is>
      </c>
      <c r="B1551" s="1" t="n">
        <v>45352</v>
      </c>
      <c r="C1551" s="1" t="n">
        <v>45755</v>
      </c>
      <c r="D1551" t="inlineStr">
        <is>
          <t>STOCKHOLMS LÄN</t>
        </is>
      </c>
      <c r="E1551" t="inlineStr">
        <is>
          <t>NORRTÄLJE</t>
        </is>
      </c>
      <c r="F1551" t="inlineStr">
        <is>
          <t>Kyrkan</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8399-2024</t>
        </is>
      </c>
      <c r="B1552" s="1" t="n">
        <v>45352</v>
      </c>
      <c r="C1552" s="1" t="n">
        <v>45755</v>
      </c>
      <c r="D1552" t="inlineStr">
        <is>
          <t>STOCKHOLMS LÄN</t>
        </is>
      </c>
      <c r="E1552" t="inlineStr">
        <is>
          <t>NORRTÄLJE</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8365-2024</t>
        </is>
      </c>
      <c r="B1553" s="1" t="n">
        <v>45352</v>
      </c>
      <c r="C1553" s="1" t="n">
        <v>45755</v>
      </c>
      <c r="D1553" t="inlineStr">
        <is>
          <t>STOCKHOLMS LÄN</t>
        </is>
      </c>
      <c r="E1553" t="inlineStr">
        <is>
          <t>NORRTÄLJE</t>
        </is>
      </c>
      <c r="F1553" t="inlineStr">
        <is>
          <t>Naturvårdsverket</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8400-2024</t>
        </is>
      </c>
      <c r="B1554" s="1" t="n">
        <v>45352</v>
      </c>
      <c r="C1554" s="1" t="n">
        <v>45755</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8401-2024</t>
        </is>
      </c>
      <c r="B1555" s="1" t="n">
        <v>45352</v>
      </c>
      <c r="C1555" s="1" t="n">
        <v>45755</v>
      </c>
      <c r="D1555" t="inlineStr">
        <is>
          <t>STOCKHOLMS LÄN</t>
        </is>
      </c>
      <c r="E1555" t="inlineStr">
        <is>
          <t>NORRTÄLJE</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8739-2024</t>
        </is>
      </c>
      <c r="B1556" s="1" t="n">
        <v>45356</v>
      </c>
      <c r="C1556" s="1" t="n">
        <v>45755</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8736-2024</t>
        </is>
      </c>
      <c r="B1557" s="1" t="n">
        <v>45356</v>
      </c>
      <c r="C1557" s="1" t="n">
        <v>45755</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9246-2024</t>
        </is>
      </c>
      <c r="B1558" s="1" t="n">
        <v>45357</v>
      </c>
      <c r="C1558" s="1" t="n">
        <v>45755</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9300-2024</t>
        </is>
      </c>
      <c r="B1559" s="1" t="n">
        <v>45358</v>
      </c>
      <c r="C1559" s="1" t="n">
        <v>45755</v>
      </c>
      <c r="D1559" t="inlineStr">
        <is>
          <t>STOCKHOLMS LÄN</t>
        </is>
      </c>
      <c r="E1559" t="inlineStr">
        <is>
          <t>NORRTÄLJE</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9297-2024</t>
        </is>
      </c>
      <c r="B1560" s="1" t="n">
        <v>45358</v>
      </c>
      <c r="C1560" s="1" t="n">
        <v>45755</v>
      </c>
      <c r="D1560" t="inlineStr">
        <is>
          <t>STOCKHOLMS LÄN</t>
        </is>
      </c>
      <c r="E1560" t="inlineStr">
        <is>
          <t>NORRTÄLJE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9301-2024</t>
        </is>
      </c>
      <c r="B1561" s="1" t="n">
        <v>45358</v>
      </c>
      <c r="C1561" s="1" t="n">
        <v>45755</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9305-2024</t>
        </is>
      </c>
      <c r="B1562" s="1" t="n">
        <v>45358</v>
      </c>
      <c r="C1562" s="1" t="n">
        <v>45755</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9765-2024</t>
        </is>
      </c>
      <c r="B1563" s="1" t="n">
        <v>45362</v>
      </c>
      <c r="C1563" s="1" t="n">
        <v>45755</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9959-2024</t>
        </is>
      </c>
      <c r="B1564" s="1" t="n">
        <v>45363</v>
      </c>
      <c r="C1564" s="1" t="n">
        <v>45755</v>
      </c>
      <c r="D1564" t="inlineStr">
        <is>
          <t>STOCKHOLMS LÄN</t>
        </is>
      </c>
      <c r="E1564" t="inlineStr">
        <is>
          <t>NORRTÄLJE</t>
        </is>
      </c>
      <c r="F1564" t="inlineStr">
        <is>
          <t>Naturvårdsverket</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10258-2024</t>
        </is>
      </c>
      <c r="B1565" s="1" t="n">
        <v>45365</v>
      </c>
      <c r="C1565" s="1" t="n">
        <v>45755</v>
      </c>
      <c r="D1565" t="inlineStr">
        <is>
          <t>STOCKHOLMS LÄN</t>
        </is>
      </c>
      <c r="E1565" t="inlineStr">
        <is>
          <t>NORRTÄLJE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10279-2024</t>
        </is>
      </c>
      <c r="B1566" s="1" t="n">
        <v>45365</v>
      </c>
      <c r="C1566" s="1" t="n">
        <v>45755</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10643-2024</t>
        </is>
      </c>
      <c r="B1567" s="1" t="n">
        <v>45367</v>
      </c>
      <c r="C1567" s="1" t="n">
        <v>45755</v>
      </c>
      <c r="D1567" t="inlineStr">
        <is>
          <t>STOCKHOLMS LÄN</t>
        </is>
      </c>
      <c r="E1567" t="inlineStr">
        <is>
          <t>NORRTÄLJE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10840-2024</t>
        </is>
      </c>
      <c r="B1568" s="1" t="n">
        <v>45369</v>
      </c>
      <c r="C1568" s="1" t="n">
        <v>45755</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10810-2024</t>
        </is>
      </c>
      <c r="B1569" s="1" t="n">
        <v>45369</v>
      </c>
      <c r="C1569" s="1" t="n">
        <v>45755</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10930-2024</t>
        </is>
      </c>
      <c r="B1570" s="1" t="n">
        <v>45370</v>
      </c>
      <c r="C1570" s="1" t="n">
        <v>45755</v>
      </c>
      <c r="D1570" t="inlineStr">
        <is>
          <t>STOCKHOLMS LÄN</t>
        </is>
      </c>
      <c r="E1570" t="inlineStr">
        <is>
          <t>NORRTÄLJE</t>
        </is>
      </c>
      <c r="G1570" t="n">
        <v>8.699999999999999</v>
      </c>
      <c r="H1570" t="n">
        <v>0</v>
      </c>
      <c r="I1570" t="n">
        <v>0</v>
      </c>
      <c r="J1570" t="n">
        <v>0</v>
      </c>
      <c r="K1570" t="n">
        <v>0</v>
      </c>
      <c r="L1570" t="n">
        <v>0</v>
      </c>
      <c r="M1570" t="n">
        <v>0</v>
      </c>
      <c r="N1570" t="n">
        <v>0</v>
      </c>
      <c r="O1570" t="n">
        <v>0</v>
      </c>
      <c r="P1570" t="n">
        <v>0</v>
      </c>
      <c r="Q1570" t="n">
        <v>0</v>
      </c>
      <c r="R1570" s="2" t="inlineStr"/>
      <c r="U1570">
        <f>HYPERLINK("https://klasma.github.io/Logging_0188/knärot/A 10930-2024 karta knärot.png", "A 10930-2024")</f>
        <v/>
      </c>
      <c r="V1570">
        <f>HYPERLINK("https://klasma.github.io/Logging_0188/klagomål/A 10930-2024 FSC-klagomål.docx", "A 10930-2024")</f>
        <v/>
      </c>
      <c r="W1570">
        <f>HYPERLINK("https://klasma.github.io/Logging_0188/klagomålsmail/A 10930-2024 FSC-klagomål mail.docx", "A 10930-2024")</f>
        <v/>
      </c>
      <c r="X1570">
        <f>HYPERLINK("https://klasma.github.io/Logging_0188/tillsyn/A 10930-2024 tillsynsbegäran.docx", "A 10930-2024")</f>
        <v/>
      </c>
      <c r="Y1570">
        <f>HYPERLINK("https://klasma.github.io/Logging_0188/tillsynsmail/A 10930-2024 tillsynsbegäran mail.docx", "A 10930-2024")</f>
        <v/>
      </c>
    </row>
    <row r="1571" ht="15" customHeight="1">
      <c r="A1571" t="inlineStr">
        <is>
          <t>A 11062-2024</t>
        </is>
      </c>
      <c r="B1571" s="1" t="n">
        <v>45370</v>
      </c>
      <c r="C1571" s="1" t="n">
        <v>45755</v>
      </c>
      <c r="D1571" t="inlineStr">
        <is>
          <t>STOCKHOLMS LÄN</t>
        </is>
      </c>
      <c r="E1571" t="inlineStr">
        <is>
          <t>NORRTÄLJE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10968-2024</t>
        </is>
      </c>
      <c r="B1572" s="1" t="n">
        <v>45370</v>
      </c>
      <c r="C1572" s="1" t="n">
        <v>45755</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11902-2024</t>
        </is>
      </c>
      <c r="B1573" s="1" t="n">
        <v>45376</v>
      </c>
      <c r="C1573" s="1" t="n">
        <v>45755</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11926-2024</t>
        </is>
      </c>
      <c r="B1574" s="1" t="n">
        <v>45376</v>
      </c>
      <c r="C1574" s="1" t="n">
        <v>45755</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11896-2024</t>
        </is>
      </c>
      <c r="B1575" s="1" t="n">
        <v>45376</v>
      </c>
      <c r="C1575" s="1" t="n">
        <v>45755</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11900-2024</t>
        </is>
      </c>
      <c r="B1576" s="1" t="n">
        <v>45376</v>
      </c>
      <c r="C1576" s="1" t="n">
        <v>45755</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11924-2024</t>
        </is>
      </c>
      <c r="B1577" s="1" t="n">
        <v>45376</v>
      </c>
      <c r="C1577" s="1" t="n">
        <v>45755</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11893-2024</t>
        </is>
      </c>
      <c r="B1578" s="1" t="n">
        <v>45376</v>
      </c>
      <c r="C1578" s="1" t="n">
        <v>45755</v>
      </c>
      <c r="D1578" t="inlineStr">
        <is>
          <t>STOCKHOLMS LÄN</t>
        </is>
      </c>
      <c r="E1578" t="inlineStr">
        <is>
          <t>NORRTÄLJE</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11901-2024</t>
        </is>
      </c>
      <c r="B1579" s="1" t="n">
        <v>45376</v>
      </c>
      <c r="C1579" s="1" t="n">
        <v>45755</v>
      </c>
      <c r="D1579" t="inlineStr">
        <is>
          <t>STOCKHOLMS LÄN</t>
        </is>
      </c>
      <c r="E1579" t="inlineStr">
        <is>
          <t>NORRTÄLJE</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11929-2024</t>
        </is>
      </c>
      <c r="B1580" s="1" t="n">
        <v>45376</v>
      </c>
      <c r="C1580" s="1" t="n">
        <v>45755</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11996-2024</t>
        </is>
      </c>
      <c r="B1581" s="1" t="n">
        <v>45376</v>
      </c>
      <c r="C1581" s="1" t="n">
        <v>45755</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11997-2024</t>
        </is>
      </c>
      <c r="B1582" s="1" t="n">
        <v>45377</v>
      </c>
      <c r="C1582" s="1" t="n">
        <v>45755</v>
      </c>
      <c r="D1582" t="inlineStr">
        <is>
          <t>STOCKHOLMS LÄN</t>
        </is>
      </c>
      <c r="E1582" t="inlineStr">
        <is>
          <t>NORRTÄLJE</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12135-2024</t>
        </is>
      </c>
      <c r="B1583" s="1" t="n">
        <v>45377</v>
      </c>
      <c r="C1583" s="1" t="n">
        <v>45755</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12022-2024</t>
        </is>
      </c>
      <c r="B1584" s="1" t="n">
        <v>45377</v>
      </c>
      <c r="C1584" s="1" t="n">
        <v>45755</v>
      </c>
      <c r="D1584" t="inlineStr">
        <is>
          <t>STOCKHOLMS LÄN</t>
        </is>
      </c>
      <c r="E1584" t="inlineStr">
        <is>
          <t>NORRTÄLJE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12323-2024</t>
        </is>
      </c>
      <c r="B1585" s="1" t="n">
        <v>45378</v>
      </c>
      <c r="C1585" s="1" t="n">
        <v>45755</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12470-2024</t>
        </is>
      </c>
      <c r="B1586" s="1" t="n">
        <v>45379</v>
      </c>
      <c r="C1586" s="1" t="n">
        <v>45755</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12560-2024</t>
        </is>
      </c>
      <c r="B1587" s="1" t="n">
        <v>45379</v>
      </c>
      <c r="C1587" s="1" t="n">
        <v>45755</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12629-2024</t>
        </is>
      </c>
      <c r="B1588" s="1" t="n">
        <v>45383</v>
      </c>
      <c r="C1588" s="1" t="n">
        <v>45755</v>
      </c>
      <c r="D1588" t="inlineStr">
        <is>
          <t>STOCKHOLMS LÄN</t>
        </is>
      </c>
      <c r="E1588" t="inlineStr">
        <is>
          <t>NORRTÄLJE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12896-2024</t>
        </is>
      </c>
      <c r="B1589" s="1" t="n">
        <v>45385</v>
      </c>
      <c r="C1589" s="1" t="n">
        <v>45755</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12904-2024</t>
        </is>
      </c>
      <c r="B1590" s="1" t="n">
        <v>45385</v>
      </c>
      <c r="C1590" s="1" t="n">
        <v>45755</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12901-2024</t>
        </is>
      </c>
      <c r="B1591" s="1" t="n">
        <v>45385</v>
      </c>
      <c r="C1591" s="1" t="n">
        <v>45755</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12890-2024</t>
        </is>
      </c>
      <c r="B1592" s="1" t="n">
        <v>45385</v>
      </c>
      <c r="C1592" s="1" t="n">
        <v>45755</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12902-2024</t>
        </is>
      </c>
      <c r="B1593" s="1" t="n">
        <v>45385</v>
      </c>
      <c r="C1593" s="1" t="n">
        <v>45755</v>
      </c>
      <c r="D1593" t="inlineStr">
        <is>
          <t>STOCKHOLMS LÄN</t>
        </is>
      </c>
      <c r="E1593" t="inlineStr">
        <is>
          <t>NORRTÄLJE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13115-2024</t>
        </is>
      </c>
      <c r="B1594" s="1" t="n">
        <v>45385</v>
      </c>
      <c r="C1594" s="1" t="n">
        <v>45755</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13137-2024</t>
        </is>
      </c>
      <c r="B1595" s="1" t="n">
        <v>45386</v>
      </c>
      <c r="C1595" s="1" t="n">
        <v>45755</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13241-2024</t>
        </is>
      </c>
      <c r="B1596" s="1" t="n">
        <v>45386</v>
      </c>
      <c r="C1596" s="1" t="n">
        <v>45755</v>
      </c>
      <c r="D1596" t="inlineStr">
        <is>
          <t>STOCKHOLMS LÄN</t>
        </is>
      </c>
      <c r="E1596" t="inlineStr">
        <is>
          <t>NORRTÄLJE</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13391-2024</t>
        </is>
      </c>
      <c r="B1597" s="1" t="n">
        <v>45387</v>
      </c>
      <c r="C1597" s="1" t="n">
        <v>45755</v>
      </c>
      <c r="D1597" t="inlineStr">
        <is>
          <t>STOCKHOLMS LÄN</t>
        </is>
      </c>
      <c r="E1597" t="inlineStr">
        <is>
          <t>NORRTÄLJE</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13785-2024</t>
        </is>
      </c>
      <c r="B1598" s="1" t="n">
        <v>45391</v>
      </c>
      <c r="C1598" s="1" t="n">
        <v>45755</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14530-2024</t>
        </is>
      </c>
      <c r="B1599" s="1" t="n">
        <v>45394</v>
      </c>
      <c r="C1599" s="1" t="n">
        <v>45755</v>
      </c>
      <c r="D1599" t="inlineStr">
        <is>
          <t>STOCKHOLMS LÄN</t>
        </is>
      </c>
      <c r="E1599" t="inlineStr">
        <is>
          <t>NORRTÄLJE</t>
        </is>
      </c>
      <c r="F1599" t="inlineStr">
        <is>
          <t>Kyrkan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14498-2024</t>
        </is>
      </c>
      <c r="B1600" s="1" t="n">
        <v>45394</v>
      </c>
      <c r="C1600" s="1" t="n">
        <v>45755</v>
      </c>
      <c r="D1600" t="inlineStr">
        <is>
          <t>STOCKHOLMS LÄN</t>
        </is>
      </c>
      <c r="E1600" t="inlineStr">
        <is>
          <t>NORRTÄLJE</t>
        </is>
      </c>
      <c r="F1600" t="inlineStr">
        <is>
          <t>Kyrkan</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14559-2024</t>
        </is>
      </c>
      <c r="B1601" s="1" t="n">
        <v>45394</v>
      </c>
      <c r="C1601" s="1" t="n">
        <v>45755</v>
      </c>
      <c r="D1601" t="inlineStr">
        <is>
          <t>STOCKHOLMS LÄN</t>
        </is>
      </c>
      <c r="E1601" t="inlineStr">
        <is>
          <t>NORRTÄLJE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14751-2024</t>
        </is>
      </c>
      <c r="B1602" s="1" t="n">
        <v>45397</v>
      </c>
      <c r="C1602" s="1" t="n">
        <v>45755</v>
      </c>
      <c r="D1602" t="inlineStr">
        <is>
          <t>STOCKHOLMS LÄN</t>
        </is>
      </c>
      <c r="E1602" t="inlineStr">
        <is>
          <t>NORRTÄLJE</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14762-2024</t>
        </is>
      </c>
      <c r="B1603" s="1" t="n">
        <v>45397</v>
      </c>
      <c r="C1603" s="1" t="n">
        <v>45755</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15347-2024</t>
        </is>
      </c>
      <c r="B1604" s="1" t="n">
        <v>45400</v>
      </c>
      <c r="C1604" s="1" t="n">
        <v>45755</v>
      </c>
      <c r="D1604" t="inlineStr">
        <is>
          <t>STOCKHOLMS LÄN</t>
        </is>
      </c>
      <c r="E1604" t="inlineStr">
        <is>
          <t>NORRTÄLJE</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15317-2024</t>
        </is>
      </c>
      <c r="B1605" s="1" t="n">
        <v>45400</v>
      </c>
      <c r="C1605" s="1" t="n">
        <v>45755</v>
      </c>
      <c r="D1605" t="inlineStr">
        <is>
          <t>STOCKHOLMS LÄN</t>
        </is>
      </c>
      <c r="E1605" t="inlineStr">
        <is>
          <t>NORRTÄLJE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15429-2024</t>
        </is>
      </c>
      <c r="B1606" s="1" t="n">
        <v>45401</v>
      </c>
      <c r="C1606" s="1" t="n">
        <v>45755</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15422-2024</t>
        </is>
      </c>
      <c r="B1607" s="1" t="n">
        <v>45401</v>
      </c>
      <c r="C1607" s="1" t="n">
        <v>45755</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15470-2024</t>
        </is>
      </c>
      <c r="B1608" s="1" t="n">
        <v>45401</v>
      </c>
      <c r="C1608" s="1" t="n">
        <v>45755</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15428-2024</t>
        </is>
      </c>
      <c r="B1609" s="1" t="n">
        <v>45401</v>
      </c>
      <c r="C1609" s="1" t="n">
        <v>45755</v>
      </c>
      <c r="D1609" t="inlineStr">
        <is>
          <t>STOCKHOLMS LÄN</t>
        </is>
      </c>
      <c r="E1609" t="inlineStr">
        <is>
          <t>NORRTÄLJE</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15415-2024</t>
        </is>
      </c>
      <c r="B1610" s="1" t="n">
        <v>45401</v>
      </c>
      <c r="C1610" s="1" t="n">
        <v>45755</v>
      </c>
      <c r="D1610" t="inlineStr">
        <is>
          <t>STOCKHOLMS LÄN</t>
        </is>
      </c>
      <c r="E1610" t="inlineStr">
        <is>
          <t>NORRTÄLJE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15956-2024</t>
        </is>
      </c>
      <c r="B1611" s="1" t="n">
        <v>45405</v>
      </c>
      <c r="C1611" s="1" t="n">
        <v>45755</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15978-2024</t>
        </is>
      </c>
      <c r="B1612" s="1" t="n">
        <v>45405</v>
      </c>
      <c r="C1612" s="1" t="n">
        <v>45755</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16072-2024</t>
        </is>
      </c>
      <c r="B1613" s="1" t="n">
        <v>45406</v>
      </c>
      <c r="C1613" s="1" t="n">
        <v>45755</v>
      </c>
      <c r="D1613" t="inlineStr">
        <is>
          <t>STOCKHOLMS LÄN</t>
        </is>
      </c>
      <c r="E1613" t="inlineStr">
        <is>
          <t>NORRTÄLJE</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16071-2024</t>
        </is>
      </c>
      <c r="B1614" s="1" t="n">
        <v>45406</v>
      </c>
      <c r="C1614" s="1" t="n">
        <v>45755</v>
      </c>
      <c r="D1614" t="inlineStr">
        <is>
          <t>STOCKHOLMS LÄN</t>
        </is>
      </c>
      <c r="E1614" t="inlineStr">
        <is>
          <t>NORRTÄLJE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16075-2024</t>
        </is>
      </c>
      <c r="B1615" s="1" t="n">
        <v>45406</v>
      </c>
      <c r="C1615" s="1" t="n">
        <v>45755</v>
      </c>
      <c r="D1615" t="inlineStr">
        <is>
          <t>STOCKHOLMS LÄN</t>
        </is>
      </c>
      <c r="E1615" t="inlineStr">
        <is>
          <t>NORRTÄLJE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16620-2024</t>
        </is>
      </c>
      <c r="B1616" s="1" t="n">
        <v>45408</v>
      </c>
      <c r="C1616" s="1" t="n">
        <v>45755</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16852-2024</t>
        </is>
      </c>
      <c r="B1617" s="1" t="n">
        <v>45411</v>
      </c>
      <c r="C1617" s="1" t="n">
        <v>45755</v>
      </c>
      <c r="D1617" t="inlineStr">
        <is>
          <t>STOCKHOLMS LÄN</t>
        </is>
      </c>
      <c r="E1617" t="inlineStr">
        <is>
          <t>NORRTÄLJE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17013-2024</t>
        </is>
      </c>
      <c r="B1618" s="1" t="n">
        <v>45412</v>
      </c>
      <c r="C1618" s="1" t="n">
        <v>45755</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17039-2024</t>
        </is>
      </c>
      <c r="B1619" s="1" t="n">
        <v>45412</v>
      </c>
      <c r="C1619" s="1" t="n">
        <v>45755</v>
      </c>
      <c r="D1619" t="inlineStr">
        <is>
          <t>STOCKHOLMS LÄN</t>
        </is>
      </c>
      <c r="E1619" t="inlineStr">
        <is>
          <t>NORRTÄLJE</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17348-2024</t>
        </is>
      </c>
      <c r="B1620" s="1" t="n">
        <v>45414</v>
      </c>
      <c r="C1620" s="1" t="n">
        <v>45755</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17304-2024</t>
        </is>
      </c>
      <c r="B1621" s="1" t="n">
        <v>45414</v>
      </c>
      <c r="C1621" s="1" t="n">
        <v>45755</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17354-2024</t>
        </is>
      </c>
      <c r="B1622" s="1" t="n">
        <v>45414</v>
      </c>
      <c r="C1622" s="1" t="n">
        <v>45755</v>
      </c>
      <c r="D1622" t="inlineStr">
        <is>
          <t>STOCKHOLMS LÄN</t>
        </is>
      </c>
      <c r="E1622" t="inlineStr">
        <is>
          <t>NORRTÄLJE</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17385-2024</t>
        </is>
      </c>
      <c r="B1623" s="1" t="n">
        <v>45414</v>
      </c>
      <c r="C1623" s="1" t="n">
        <v>45755</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17382-2024</t>
        </is>
      </c>
      <c r="B1624" s="1" t="n">
        <v>45414</v>
      </c>
      <c r="C1624" s="1" t="n">
        <v>45755</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17397-2024</t>
        </is>
      </c>
      <c r="B1625" s="1" t="n">
        <v>45414</v>
      </c>
      <c r="C1625" s="1" t="n">
        <v>45755</v>
      </c>
      <c r="D1625" t="inlineStr">
        <is>
          <t>STOCKHOLMS LÄN</t>
        </is>
      </c>
      <c r="E1625" t="inlineStr">
        <is>
          <t>NORRTÄLJE</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17554-2024</t>
        </is>
      </c>
      <c r="B1626" s="1" t="n">
        <v>45415</v>
      </c>
      <c r="C1626" s="1" t="n">
        <v>45755</v>
      </c>
      <c r="D1626" t="inlineStr">
        <is>
          <t>STOCKHOLMS LÄN</t>
        </is>
      </c>
      <c r="E1626" t="inlineStr">
        <is>
          <t>NORRTÄLJE</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17775-2024</t>
        </is>
      </c>
      <c r="B1627" s="1" t="n">
        <v>45418</v>
      </c>
      <c r="C1627" s="1" t="n">
        <v>45755</v>
      </c>
      <c r="D1627" t="inlineStr">
        <is>
          <t>STOCKHOLMS LÄN</t>
        </is>
      </c>
      <c r="E1627" t="inlineStr">
        <is>
          <t>NORRTÄLJE</t>
        </is>
      </c>
      <c r="F1627" t="inlineStr">
        <is>
          <t>Holmen skog AB</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17785-2024</t>
        </is>
      </c>
      <c r="B1628" s="1" t="n">
        <v>45418</v>
      </c>
      <c r="C1628" s="1" t="n">
        <v>45755</v>
      </c>
      <c r="D1628" t="inlineStr">
        <is>
          <t>STOCKHOLMS LÄN</t>
        </is>
      </c>
      <c r="E1628" t="inlineStr">
        <is>
          <t>NORRTÄLJE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17843-2024</t>
        </is>
      </c>
      <c r="B1629" s="1" t="n">
        <v>45418</v>
      </c>
      <c r="C1629" s="1" t="n">
        <v>45755</v>
      </c>
      <c r="D1629" t="inlineStr">
        <is>
          <t>STOCKHOLMS LÄN</t>
        </is>
      </c>
      <c r="E1629" t="inlineStr">
        <is>
          <t>NORRTÄLJE</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18331-2024</t>
        </is>
      </c>
      <c r="B1630" s="1" t="n">
        <v>45422</v>
      </c>
      <c r="C1630" s="1" t="n">
        <v>45755</v>
      </c>
      <c r="D1630" t="inlineStr">
        <is>
          <t>STOCKHOLMS LÄN</t>
        </is>
      </c>
      <c r="E1630" t="inlineStr">
        <is>
          <t>NORRTÄLJE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18285-2024</t>
        </is>
      </c>
      <c r="B1631" s="1" t="n">
        <v>45422</v>
      </c>
      <c r="C1631" s="1" t="n">
        <v>45755</v>
      </c>
      <c r="D1631" t="inlineStr">
        <is>
          <t>STOCKHOLMS LÄN</t>
        </is>
      </c>
      <c r="E1631" t="inlineStr">
        <is>
          <t>NORRTÄLJE</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18287-2024</t>
        </is>
      </c>
      <c r="B1632" s="1" t="n">
        <v>45422</v>
      </c>
      <c r="C1632" s="1" t="n">
        <v>45755</v>
      </c>
      <c r="D1632" t="inlineStr">
        <is>
          <t>STOCKHOLMS LÄN</t>
        </is>
      </c>
      <c r="E1632" t="inlineStr">
        <is>
          <t>NORRTÄLJE</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19058-2024</t>
        </is>
      </c>
      <c r="B1633" s="1" t="n">
        <v>45427</v>
      </c>
      <c r="C1633" s="1" t="n">
        <v>45755</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19057-2024</t>
        </is>
      </c>
      <c r="B1634" s="1" t="n">
        <v>45427</v>
      </c>
      <c r="C1634" s="1" t="n">
        <v>45755</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19150-2024</t>
        </is>
      </c>
      <c r="B1635" s="1" t="n">
        <v>45428</v>
      </c>
      <c r="C1635" s="1" t="n">
        <v>45755</v>
      </c>
      <c r="D1635" t="inlineStr">
        <is>
          <t>STOCKHOLMS LÄN</t>
        </is>
      </c>
      <c r="E1635" t="inlineStr">
        <is>
          <t>NORRTÄLJE</t>
        </is>
      </c>
      <c r="F1635" t="inlineStr">
        <is>
          <t>Holmen skog AB</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19915-2024</t>
        </is>
      </c>
      <c r="B1636" s="1" t="n">
        <v>45433</v>
      </c>
      <c r="C1636" s="1" t="n">
        <v>45755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19919-2024</t>
        </is>
      </c>
      <c r="B1637" s="1" t="n">
        <v>45433</v>
      </c>
      <c r="C1637" s="1" t="n">
        <v>45755</v>
      </c>
      <c r="D1637" t="inlineStr">
        <is>
          <t>STOCKHOLMS LÄN</t>
        </is>
      </c>
      <c r="E1637" t="inlineStr">
        <is>
          <t>NORRTÄLJE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20336-2024</t>
        </is>
      </c>
      <c r="B1638" s="1" t="n">
        <v>45435</v>
      </c>
      <c r="C1638" s="1" t="n">
        <v>45755</v>
      </c>
      <c r="D1638" t="inlineStr">
        <is>
          <t>STOCKHOLMS LÄN</t>
        </is>
      </c>
      <c r="E1638" t="inlineStr">
        <is>
          <t>NORRTÄLJE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20345-2024</t>
        </is>
      </c>
      <c r="B1639" s="1" t="n">
        <v>45435</v>
      </c>
      <c r="C1639" s="1" t="n">
        <v>45755</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20343-2024</t>
        </is>
      </c>
      <c r="B1640" s="1" t="n">
        <v>45435</v>
      </c>
      <c r="C1640" s="1" t="n">
        <v>45755</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20393-2024</t>
        </is>
      </c>
      <c r="B1641" s="1" t="n">
        <v>45435</v>
      </c>
      <c r="C1641" s="1" t="n">
        <v>45755</v>
      </c>
      <c r="D1641" t="inlineStr">
        <is>
          <t>STOCKHOLMS LÄN</t>
        </is>
      </c>
      <c r="E1641" t="inlineStr">
        <is>
          <t>NORRTÄLJE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20445-2024</t>
        </is>
      </c>
      <c r="B1642" s="1" t="n">
        <v>45435</v>
      </c>
      <c r="C1642" s="1" t="n">
        <v>45755</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20428-2024</t>
        </is>
      </c>
      <c r="B1643" s="1" t="n">
        <v>45435</v>
      </c>
      <c r="C1643" s="1" t="n">
        <v>45755</v>
      </c>
      <c r="D1643" t="inlineStr">
        <is>
          <t>STOCKHOLMS LÄN</t>
        </is>
      </c>
      <c r="E1643" t="inlineStr">
        <is>
          <t>NORRTÄLJE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20460-2024</t>
        </is>
      </c>
      <c r="B1644" s="1" t="n">
        <v>45435</v>
      </c>
      <c r="C1644" s="1" t="n">
        <v>45755</v>
      </c>
      <c r="D1644" t="inlineStr">
        <is>
          <t>STOCKHOLMS LÄN</t>
        </is>
      </c>
      <c r="E1644" t="inlineStr">
        <is>
          <t>NORRTÄLJE</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20464-2024</t>
        </is>
      </c>
      <c r="B1645" s="1" t="n">
        <v>45435</v>
      </c>
      <c r="C1645" s="1" t="n">
        <v>45755</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20431-2024</t>
        </is>
      </c>
      <c r="B1646" s="1" t="n">
        <v>45435</v>
      </c>
      <c r="C1646" s="1" t="n">
        <v>45755</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20680-2024</t>
        </is>
      </c>
      <c r="B1647" s="1" t="n">
        <v>45436</v>
      </c>
      <c r="C1647" s="1" t="n">
        <v>45755</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20698-2024</t>
        </is>
      </c>
      <c r="B1648" s="1" t="n">
        <v>45436</v>
      </c>
      <c r="C1648" s="1" t="n">
        <v>45755</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20730-2024</t>
        </is>
      </c>
      <c r="B1649" s="1" t="n">
        <v>45436</v>
      </c>
      <c r="C1649" s="1" t="n">
        <v>45755</v>
      </c>
      <c r="D1649" t="inlineStr">
        <is>
          <t>STOCKHOLMS LÄN</t>
        </is>
      </c>
      <c r="E1649" t="inlineStr">
        <is>
          <t>NORRTÄLJE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20825-2024</t>
        </is>
      </c>
      <c r="B1650" s="1" t="n">
        <v>45439</v>
      </c>
      <c r="C1650" s="1" t="n">
        <v>45755</v>
      </c>
      <c r="D1650" t="inlineStr">
        <is>
          <t>STOCKHOLMS LÄN</t>
        </is>
      </c>
      <c r="E1650" t="inlineStr">
        <is>
          <t>NORRTÄLJE</t>
        </is>
      </c>
      <c r="F1650" t="inlineStr">
        <is>
          <t>Holmen skog AB</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20836-2024</t>
        </is>
      </c>
      <c r="B1651" s="1" t="n">
        <v>45439</v>
      </c>
      <c r="C1651" s="1" t="n">
        <v>45755</v>
      </c>
      <c r="D1651" t="inlineStr">
        <is>
          <t>STOCKHOLMS LÄN</t>
        </is>
      </c>
      <c r="E1651" t="inlineStr">
        <is>
          <t>NORRTÄLJE</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21066-2024</t>
        </is>
      </c>
      <c r="B1652" s="1" t="n">
        <v>45439</v>
      </c>
      <c r="C1652" s="1" t="n">
        <v>45755</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21729-2024</t>
        </is>
      </c>
      <c r="B1653" s="1" t="n">
        <v>45442</v>
      </c>
      <c r="C1653" s="1" t="n">
        <v>45755</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21696-2024</t>
        </is>
      </c>
      <c r="B1654" s="1" t="n">
        <v>45442</v>
      </c>
      <c r="C1654" s="1" t="n">
        <v>45755</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22008-2024</t>
        </is>
      </c>
      <c r="B1655" s="1" t="n">
        <v>45443</v>
      </c>
      <c r="C1655" s="1" t="n">
        <v>45755</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22232-2024</t>
        </is>
      </c>
      <c r="B1656" s="1" t="n">
        <v>45446</v>
      </c>
      <c r="C1656" s="1" t="n">
        <v>45755</v>
      </c>
      <c r="D1656" t="inlineStr">
        <is>
          <t>STOCKHOLMS LÄN</t>
        </is>
      </c>
      <c r="E1656" t="inlineStr">
        <is>
          <t>NORRTÄLJE</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22231-2024</t>
        </is>
      </c>
      <c r="B1657" s="1" t="n">
        <v>45446</v>
      </c>
      <c r="C1657" s="1" t="n">
        <v>45755</v>
      </c>
      <c r="D1657" t="inlineStr">
        <is>
          <t>STOCKHOLMS LÄN</t>
        </is>
      </c>
      <c r="E1657" t="inlineStr">
        <is>
          <t>NORRTÄLJE</t>
        </is>
      </c>
      <c r="F1657" t="inlineStr">
        <is>
          <t>Holmen skog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22833-2024</t>
        </is>
      </c>
      <c r="B1658" s="1" t="n">
        <v>45448</v>
      </c>
      <c r="C1658" s="1" t="n">
        <v>45755</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23018-2024</t>
        </is>
      </c>
      <c r="B1659" s="1" t="n">
        <v>45450</v>
      </c>
      <c r="C1659" s="1" t="n">
        <v>45755</v>
      </c>
      <c r="D1659" t="inlineStr">
        <is>
          <t>STOCKHOLMS LÄN</t>
        </is>
      </c>
      <c r="E1659" t="inlineStr">
        <is>
          <t>NORRTÄLJE</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23149-2024</t>
        </is>
      </c>
      <c r="B1660" s="1" t="n">
        <v>45450</v>
      </c>
      <c r="C1660" s="1" t="n">
        <v>45755</v>
      </c>
      <c r="D1660" t="inlineStr">
        <is>
          <t>STOCKHOLMS LÄN</t>
        </is>
      </c>
      <c r="E1660" t="inlineStr">
        <is>
          <t>NORRTÄLJE</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23150-2024</t>
        </is>
      </c>
      <c r="B1661" s="1" t="n">
        <v>45450</v>
      </c>
      <c r="C1661" s="1" t="n">
        <v>45755</v>
      </c>
      <c r="D1661" t="inlineStr">
        <is>
          <t>STOCKHOLMS LÄN</t>
        </is>
      </c>
      <c r="E1661" t="inlineStr">
        <is>
          <t>NORRTÄLJE</t>
        </is>
      </c>
      <c r="F1661" t="inlineStr">
        <is>
          <t>Kommuner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23151-2024</t>
        </is>
      </c>
      <c r="B1662" s="1" t="n">
        <v>45450</v>
      </c>
      <c r="C1662" s="1" t="n">
        <v>45755</v>
      </c>
      <c r="D1662" t="inlineStr">
        <is>
          <t>STOCKHOLMS LÄN</t>
        </is>
      </c>
      <c r="E1662" t="inlineStr">
        <is>
          <t>NORRTÄLJE</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23307-2024</t>
        </is>
      </c>
      <c r="B1663" s="1" t="n">
        <v>45453</v>
      </c>
      <c r="C1663" s="1" t="n">
        <v>45755</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23683-2024</t>
        </is>
      </c>
      <c r="B1664" s="1" t="n">
        <v>45454</v>
      </c>
      <c r="C1664" s="1" t="n">
        <v>45755</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23692-2024</t>
        </is>
      </c>
      <c r="B1665" s="1" t="n">
        <v>45454</v>
      </c>
      <c r="C1665" s="1" t="n">
        <v>45755</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23572-2024</t>
        </is>
      </c>
      <c r="B1666" s="1" t="n">
        <v>45454</v>
      </c>
      <c r="C1666" s="1" t="n">
        <v>45755</v>
      </c>
      <c r="D1666" t="inlineStr">
        <is>
          <t>STOCKHOLMS LÄN</t>
        </is>
      </c>
      <c r="E1666" t="inlineStr">
        <is>
          <t>NORRTÄLJE</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23749-2024</t>
        </is>
      </c>
      <c r="B1667" s="1" t="n">
        <v>45455</v>
      </c>
      <c r="C1667" s="1" t="n">
        <v>45755</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23755-2024</t>
        </is>
      </c>
      <c r="B1668" s="1" t="n">
        <v>45455</v>
      </c>
      <c r="C1668" s="1" t="n">
        <v>45755</v>
      </c>
      <c r="D1668" t="inlineStr">
        <is>
          <t>STOCKHOLMS LÄN</t>
        </is>
      </c>
      <c r="E1668" t="inlineStr">
        <is>
          <t>NORRTÄLJE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23998-2024</t>
        </is>
      </c>
      <c r="B1669" s="1" t="n">
        <v>45456</v>
      </c>
      <c r="C1669" s="1" t="n">
        <v>45755</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24027-2024</t>
        </is>
      </c>
      <c r="B1670" s="1" t="n">
        <v>45456</v>
      </c>
      <c r="C1670" s="1" t="n">
        <v>45755</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24024-2024</t>
        </is>
      </c>
      <c r="B1671" s="1" t="n">
        <v>45456</v>
      </c>
      <c r="C1671" s="1" t="n">
        <v>45755</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23991-2024</t>
        </is>
      </c>
      <c r="B1672" s="1" t="n">
        <v>45456</v>
      </c>
      <c r="C1672" s="1" t="n">
        <v>45755</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24021-2024</t>
        </is>
      </c>
      <c r="B1673" s="1" t="n">
        <v>45456</v>
      </c>
      <c r="C1673" s="1" t="n">
        <v>45755</v>
      </c>
      <c r="D1673" t="inlineStr">
        <is>
          <t>STOCKHOLMS LÄN</t>
        </is>
      </c>
      <c r="E1673" t="inlineStr">
        <is>
          <t>NORRTÄLJE</t>
        </is>
      </c>
      <c r="G1673" t="n">
        <v>17.5</v>
      </c>
      <c r="H1673" t="n">
        <v>0</v>
      </c>
      <c r="I1673" t="n">
        <v>0</v>
      </c>
      <c r="J1673" t="n">
        <v>0</v>
      </c>
      <c r="K1673" t="n">
        <v>0</v>
      </c>
      <c r="L1673" t="n">
        <v>0</v>
      </c>
      <c r="M1673" t="n">
        <v>0</v>
      </c>
      <c r="N1673" t="n">
        <v>0</v>
      </c>
      <c r="O1673" t="n">
        <v>0</v>
      </c>
      <c r="P1673" t="n">
        <v>0</v>
      </c>
      <c r="Q1673" t="n">
        <v>0</v>
      </c>
      <c r="R1673" s="2" t="inlineStr"/>
    </row>
    <row r="1674" ht="15" customHeight="1">
      <c r="A1674" t="inlineStr">
        <is>
          <t>A 24022-2024</t>
        </is>
      </c>
      <c r="B1674" s="1" t="n">
        <v>45456</v>
      </c>
      <c r="C1674" s="1" t="n">
        <v>45755</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24245-2024</t>
        </is>
      </c>
      <c r="B1675" s="1" t="n">
        <v>45457</v>
      </c>
      <c r="C1675" s="1" t="n">
        <v>45755</v>
      </c>
      <c r="D1675" t="inlineStr">
        <is>
          <t>STOCKHOLMS LÄN</t>
        </is>
      </c>
      <c r="E1675" t="inlineStr">
        <is>
          <t>NORRTÄLJE</t>
        </is>
      </c>
      <c r="F1675" t="inlineStr">
        <is>
          <t>Holmen skog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24357-2024</t>
        </is>
      </c>
      <c r="B1676" s="1" t="n">
        <v>45457</v>
      </c>
      <c r="C1676" s="1" t="n">
        <v>45755</v>
      </c>
      <c r="D1676" t="inlineStr">
        <is>
          <t>STOCKHOLMS LÄN</t>
        </is>
      </c>
      <c r="E1676" t="inlineStr">
        <is>
          <t>NORRTÄLJE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24731-2024</t>
        </is>
      </c>
      <c r="B1677" s="1" t="n">
        <v>45460</v>
      </c>
      <c r="C1677" s="1" t="n">
        <v>45755</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24575-2024</t>
        </is>
      </c>
      <c r="B1678" s="1" t="n">
        <v>45460</v>
      </c>
      <c r="C1678" s="1" t="n">
        <v>45755</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24563-2024</t>
        </is>
      </c>
      <c r="B1679" s="1" t="n">
        <v>45460</v>
      </c>
      <c r="C1679" s="1" t="n">
        <v>45755</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24610-2024</t>
        </is>
      </c>
      <c r="B1680" s="1" t="n">
        <v>45460</v>
      </c>
      <c r="C1680" s="1" t="n">
        <v>45755</v>
      </c>
      <c r="D1680" t="inlineStr">
        <is>
          <t>STOCKHOLMS LÄN</t>
        </is>
      </c>
      <c r="E1680" t="inlineStr">
        <is>
          <t>NORRTÄLJE</t>
        </is>
      </c>
      <c r="G1680" t="n">
        <v>18.4</v>
      </c>
      <c r="H1680" t="n">
        <v>0</v>
      </c>
      <c r="I1680" t="n">
        <v>0</v>
      </c>
      <c r="J1680" t="n">
        <v>0</v>
      </c>
      <c r="K1680" t="n">
        <v>0</v>
      </c>
      <c r="L1680" t="n">
        <v>0</v>
      </c>
      <c r="M1680" t="n">
        <v>0</v>
      </c>
      <c r="N1680" t="n">
        <v>0</v>
      </c>
      <c r="O1680" t="n">
        <v>0</v>
      </c>
      <c r="P1680" t="n">
        <v>0</v>
      </c>
      <c r="Q1680" t="n">
        <v>0</v>
      </c>
      <c r="R1680" s="2" t="inlineStr"/>
    </row>
    <row r="1681" ht="15" customHeight="1">
      <c r="A1681" t="inlineStr">
        <is>
          <t>A 24730-2024</t>
        </is>
      </c>
      <c r="B1681" s="1" t="n">
        <v>45460</v>
      </c>
      <c r="C1681" s="1" t="n">
        <v>45755</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25301-2024</t>
        </is>
      </c>
      <c r="B1682" s="1" t="n">
        <v>45462</v>
      </c>
      <c r="C1682" s="1" t="n">
        <v>45755</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25055-2024</t>
        </is>
      </c>
      <c r="B1683" s="1" t="n">
        <v>45462</v>
      </c>
      <c r="C1683" s="1" t="n">
        <v>45755</v>
      </c>
      <c r="D1683" t="inlineStr">
        <is>
          <t>STOCKHOLMS LÄN</t>
        </is>
      </c>
      <c r="E1683" t="inlineStr">
        <is>
          <t>NORRTÄLJE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25565-2024</t>
        </is>
      </c>
      <c r="B1684" s="1" t="n">
        <v>45463</v>
      </c>
      <c r="C1684" s="1" t="n">
        <v>45755</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25681-2024</t>
        </is>
      </c>
      <c r="B1685" s="1" t="n">
        <v>45463</v>
      </c>
      <c r="C1685" s="1" t="n">
        <v>45755</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25817-2024</t>
        </is>
      </c>
      <c r="B1686" s="1" t="n">
        <v>45467</v>
      </c>
      <c r="C1686" s="1" t="n">
        <v>45755</v>
      </c>
      <c r="D1686" t="inlineStr">
        <is>
          <t>STOCKHOLMS LÄN</t>
        </is>
      </c>
      <c r="E1686" t="inlineStr">
        <is>
          <t>NORRTÄLJE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26116-2024</t>
        </is>
      </c>
      <c r="B1687" s="1" t="n">
        <v>45468</v>
      </c>
      <c r="C1687" s="1" t="n">
        <v>45755</v>
      </c>
      <c r="D1687" t="inlineStr">
        <is>
          <t>STOCKHOLMS LÄN</t>
        </is>
      </c>
      <c r="E1687" t="inlineStr">
        <is>
          <t>NORRTÄLJE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26115-2024</t>
        </is>
      </c>
      <c r="B1688" s="1" t="n">
        <v>45468</v>
      </c>
      <c r="C1688" s="1" t="n">
        <v>45755</v>
      </c>
      <c r="D1688" t="inlineStr">
        <is>
          <t>STOCKHOLMS LÄN</t>
        </is>
      </c>
      <c r="E1688" t="inlineStr">
        <is>
          <t>NORRTÄLJE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26067-2024</t>
        </is>
      </c>
      <c r="B1689" s="1" t="n">
        <v>45468</v>
      </c>
      <c r="C1689" s="1" t="n">
        <v>45755</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26117-2024</t>
        </is>
      </c>
      <c r="B1690" s="1" t="n">
        <v>45468</v>
      </c>
      <c r="C1690" s="1" t="n">
        <v>45755</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26113-2024</t>
        </is>
      </c>
      <c r="B1691" s="1" t="n">
        <v>45468</v>
      </c>
      <c r="C1691" s="1" t="n">
        <v>45755</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26090-2024</t>
        </is>
      </c>
      <c r="B1692" s="1" t="n">
        <v>45468</v>
      </c>
      <c r="C1692" s="1" t="n">
        <v>45755</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26355-2024</t>
        </is>
      </c>
      <c r="B1693" s="1" t="n">
        <v>45469</v>
      </c>
      <c r="C1693" s="1" t="n">
        <v>45755</v>
      </c>
      <c r="D1693" t="inlineStr">
        <is>
          <t>STOCKHOLMS LÄN</t>
        </is>
      </c>
      <c r="E1693" t="inlineStr">
        <is>
          <t>NORRTÄLJE</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26359-2024</t>
        </is>
      </c>
      <c r="B1694" s="1" t="n">
        <v>45469</v>
      </c>
      <c r="C1694" s="1" t="n">
        <v>45755</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26365-2024</t>
        </is>
      </c>
      <c r="B1695" s="1" t="n">
        <v>45469</v>
      </c>
      <c r="C1695" s="1" t="n">
        <v>45755</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26526-2024</t>
        </is>
      </c>
      <c r="B1696" s="1" t="n">
        <v>45469</v>
      </c>
      <c r="C1696" s="1" t="n">
        <v>45755</v>
      </c>
      <c r="D1696" t="inlineStr">
        <is>
          <t>STOCKHOLMS LÄN</t>
        </is>
      </c>
      <c r="E1696" t="inlineStr">
        <is>
          <t>NORRTÄLJE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26407-2024</t>
        </is>
      </c>
      <c r="B1697" s="1" t="n">
        <v>45469</v>
      </c>
      <c r="C1697" s="1" t="n">
        <v>45755</v>
      </c>
      <c r="D1697" t="inlineStr">
        <is>
          <t>STOCKHOLMS LÄN</t>
        </is>
      </c>
      <c r="E1697" t="inlineStr">
        <is>
          <t>NORRTÄLJE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26600-2024</t>
        </is>
      </c>
      <c r="B1698" s="1" t="n">
        <v>45469</v>
      </c>
      <c r="C1698" s="1" t="n">
        <v>45755</v>
      </c>
      <c r="D1698" t="inlineStr">
        <is>
          <t>STOCKHOLMS LÄN</t>
        </is>
      </c>
      <c r="E1698" t="inlineStr">
        <is>
          <t>NORRTÄLJE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26612-2024</t>
        </is>
      </c>
      <c r="B1699" s="1" t="n">
        <v>45469</v>
      </c>
      <c r="C1699" s="1" t="n">
        <v>45755</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26644-2024</t>
        </is>
      </c>
      <c r="B1700" s="1" t="n">
        <v>45469</v>
      </c>
      <c r="C1700" s="1" t="n">
        <v>45755</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26668-2024</t>
        </is>
      </c>
      <c r="B1701" s="1" t="n">
        <v>45469</v>
      </c>
      <c r="C1701" s="1" t="n">
        <v>45755</v>
      </c>
      <c r="D1701" t="inlineStr">
        <is>
          <t>STOCKHOLMS LÄN</t>
        </is>
      </c>
      <c r="E1701" t="inlineStr">
        <is>
          <t>NORRTÄLJE</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26698-2024</t>
        </is>
      </c>
      <c r="B1702" s="1" t="n">
        <v>45470</v>
      </c>
      <c r="C1702" s="1" t="n">
        <v>45755</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27059-2024</t>
        </is>
      </c>
      <c r="B1703" s="1" t="n">
        <v>45471</v>
      </c>
      <c r="C1703" s="1" t="n">
        <v>45755</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27248-2024</t>
        </is>
      </c>
      <c r="B1704" s="1" t="n">
        <v>45471</v>
      </c>
      <c r="C1704" s="1" t="n">
        <v>45755</v>
      </c>
      <c r="D1704" t="inlineStr">
        <is>
          <t>STOCKHOLMS LÄN</t>
        </is>
      </c>
      <c r="E1704" t="inlineStr">
        <is>
          <t>NORRTÄLJE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27381-2024</t>
        </is>
      </c>
      <c r="B1705" s="1" t="n">
        <v>45474</v>
      </c>
      <c r="C1705" s="1" t="n">
        <v>45755</v>
      </c>
      <c r="D1705" t="inlineStr">
        <is>
          <t>STOCKHOLMS LÄN</t>
        </is>
      </c>
      <c r="E1705" t="inlineStr">
        <is>
          <t>NORRTÄLJE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27831-2024</t>
        </is>
      </c>
      <c r="B1706" s="1" t="n">
        <v>45475</v>
      </c>
      <c r="C1706" s="1" t="n">
        <v>45755</v>
      </c>
      <c r="D1706" t="inlineStr">
        <is>
          <t>STOCKHOLMS LÄN</t>
        </is>
      </c>
      <c r="E1706" t="inlineStr">
        <is>
          <t>NORRTÄLJE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28190-2024</t>
        </is>
      </c>
      <c r="B1707" s="1" t="n">
        <v>45477</v>
      </c>
      <c r="C1707" s="1" t="n">
        <v>45755</v>
      </c>
      <c r="D1707" t="inlineStr">
        <is>
          <t>STOCKHOLMS LÄN</t>
        </is>
      </c>
      <c r="E1707" t="inlineStr">
        <is>
          <t>NORRTÄLJE</t>
        </is>
      </c>
      <c r="F1707" t="inlineStr">
        <is>
          <t>Kyrkan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28245-2024</t>
        </is>
      </c>
      <c r="B1708" s="1" t="n">
        <v>45477</v>
      </c>
      <c r="C1708" s="1" t="n">
        <v>45755</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28200-2024</t>
        </is>
      </c>
      <c r="B1709" s="1" t="n">
        <v>45477</v>
      </c>
      <c r="C1709" s="1" t="n">
        <v>45755</v>
      </c>
      <c r="D1709" t="inlineStr">
        <is>
          <t>STOCKHOLMS LÄN</t>
        </is>
      </c>
      <c r="E1709" t="inlineStr">
        <is>
          <t>NORRTÄLJE</t>
        </is>
      </c>
      <c r="F1709" t="inlineStr">
        <is>
          <t>Kyrkan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28603-2024</t>
        </is>
      </c>
      <c r="B1710" s="1" t="n">
        <v>45478</v>
      </c>
      <c r="C1710" s="1" t="n">
        <v>45755</v>
      </c>
      <c r="D1710" t="inlineStr">
        <is>
          <t>STOCKHOLMS LÄN</t>
        </is>
      </c>
      <c r="E1710" t="inlineStr">
        <is>
          <t>NORRTÄLJE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28764-2024</t>
        </is>
      </c>
      <c r="B1711" s="1" t="n">
        <v>45478</v>
      </c>
      <c r="C1711" s="1" t="n">
        <v>45755</v>
      </c>
      <c r="D1711" t="inlineStr">
        <is>
          <t>STOCKHOLMS LÄN</t>
        </is>
      </c>
      <c r="E1711" t="inlineStr">
        <is>
          <t>NORRTÄLJE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29210-2024</t>
        </is>
      </c>
      <c r="B1712" s="1" t="n">
        <v>45482</v>
      </c>
      <c r="C1712" s="1" t="n">
        <v>45755</v>
      </c>
      <c r="D1712" t="inlineStr">
        <is>
          <t>STOCKHOLMS LÄN</t>
        </is>
      </c>
      <c r="E1712" t="inlineStr">
        <is>
          <t>NORRTÄLJE</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29176-2024</t>
        </is>
      </c>
      <c r="B1713" s="1" t="n">
        <v>45482</v>
      </c>
      <c r="C1713" s="1" t="n">
        <v>45755</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29369-2024</t>
        </is>
      </c>
      <c r="B1714" s="1" t="n">
        <v>45483</v>
      </c>
      <c r="C1714" s="1" t="n">
        <v>45755</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29419-2024</t>
        </is>
      </c>
      <c r="B1715" s="1" t="n">
        <v>45483</v>
      </c>
      <c r="C1715" s="1" t="n">
        <v>45755</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29504-2024</t>
        </is>
      </c>
      <c r="B1716" s="1" t="n">
        <v>45484</v>
      </c>
      <c r="C1716" s="1" t="n">
        <v>45755</v>
      </c>
      <c r="D1716" t="inlineStr">
        <is>
          <t>STOCKHOLMS LÄN</t>
        </is>
      </c>
      <c r="E1716" t="inlineStr">
        <is>
          <t>NORRTÄLJE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29589-2024</t>
        </is>
      </c>
      <c r="B1717" s="1" t="n">
        <v>45484</v>
      </c>
      <c r="C1717" s="1" t="n">
        <v>45755</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29583-2024</t>
        </is>
      </c>
      <c r="B1718" s="1" t="n">
        <v>45484</v>
      </c>
      <c r="C1718" s="1" t="n">
        <v>45755</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29578-2024</t>
        </is>
      </c>
      <c r="B1719" s="1" t="n">
        <v>45484</v>
      </c>
      <c r="C1719" s="1" t="n">
        <v>45755</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29505-2024</t>
        </is>
      </c>
      <c r="B1720" s="1" t="n">
        <v>45484</v>
      </c>
      <c r="C1720" s="1" t="n">
        <v>45755</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45755</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29841-2024</t>
        </is>
      </c>
      <c r="B1722" s="1" t="n">
        <v>45485</v>
      </c>
      <c r="C1722" s="1" t="n">
        <v>45755</v>
      </c>
      <c r="D1722" t="inlineStr">
        <is>
          <t>STOCKHOLMS LÄN</t>
        </is>
      </c>
      <c r="E1722" t="inlineStr">
        <is>
          <t>NORRTÄLJE</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30108-2024</t>
        </is>
      </c>
      <c r="B1723" s="1" t="n">
        <v>45487</v>
      </c>
      <c r="C1723" s="1" t="n">
        <v>45755</v>
      </c>
      <c r="D1723" t="inlineStr">
        <is>
          <t>STOCKHOLMS LÄN</t>
        </is>
      </c>
      <c r="E1723" t="inlineStr">
        <is>
          <t>NORRTÄLJE</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30033-2024</t>
        </is>
      </c>
      <c r="B1724" s="1" t="n">
        <v>45488</v>
      </c>
      <c r="C1724" s="1" t="n">
        <v>45755</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29994-2024</t>
        </is>
      </c>
      <c r="B1725" s="1" t="n">
        <v>45488</v>
      </c>
      <c r="C1725" s="1" t="n">
        <v>45755</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30096-2024</t>
        </is>
      </c>
      <c r="B1726" s="1" t="n">
        <v>45489</v>
      </c>
      <c r="C1726" s="1" t="n">
        <v>45755</v>
      </c>
      <c r="D1726" t="inlineStr">
        <is>
          <t>STOCKHOLMS LÄN</t>
        </is>
      </c>
      <c r="E1726" t="inlineStr">
        <is>
          <t>NORRTÄLJE</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30221-2024</t>
        </is>
      </c>
      <c r="B1727" s="1" t="n">
        <v>45490</v>
      </c>
      <c r="C1727" s="1" t="n">
        <v>45755</v>
      </c>
      <c r="D1727" t="inlineStr">
        <is>
          <t>STOCKHOLMS LÄN</t>
        </is>
      </c>
      <c r="E1727" t="inlineStr">
        <is>
          <t>NORRTÄLJE</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30268-2024</t>
        </is>
      </c>
      <c r="B1728" s="1" t="n">
        <v>45490</v>
      </c>
      <c r="C1728" s="1" t="n">
        <v>45755</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30323-2024</t>
        </is>
      </c>
      <c r="B1729" s="1" t="n">
        <v>45490</v>
      </c>
      <c r="C1729" s="1" t="n">
        <v>45755</v>
      </c>
      <c r="D1729" t="inlineStr">
        <is>
          <t>STOCKHOLMS LÄN</t>
        </is>
      </c>
      <c r="E1729" t="inlineStr">
        <is>
          <t>NORRTÄLJE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30396-2024</t>
        </is>
      </c>
      <c r="B1730" s="1" t="n">
        <v>45491</v>
      </c>
      <c r="C1730" s="1" t="n">
        <v>45755</v>
      </c>
      <c r="D1730" t="inlineStr">
        <is>
          <t>STOCKHOLMS LÄN</t>
        </is>
      </c>
      <c r="E1730" t="inlineStr">
        <is>
          <t>NORRTÄLJE</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30553-2024</t>
        </is>
      </c>
      <c r="B1731" s="1" t="n">
        <v>45492</v>
      </c>
      <c r="C1731" s="1" t="n">
        <v>45755</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30666-2024</t>
        </is>
      </c>
      <c r="B1732" s="1" t="n">
        <v>45495</v>
      </c>
      <c r="C1732" s="1" t="n">
        <v>45755</v>
      </c>
      <c r="D1732" t="inlineStr">
        <is>
          <t>STOCKHOLMS LÄN</t>
        </is>
      </c>
      <c r="E1732" t="inlineStr">
        <is>
          <t>NORRTÄLJE</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30963-2024</t>
        </is>
      </c>
      <c r="B1733" s="1" t="n">
        <v>45499</v>
      </c>
      <c r="C1733" s="1" t="n">
        <v>45755</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30995-2024</t>
        </is>
      </c>
      <c r="B1734" s="1" t="n">
        <v>45499</v>
      </c>
      <c r="C1734" s="1" t="n">
        <v>45755</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31027-2024</t>
        </is>
      </c>
      <c r="B1735" s="1" t="n">
        <v>45501</v>
      </c>
      <c r="C1735" s="1" t="n">
        <v>45755</v>
      </c>
      <c r="D1735" t="inlineStr">
        <is>
          <t>STOCKHOLMS LÄN</t>
        </is>
      </c>
      <c r="E1735" t="inlineStr">
        <is>
          <t>NORRTÄLJE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31228-2024</t>
        </is>
      </c>
      <c r="B1736" s="1" t="n">
        <v>45503</v>
      </c>
      <c r="C1736" s="1" t="n">
        <v>45755</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31232-2024</t>
        </is>
      </c>
      <c r="B1737" s="1" t="n">
        <v>45503</v>
      </c>
      <c r="C1737" s="1" t="n">
        <v>45755</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31343-2024</t>
        </is>
      </c>
      <c r="B1738" s="1" t="n">
        <v>45504</v>
      </c>
      <c r="C1738" s="1" t="n">
        <v>45755</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31311-2024</t>
        </is>
      </c>
      <c r="B1739" s="1" t="n">
        <v>45504</v>
      </c>
      <c r="C1739" s="1" t="n">
        <v>45755</v>
      </c>
      <c r="D1739" t="inlineStr">
        <is>
          <t>STOCKHOLMS LÄN</t>
        </is>
      </c>
      <c r="E1739" t="inlineStr">
        <is>
          <t>NORRTÄLJE</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31279-2024</t>
        </is>
      </c>
      <c r="B1740" s="1" t="n">
        <v>45504</v>
      </c>
      <c r="C1740" s="1" t="n">
        <v>45755</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32874-2024</t>
        </is>
      </c>
      <c r="B1741" s="1" t="n">
        <v>45516</v>
      </c>
      <c r="C1741" s="1" t="n">
        <v>45755</v>
      </c>
      <c r="D1741" t="inlineStr">
        <is>
          <t>STOCKHOLMS LÄN</t>
        </is>
      </c>
      <c r="E1741" t="inlineStr">
        <is>
          <t>NORRTÄLJE</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32706-2024</t>
        </is>
      </c>
      <c r="B1742" s="1" t="n">
        <v>45516</v>
      </c>
      <c r="C1742" s="1" t="n">
        <v>45755</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33173-2024</t>
        </is>
      </c>
      <c r="B1743" s="1" t="n">
        <v>45518</v>
      </c>
      <c r="C1743" s="1" t="n">
        <v>45755</v>
      </c>
      <c r="D1743" t="inlineStr">
        <is>
          <t>STOCKHOLMS LÄN</t>
        </is>
      </c>
      <c r="E1743" t="inlineStr">
        <is>
          <t>NORRTÄLJE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33226-2024</t>
        </is>
      </c>
      <c r="B1744" s="1" t="n">
        <v>45518</v>
      </c>
      <c r="C1744" s="1" t="n">
        <v>45755</v>
      </c>
      <c r="D1744" t="inlineStr">
        <is>
          <t>STOCKHOLMS LÄN</t>
        </is>
      </c>
      <c r="E1744" t="inlineStr">
        <is>
          <t>NORRTÄLJE</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33175-2024</t>
        </is>
      </c>
      <c r="B1745" s="1" t="n">
        <v>45518</v>
      </c>
      <c r="C1745" s="1" t="n">
        <v>45755</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33385-2024</t>
        </is>
      </c>
      <c r="B1746" s="1" t="n">
        <v>45519</v>
      </c>
      <c r="C1746" s="1" t="n">
        <v>45755</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33592-2024</t>
        </is>
      </c>
      <c r="B1747" s="1" t="n">
        <v>45520</v>
      </c>
      <c r="C1747" s="1" t="n">
        <v>45755</v>
      </c>
      <c r="D1747" t="inlineStr">
        <is>
          <t>STOCKHOLMS LÄN</t>
        </is>
      </c>
      <c r="E1747" t="inlineStr">
        <is>
          <t>NORRTÄLJE</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33878-2024</t>
        </is>
      </c>
      <c r="B1748" s="1" t="n">
        <v>45522</v>
      </c>
      <c r="C1748" s="1" t="n">
        <v>45755</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34295-2024</t>
        </is>
      </c>
      <c r="B1749" s="1" t="n">
        <v>45524</v>
      </c>
      <c r="C1749" s="1" t="n">
        <v>45755</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34444-2024</t>
        </is>
      </c>
      <c r="B1750" s="1" t="n">
        <v>45525</v>
      </c>
      <c r="C1750" s="1" t="n">
        <v>45755</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34547-2024</t>
        </is>
      </c>
      <c r="B1751" s="1" t="n">
        <v>45525</v>
      </c>
      <c r="C1751" s="1" t="n">
        <v>45755</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34583-2024</t>
        </is>
      </c>
      <c r="B1752" s="1" t="n">
        <v>45526</v>
      </c>
      <c r="C1752" s="1" t="n">
        <v>45755</v>
      </c>
      <c r="D1752" t="inlineStr">
        <is>
          <t>STOCKHOLMS LÄN</t>
        </is>
      </c>
      <c r="E1752" t="inlineStr">
        <is>
          <t>NORRTÄLJE</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35239-2024</t>
        </is>
      </c>
      <c r="B1753" s="1" t="n">
        <v>45530</v>
      </c>
      <c r="C1753" s="1" t="n">
        <v>45755</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35235-2024</t>
        </is>
      </c>
      <c r="B1754" s="1" t="n">
        <v>45530</v>
      </c>
      <c r="C1754" s="1" t="n">
        <v>45755</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35532-2024</t>
        </is>
      </c>
      <c r="B1755" s="1" t="n">
        <v>45531</v>
      </c>
      <c r="C1755" s="1" t="n">
        <v>45755</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35467-2024</t>
        </is>
      </c>
      <c r="B1756" s="1" t="n">
        <v>45531</v>
      </c>
      <c r="C1756" s="1" t="n">
        <v>45755</v>
      </c>
      <c r="D1756" t="inlineStr">
        <is>
          <t>STOCKHOLMS LÄN</t>
        </is>
      </c>
      <c r="E1756" t="inlineStr">
        <is>
          <t>NORRTÄLJE</t>
        </is>
      </c>
      <c r="F1756" t="inlineStr">
        <is>
          <t>Holmen skog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35640-2024</t>
        </is>
      </c>
      <c r="B1757" s="1" t="n">
        <v>45531</v>
      </c>
      <c r="C1757" s="1" t="n">
        <v>45755</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35719-2024</t>
        </is>
      </c>
      <c r="B1758" s="1" t="n">
        <v>45532</v>
      </c>
      <c r="C1758" s="1" t="n">
        <v>45755</v>
      </c>
      <c r="D1758" t="inlineStr">
        <is>
          <t>STOCKHOLMS LÄN</t>
        </is>
      </c>
      <c r="E1758" t="inlineStr">
        <is>
          <t>NORRTÄLJE</t>
        </is>
      </c>
      <c r="F1758" t="inlineStr">
        <is>
          <t>Holmen skog AB</t>
        </is>
      </c>
      <c r="G1758" t="n">
        <v>15.2</v>
      </c>
      <c r="H1758" t="n">
        <v>0</v>
      </c>
      <c r="I1758" t="n">
        <v>0</v>
      </c>
      <c r="J1758" t="n">
        <v>0</v>
      </c>
      <c r="K1758" t="n">
        <v>0</v>
      </c>
      <c r="L1758" t="n">
        <v>0</v>
      </c>
      <c r="M1758" t="n">
        <v>0</v>
      </c>
      <c r="N1758" t="n">
        <v>0</v>
      </c>
      <c r="O1758" t="n">
        <v>0</v>
      </c>
      <c r="P1758" t="n">
        <v>0</v>
      </c>
      <c r="Q1758" t="n">
        <v>0</v>
      </c>
      <c r="R1758" s="2" t="inlineStr"/>
    </row>
    <row r="1759" ht="15" customHeight="1">
      <c r="A1759" t="inlineStr">
        <is>
          <t>A 35782-2024</t>
        </is>
      </c>
      <c r="B1759" s="1" t="n">
        <v>45532</v>
      </c>
      <c r="C1759" s="1" t="n">
        <v>45755</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35647-2024</t>
        </is>
      </c>
      <c r="B1760" s="1" t="n">
        <v>45532</v>
      </c>
      <c r="C1760" s="1" t="n">
        <v>45755</v>
      </c>
      <c r="D1760" t="inlineStr">
        <is>
          <t>STOCKHOLMS LÄN</t>
        </is>
      </c>
      <c r="E1760" t="inlineStr">
        <is>
          <t>NORRTÄLJE</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45755</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36157-2024</t>
        </is>
      </c>
      <c r="B1762" s="1" t="n">
        <v>45534</v>
      </c>
      <c r="C1762" s="1" t="n">
        <v>45755</v>
      </c>
      <c r="D1762" t="inlineStr">
        <is>
          <t>STOCKHOLMS LÄN</t>
        </is>
      </c>
      <c r="E1762" t="inlineStr">
        <is>
          <t>NORRTÄLJE</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36430-2024</t>
        </is>
      </c>
      <c r="B1763" s="1" t="n">
        <v>45536</v>
      </c>
      <c r="C1763" s="1" t="n">
        <v>45755</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36556-2024</t>
        </is>
      </c>
      <c r="B1764" s="1" t="n">
        <v>45537</v>
      </c>
      <c r="C1764" s="1" t="n">
        <v>45755</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36625-2024</t>
        </is>
      </c>
      <c r="B1765" s="1" t="n">
        <v>45537</v>
      </c>
      <c r="C1765" s="1" t="n">
        <v>45755</v>
      </c>
      <c r="D1765" t="inlineStr">
        <is>
          <t>STOCKHOLMS LÄN</t>
        </is>
      </c>
      <c r="E1765" t="inlineStr">
        <is>
          <t>NORRTÄLJE</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37273-2024</t>
        </is>
      </c>
      <c r="B1766" s="1" t="n">
        <v>45540</v>
      </c>
      <c r="C1766" s="1" t="n">
        <v>45755</v>
      </c>
      <c r="D1766" t="inlineStr">
        <is>
          <t>STOCKHOLMS LÄN</t>
        </is>
      </c>
      <c r="E1766" t="inlineStr">
        <is>
          <t>NORRTÄLJE</t>
        </is>
      </c>
      <c r="F1766" t="inlineStr">
        <is>
          <t>Sveaskog</t>
        </is>
      </c>
      <c r="G1766" t="n">
        <v>12.5</v>
      </c>
      <c r="H1766" t="n">
        <v>0</v>
      </c>
      <c r="I1766" t="n">
        <v>0</v>
      </c>
      <c r="J1766" t="n">
        <v>0</v>
      </c>
      <c r="K1766" t="n">
        <v>0</v>
      </c>
      <c r="L1766" t="n">
        <v>0</v>
      </c>
      <c r="M1766" t="n">
        <v>0</v>
      </c>
      <c r="N1766" t="n">
        <v>0</v>
      </c>
      <c r="O1766" t="n">
        <v>0</v>
      </c>
      <c r="P1766" t="n">
        <v>0</v>
      </c>
      <c r="Q1766" t="n">
        <v>0</v>
      </c>
      <c r="R1766" s="2" t="inlineStr"/>
    </row>
    <row r="1767" ht="15" customHeight="1">
      <c r="A1767" t="inlineStr">
        <is>
          <t>A 37663-2024</t>
        </is>
      </c>
      <c r="B1767" s="1" t="n">
        <v>45541</v>
      </c>
      <c r="C1767" s="1" t="n">
        <v>45755</v>
      </c>
      <c r="D1767" t="inlineStr">
        <is>
          <t>STOCKHOLMS LÄN</t>
        </is>
      </c>
      <c r="E1767" t="inlineStr">
        <is>
          <t>NORRTÄLJE</t>
        </is>
      </c>
      <c r="F1767" t="inlineStr">
        <is>
          <t>Holmen skog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37684-2024</t>
        </is>
      </c>
      <c r="B1768" s="1" t="n">
        <v>45541</v>
      </c>
      <c r="C1768" s="1" t="n">
        <v>45755</v>
      </c>
      <c r="D1768" t="inlineStr">
        <is>
          <t>STOCKHOLMS LÄN</t>
        </is>
      </c>
      <c r="E1768" t="inlineStr">
        <is>
          <t>NORRTÄLJE</t>
        </is>
      </c>
      <c r="F1768" t="inlineStr">
        <is>
          <t>Holmen skog AB</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37980-2024</t>
        </is>
      </c>
      <c r="B1769" s="1" t="n">
        <v>45544</v>
      </c>
      <c r="C1769" s="1" t="n">
        <v>45755</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38073-2024</t>
        </is>
      </c>
      <c r="B1770" s="1" t="n">
        <v>45544</v>
      </c>
      <c r="C1770" s="1" t="n">
        <v>45755</v>
      </c>
      <c r="D1770" t="inlineStr">
        <is>
          <t>STOCKHOLMS LÄN</t>
        </is>
      </c>
      <c r="E1770" t="inlineStr">
        <is>
          <t>NORRTÄLJE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38878-2024</t>
        </is>
      </c>
      <c r="B1771" s="1" t="n">
        <v>45547</v>
      </c>
      <c r="C1771" s="1" t="n">
        <v>45755</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38889-2024</t>
        </is>
      </c>
      <c r="B1772" s="1" t="n">
        <v>45547</v>
      </c>
      <c r="C1772" s="1" t="n">
        <v>45755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39203-2024</t>
        </is>
      </c>
      <c r="B1773" s="1" t="n">
        <v>45548</v>
      </c>
      <c r="C1773" s="1" t="n">
        <v>45755</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39202-2024</t>
        </is>
      </c>
      <c r="B1774" s="1" t="n">
        <v>45548</v>
      </c>
      <c r="C1774" s="1" t="n">
        <v>45755</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39238-2024</t>
        </is>
      </c>
      <c r="B1775" s="1" t="n">
        <v>45549</v>
      </c>
      <c r="C1775" s="1" t="n">
        <v>45755</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39237-2024</t>
        </is>
      </c>
      <c r="B1776" s="1" t="n">
        <v>45549</v>
      </c>
      <c r="C1776" s="1" t="n">
        <v>45755</v>
      </c>
      <c r="D1776" t="inlineStr">
        <is>
          <t>STOCKHOLMS LÄN</t>
        </is>
      </c>
      <c r="E1776" t="inlineStr">
        <is>
          <t>NORRTÄLJE</t>
        </is>
      </c>
      <c r="G1776" t="n">
        <v>13.3</v>
      </c>
      <c r="H1776" t="n">
        <v>0</v>
      </c>
      <c r="I1776" t="n">
        <v>0</v>
      </c>
      <c r="J1776" t="n">
        <v>0</v>
      </c>
      <c r="K1776" t="n">
        <v>0</v>
      </c>
      <c r="L1776" t="n">
        <v>0</v>
      </c>
      <c r="M1776" t="n">
        <v>0</v>
      </c>
      <c r="N1776" t="n">
        <v>0</v>
      </c>
      <c r="O1776" t="n">
        <v>0</v>
      </c>
      <c r="P1776" t="n">
        <v>0</v>
      </c>
      <c r="Q1776" t="n">
        <v>0</v>
      </c>
      <c r="R1776" s="2" t="inlineStr"/>
    </row>
    <row r="1777" ht="15" customHeight="1">
      <c r="A1777" t="inlineStr">
        <is>
          <t>A 39669-2024</t>
        </is>
      </c>
      <c r="B1777" s="1" t="n">
        <v>45552</v>
      </c>
      <c r="C1777" s="1" t="n">
        <v>45755</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39667-2024</t>
        </is>
      </c>
      <c r="B1778" s="1" t="n">
        <v>45552</v>
      </c>
      <c r="C1778" s="1" t="n">
        <v>45755</v>
      </c>
      <c r="D1778" t="inlineStr">
        <is>
          <t>STOCKHOLMS LÄN</t>
        </is>
      </c>
      <c r="E1778" t="inlineStr">
        <is>
          <t>NORRTÄLJE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39913-2024</t>
        </is>
      </c>
      <c r="B1779" s="1" t="n">
        <v>45553</v>
      </c>
      <c r="C1779" s="1" t="n">
        <v>45755</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40175-2024</t>
        </is>
      </c>
      <c r="B1780" s="1" t="n">
        <v>45554</v>
      </c>
      <c r="C1780" s="1" t="n">
        <v>45755</v>
      </c>
      <c r="D1780" t="inlineStr">
        <is>
          <t>STOCKHOLMS LÄN</t>
        </is>
      </c>
      <c r="E1780" t="inlineStr">
        <is>
          <t>NORRTÄLJE</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40761-2024</t>
        </is>
      </c>
      <c r="B1781" s="1" t="n">
        <v>45558</v>
      </c>
      <c r="C1781" s="1" t="n">
        <v>45755</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41219-2024</t>
        </is>
      </c>
      <c r="B1782" s="1" t="n">
        <v>45559</v>
      </c>
      <c r="C1782" s="1" t="n">
        <v>45755</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41218-2024</t>
        </is>
      </c>
      <c r="B1783" s="1" t="n">
        <v>45559</v>
      </c>
      <c r="C1783" s="1" t="n">
        <v>45755</v>
      </c>
      <c r="D1783" t="inlineStr">
        <is>
          <t>STOCKHOLMS LÄN</t>
        </is>
      </c>
      <c r="E1783" t="inlineStr">
        <is>
          <t>NORRTÄLJE</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41243-2024</t>
        </is>
      </c>
      <c r="B1784" s="1" t="n">
        <v>45559</v>
      </c>
      <c r="C1784" s="1" t="n">
        <v>45755</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41253-2024</t>
        </is>
      </c>
      <c r="B1785" s="1" t="n">
        <v>45559</v>
      </c>
      <c r="C1785" s="1" t="n">
        <v>45755</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41310-2024</t>
        </is>
      </c>
      <c r="B1786" s="1" t="n">
        <v>45559</v>
      </c>
      <c r="C1786" s="1" t="n">
        <v>45755</v>
      </c>
      <c r="D1786" t="inlineStr">
        <is>
          <t>STOCKHOLMS LÄN</t>
        </is>
      </c>
      <c r="E1786" t="inlineStr">
        <is>
          <t>NORRTÄLJE</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41342-2024</t>
        </is>
      </c>
      <c r="B1787" s="1" t="n">
        <v>45559</v>
      </c>
      <c r="C1787" s="1" t="n">
        <v>45755</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41976-2024</t>
        </is>
      </c>
      <c r="B1788" s="1" t="n">
        <v>45561</v>
      </c>
      <c r="C1788" s="1" t="n">
        <v>45755</v>
      </c>
      <c r="D1788" t="inlineStr">
        <is>
          <t>STOCKHOLMS LÄN</t>
        </is>
      </c>
      <c r="E1788" t="inlineStr">
        <is>
          <t>NORRTÄLJE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44032-2024</t>
        </is>
      </c>
      <c r="B1789" s="1" t="n">
        <v>45572</v>
      </c>
      <c r="C1789" s="1" t="n">
        <v>45755</v>
      </c>
      <c r="D1789" t="inlineStr">
        <is>
          <t>STOCKHOLMS LÄN</t>
        </is>
      </c>
      <c r="E1789" t="inlineStr">
        <is>
          <t>NORRTÄLJE</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44776-2024</t>
        </is>
      </c>
      <c r="B1790" s="1" t="n">
        <v>45574</v>
      </c>
      <c r="C1790" s="1" t="n">
        <v>45755</v>
      </c>
      <c r="D1790" t="inlineStr">
        <is>
          <t>STOCKHOLMS LÄN</t>
        </is>
      </c>
      <c r="E1790" t="inlineStr">
        <is>
          <t>NORRTÄLJE</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44821-2024</t>
        </is>
      </c>
      <c r="B1791" s="1" t="n">
        <v>45574</v>
      </c>
      <c r="C1791" s="1" t="n">
        <v>45755</v>
      </c>
      <c r="D1791" t="inlineStr">
        <is>
          <t>STOCKHOLMS LÄN</t>
        </is>
      </c>
      <c r="E1791" t="inlineStr">
        <is>
          <t>NORRTÄLJE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45220-2024</t>
        </is>
      </c>
      <c r="B1792" s="1" t="n">
        <v>45575</v>
      </c>
      <c r="C1792" s="1" t="n">
        <v>45755</v>
      </c>
      <c r="D1792" t="inlineStr">
        <is>
          <t>STOCKHOLMS LÄN</t>
        </is>
      </c>
      <c r="E1792" t="inlineStr">
        <is>
          <t>NORRTÄLJE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45254-2024</t>
        </is>
      </c>
      <c r="B1793" s="1" t="n">
        <v>45576</v>
      </c>
      <c r="C1793" s="1" t="n">
        <v>45755</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45451-2024</t>
        </is>
      </c>
      <c r="B1794" s="1" t="n">
        <v>45576</v>
      </c>
      <c r="C1794" s="1" t="n">
        <v>45755</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45247-2024</t>
        </is>
      </c>
      <c r="B1795" s="1" t="n">
        <v>45576</v>
      </c>
      <c r="C1795" s="1" t="n">
        <v>45755</v>
      </c>
      <c r="D1795" t="inlineStr">
        <is>
          <t>STOCKHOLMS LÄN</t>
        </is>
      </c>
      <c r="E1795" t="inlineStr">
        <is>
          <t>NORRTÄLJE</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45739-2024</t>
        </is>
      </c>
      <c r="B1796" s="1" t="n">
        <v>45579</v>
      </c>
      <c r="C1796" s="1" t="n">
        <v>45755</v>
      </c>
      <c r="D1796" t="inlineStr">
        <is>
          <t>STOCKHOLMS LÄN</t>
        </is>
      </c>
      <c r="E1796" t="inlineStr">
        <is>
          <t>NORRTÄLJE</t>
        </is>
      </c>
      <c r="G1796" t="n">
        <v>21.9</v>
      </c>
      <c r="H1796" t="n">
        <v>0</v>
      </c>
      <c r="I1796" t="n">
        <v>0</v>
      </c>
      <c r="J1796" t="n">
        <v>0</v>
      </c>
      <c r="K1796" t="n">
        <v>0</v>
      </c>
      <c r="L1796" t="n">
        <v>0</v>
      </c>
      <c r="M1796" t="n">
        <v>0</v>
      </c>
      <c r="N1796" t="n">
        <v>0</v>
      </c>
      <c r="O1796" t="n">
        <v>0</v>
      </c>
      <c r="P1796" t="n">
        <v>0</v>
      </c>
      <c r="Q1796" t="n">
        <v>0</v>
      </c>
      <c r="R1796" s="2" t="inlineStr"/>
    </row>
    <row r="1797" ht="15" customHeight="1">
      <c r="A1797" t="inlineStr">
        <is>
          <t>A 45746-2024</t>
        </is>
      </c>
      <c r="B1797" s="1" t="n">
        <v>45579</v>
      </c>
      <c r="C1797" s="1" t="n">
        <v>45755</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46073-2024</t>
        </is>
      </c>
      <c r="B1798" s="1" t="n">
        <v>45581</v>
      </c>
      <c r="C1798" s="1" t="n">
        <v>45755</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46326-2024</t>
        </is>
      </c>
      <c r="B1799" s="1" t="n">
        <v>45581</v>
      </c>
      <c r="C1799" s="1" t="n">
        <v>45755</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46071-2024</t>
        </is>
      </c>
      <c r="B1800" s="1" t="n">
        <v>45581</v>
      </c>
      <c r="C1800" s="1" t="n">
        <v>45755</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46333-2024</t>
        </is>
      </c>
      <c r="B1801" s="1" t="n">
        <v>45581</v>
      </c>
      <c r="C1801" s="1" t="n">
        <v>45755</v>
      </c>
      <c r="D1801" t="inlineStr">
        <is>
          <t>STOCKHOLMS LÄN</t>
        </is>
      </c>
      <c r="E1801" t="inlineStr">
        <is>
          <t>NORRTÄLJE</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46448-2024</t>
        </is>
      </c>
      <c r="B1802" s="1" t="n">
        <v>45582</v>
      </c>
      <c r="C1802" s="1" t="n">
        <v>45755</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46988-2024</t>
        </is>
      </c>
      <c r="B1803" s="1" t="n">
        <v>45586</v>
      </c>
      <c r="C1803" s="1" t="n">
        <v>45755</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47257-2024</t>
        </is>
      </c>
      <c r="B1804" s="1" t="n">
        <v>45586</v>
      </c>
      <c r="C1804" s="1" t="n">
        <v>45755</v>
      </c>
      <c r="D1804" t="inlineStr">
        <is>
          <t>STOCKHOLMS LÄN</t>
        </is>
      </c>
      <c r="E1804" t="inlineStr">
        <is>
          <t>NORRTÄLJE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47259-2024</t>
        </is>
      </c>
      <c r="B1805" s="1" t="n">
        <v>45586</v>
      </c>
      <c r="C1805" s="1" t="n">
        <v>45755</v>
      </c>
      <c r="D1805" t="inlineStr">
        <is>
          <t>STOCKHOLMS LÄN</t>
        </is>
      </c>
      <c r="E1805" t="inlineStr">
        <is>
          <t>NORRTÄLJE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47521-2024</t>
        </is>
      </c>
      <c r="B1806" s="1" t="n">
        <v>45587</v>
      </c>
      <c r="C1806" s="1" t="n">
        <v>45755</v>
      </c>
      <c r="D1806" t="inlineStr">
        <is>
          <t>STOCKHOLMS LÄN</t>
        </is>
      </c>
      <c r="E1806" t="inlineStr">
        <is>
          <t>NORRTÄLJE</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47481-2024</t>
        </is>
      </c>
      <c r="B1807" s="1" t="n">
        <v>45587</v>
      </c>
      <c r="C1807" s="1" t="n">
        <v>45755</v>
      </c>
      <c r="D1807" t="inlineStr">
        <is>
          <t>STOCKHOLMS LÄN</t>
        </is>
      </c>
      <c r="E1807" t="inlineStr">
        <is>
          <t>NORRTÄLJE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48145-2024</t>
        </is>
      </c>
      <c r="B1808" s="1" t="n">
        <v>45589</v>
      </c>
      <c r="C1808" s="1" t="n">
        <v>45755</v>
      </c>
      <c r="D1808" t="inlineStr">
        <is>
          <t>STOCKHOLMS LÄN</t>
        </is>
      </c>
      <c r="E1808" t="inlineStr">
        <is>
          <t>NORRTÄLJE</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48151-2024</t>
        </is>
      </c>
      <c r="B1809" s="1" t="n">
        <v>45589</v>
      </c>
      <c r="C1809" s="1" t="n">
        <v>45755</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48564-2024</t>
        </is>
      </c>
      <c r="B1810" s="1" t="n">
        <v>45593</v>
      </c>
      <c r="C1810" s="1" t="n">
        <v>45755</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48548-2024</t>
        </is>
      </c>
      <c r="B1811" s="1" t="n">
        <v>45593</v>
      </c>
      <c r="C1811" s="1" t="n">
        <v>45755</v>
      </c>
      <c r="D1811" t="inlineStr">
        <is>
          <t>STOCKHOLMS LÄN</t>
        </is>
      </c>
      <c r="E1811" t="inlineStr">
        <is>
          <t>NORRTÄLJE</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48852-2024</t>
        </is>
      </c>
      <c r="B1812" s="1" t="n">
        <v>45593</v>
      </c>
      <c r="C1812" s="1" t="n">
        <v>45755</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48850-2024</t>
        </is>
      </c>
      <c r="B1813" s="1" t="n">
        <v>45593</v>
      </c>
      <c r="C1813" s="1" t="n">
        <v>45755</v>
      </c>
      <c r="D1813" t="inlineStr">
        <is>
          <t>STOCKHOLMS LÄN</t>
        </is>
      </c>
      <c r="E1813" t="inlineStr">
        <is>
          <t>NORRTÄLJE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48851-2024</t>
        </is>
      </c>
      <c r="B1814" s="1" t="n">
        <v>45593</v>
      </c>
      <c r="C1814" s="1" t="n">
        <v>45755</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49949-2024</t>
        </is>
      </c>
      <c r="B1815" s="1" t="n">
        <v>45597</v>
      </c>
      <c r="C1815" s="1" t="n">
        <v>45755</v>
      </c>
      <c r="D1815" t="inlineStr">
        <is>
          <t>STOCKHOLMS LÄN</t>
        </is>
      </c>
      <c r="E1815" t="inlineStr">
        <is>
          <t>NORRTÄLJE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v>
      </c>
      <c r="C1816" s="1" t="n">
        <v>45755</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50355-2024</t>
        </is>
      </c>
      <c r="B1817" s="1" t="n">
        <v>45600</v>
      </c>
      <c r="C1817" s="1" t="n">
        <v>45755</v>
      </c>
      <c r="D1817" t="inlineStr">
        <is>
          <t>STOCKHOLMS LÄN</t>
        </is>
      </c>
      <c r="E1817" t="inlineStr">
        <is>
          <t>NORRTÄLJE</t>
        </is>
      </c>
      <c r="F1817" t="inlineStr">
        <is>
          <t>Kommuner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50154-2024</t>
        </is>
      </c>
      <c r="B1818" s="1" t="n">
        <v>45600</v>
      </c>
      <c r="C1818" s="1" t="n">
        <v>45755</v>
      </c>
      <c r="D1818" t="inlineStr">
        <is>
          <t>STOCKHOLMS LÄN</t>
        </is>
      </c>
      <c r="E1818" t="inlineStr">
        <is>
          <t>NORRTÄLJE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50182-2024</t>
        </is>
      </c>
      <c r="B1819" s="1" t="n">
        <v>45600</v>
      </c>
      <c r="C1819" s="1" t="n">
        <v>45755</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50534-2024</t>
        </is>
      </c>
      <c r="B1820" s="1" t="n">
        <v>45601</v>
      </c>
      <c r="C1820" s="1" t="n">
        <v>45755</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52287-2024</t>
        </is>
      </c>
      <c r="B1821" s="1" t="n">
        <v>45608</v>
      </c>
      <c r="C1821" s="1" t="n">
        <v>45755</v>
      </c>
      <c r="D1821" t="inlineStr">
        <is>
          <t>STOCKHOLMS LÄN</t>
        </is>
      </c>
      <c r="E1821" t="inlineStr">
        <is>
          <t>NORRTÄLJE</t>
        </is>
      </c>
      <c r="F1821" t="inlineStr">
        <is>
          <t>Holmen skog AB</t>
        </is>
      </c>
      <c r="G1821" t="n">
        <v>16.1</v>
      </c>
      <c r="H1821" t="n">
        <v>0</v>
      </c>
      <c r="I1821" t="n">
        <v>0</v>
      </c>
      <c r="J1821" t="n">
        <v>0</v>
      </c>
      <c r="K1821" t="n">
        <v>0</v>
      </c>
      <c r="L1821" t="n">
        <v>0</v>
      </c>
      <c r="M1821" t="n">
        <v>0</v>
      </c>
      <c r="N1821" t="n">
        <v>0</v>
      </c>
      <c r="O1821" t="n">
        <v>0</v>
      </c>
      <c r="P1821" t="n">
        <v>0</v>
      </c>
      <c r="Q1821" t="n">
        <v>0</v>
      </c>
      <c r="R1821" s="2" t="inlineStr"/>
    </row>
    <row r="1822" ht="15" customHeight="1">
      <c r="A1822" t="inlineStr">
        <is>
          <t>A 52321-2024</t>
        </is>
      </c>
      <c r="B1822" s="1" t="n">
        <v>45608</v>
      </c>
      <c r="C1822" s="1" t="n">
        <v>45755</v>
      </c>
      <c r="D1822" t="inlineStr">
        <is>
          <t>STOCKHOLMS LÄN</t>
        </is>
      </c>
      <c r="E1822" t="inlineStr">
        <is>
          <t>NORRTÄLJE</t>
        </is>
      </c>
      <c r="G1822" t="n">
        <v>18.1</v>
      </c>
      <c r="H1822" t="n">
        <v>0</v>
      </c>
      <c r="I1822" t="n">
        <v>0</v>
      </c>
      <c r="J1822" t="n">
        <v>0</v>
      </c>
      <c r="K1822" t="n">
        <v>0</v>
      </c>
      <c r="L1822" t="n">
        <v>0</v>
      </c>
      <c r="M1822" t="n">
        <v>0</v>
      </c>
      <c r="N1822" t="n">
        <v>0</v>
      </c>
      <c r="O1822" t="n">
        <v>0</v>
      </c>
      <c r="P1822" t="n">
        <v>0</v>
      </c>
      <c r="Q1822" t="n">
        <v>0</v>
      </c>
      <c r="R1822" s="2" t="inlineStr"/>
    </row>
    <row r="1823" ht="15" customHeight="1">
      <c r="A1823" t="inlineStr">
        <is>
          <t>A 52407-2024</t>
        </is>
      </c>
      <c r="B1823" s="1" t="n">
        <v>45609</v>
      </c>
      <c r="C1823" s="1" t="n">
        <v>45755</v>
      </c>
      <c r="D1823" t="inlineStr">
        <is>
          <t>STOCKHOLMS LÄN</t>
        </is>
      </c>
      <c r="E1823" t="inlineStr">
        <is>
          <t>NORRTÄLJE</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52615-2024</t>
        </is>
      </c>
      <c r="B1824" s="1" t="n">
        <v>45609</v>
      </c>
      <c r="C1824" s="1" t="n">
        <v>45755</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52614-2024</t>
        </is>
      </c>
      <c r="B1825" s="1" t="n">
        <v>45609</v>
      </c>
      <c r="C1825" s="1" t="n">
        <v>45755</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52618-2024</t>
        </is>
      </c>
      <c r="B1826" s="1" t="n">
        <v>45609</v>
      </c>
      <c r="C1826" s="1" t="n">
        <v>45755</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52593-2024</t>
        </is>
      </c>
      <c r="B1827" s="1" t="n">
        <v>45609</v>
      </c>
      <c r="C1827" s="1" t="n">
        <v>45755</v>
      </c>
      <c r="D1827" t="inlineStr">
        <is>
          <t>STOCKHOLMS LÄN</t>
        </is>
      </c>
      <c r="E1827" t="inlineStr">
        <is>
          <t>NORRTÄLJE</t>
        </is>
      </c>
      <c r="F1827" t="inlineStr">
        <is>
          <t>Holmen skog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52617-2024</t>
        </is>
      </c>
      <c r="B1828" s="1" t="n">
        <v>45609</v>
      </c>
      <c r="C1828" s="1" t="n">
        <v>45755</v>
      </c>
      <c r="D1828" t="inlineStr">
        <is>
          <t>STOCKHOLMS LÄN</t>
        </is>
      </c>
      <c r="E1828" t="inlineStr">
        <is>
          <t>NORRTÄLJE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52715-2024</t>
        </is>
      </c>
      <c r="B1829" s="1" t="n">
        <v>45610</v>
      </c>
      <c r="C1829" s="1" t="n">
        <v>45755</v>
      </c>
      <c r="D1829" t="inlineStr">
        <is>
          <t>STOCKHOLMS LÄN</t>
        </is>
      </c>
      <c r="E1829" t="inlineStr">
        <is>
          <t>NORRTÄLJE</t>
        </is>
      </c>
      <c r="G1829" t="n">
        <v>11.1</v>
      </c>
      <c r="H1829" t="n">
        <v>0</v>
      </c>
      <c r="I1829" t="n">
        <v>0</v>
      </c>
      <c r="J1829" t="n">
        <v>0</v>
      </c>
      <c r="K1829" t="n">
        <v>0</v>
      </c>
      <c r="L1829" t="n">
        <v>0</v>
      </c>
      <c r="M1829" t="n">
        <v>0</v>
      </c>
      <c r="N1829" t="n">
        <v>0</v>
      </c>
      <c r="O1829" t="n">
        <v>0</v>
      </c>
      <c r="P1829" t="n">
        <v>0</v>
      </c>
      <c r="Q1829" t="n">
        <v>0</v>
      </c>
      <c r="R1829" s="2" t="inlineStr"/>
      <c r="U1829">
        <f>HYPERLINK("https://klasma.github.io/Logging_0188/knärot/A 52715-2024 karta knärot.png", "A 52715-2024")</f>
        <v/>
      </c>
      <c r="V1829">
        <f>HYPERLINK("https://klasma.github.io/Logging_0188/klagomål/A 52715-2024 FSC-klagomål.docx", "A 52715-2024")</f>
        <v/>
      </c>
      <c r="W1829">
        <f>HYPERLINK("https://klasma.github.io/Logging_0188/klagomålsmail/A 52715-2024 FSC-klagomål mail.docx", "A 52715-2024")</f>
        <v/>
      </c>
      <c r="X1829">
        <f>HYPERLINK("https://klasma.github.io/Logging_0188/tillsyn/A 52715-2024 tillsynsbegäran.docx", "A 52715-2024")</f>
        <v/>
      </c>
      <c r="Y1829">
        <f>HYPERLINK("https://klasma.github.io/Logging_0188/tillsynsmail/A 52715-2024 tillsynsbegäran mail.docx", "A 52715-2024")</f>
        <v/>
      </c>
    </row>
    <row r="1830" ht="15" customHeight="1">
      <c r="A1830" t="inlineStr">
        <is>
          <t>A 52743-2024</t>
        </is>
      </c>
      <c r="B1830" s="1" t="n">
        <v>45610</v>
      </c>
      <c r="C1830" s="1" t="n">
        <v>45755</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52686-2024</t>
        </is>
      </c>
      <c r="B1831" s="1" t="n">
        <v>45610</v>
      </c>
      <c r="C1831" s="1" t="n">
        <v>45755</v>
      </c>
      <c r="D1831" t="inlineStr">
        <is>
          <t>STOCKHOLMS LÄN</t>
        </is>
      </c>
      <c r="E1831" t="inlineStr">
        <is>
          <t>NORRTÄLJE</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53312-2024</t>
        </is>
      </c>
      <c r="B1832" s="1" t="n">
        <v>45614</v>
      </c>
      <c r="C1832" s="1" t="n">
        <v>45755</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53305-2024</t>
        </is>
      </c>
      <c r="B1833" s="1" t="n">
        <v>45614</v>
      </c>
      <c r="C1833" s="1" t="n">
        <v>45755</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54113-2024</t>
        </is>
      </c>
      <c r="B1834" s="1" t="n">
        <v>45616</v>
      </c>
      <c r="C1834" s="1" t="n">
        <v>45755</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54315-2024</t>
        </is>
      </c>
      <c r="B1835" s="1" t="n">
        <v>45617</v>
      </c>
      <c r="C1835" s="1" t="n">
        <v>45755</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54558-2024</t>
        </is>
      </c>
      <c r="B1836" s="1" t="n">
        <v>45617</v>
      </c>
      <c r="C1836" s="1" t="n">
        <v>45755</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54496-2024</t>
        </is>
      </c>
      <c r="B1837" s="1" t="n">
        <v>45617</v>
      </c>
      <c r="C1837" s="1" t="n">
        <v>45755</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54504-2024</t>
        </is>
      </c>
      <c r="B1838" s="1" t="n">
        <v>45617</v>
      </c>
      <c r="C1838" s="1" t="n">
        <v>45755</v>
      </c>
      <c r="D1838" t="inlineStr">
        <is>
          <t>STOCKHOLMS LÄN</t>
        </is>
      </c>
      <c r="E1838" t="inlineStr">
        <is>
          <t>NORRTÄLJE</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55018-2024</t>
        </is>
      </c>
      <c r="B1839" s="1" t="n">
        <v>45621</v>
      </c>
      <c r="C1839" s="1" t="n">
        <v>45755</v>
      </c>
      <c r="D1839" t="inlineStr">
        <is>
          <t>STOCKHOLMS LÄN</t>
        </is>
      </c>
      <c r="E1839" t="inlineStr">
        <is>
          <t>NORRTÄLJE</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55010-2024</t>
        </is>
      </c>
      <c r="B1840" s="1" t="n">
        <v>45621</v>
      </c>
      <c r="C1840" s="1" t="n">
        <v>45755</v>
      </c>
      <c r="D1840" t="inlineStr">
        <is>
          <t>STOCKHOLMS LÄN</t>
        </is>
      </c>
      <c r="E1840" t="inlineStr">
        <is>
          <t>NORRTÄLJE</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55287-2024</t>
        </is>
      </c>
      <c r="B1841" s="1" t="n">
        <v>45621</v>
      </c>
      <c r="C1841" s="1" t="n">
        <v>45755</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55012-2024</t>
        </is>
      </c>
      <c r="B1842" s="1" t="n">
        <v>45621</v>
      </c>
      <c r="C1842" s="1" t="n">
        <v>45755</v>
      </c>
      <c r="D1842" t="inlineStr">
        <is>
          <t>STOCKHOLMS LÄN</t>
        </is>
      </c>
      <c r="E1842" t="inlineStr">
        <is>
          <t>NORRTÄLJE</t>
        </is>
      </c>
      <c r="F1842" t="inlineStr">
        <is>
          <t>Sveaskog</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55952-2024</t>
        </is>
      </c>
      <c r="B1843" s="1" t="n">
        <v>45623</v>
      </c>
      <c r="C1843" s="1" t="n">
        <v>45755</v>
      </c>
      <c r="D1843" t="inlineStr">
        <is>
          <t>STOCKHOLMS LÄN</t>
        </is>
      </c>
      <c r="E1843" t="inlineStr">
        <is>
          <t>NORRTÄLJE</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56631-2024</t>
        </is>
      </c>
      <c r="B1844" s="1" t="n">
        <v>45625</v>
      </c>
      <c r="C1844" s="1" t="n">
        <v>45755</v>
      </c>
      <c r="D1844" t="inlineStr">
        <is>
          <t>STOCKHOLMS LÄN</t>
        </is>
      </c>
      <c r="E1844" t="inlineStr">
        <is>
          <t>NORRTÄLJE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57155-2024</t>
        </is>
      </c>
      <c r="B1845" s="1" t="n">
        <v>45629</v>
      </c>
      <c r="C1845" s="1" t="n">
        <v>45755</v>
      </c>
      <c r="D1845" t="inlineStr">
        <is>
          <t>STOCKHOLMS LÄN</t>
        </is>
      </c>
      <c r="E1845" t="inlineStr">
        <is>
          <t>NORRTÄLJE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57353-2024</t>
        </is>
      </c>
      <c r="B1846" s="1" t="n">
        <v>45629</v>
      </c>
      <c r="C1846" s="1" t="n">
        <v>45755</v>
      </c>
      <c r="D1846" t="inlineStr">
        <is>
          <t>STOCKHOLMS LÄN</t>
        </is>
      </c>
      <c r="E1846" t="inlineStr">
        <is>
          <t>NORRTÄLJE</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57602-2024</t>
        </is>
      </c>
      <c r="B1847" s="1" t="n">
        <v>45630</v>
      </c>
      <c r="C1847" s="1" t="n">
        <v>45755</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58040-2024</t>
        </is>
      </c>
      <c r="B1848" s="1" t="n">
        <v>45631</v>
      </c>
      <c r="C1848" s="1" t="n">
        <v>45755</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58041-2024</t>
        </is>
      </c>
      <c r="B1849" s="1" t="n">
        <v>45631</v>
      </c>
      <c r="C1849" s="1" t="n">
        <v>45755</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58530-2024</t>
        </is>
      </c>
      <c r="B1850" s="1" t="n">
        <v>45635</v>
      </c>
      <c r="C1850" s="1" t="n">
        <v>45755</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58785-2024</t>
        </is>
      </c>
      <c r="B1851" s="1" t="n">
        <v>45635</v>
      </c>
      <c r="C1851" s="1" t="n">
        <v>45755</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58863-2024</t>
        </is>
      </c>
      <c r="B1852" s="1" t="n">
        <v>45636</v>
      </c>
      <c r="C1852" s="1" t="n">
        <v>45755</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58853-2024</t>
        </is>
      </c>
      <c r="B1853" s="1" t="n">
        <v>45636</v>
      </c>
      <c r="C1853" s="1" t="n">
        <v>45755</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59091-2024</t>
        </is>
      </c>
      <c r="B1854" s="1" t="n">
        <v>45637</v>
      </c>
      <c r="C1854" s="1" t="n">
        <v>45755</v>
      </c>
      <c r="D1854" t="inlineStr">
        <is>
          <t>STOCKHOLMS LÄN</t>
        </is>
      </c>
      <c r="E1854" t="inlineStr">
        <is>
          <t>NORRTÄLJE</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59274-2024</t>
        </is>
      </c>
      <c r="B1855" s="1" t="n">
        <v>45637</v>
      </c>
      <c r="C1855" s="1" t="n">
        <v>45755</v>
      </c>
      <c r="D1855" t="inlineStr">
        <is>
          <t>STOCKHOLMS LÄN</t>
        </is>
      </c>
      <c r="E1855" t="inlineStr">
        <is>
          <t>NORRTÄLJE</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59534-2024</t>
        </is>
      </c>
      <c r="B1856" s="1" t="n">
        <v>45638</v>
      </c>
      <c r="C1856" s="1" t="n">
        <v>45755</v>
      </c>
      <c r="D1856" t="inlineStr">
        <is>
          <t>STOCKHOLMS LÄN</t>
        </is>
      </c>
      <c r="E1856" t="inlineStr">
        <is>
          <t>NORRTÄLJE</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59535-2024</t>
        </is>
      </c>
      <c r="B1857" s="1" t="n">
        <v>45638</v>
      </c>
      <c r="C1857" s="1" t="n">
        <v>45755</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59721-2024</t>
        </is>
      </c>
      <c r="B1858" s="1" t="n">
        <v>45639</v>
      </c>
      <c r="C1858" s="1" t="n">
        <v>45755</v>
      </c>
      <c r="D1858" t="inlineStr">
        <is>
          <t>STOCKHOLMS LÄN</t>
        </is>
      </c>
      <c r="E1858" t="inlineStr">
        <is>
          <t>NORRTÄLJE</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59712-2024</t>
        </is>
      </c>
      <c r="B1859" s="1" t="n">
        <v>45639</v>
      </c>
      <c r="C1859" s="1" t="n">
        <v>45755</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59876-2024</t>
        </is>
      </c>
      <c r="B1860" s="1" t="n">
        <v>45640</v>
      </c>
      <c r="C1860" s="1" t="n">
        <v>45755</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59875-2024</t>
        </is>
      </c>
      <c r="B1861" s="1" t="n">
        <v>45640</v>
      </c>
      <c r="C1861" s="1" t="n">
        <v>45755</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59873-2024</t>
        </is>
      </c>
      <c r="B1862" s="1" t="n">
        <v>45640</v>
      </c>
      <c r="C1862" s="1" t="n">
        <v>45755</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59877-2024</t>
        </is>
      </c>
      <c r="B1863" s="1" t="n">
        <v>45640</v>
      </c>
      <c r="C1863" s="1" t="n">
        <v>45755</v>
      </c>
      <c r="D1863" t="inlineStr">
        <is>
          <t>STOCKHOLMS LÄN</t>
        </is>
      </c>
      <c r="E1863" t="inlineStr">
        <is>
          <t>NORRTÄLJE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59874-2024</t>
        </is>
      </c>
      <c r="B1864" s="1" t="n">
        <v>45640</v>
      </c>
      <c r="C1864" s="1" t="n">
        <v>45755</v>
      </c>
      <c r="D1864" t="inlineStr">
        <is>
          <t>STOCKHOLMS LÄN</t>
        </is>
      </c>
      <c r="E1864" t="inlineStr">
        <is>
          <t>NORRTÄLJE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59878-2024</t>
        </is>
      </c>
      <c r="B1865" s="1" t="n">
        <v>45640</v>
      </c>
      <c r="C1865" s="1" t="n">
        <v>45755</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60185-2024</t>
        </is>
      </c>
      <c r="B1866" s="1" t="n">
        <v>45642</v>
      </c>
      <c r="C1866" s="1" t="n">
        <v>45755</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60166-2024</t>
        </is>
      </c>
      <c r="B1867" s="1" t="n">
        <v>45642</v>
      </c>
      <c r="C1867" s="1" t="n">
        <v>45755</v>
      </c>
      <c r="D1867" t="inlineStr">
        <is>
          <t>STOCKHOLMS LÄN</t>
        </is>
      </c>
      <c r="E1867" t="inlineStr">
        <is>
          <t>NORRTÄLJE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60160-2024</t>
        </is>
      </c>
      <c r="B1868" s="1" t="n">
        <v>45642</v>
      </c>
      <c r="C1868" s="1" t="n">
        <v>45755</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60317-2024</t>
        </is>
      </c>
      <c r="B1869" s="1" t="n">
        <v>45643</v>
      </c>
      <c r="C1869" s="1" t="n">
        <v>45755</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60694-2024</t>
        </is>
      </c>
      <c r="B1870" s="1" t="n">
        <v>45644</v>
      </c>
      <c r="C1870" s="1" t="n">
        <v>45755</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60884-2024</t>
        </is>
      </c>
      <c r="B1871" s="1" t="n">
        <v>45644</v>
      </c>
      <c r="C1871" s="1" t="n">
        <v>45755</v>
      </c>
      <c r="D1871" t="inlineStr">
        <is>
          <t>STOCKHOLMS LÄN</t>
        </is>
      </c>
      <c r="E1871" t="inlineStr">
        <is>
          <t>NORRTÄLJE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61516-2024</t>
        </is>
      </c>
      <c r="B1872" s="1" t="n">
        <v>45646</v>
      </c>
      <c r="C1872" s="1" t="n">
        <v>45755</v>
      </c>
      <c r="D1872" t="inlineStr">
        <is>
          <t>STOCKHOLMS LÄN</t>
        </is>
      </c>
      <c r="E1872" t="inlineStr">
        <is>
          <t>NORRTÄLJE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62168-2024</t>
        </is>
      </c>
      <c r="B1873" s="1" t="n">
        <v>45657</v>
      </c>
      <c r="C1873" s="1" t="n">
        <v>45755</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19-2025</t>
        </is>
      </c>
      <c r="B1874" s="1" t="n">
        <v>45658</v>
      </c>
      <c r="C1874" s="1" t="n">
        <v>45755</v>
      </c>
      <c r="D1874" t="inlineStr">
        <is>
          <t>STOCKHOLMS LÄN</t>
        </is>
      </c>
      <c r="E1874" t="inlineStr">
        <is>
          <t>NORRTÄLJE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22-2025</t>
        </is>
      </c>
      <c r="B1875" s="1" t="n">
        <v>45658</v>
      </c>
      <c r="C1875" s="1" t="n">
        <v>45755</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520-2025</t>
        </is>
      </c>
      <c r="B1876" s="1" t="n">
        <v>45664</v>
      </c>
      <c r="C1876" s="1" t="n">
        <v>45755</v>
      </c>
      <c r="D1876" t="inlineStr">
        <is>
          <t>STOCKHOLMS LÄN</t>
        </is>
      </c>
      <c r="E1876" t="inlineStr">
        <is>
          <t>NORRTÄLJE</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652-2025</t>
        </is>
      </c>
      <c r="B1877" s="1" t="n">
        <v>45664</v>
      </c>
      <c r="C1877" s="1" t="n">
        <v>45755</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827-2025</t>
        </is>
      </c>
      <c r="B1878" s="1" t="n">
        <v>45665</v>
      </c>
      <c r="C1878" s="1" t="n">
        <v>45755</v>
      </c>
      <c r="D1878" t="inlineStr">
        <is>
          <t>STOCKHOLMS LÄN</t>
        </is>
      </c>
      <c r="E1878" t="inlineStr">
        <is>
          <t>NORRTÄLJE</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1283-2025</t>
        </is>
      </c>
      <c r="B1879" s="1" t="n">
        <v>45667</v>
      </c>
      <c r="C1879" s="1" t="n">
        <v>45755</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1360-2025</t>
        </is>
      </c>
      <c r="B1880" s="1" t="n">
        <v>45667</v>
      </c>
      <c r="C1880" s="1" t="n">
        <v>45755</v>
      </c>
      <c r="D1880" t="inlineStr">
        <is>
          <t>STOCKHOLMS LÄN</t>
        </is>
      </c>
      <c r="E1880" t="inlineStr">
        <is>
          <t>NORRTÄLJE</t>
        </is>
      </c>
      <c r="F1880" t="inlineStr">
        <is>
          <t>Kyrkan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1425-2025</t>
        </is>
      </c>
      <c r="B1881" s="1" t="n">
        <v>45668</v>
      </c>
      <c r="C1881" s="1" t="n">
        <v>45755</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1654-2025</t>
        </is>
      </c>
      <c r="B1882" s="1" t="n">
        <v>45670</v>
      </c>
      <c r="C1882" s="1" t="n">
        <v>45755</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1453-2025</t>
        </is>
      </c>
      <c r="B1883" s="1" t="n">
        <v>45670</v>
      </c>
      <c r="C1883" s="1" t="n">
        <v>45755</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1890-2025</t>
        </is>
      </c>
      <c r="B1884" s="1" t="n">
        <v>45671</v>
      </c>
      <c r="C1884" s="1" t="n">
        <v>45755</v>
      </c>
      <c r="D1884" t="inlineStr">
        <is>
          <t>STOCKHOLMS LÄN</t>
        </is>
      </c>
      <c r="E1884" t="inlineStr">
        <is>
          <t>NORRTÄLJE</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2153-2025</t>
        </is>
      </c>
      <c r="B1885" s="1" t="n">
        <v>45672</v>
      </c>
      <c r="C1885" s="1" t="n">
        <v>45755</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2127-2025</t>
        </is>
      </c>
      <c r="B1886" s="1" t="n">
        <v>45672</v>
      </c>
      <c r="C1886" s="1" t="n">
        <v>45755</v>
      </c>
      <c r="D1886" t="inlineStr">
        <is>
          <t>STOCKHOLMS LÄN</t>
        </is>
      </c>
      <c r="E1886" t="inlineStr">
        <is>
          <t>NORRTÄLJE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2627-2025</t>
        </is>
      </c>
      <c r="B1887" s="1" t="n">
        <v>45675</v>
      </c>
      <c r="C1887" s="1" t="n">
        <v>45755</v>
      </c>
      <c r="D1887" t="inlineStr">
        <is>
          <t>STOCKHOLMS LÄN</t>
        </is>
      </c>
      <c r="E1887" t="inlineStr">
        <is>
          <t>NORRTÄLJE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3117-2025</t>
        </is>
      </c>
      <c r="B1888" s="1" t="n">
        <v>45678</v>
      </c>
      <c r="C1888" s="1" t="n">
        <v>45755</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3273-2025</t>
        </is>
      </c>
      <c r="B1889" s="1" t="n">
        <v>45679</v>
      </c>
      <c r="C1889" s="1" t="n">
        <v>45755</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3283-2025</t>
        </is>
      </c>
      <c r="B1890" s="1" t="n">
        <v>45679</v>
      </c>
      <c r="C1890" s="1" t="n">
        <v>45755</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3512-2025</t>
        </is>
      </c>
      <c r="B1891" s="1" t="n">
        <v>45680</v>
      </c>
      <c r="C1891" s="1" t="n">
        <v>45755</v>
      </c>
      <c r="D1891" t="inlineStr">
        <is>
          <t>STOCKHOLMS LÄN</t>
        </is>
      </c>
      <c r="E1891" t="inlineStr">
        <is>
          <t>NORRTÄLJE</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3426-2025</t>
        </is>
      </c>
      <c r="B1892" s="1" t="n">
        <v>45680</v>
      </c>
      <c r="C1892" s="1" t="n">
        <v>45755</v>
      </c>
      <c r="D1892" t="inlineStr">
        <is>
          <t>STOCKHOLMS LÄN</t>
        </is>
      </c>
      <c r="E1892" t="inlineStr">
        <is>
          <t>NORRTÄLJE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4183-2025</t>
        </is>
      </c>
      <c r="B1893" s="1" t="n">
        <v>45685</v>
      </c>
      <c r="C1893" s="1" t="n">
        <v>45755</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4195-2025</t>
        </is>
      </c>
      <c r="B1894" s="1" t="n">
        <v>45685</v>
      </c>
      <c r="C1894" s="1" t="n">
        <v>45755</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4148-2025</t>
        </is>
      </c>
      <c r="B1895" s="1" t="n">
        <v>45685</v>
      </c>
      <c r="C1895" s="1" t="n">
        <v>45755</v>
      </c>
      <c r="D1895" t="inlineStr">
        <is>
          <t>STOCKHOLMS LÄN</t>
        </is>
      </c>
      <c r="E1895" t="inlineStr">
        <is>
          <t>NORRTÄLJE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4164-2025</t>
        </is>
      </c>
      <c r="B1896" s="1" t="n">
        <v>45685</v>
      </c>
      <c r="C1896" s="1" t="n">
        <v>45755</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4415-2025</t>
        </is>
      </c>
      <c r="B1897" s="1" t="n">
        <v>45686</v>
      </c>
      <c r="C1897" s="1" t="n">
        <v>45755</v>
      </c>
      <c r="D1897" t="inlineStr">
        <is>
          <t>STOCKHOLMS LÄN</t>
        </is>
      </c>
      <c r="E1897" t="inlineStr">
        <is>
          <t>NORRTÄLJE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4498-2025</t>
        </is>
      </c>
      <c r="B1898" s="1" t="n">
        <v>45686</v>
      </c>
      <c r="C1898" s="1" t="n">
        <v>45755</v>
      </c>
      <c r="D1898" t="inlineStr">
        <is>
          <t>STOCKHOLMS LÄN</t>
        </is>
      </c>
      <c r="E1898" t="inlineStr">
        <is>
          <t>NORRTÄLJE</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4484-2025</t>
        </is>
      </c>
      <c r="B1899" s="1" t="n">
        <v>45686</v>
      </c>
      <c r="C1899" s="1" t="n">
        <v>45755</v>
      </c>
      <c r="D1899" t="inlineStr">
        <is>
          <t>STOCKHOLMS LÄN</t>
        </is>
      </c>
      <c r="E1899" t="inlineStr">
        <is>
          <t>NORRTÄLJE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4350-2025</t>
        </is>
      </c>
      <c r="B1900" s="1" t="n">
        <v>45686</v>
      </c>
      <c r="C1900" s="1" t="n">
        <v>45755</v>
      </c>
      <c r="D1900" t="inlineStr">
        <is>
          <t>STOCKHOLMS LÄN</t>
        </is>
      </c>
      <c r="E1900" t="inlineStr">
        <is>
          <t>NORRTÄLJE</t>
        </is>
      </c>
      <c r="F1900" t="inlineStr">
        <is>
          <t>Övriga Aktiebolag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4580-2025</t>
        </is>
      </c>
      <c r="B1901" s="1" t="n">
        <v>45687</v>
      </c>
      <c r="C1901" s="1" t="n">
        <v>45755</v>
      </c>
      <c r="D1901" t="inlineStr">
        <is>
          <t>STOCKHOLMS LÄN</t>
        </is>
      </c>
      <c r="E1901" t="inlineStr">
        <is>
          <t>NORRTÄLJE</t>
        </is>
      </c>
      <c r="F1901" t="inlineStr">
        <is>
          <t>Holmen skog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4581-2025</t>
        </is>
      </c>
      <c r="B1902" s="1" t="n">
        <v>45687</v>
      </c>
      <c r="C1902" s="1" t="n">
        <v>45755</v>
      </c>
      <c r="D1902" t="inlineStr">
        <is>
          <t>STOCKHOLMS LÄN</t>
        </is>
      </c>
      <c r="E1902" t="inlineStr">
        <is>
          <t>NORRTÄLJE</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4715-2025</t>
        </is>
      </c>
      <c r="B1903" s="1" t="n">
        <v>45688</v>
      </c>
      <c r="C1903" s="1" t="n">
        <v>45755</v>
      </c>
      <c r="D1903" t="inlineStr">
        <is>
          <t>STOCKHOLMS LÄN</t>
        </is>
      </c>
      <c r="E1903" t="inlineStr">
        <is>
          <t>NORRTÄLJE</t>
        </is>
      </c>
      <c r="G1903" t="n">
        <v>1.4</v>
      </c>
      <c r="H1903" t="n">
        <v>0</v>
      </c>
      <c r="I1903" t="n">
        <v>0</v>
      </c>
      <c r="J1903" t="n">
        <v>0</v>
      </c>
      <c r="K1903" t="n">
        <v>0</v>
      </c>
      <c r="L1903" t="n">
        <v>0</v>
      </c>
      <c r="M1903" t="n">
        <v>0</v>
      </c>
      <c r="N1903" t="n">
        <v>0</v>
      </c>
      <c r="O1903" t="n">
        <v>0</v>
      </c>
      <c r="P1903" t="n">
        <v>0</v>
      </c>
      <c r="Q1903" t="n">
        <v>0</v>
      </c>
      <c r="R1903" s="2" t="inlineStr"/>
      <c r="U1903">
        <f>HYPERLINK("https://klasma.github.io/Logging_0188/knärot/A 4715-2025 karta knärot.png", "A 4715-2025")</f>
        <v/>
      </c>
      <c r="V1903">
        <f>HYPERLINK("https://klasma.github.io/Logging_0188/klagomål/A 4715-2025 FSC-klagomål.docx", "A 4715-2025")</f>
        <v/>
      </c>
      <c r="W1903">
        <f>HYPERLINK("https://klasma.github.io/Logging_0188/klagomålsmail/A 4715-2025 FSC-klagomål mail.docx", "A 4715-2025")</f>
        <v/>
      </c>
      <c r="X1903">
        <f>HYPERLINK("https://klasma.github.io/Logging_0188/tillsyn/A 4715-2025 tillsynsbegäran.docx", "A 4715-2025")</f>
        <v/>
      </c>
      <c r="Y1903">
        <f>HYPERLINK("https://klasma.github.io/Logging_0188/tillsynsmail/A 4715-2025 tillsynsbegäran mail.docx", "A 4715-2025")</f>
        <v/>
      </c>
    </row>
    <row r="1904" ht="15" customHeight="1">
      <c r="A1904" t="inlineStr">
        <is>
          <t>A 5027-2025</t>
        </is>
      </c>
      <c r="B1904" s="1" t="n">
        <v>45691</v>
      </c>
      <c r="C1904" s="1" t="n">
        <v>45755</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5389-2025</t>
        </is>
      </c>
      <c r="B1905" s="1" t="n">
        <v>45692</v>
      </c>
      <c r="C1905" s="1" t="n">
        <v>45755</v>
      </c>
      <c r="D1905" t="inlineStr">
        <is>
          <t>STOCKHOLMS LÄN</t>
        </is>
      </c>
      <c r="E1905" t="inlineStr">
        <is>
          <t>NORRTÄLJE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5665-2025</t>
        </is>
      </c>
      <c r="B1906" s="1" t="n">
        <v>45693</v>
      </c>
      <c r="C1906" s="1" t="n">
        <v>45755</v>
      </c>
      <c r="D1906" t="inlineStr">
        <is>
          <t>STOCKHOLMS LÄN</t>
        </is>
      </c>
      <c r="E1906" t="inlineStr">
        <is>
          <t>NORRTÄLJE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5804-2025</t>
        </is>
      </c>
      <c r="B1907" s="1" t="n">
        <v>45694</v>
      </c>
      <c r="C1907" s="1" t="n">
        <v>45755</v>
      </c>
      <c r="D1907" t="inlineStr">
        <is>
          <t>STOCKHOLMS LÄN</t>
        </is>
      </c>
      <c r="E1907" t="inlineStr">
        <is>
          <t>NORRTÄLJE</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6003-2025</t>
        </is>
      </c>
      <c r="B1908" s="1" t="n">
        <v>45695</v>
      </c>
      <c r="C1908" s="1" t="n">
        <v>45755</v>
      </c>
      <c r="D1908" t="inlineStr">
        <is>
          <t>STOCKHOLMS LÄN</t>
        </is>
      </c>
      <c r="E1908" t="inlineStr">
        <is>
          <t>NORRTÄLJE</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6413-2025</t>
        </is>
      </c>
      <c r="B1909" s="1" t="n">
        <v>45699</v>
      </c>
      <c r="C1909" s="1" t="n">
        <v>45755</v>
      </c>
      <c r="D1909" t="inlineStr">
        <is>
          <t>STOCKHOLMS LÄN</t>
        </is>
      </c>
      <c r="E1909" t="inlineStr">
        <is>
          <t>NORRTÄLJE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6855-2025</t>
        </is>
      </c>
      <c r="B1910" s="1" t="n">
        <v>45700</v>
      </c>
      <c r="C1910" s="1" t="n">
        <v>45755</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6678-2025</t>
        </is>
      </c>
      <c r="B1911" s="1" t="n">
        <v>45700</v>
      </c>
      <c r="C1911" s="1" t="n">
        <v>45755</v>
      </c>
      <c r="D1911" t="inlineStr">
        <is>
          <t>STOCKHOLMS LÄN</t>
        </is>
      </c>
      <c r="E1911" t="inlineStr">
        <is>
          <t>NORRTÄLJE</t>
        </is>
      </c>
      <c r="F1911" t="inlineStr">
        <is>
          <t>Övriga Aktiebolag</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6919-2025</t>
        </is>
      </c>
      <c r="B1912" s="1" t="n">
        <v>45701</v>
      </c>
      <c r="C1912" s="1" t="n">
        <v>45755</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6996-2025</t>
        </is>
      </c>
      <c r="B1913" s="1" t="n">
        <v>45701</v>
      </c>
      <c r="C1913" s="1" t="n">
        <v>45755</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7603-2025</t>
        </is>
      </c>
      <c r="B1914" s="1" t="n">
        <v>45705</v>
      </c>
      <c r="C1914" s="1" t="n">
        <v>45755</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7781-2025</t>
        </is>
      </c>
      <c r="B1915" s="1" t="n">
        <v>45706</v>
      </c>
      <c r="C1915" s="1" t="n">
        <v>45755</v>
      </c>
      <c r="D1915" t="inlineStr">
        <is>
          <t>STOCKHOLMS LÄN</t>
        </is>
      </c>
      <c r="E1915" t="inlineStr">
        <is>
          <t>NORRTÄLJE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7806-2025</t>
        </is>
      </c>
      <c r="B1916" s="1" t="n">
        <v>45706</v>
      </c>
      <c r="C1916" s="1" t="n">
        <v>45755</v>
      </c>
      <c r="D1916" t="inlineStr">
        <is>
          <t>STOCKHOLMS LÄN</t>
        </is>
      </c>
      <c r="E1916" t="inlineStr">
        <is>
          <t>NORRTÄLJE</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7697-2025</t>
        </is>
      </c>
      <c r="B1917" s="1" t="n">
        <v>45706</v>
      </c>
      <c r="C1917" s="1" t="n">
        <v>45755</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7784-2025</t>
        </is>
      </c>
      <c r="B1918" s="1" t="n">
        <v>45706</v>
      </c>
      <c r="C1918" s="1" t="n">
        <v>45755</v>
      </c>
      <c r="D1918" t="inlineStr">
        <is>
          <t>STOCKHOLMS LÄN</t>
        </is>
      </c>
      <c r="E1918" t="inlineStr">
        <is>
          <t>NORRTÄLJE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7796-2025</t>
        </is>
      </c>
      <c r="B1919" s="1" t="n">
        <v>45706</v>
      </c>
      <c r="C1919" s="1" t="n">
        <v>45755</v>
      </c>
      <c r="D1919" t="inlineStr">
        <is>
          <t>STOCKHOLMS LÄN</t>
        </is>
      </c>
      <c r="E1919" t="inlineStr">
        <is>
          <t>NORRTÄLJE</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8071-2025</t>
        </is>
      </c>
      <c r="B1920" s="1" t="n">
        <v>45707</v>
      </c>
      <c r="C1920" s="1" t="n">
        <v>45755</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8134-2025</t>
        </is>
      </c>
      <c r="B1921" s="1" t="n">
        <v>45707</v>
      </c>
      <c r="C1921" s="1" t="n">
        <v>45755</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8133-2025</t>
        </is>
      </c>
      <c r="B1922" s="1" t="n">
        <v>45707</v>
      </c>
      <c r="C1922" s="1" t="n">
        <v>45755</v>
      </c>
      <c r="D1922" t="inlineStr">
        <is>
          <t>STOCKHOLMS LÄN</t>
        </is>
      </c>
      <c r="E1922" t="inlineStr">
        <is>
          <t>NORRTÄLJE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8132-2025</t>
        </is>
      </c>
      <c r="B1923" s="1" t="n">
        <v>45707</v>
      </c>
      <c r="C1923" s="1" t="n">
        <v>45755</v>
      </c>
      <c r="D1923" t="inlineStr">
        <is>
          <t>STOCKHOLMS LÄN</t>
        </is>
      </c>
      <c r="E1923" t="inlineStr">
        <is>
          <t>NORRTÄLJE</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8135-2025</t>
        </is>
      </c>
      <c r="B1924" s="1" t="n">
        <v>45707</v>
      </c>
      <c r="C1924" s="1" t="n">
        <v>45755</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8231-2025</t>
        </is>
      </c>
      <c r="B1925" s="1" t="n">
        <v>45708</v>
      </c>
      <c r="C1925" s="1" t="n">
        <v>45755</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8370-2025</t>
        </is>
      </c>
      <c r="B1926" s="1" t="n">
        <v>45708</v>
      </c>
      <c r="C1926" s="1" t="n">
        <v>45755</v>
      </c>
      <c r="D1926" t="inlineStr">
        <is>
          <t>STOCKHOLMS LÄN</t>
        </is>
      </c>
      <c r="E1926" t="inlineStr">
        <is>
          <t>NORRTÄLJE</t>
        </is>
      </c>
      <c r="F1926" t="inlineStr">
        <is>
          <t>Övriga Aktiebolag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8315-2025</t>
        </is>
      </c>
      <c r="B1927" s="1" t="n">
        <v>45708</v>
      </c>
      <c r="C1927" s="1" t="n">
        <v>45755</v>
      </c>
      <c r="D1927" t="inlineStr">
        <is>
          <t>STOCKHOLMS LÄN</t>
        </is>
      </c>
      <c r="E1927" t="inlineStr">
        <is>
          <t>NORRTÄLJE</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8419-2025</t>
        </is>
      </c>
      <c r="B1928" s="1" t="n">
        <v>45709</v>
      </c>
      <c r="C1928" s="1" t="n">
        <v>45755</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8547-2025</t>
        </is>
      </c>
      <c r="B1929" s="1" t="n">
        <v>45709</v>
      </c>
      <c r="C1929" s="1" t="n">
        <v>45755</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8414-2025</t>
        </is>
      </c>
      <c r="B1930" s="1" t="n">
        <v>45709</v>
      </c>
      <c r="C1930" s="1" t="n">
        <v>45755</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8587-2025</t>
        </is>
      </c>
      <c r="B1931" s="1" t="n">
        <v>45709</v>
      </c>
      <c r="C1931" s="1" t="n">
        <v>45755</v>
      </c>
      <c r="D1931" t="inlineStr">
        <is>
          <t>STOCKHOLMS LÄN</t>
        </is>
      </c>
      <c r="E1931" t="inlineStr">
        <is>
          <t>NORRTÄLJE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8792-2025</t>
        </is>
      </c>
      <c r="B1932" s="1" t="n">
        <v>45712</v>
      </c>
      <c r="C1932" s="1" t="n">
        <v>45755</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8950-2025</t>
        </is>
      </c>
      <c r="B1933" s="1" t="n">
        <v>45713</v>
      </c>
      <c r="C1933" s="1" t="n">
        <v>45755</v>
      </c>
      <c r="D1933" t="inlineStr">
        <is>
          <t>STOCKHOLMS LÄN</t>
        </is>
      </c>
      <c r="E1933" t="inlineStr">
        <is>
          <t>NORRTÄLJE</t>
        </is>
      </c>
      <c r="F1933" t="inlineStr">
        <is>
          <t>Övriga Aktiebolag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8963-2025</t>
        </is>
      </c>
      <c r="B1934" s="1" t="n">
        <v>45713</v>
      </c>
      <c r="C1934" s="1" t="n">
        <v>45755</v>
      </c>
      <c r="D1934" t="inlineStr">
        <is>
          <t>STOCKHOLMS LÄN</t>
        </is>
      </c>
      <c r="E1934" t="inlineStr">
        <is>
          <t>NORRTÄLJE</t>
        </is>
      </c>
      <c r="F1934" t="inlineStr">
        <is>
          <t>Övriga Aktiebolag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9130-2025</t>
        </is>
      </c>
      <c r="B1935" s="1" t="n">
        <v>45713</v>
      </c>
      <c r="C1935" s="1" t="n">
        <v>45755</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9520-2025</t>
        </is>
      </c>
      <c r="B1936" s="1" t="n">
        <v>45715</v>
      </c>
      <c r="C1936" s="1" t="n">
        <v>45755</v>
      </c>
      <c r="D1936" t="inlineStr">
        <is>
          <t>STOCKHOLMS LÄN</t>
        </is>
      </c>
      <c r="E1936" t="inlineStr">
        <is>
          <t>NORRTÄLJE</t>
        </is>
      </c>
      <c r="G1936" t="n">
        <v>23.2</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45755</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45755</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45755</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45755</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10511-2025</t>
        </is>
      </c>
      <c r="B1941" s="1" t="n">
        <v>45721</v>
      </c>
      <c r="C1941" s="1" t="n">
        <v>45755</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10676-2025</t>
        </is>
      </c>
      <c r="B1942" s="1" t="n">
        <v>45721</v>
      </c>
      <c r="C1942" s="1" t="n">
        <v>45755</v>
      </c>
      <c r="D1942" t="inlineStr">
        <is>
          <t>STOCKHOLMS LÄN</t>
        </is>
      </c>
      <c r="E1942" t="inlineStr">
        <is>
          <t>NORRTÄLJE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10653-2025</t>
        </is>
      </c>
      <c r="B1943" s="1" t="n">
        <v>45721</v>
      </c>
      <c r="C1943" s="1" t="n">
        <v>45755</v>
      </c>
      <c r="D1943" t="inlineStr">
        <is>
          <t>STOCKHOLMS LÄN</t>
        </is>
      </c>
      <c r="E1943" t="inlineStr">
        <is>
          <t>NORRTÄLJE</t>
        </is>
      </c>
      <c r="F1943" t="inlineStr">
        <is>
          <t>Sveaskog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10973-2025</t>
        </is>
      </c>
      <c r="B1944" s="1" t="n">
        <v>45723</v>
      </c>
      <c r="C1944" s="1" t="n">
        <v>45755</v>
      </c>
      <c r="D1944" t="inlineStr">
        <is>
          <t>STOCKHOLMS LÄN</t>
        </is>
      </c>
      <c r="E1944" t="inlineStr">
        <is>
          <t>NORRTÄLJE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11041-2025</t>
        </is>
      </c>
      <c r="B1945" s="1" t="n">
        <v>45723</v>
      </c>
      <c r="C1945" s="1" t="n">
        <v>45755</v>
      </c>
      <c r="D1945" t="inlineStr">
        <is>
          <t>STOCKHOLMS LÄN</t>
        </is>
      </c>
      <c r="E1945" t="inlineStr">
        <is>
          <t>NORRTÄLJE</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11333-2025</t>
        </is>
      </c>
      <c r="B1946" s="1" t="n">
        <v>45726</v>
      </c>
      <c r="C1946" s="1" t="n">
        <v>45755</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11332-2025</t>
        </is>
      </c>
      <c r="B1947" s="1" t="n">
        <v>45726</v>
      </c>
      <c r="C1947" s="1" t="n">
        <v>45755</v>
      </c>
      <c r="D1947" t="inlineStr">
        <is>
          <t>STOCKHOLMS LÄN</t>
        </is>
      </c>
      <c r="E1947" t="inlineStr">
        <is>
          <t>NORRTÄLJE</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11854-2025</t>
        </is>
      </c>
      <c r="B1948" s="1" t="n">
        <v>45728</v>
      </c>
      <c r="C1948" s="1" t="n">
        <v>45755</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11849-2025</t>
        </is>
      </c>
      <c r="B1949" s="1" t="n">
        <v>45728</v>
      </c>
      <c r="C1949" s="1" t="n">
        <v>45755</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12302-2025</t>
        </is>
      </c>
      <c r="B1950" s="1" t="n">
        <v>45729</v>
      </c>
      <c r="C1950" s="1" t="n">
        <v>45755</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12208-2025</t>
        </is>
      </c>
      <c r="B1951" s="1" t="n">
        <v>45729</v>
      </c>
      <c r="C1951" s="1" t="n">
        <v>45755</v>
      </c>
      <c r="D1951" t="inlineStr">
        <is>
          <t>STOCKHOLMS LÄN</t>
        </is>
      </c>
      <c r="E1951" t="inlineStr">
        <is>
          <t>NORRTÄLJE</t>
        </is>
      </c>
      <c r="F1951" t="inlineStr">
        <is>
          <t>Övriga Aktiebolag</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12301-2025</t>
        </is>
      </c>
      <c r="B1952" s="1" t="n">
        <v>45729</v>
      </c>
      <c r="C1952" s="1" t="n">
        <v>45755</v>
      </c>
      <c r="D1952" t="inlineStr">
        <is>
          <t>STOCKHOLMS LÄN</t>
        </is>
      </c>
      <c r="E1952" t="inlineStr">
        <is>
          <t>NORRTÄLJE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12303-2025</t>
        </is>
      </c>
      <c r="B1953" s="1" t="n">
        <v>45729</v>
      </c>
      <c r="C1953" s="1" t="n">
        <v>45755</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45755</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12247-2025</t>
        </is>
      </c>
      <c r="B1955" s="1" t="n">
        <v>45729</v>
      </c>
      <c r="C1955" s="1" t="n">
        <v>45755</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12251-2025</t>
        </is>
      </c>
      <c r="B1956" s="1" t="n">
        <v>45729</v>
      </c>
      <c r="C1956" s="1" t="n">
        <v>45755</v>
      </c>
      <c r="D1956" t="inlineStr">
        <is>
          <t>STOCKHOLMS LÄN</t>
        </is>
      </c>
      <c r="E1956" t="inlineStr">
        <is>
          <t>NORRTÄLJE</t>
        </is>
      </c>
      <c r="F1956" t="inlineStr">
        <is>
          <t>Holmen skog AB</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45755</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12527-2025</t>
        </is>
      </c>
      <c r="B1958" s="1" t="n">
        <v>45730</v>
      </c>
      <c r="C1958" s="1" t="n">
        <v>45755</v>
      </c>
      <c r="D1958" t="inlineStr">
        <is>
          <t>STOCKHOLMS LÄN</t>
        </is>
      </c>
      <c r="E1958" t="inlineStr">
        <is>
          <t>NORRTÄLJE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12529-2025</t>
        </is>
      </c>
      <c r="B1959" s="1" t="n">
        <v>45730</v>
      </c>
      <c r="C1959" s="1" t="n">
        <v>45755</v>
      </c>
      <c r="D1959" t="inlineStr">
        <is>
          <t>STOCKHOLMS LÄN</t>
        </is>
      </c>
      <c r="E1959" t="inlineStr">
        <is>
          <t>NORRTÄLJE</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12532-2025</t>
        </is>
      </c>
      <c r="B1960" s="1" t="n">
        <v>45730</v>
      </c>
      <c r="C1960" s="1" t="n">
        <v>45755</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12348-2025</t>
        </is>
      </c>
      <c r="B1961" s="1" t="n">
        <v>45730</v>
      </c>
      <c r="C1961" s="1" t="n">
        <v>45755</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12535-2025</t>
        </is>
      </c>
      <c r="B1962" s="1" t="n">
        <v>45730</v>
      </c>
      <c r="C1962" s="1" t="n">
        <v>45755</v>
      </c>
      <c r="D1962" t="inlineStr">
        <is>
          <t>STOCKHOLMS LÄN</t>
        </is>
      </c>
      <c r="E1962" t="inlineStr">
        <is>
          <t>NORRTÄLJE</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12530-2025</t>
        </is>
      </c>
      <c r="B1963" s="1" t="n">
        <v>45730</v>
      </c>
      <c r="C1963" s="1" t="n">
        <v>45755</v>
      </c>
      <c r="D1963" t="inlineStr">
        <is>
          <t>STOCKHOLMS LÄN</t>
        </is>
      </c>
      <c r="E1963" t="inlineStr">
        <is>
          <t>NORRTÄLJE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12534-2025</t>
        </is>
      </c>
      <c r="B1964" s="1" t="n">
        <v>45730</v>
      </c>
      <c r="C1964" s="1" t="n">
        <v>45755</v>
      </c>
      <c r="D1964" t="inlineStr">
        <is>
          <t>STOCKHOLMS LÄN</t>
        </is>
      </c>
      <c r="E1964" t="inlineStr">
        <is>
          <t>NORRTÄLJE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12407-2025</t>
        </is>
      </c>
      <c r="B1965" s="1" t="n">
        <v>45730</v>
      </c>
      <c r="C1965" s="1" t="n">
        <v>45755</v>
      </c>
      <c r="D1965" t="inlineStr">
        <is>
          <t>STOCKHOLMS LÄN</t>
        </is>
      </c>
      <c r="E1965" t="inlineStr">
        <is>
          <t>NORRTÄLJE</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12876-2025</t>
        </is>
      </c>
      <c r="B1966" s="1" t="n">
        <v>45733</v>
      </c>
      <c r="C1966" s="1" t="n">
        <v>45755</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12908-2025</t>
        </is>
      </c>
      <c r="B1967" s="1" t="n">
        <v>45733</v>
      </c>
      <c r="C1967" s="1" t="n">
        <v>45755</v>
      </c>
      <c r="D1967" t="inlineStr">
        <is>
          <t>STOCKHOLMS LÄN</t>
        </is>
      </c>
      <c r="E1967" t="inlineStr">
        <is>
          <t>NORRTÄLJE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13172-2025</t>
        </is>
      </c>
      <c r="B1968" s="1" t="n">
        <v>45735</v>
      </c>
      <c r="C1968" s="1" t="n">
        <v>45755</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13331-2025</t>
        </is>
      </c>
      <c r="B1969" s="1" t="n">
        <v>45735</v>
      </c>
      <c r="C1969" s="1" t="n">
        <v>45755</v>
      </c>
      <c r="D1969" t="inlineStr">
        <is>
          <t>STOCKHOLMS LÄN</t>
        </is>
      </c>
      <c r="E1969" t="inlineStr">
        <is>
          <t>NORRTÄLJE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13260-2025</t>
        </is>
      </c>
      <c r="B1970" s="1" t="n">
        <v>45735</v>
      </c>
      <c r="C1970" s="1" t="n">
        <v>45755</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13288-2025</t>
        </is>
      </c>
      <c r="B1971" s="1" t="n">
        <v>45735</v>
      </c>
      <c r="C1971" s="1" t="n">
        <v>45755</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13171-2025</t>
        </is>
      </c>
      <c r="B1972" s="1" t="n">
        <v>45735</v>
      </c>
      <c r="C1972" s="1" t="n">
        <v>45755</v>
      </c>
      <c r="D1972" t="inlineStr">
        <is>
          <t>STOCKHOLMS LÄN</t>
        </is>
      </c>
      <c r="E1972" t="inlineStr">
        <is>
          <t>NORRTÄLJE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13283-2025</t>
        </is>
      </c>
      <c r="B1973" s="1" t="n">
        <v>45735</v>
      </c>
      <c r="C1973" s="1" t="n">
        <v>45755</v>
      </c>
      <c r="D1973" t="inlineStr">
        <is>
          <t>STOCKHOLMS LÄN</t>
        </is>
      </c>
      <c r="E1973" t="inlineStr">
        <is>
          <t>NORRTÄLJE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13268-2025</t>
        </is>
      </c>
      <c r="B1974" s="1" t="n">
        <v>45735</v>
      </c>
      <c r="C1974" s="1" t="n">
        <v>45755</v>
      </c>
      <c r="D1974" t="inlineStr">
        <is>
          <t>STOCKHOLMS LÄN</t>
        </is>
      </c>
      <c r="E1974" t="inlineStr">
        <is>
          <t>NORRTÄLJE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45755</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13265-2025</t>
        </is>
      </c>
      <c r="B1976" s="1" t="n">
        <v>45735</v>
      </c>
      <c r="C1976" s="1" t="n">
        <v>45755</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13270-2025</t>
        </is>
      </c>
      <c r="B1977" s="1" t="n">
        <v>45735</v>
      </c>
      <c r="C1977" s="1" t="n">
        <v>45755</v>
      </c>
      <c r="D1977" t="inlineStr">
        <is>
          <t>STOCKHOLMS LÄN</t>
        </is>
      </c>
      <c r="E1977" t="inlineStr">
        <is>
          <t>NORRTÄLJE</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13279-2025</t>
        </is>
      </c>
      <c r="B1978" s="1" t="n">
        <v>45735</v>
      </c>
      <c r="C1978" s="1" t="n">
        <v>45755</v>
      </c>
      <c r="D1978" t="inlineStr">
        <is>
          <t>STOCKHOLMS LÄN</t>
        </is>
      </c>
      <c r="E1978" t="inlineStr">
        <is>
          <t>NORRTÄLJE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13179-2025</t>
        </is>
      </c>
      <c r="B1979" s="1" t="n">
        <v>45735</v>
      </c>
      <c r="C1979" s="1" t="n">
        <v>45755</v>
      </c>
      <c r="D1979" t="inlineStr">
        <is>
          <t>STOCKHOLMS LÄN</t>
        </is>
      </c>
      <c r="E1979" t="inlineStr">
        <is>
          <t>NORRTÄLJE</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13247-2025</t>
        </is>
      </c>
      <c r="B1980" s="1" t="n">
        <v>45735</v>
      </c>
      <c r="C1980" s="1" t="n">
        <v>45755</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13291-2025</t>
        </is>
      </c>
      <c r="B1981" s="1" t="n">
        <v>45735</v>
      </c>
      <c r="C1981" s="1" t="n">
        <v>45755</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13578-2025</t>
        </is>
      </c>
      <c r="B1982" s="1" t="n">
        <v>45736</v>
      </c>
      <c r="C1982" s="1" t="n">
        <v>45755</v>
      </c>
      <c r="D1982" t="inlineStr">
        <is>
          <t>STOCKHOLMS LÄN</t>
        </is>
      </c>
      <c r="E1982" t="inlineStr">
        <is>
          <t>NORRTÄLJE</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13767-2025</t>
        </is>
      </c>
      <c r="B1983" s="1" t="n">
        <v>45737</v>
      </c>
      <c r="C1983" s="1" t="n">
        <v>45755</v>
      </c>
      <c r="D1983" t="inlineStr">
        <is>
          <t>STOCKHOLMS LÄN</t>
        </is>
      </c>
      <c r="E1983" t="inlineStr">
        <is>
          <t>NORRTÄLJE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14130-2025</t>
        </is>
      </c>
      <c r="B1984" s="1" t="n">
        <v>45740</v>
      </c>
      <c r="C1984" s="1" t="n">
        <v>45755</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14127-2025</t>
        </is>
      </c>
      <c r="B1985" s="1" t="n">
        <v>45740</v>
      </c>
      <c r="C1985" s="1" t="n">
        <v>45755</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14132-2025</t>
        </is>
      </c>
      <c r="B1986" s="1" t="n">
        <v>45740</v>
      </c>
      <c r="C1986" s="1" t="n">
        <v>45755</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14133-2025</t>
        </is>
      </c>
      <c r="B1987" s="1" t="n">
        <v>45740</v>
      </c>
      <c r="C1987" s="1" t="n">
        <v>45755</v>
      </c>
      <c r="D1987" t="inlineStr">
        <is>
          <t>STOCKHOLMS LÄN</t>
        </is>
      </c>
      <c r="E1987" t="inlineStr">
        <is>
          <t>NORRTÄLJE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14365-2025</t>
        </is>
      </c>
      <c r="B1988" s="1" t="n">
        <v>45741</v>
      </c>
      <c r="C1988" s="1" t="n">
        <v>45755</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14621-2025</t>
        </is>
      </c>
      <c r="B1989" s="1" t="n">
        <v>45742</v>
      </c>
      <c r="C1989" s="1" t="n">
        <v>45755</v>
      </c>
      <c r="D1989" t="inlineStr">
        <is>
          <t>STOCKHOLMS LÄN</t>
        </is>
      </c>
      <c r="E1989" t="inlineStr">
        <is>
          <t>NORRTÄLJE</t>
        </is>
      </c>
      <c r="F1989" t="inlineStr">
        <is>
          <t>Kyrkan</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14733-2025</t>
        </is>
      </c>
      <c r="B1990" s="1" t="n">
        <v>45742</v>
      </c>
      <c r="C1990" s="1" t="n">
        <v>45755</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14873-2025</t>
        </is>
      </c>
      <c r="B1991" s="1" t="n">
        <v>45743</v>
      </c>
      <c r="C1991" s="1" t="n">
        <v>45755</v>
      </c>
      <c r="D1991" t="inlineStr">
        <is>
          <t>STOCKHOLMS LÄN</t>
        </is>
      </c>
      <c r="E1991" t="inlineStr">
        <is>
          <t>NORRTÄLJE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15328-2025</t>
        </is>
      </c>
      <c r="B1992" s="1" t="n">
        <v>45746</v>
      </c>
      <c r="C1992" s="1" t="n">
        <v>45755</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15534-2025</t>
        </is>
      </c>
      <c r="B1993" s="1" t="n">
        <v>45747</v>
      </c>
      <c r="C1993" s="1" t="n">
        <v>45755</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15559-2025</t>
        </is>
      </c>
      <c r="B1994" s="1" t="n">
        <v>45747</v>
      </c>
      <c r="C1994" s="1" t="n">
        <v>45755</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15528-2025</t>
        </is>
      </c>
      <c r="B1995" s="1" t="n">
        <v>45747</v>
      </c>
      <c r="C1995" s="1" t="n">
        <v>45755</v>
      </c>
      <c r="D1995" t="inlineStr">
        <is>
          <t>STOCKHOLMS LÄN</t>
        </is>
      </c>
      <c r="E1995" t="inlineStr">
        <is>
          <t>NORRTÄLJE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15527-2025</t>
        </is>
      </c>
      <c r="B1996" s="1" t="n">
        <v>45747</v>
      </c>
      <c r="C1996" s="1" t="n">
        <v>45755</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15560-2025</t>
        </is>
      </c>
      <c r="B1997" s="1" t="n">
        <v>45747</v>
      </c>
      <c r="C1997" s="1" t="n">
        <v>45755</v>
      </c>
      <c r="D1997" t="inlineStr">
        <is>
          <t>STOCKHOLMS LÄN</t>
        </is>
      </c>
      <c r="E1997" t="inlineStr">
        <is>
          <t>NORRTÄLJE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15733-2025</t>
        </is>
      </c>
      <c r="B1998" s="1" t="n">
        <v>45748</v>
      </c>
      <c r="C1998" s="1" t="n">
        <v>45755</v>
      </c>
      <c r="D1998" t="inlineStr">
        <is>
          <t>STOCKHOLMS LÄN</t>
        </is>
      </c>
      <c r="E1998" t="inlineStr">
        <is>
          <t>NORRTÄLJE</t>
        </is>
      </c>
      <c r="G1998" t="n">
        <v>13.3</v>
      </c>
      <c r="H1998" t="n">
        <v>0</v>
      </c>
      <c r="I1998" t="n">
        <v>0</v>
      </c>
      <c r="J1998" t="n">
        <v>0</v>
      </c>
      <c r="K1998" t="n">
        <v>0</v>
      </c>
      <c r="L1998" t="n">
        <v>0</v>
      </c>
      <c r="M1998" t="n">
        <v>0</v>
      </c>
      <c r="N1998" t="n">
        <v>0</v>
      </c>
      <c r="O1998" t="n">
        <v>0</v>
      </c>
      <c r="P1998" t="n">
        <v>0</v>
      </c>
      <c r="Q1998" t="n">
        <v>0</v>
      </c>
      <c r="R1998" s="2" t="inlineStr"/>
    </row>
    <row r="1999" ht="15" customHeight="1">
      <c r="A1999" t="inlineStr">
        <is>
          <t>A 15642-2025</t>
        </is>
      </c>
      <c r="B1999" s="1" t="n">
        <v>45748</v>
      </c>
      <c r="C1999" s="1" t="n">
        <v>45755</v>
      </c>
      <c r="D1999" t="inlineStr">
        <is>
          <t>STOCKHOLMS LÄN</t>
        </is>
      </c>
      <c r="E1999" t="inlineStr">
        <is>
          <t>NORRTÄLJE</t>
        </is>
      </c>
      <c r="G1999" t="n">
        <v>6.7</v>
      </c>
      <c r="H1999" t="n">
        <v>0</v>
      </c>
      <c r="I1999" t="n">
        <v>0</v>
      </c>
      <c r="J1999" t="n">
        <v>0</v>
      </c>
      <c r="K1999" t="n">
        <v>0</v>
      </c>
      <c r="L1999" t="n">
        <v>0</v>
      </c>
      <c r="M1999" t="n">
        <v>0</v>
      </c>
      <c r="N1999" t="n">
        <v>0</v>
      </c>
      <c r="O1999" t="n">
        <v>0</v>
      </c>
      <c r="P1999" t="n">
        <v>0</v>
      </c>
      <c r="Q1999" t="n">
        <v>0</v>
      </c>
      <c r="R1999" s="2" t="inlineStr"/>
    </row>
    <row r="2000">
      <c r="A2000" t="inlineStr">
        <is>
          <t>A 16869-2025</t>
        </is>
      </c>
      <c r="B2000" s="1" t="n">
        <v>45754</v>
      </c>
      <c r="C2000" s="1" t="n">
        <v>45755</v>
      </c>
      <c r="D2000" t="inlineStr">
        <is>
          <t>STOCKHOLMS LÄN</t>
        </is>
      </c>
      <c r="E2000" t="inlineStr">
        <is>
          <t>NORRTÄLJE</t>
        </is>
      </c>
      <c r="G2000" t="n">
        <v>2.4</v>
      </c>
      <c r="H2000" t="n">
        <v>0</v>
      </c>
      <c r="I2000" t="n">
        <v>0</v>
      </c>
      <c r="J2000" t="n">
        <v>0</v>
      </c>
      <c r="K2000" t="n">
        <v>0</v>
      </c>
      <c r="L2000" t="n">
        <v>0</v>
      </c>
      <c r="M2000" t="n">
        <v>0</v>
      </c>
      <c r="N2000" t="n">
        <v>0</v>
      </c>
      <c r="O2000" t="n">
        <v>0</v>
      </c>
      <c r="P2000" t="n">
        <v>0</v>
      </c>
      <c r="Q2000" t="n">
        <v>0</v>
      </c>
      <c r="R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2025-04-08T16:45:17Z</dcterms:created>
  <dcterms:modified xmlns:dcterms="http://purl.org/dc/terms/" xmlns:xsi="http://www.w3.org/2001/XMLSchema-instance" xsi:type="dcterms:W3CDTF">2025-04-08T16:45:18Z</dcterms:modified>
</cp:coreProperties>
</file>