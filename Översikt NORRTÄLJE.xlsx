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46062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46062</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46062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46062</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46062</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46062</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46062</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46062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46062</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46062</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46062</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46062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46062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46062</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46062</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46062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46062</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46062</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46062</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46062</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46062</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46062</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61099-2025</t>
        </is>
      </c>
      <c r="B33" s="1" t="n">
        <v>46000.44185185185</v>
      </c>
      <c r="C33" s="1" t="n">
        <v>46062</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25732-2025</t>
        </is>
      </c>
      <c r="B34" s="1" t="n">
        <v>45800</v>
      </c>
      <c r="C34" s="1" t="n">
        <v>46062</v>
      </c>
      <c r="D34" t="inlineStr">
        <is>
          <t>STOCKHOLMS LÄN</t>
        </is>
      </c>
      <c r="E34" t="inlineStr">
        <is>
          <t>NORRTÄLJE</t>
        </is>
      </c>
      <c r="G34" t="n">
        <v>7.4</v>
      </c>
      <c r="H34" t="n">
        <v>4</v>
      </c>
      <c r="I34" t="n">
        <v>3</v>
      </c>
      <c r="J34" t="n">
        <v>3</v>
      </c>
      <c r="K34" t="n">
        <v>1</v>
      </c>
      <c r="L34" t="n">
        <v>0</v>
      </c>
      <c r="M34" t="n">
        <v>0</v>
      </c>
      <c r="N34" t="n">
        <v>0</v>
      </c>
      <c r="O34" t="n">
        <v>4</v>
      </c>
      <c r="P34" t="n">
        <v>1</v>
      </c>
      <c r="Q34" t="n">
        <v>8</v>
      </c>
      <c r="R34" s="2" t="inlineStr">
        <is>
          <t>Knärot
Blå taggsvamp
Skrovlig taggsvamp
Spillkråka
Björksplintborre
Grönpyrola
Plattlummer
Kungsfågel</t>
        </is>
      </c>
      <c r="S34">
        <f>HYPERLINK("https://klasma.github.io/Logging_0188/artfynd/A 25732-2025 artfynd.xlsx", "A 25732-2025")</f>
        <v/>
      </c>
      <c r="T34">
        <f>HYPERLINK("https://klasma.github.io/Logging_0188/kartor/A 25732-2025 karta.png", "A 25732-2025")</f>
        <v/>
      </c>
      <c r="U34">
        <f>HYPERLINK("https://klasma.github.io/Logging_0188/knärot/A 25732-2025 karta knärot.png", "A 25732-2025")</f>
        <v/>
      </c>
      <c r="V34">
        <f>HYPERLINK("https://klasma.github.io/Logging_0188/klagomål/A 25732-2025 FSC-klagomål.docx", "A 25732-2025")</f>
        <v/>
      </c>
      <c r="W34">
        <f>HYPERLINK("https://klasma.github.io/Logging_0188/klagomålsmail/A 25732-2025 FSC-klagomål mail.docx", "A 25732-2025")</f>
        <v/>
      </c>
      <c r="X34">
        <f>HYPERLINK("https://klasma.github.io/Logging_0188/tillsyn/A 25732-2025 tillsynsbegäran.docx", "A 25732-2025")</f>
        <v/>
      </c>
      <c r="Y34">
        <f>HYPERLINK("https://klasma.github.io/Logging_0188/tillsynsmail/A 25732-2025 tillsynsbegäran mail.docx", "A 25732-2025")</f>
        <v/>
      </c>
      <c r="Z34">
        <f>HYPERLINK("https://klasma.github.io/Logging_0188/fåglar/A 25732-2025 prioriterade fågelarter.docx", "A 25732-2025")</f>
        <v/>
      </c>
    </row>
    <row r="35" ht="15" customHeight="1">
      <c r="A35" t="inlineStr">
        <is>
          <t>A 45811-2022</t>
        </is>
      </c>
      <c r="B35" s="1" t="n">
        <v>44846</v>
      </c>
      <c r="C35" s="1" t="n">
        <v>46062</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46062</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46062</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46062</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46062</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46062</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46062</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46062</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46062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46062</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46062</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46062</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46062</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46062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46062</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46062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46062</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46062</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47212-2025</t>
        </is>
      </c>
      <c r="B53" s="1" t="n">
        <v>45930</v>
      </c>
      <c r="C53" s="1" t="n">
        <v>46062</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46062</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46062</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46062</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46062</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46062</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46062</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46062</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46062</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46062</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46062</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46062</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46062</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2851-2023</t>
        </is>
      </c>
      <c r="B66" s="1" t="n">
        <v>44945</v>
      </c>
      <c r="C66" s="1" t="n">
        <v>46062</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46062</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46062</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46062</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46062</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61288-2025</t>
        </is>
      </c>
      <c r="B71" s="1" t="n">
        <v>46000.73247685185</v>
      </c>
      <c r="C71" s="1" t="n">
        <v>46062</v>
      </c>
      <c r="D71" t="inlineStr">
        <is>
          <t>STOCKHOLMS LÄN</t>
        </is>
      </c>
      <c r="E71" t="inlineStr">
        <is>
          <t>NORRTÄLJE</t>
        </is>
      </c>
      <c r="G71" t="n">
        <v>2</v>
      </c>
      <c r="H71" t="n">
        <v>2</v>
      </c>
      <c r="I71" t="n">
        <v>1</v>
      </c>
      <c r="J71" t="n">
        <v>0</v>
      </c>
      <c r="K71" t="n">
        <v>1</v>
      </c>
      <c r="L71" t="n">
        <v>0</v>
      </c>
      <c r="M71" t="n">
        <v>0</v>
      </c>
      <c r="N71" t="n">
        <v>0</v>
      </c>
      <c r="O71" t="n">
        <v>1</v>
      </c>
      <c r="P71" t="n">
        <v>1</v>
      </c>
      <c r="Q71" t="n">
        <v>3</v>
      </c>
      <c r="R71" s="2" t="inlineStr">
        <is>
          <t>Knärot
Kattfotslav
Kungsfågel</t>
        </is>
      </c>
      <c r="S71">
        <f>HYPERLINK("https://klasma.github.io/Logging_0188/artfynd/A 61288-2025 artfynd.xlsx", "A 61288-2025")</f>
        <v/>
      </c>
      <c r="T71">
        <f>HYPERLINK("https://klasma.github.io/Logging_0188/kartor/A 61288-2025 karta.png", "A 61288-2025")</f>
        <v/>
      </c>
      <c r="U71">
        <f>HYPERLINK("https://klasma.github.io/Logging_0188/knärot/A 61288-2025 karta knärot.png", "A 61288-2025")</f>
        <v/>
      </c>
      <c r="V71">
        <f>HYPERLINK("https://klasma.github.io/Logging_0188/klagomål/A 61288-2025 FSC-klagomål.docx", "A 61288-2025")</f>
        <v/>
      </c>
      <c r="W71">
        <f>HYPERLINK("https://klasma.github.io/Logging_0188/klagomålsmail/A 61288-2025 FSC-klagomål mail.docx", "A 61288-2025")</f>
        <v/>
      </c>
      <c r="X71">
        <f>HYPERLINK("https://klasma.github.io/Logging_0188/tillsyn/A 61288-2025 tillsynsbegäran.docx", "A 61288-2025")</f>
        <v/>
      </c>
      <c r="Y71">
        <f>HYPERLINK("https://klasma.github.io/Logging_0188/tillsynsmail/A 61288-2025 tillsynsbegäran mail.docx", "A 61288-2025")</f>
        <v/>
      </c>
      <c r="Z71">
        <f>HYPERLINK("https://klasma.github.io/Logging_0188/fåglar/A 61288-2025 prioriterade fågelarter.docx", "A 61288-2025")</f>
        <v/>
      </c>
    </row>
    <row r="72" ht="15" customHeight="1">
      <c r="A72" t="inlineStr">
        <is>
          <t>A 20185-2022</t>
        </is>
      </c>
      <c r="B72" s="1" t="n">
        <v>44698</v>
      </c>
      <c r="C72" s="1" t="n">
        <v>46062</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46062</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46062</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58676-2021</t>
        </is>
      </c>
      <c r="B75" s="1" t="n">
        <v>44489</v>
      </c>
      <c r="C75" s="1" t="n">
        <v>46062</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46062</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30693-2022</t>
        </is>
      </c>
      <c r="B77" s="1" t="n">
        <v>44763</v>
      </c>
      <c r="C77" s="1" t="n">
        <v>46062</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46062</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22190-2024</t>
        </is>
      </c>
      <c r="B79" s="1" t="n">
        <v>45446.35888888889</v>
      </c>
      <c r="C79" s="1" t="n">
        <v>46062</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50697-2025</t>
        </is>
      </c>
      <c r="B80" s="1" t="n">
        <v>45945.90854166666</v>
      </c>
      <c r="C80" s="1" t="n">
        <v>46062</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51980-2022</t>
        </is>
      </c>
      <c r="B81" s="1" t="n">
        <v>44872</v>
      </c>
      <c r="C81" s="1" t="n">
        <v>46062</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53608-2025</t>
        </is>
      </c>
      <c r="B82" s="1" t="n">
        <v>45960</v>
      </c>
      <c r="C82" s="1" t="n">
        <v>46062</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51220-2023</t>
        </is>
      </c>
      <c r="B83" s="1" t="n">
        <v>45219</v>
      </c>
      <c r="C83" s="1" t="n">
        <v>46062</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52124-2022</t>
        </is>
      </c>
      <c r="B84" s="1" t="n">
        <v>44868</v>
      </c>
      <c r="C84" s="1" t="n">
        <v>46062</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46062</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46062</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46062</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46062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46062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46062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46062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46062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46062</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46062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46062</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25669-2025</t>
        </is>
      </c>
      <c r="B96" s="1" t="n">
        <v>45803.62766203703</v>
      </c>
      <c r="C96" s="1" t="n">
        <v>46062</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35764-2024</t>
        </is>
      </c>
      <c r="B97" s="1" t="n">
        <v>45532</v>
      </c>
      <c r="C97" s="1" t="n">
        <v>46062</v>
      </c>
      <c r="D97" t="inlineStr">
        <is>
          <t>STOCKHOLMS LÄN</t>
        </is>
      </c>
      <c r="E97" t="inlineStr">
        <is>
          <t>NORRTÄLJE</t>
        </is>
      </c>
      <c r="G97" t="n">
        <v>14.2</v>
      </c>
      <c r="H97" t="n">
        <v>1</v>
      </c>
      <c r="I97" t="n">
        <v>0</v>
      </c>
      <c r="J97" t="n">
        <v>0</v>
      </c>
      <c r="K97" t="n">
        <v>1</v>
      </c>
      <c r="L97" t="n">
        <v>0</v>
      </c>
      <c r="M97" t="n">
        <v>0</v>
      </c>
      <c r="N97" t="n">
        <v>0</v>
      </c>
      <c r="O97" t="n">
        <v>1</v>
      </c>
      <c r="P97" t="n">
        <v>1</v>
      </c>
      <c r="Q97" t="n">
        <v>1</v>
      </c>
      <c r="R97" s="2" t="inlineStr">
        <is>
          <t>Knärot</t>
        </is>
      </c>
      <c r="S97">
        <f>HYPERLINK("https://klasma.github.io/Logging_0188/artfynd/A 35764-2024 artfynd.xlsx", "A 35764-2024")</f>
        <v/>
      </c>
      <c r="T97">
        <f>HYPERLINK("https://klasma.github.io/Logging_0188/kartor/A 35764-2024 karta.png", "A 35764-2024")</f>
        <v/>
      </c>
      <c r="U97">
        <f>HYPERLINK("https://klasma.github.io/Logging_0188/knärot/A 35764-2024 karta knärot.png", "A 35764-2024")</f>
        <v/>
      </c>
      <c r="V97">
        <f>HYPERLINK("https://klasma.github.io/Logging_0188/klagomål/A 35764-2024 FSC-klagomål.docx", "A 35764-2024")</f>
        <v/>
      </c>
      <c r="W97">
        <f>HYPERLINK("https://klasma.github.io/Logging_0188/klagomålsmail/A 35764-2024 FSC-klagomål mail.docx", "A 35764-2024")</f>
        <v/>
      </c>
      <c r="X97">
        <f>HYPERLINK("https://klasma.github.io/Logging_0188/tillsyn/A 35764-2024 tillsynsbegäran.docx", "A 35764-2024")</f>
        <v/>
      </c>
      <c r="Y97">
        <f>HYPERLINK("https://klasma.github.io/Logging_0188/tillsynsmail/A 35764-2024 tillsynsbegäran mail.docx", "A 35764-2024")</f>
        <v/>
      </c>
    </row>
    <row r="98" ht="15" customHeight="1">
      <c r="A98" t="inlineStr">
        <is>
          <t>A 25725-2025</t>
        </is>
      </c>
      <c r="B98" s="1" t="n">
        <v>45800</v>
      </c>
      <c r="C98" s="1" t="n">
        <v>46062</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25709-2025</t>
        </is>
      </c>
      <c r="B99" s="1" t="n">
        <v>45800</v>
      </c>
      <c r="C99" s="1" t="n">
        <v>46062</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4532-2025</t>
        </is>
      </c>
      <c r="B100" s="1" t="n">
        <v>45687.34177083334</v>
      </c>
      <c r="C100" s="1" t="n">
        <v>46062</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35649-2023</t>
        </is>
      </c>
      <c r="B101" s="1" t="n">
        <v>45146</v>
      </c>
      <c r="C101" s="1" t="n">
        <v>46062</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35691-2023</t>
        </is>
      </c>
      <c r="B102" s="1" t="n">
        <v>45147.65222222222</v>
      </c>
      <c r="C102" s="1" t="n">
        <v>46062</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46062</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6381-2023</t>
        </is>
      </c>
      <c r="B104" s="1" t="n">
        <v>44965</v>
      </c>
      <c r="C104" s="1" t="n">
        <v>46062</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40861-2025</t>
        </is>
      </c>
      <c r="B105" s="1" t="n">
        <v>45897.56356481482</v>
      </c>
      <c r="C105" s="1" t="n">
        <v>46062</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50854-2022</t>
        </is>
      </c>
      <c r="B106" s="1" t="n">
        <v>44863</v>
      </c>
      <c r="C106" s="1" t="n">
        <v>46062</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13271-2025</t>
        </is>
      </c>
      <c r="B107" s="1" t="n">
        <v>45735.54510416667</v>
      </c>
      <c r="C107" s="1" t="n">
        <v>46062</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42313-2025</t>
        </is>
      </c>
      <c r="B108" s="1" t="n">
        <v>45904.6575</v>
      </c>
      <c r="C108" s="1" t="n">
        <v>46062</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29946-2025</t>
        </is>
      </c>
      <c r="B109" s="1" t="n">
        <v>45826.46392361111</v>
      </c>
      <c r="C109" s="1" t="n">
        <v>46062</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26120-2024</t>
        </is>
      </c>
      <c r="B110" s="1" t="n">
        <v>45468.45995370371</v>
      </c>
      <c r="C110" s="1" t="n">
        <v>46062</v>
      </c>
      <c r="D110" t="inlineStr">
        <is>
          <t>STOCKHOLMS LÄN</t>
        </is>
      </c>
      <c r="E110" t="inlineStr">
        <is>
          <t>NORRTÄLJE</t>
        </is>
      </c>
      <c r="G110" t="n">
        <v>1.8</v>
      </c>
      <c r="H110" t="n">
        <v>0</v>
      </c>
      <c r="I110" t="n">
        <v>0</v>
      </c>
      <c r="J110" t="n">
        <v>1</v>
      </c>
      <c r="K110" t="n">
        <v>0</v>
      </c>
      <c r="L110" t="n">
        <v>0</v>
      </c>
      <c r="M110" t="n">
        <v>0</v>
      </c>
      <c r="N110" t="n">
        <v>0</v>
      </c>
      <c r="O110" t="n">
        <v>1</v>
      </c>
      <c r="P110" t="n">
        <v>0</v>
      </c>
      <c r="Q110" t="n">
        <v>1</v>
      </c>
      <c r="R110" s="2" t="inlineStr">
        <is>
          <t>Majviva</t>
        </is>
      </c>
      <c r="S110">
        <f>HYPERLINK("https://klasma.github.io/Logging_0188/artfynd/A 26120-2024 artfynd.xlsx", "A 26120-2024")</f>
        <v/>
      </c>
      <c r="T110">
        <f>HYPERLINK("https://klasma.github.io/Logging_0188/kartor/A 26120-2024 karta.png", "A 26120-2024")</f>
        <v/>
      </c>
      <c r="V110">
        <f>HYPERLINK("https://klasma.github.io/Logging_0188/klagomål/A 26120-2024 FSC-klagomål.docx", "A 26120-2024")</f>
        <v/>
      </c>
      <c r="W110">
        <f>HYPERLINK("https://klasma.github.io/Logging_0188/klagomålsmail/A 26120-2024 FSC-klagomål mail.docx", "A 26120-2024")</f>
        <v/>
      </c>
      <c r="X110">
        <f>HYPERLINK("https://klasma.github.io/Logging_0188/tillsyn/A 26120-2024 tillsynsbegäran.docx", "A 26120-2024")</f>
        <v/>
      </c>
      <c r="Y110">
        <f>HYPERLINK("https://klasma.github.io/Logging_0188/tillsynsmail/A 26120-2024 tillsynsbegäran mail.docx", "A 26120-2024")</f>
        <v/>
      </c>
    </row>
    <row r="111" ht="15" customHeight="1">
      <c r="A111" t="inlineStr">
        <is>
          <t>A 13291-2025</t>
        </is>
      </c>
      <c r="B111" s="1" t="n">
        <v>45735</v>
      </c>
      <c r="C111" s="1" t="n">
        <v>46062</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64456-2023</t>
        </is>
      </c>
      <c r="B112" s="1" t="n">
        <v>45280</v>
      </c>
      <c r="C112" s="1" t="n">
        <v>46062</v>
      </c>
      <c r="D112" t="inlineStr">
        <is>
          <t>STOCKHOLMS LÄN</t>
        </is>
      </c>
      <c r="E112" t="inlineStr">
        <is>
          <t>NORRTÄLJE</t>
        </is>
      </c>
      <c r="G112" t="n">
        <v>2.5</v>
      </c>
      <c r="H112" t="n">
        <v>0</v>
      </c>
      <c r="I112" t="n">
        <v>1</v>
      </c>
      <c r="J112" t="n">
        <v>0</v>
      </c>
      <c r="K112" t="n">
        <v>0</v>
      </c>
      <c r="L112" t="n">
        <v>0</v>
      </c>
      <c r="M112" t="n">
        <v>0</v>
      </c>
      <c r="N112" t="n">
        <v>0</v>
      </c>
      <c r="O112" t="n">
        <v>0</v>
      </c>
      <c r="P112" t="n">
        <v>0</v>
      </c>
      <c r="Q112" t="n">
        <v>1</v>
      </c>
      <c r="R112" s="2" t="inlineStr">
        <is>
          <t>Rödgul trumpetsvamp</t>
        </is>
      </c>
      <c r="S112">
        <f>HYPERLINK("https://klasma.github.io/Logging_0188/artfynd/A 64456-2023 artfynd.xlsx", "A 64456-2023")</f>
        <v/>
      </c>
      <c r="T112">
        <f>HYPERLINK("https://klasma.github.io/Logging_0188/kartor/A 64456-2023 karta.png", "A 64456-2023")</f>
        <v/>
      </c>
      <c r="V112">
        <f>HYPERLINK("https://klasma.github.io/Logging_0188/klagomål/A 64456-2023 FSC-klagomål.docx", "A 64456-2023")</f>
        <v/>
      </c>
      <c r="W112">
        <f>HYPERLINK("https://klasma.github.io/Logging_0188/klagomålsmail/A 64456-2023 FSC-klagomål mail.docx", "A 64456-2023")</f>
        <v/>
      </c>
      <c r="X112">
        <f>HYPERLINK("https://klasma.github.io/Logging_0188/tillsyn/A 64456-2023 tillsynsbegäran.docx", "A 64456-2023")</f>
        <v/>
      </c>
      <c r="Y112">
        <f>HYPERLINK("https://klasma.github.io/Logging_0188/tillsynsmail/A 64456-2023 tillsynsbegäran mail.docx", "A 64456-2023")</f>
        <v/>
      </c>
    </row>
    <row r="113" ht="15" customHeight="1">
      <c r="A113" t="inlineStr">
        <is>
          <t>A 39158-2025</t>
        </is>
      </c>
      <c r="B113" s="1" t="n">
        <v>45888</v>
      </c>
      <c r="C113" s="1" t="n">
        <v>46062</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33548-2025</t>
        </is>
      </c>
      <c r="B114" s="1" t="n">
        <v>45841.5721875</v>
      </c>
      <c r="C114" s="1" t="n">
        <v>46062</v>
      </c>
      <c r="D114" t="inlineStr">
        <is>
          <t>STOCKHOLMS LÄN</t>
        </is>
      </c>
      <c r="E114" t="inlineStr">
        <is>
          <t>NORRTÄLJE</t>
        </is>
      </c>
      <c r="G114" t="n">
        <v>12.2</v>
      </c>
      <c r="H114" t="n">
        <v>0</v>
      </c>
      <c r="I114" t="n">
        <v>0</v>
      </c>
      <c r="J114" t="n">
        <v>1</v>
      </c>
      <c r="K114" t="n">
        <v>0</v>
      </c>
      <c r="L114" t="n">
        <v>0</v>
      </c>
      <c r="M114" t="n">
        <v>0</v>
      </c>
      <c r="N114" t="n">
        <v>0</v>
      </c>
      <c r="O114" t="n">
        <v>1</v>
      </c>
      <c r="P114" t="n">
        <v>0</v>
      </c>
      <c r="Q114" t="n">
        <v>1</v>
      </c>
      <c r="R114" s="2" t="inlineStr">
        <is>
          <t>Dofttaggsvamp</t>
        </is>
      </c>
      <c r="S114">
        <f>HYPERLINK("https://klasma.github.io/Logging_0188/artfynd/A 33548-2025 artfynd.xlsx", "A 33548-2025")</f>
        <v/>
      </c>
      <c r="T114">
        <f>HYPERLINK("https://klasma.github.io/Logging_0188/kartor/A 33548-2025 karta.png", "A 33548-2025")</f>
        <v/>
      </c>
      <c r="V114">
        <f>HYPERLINK("https://klasma.github.io/Logging_0188/klagomål/A 33548-2025 FSC-klagomål.docx", "A 33548-2025")</f>
        <v/>
      </c>
      <c r="W114">
        <f>HYPERLINK("https://klasma.github.io/Logging_0188/klagomålsmail/A 33548-2025 FSC-klagomål mail.docx", "A 33548-2025")</f>
        <v/>
      </c>
      <c r="X114">
        <f>HYPERLINK("https://klasma.github.io/Logging_0188/tillsyn/A 33548-2025 tillsynsbegäran.docx", "A 33548-2025")</f>
        <v/>
      </c>
      <c r="Y114">
        <f>HYPERLINK("https://klasma.github.io/Logging_0188/tillsynsmail/A 33548-2025 tillsynsbegäran mail.docx", "A 33548-2025")</f>
        <v/>
      </c>
    </row>
    <row r="115" ht="15" customHeight="1">
      <c r="A115" t="inlineStr">
        <is>
          <t>A 33546-2025</t>
        </is>
      </c>
      <c r="B115" s="1" t="n">
        <v>45841.56996527778</v>
      </c>
      <c r="C115" s="1" t="n">
        <v>46062</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24330-2023</t>
        </is>
      </c>
      <c r="B116" s="1" t="n">
        <v>45081</v>
      </c>
      <c r="C116" s="1" t="n">
        <v>46062</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21744-2023</t>
        </is>
      </c>
      <c r="B117" s="1" t="n">
        <v>45065</v>
      </c>
      <c r="C117" s="1" t="n">
        <v>46062</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52775-2025</t>
        </is>
      </c>
      <c r="B118" s="1" t="n">
        <v>45957.41608796296</v>
      </c>
      <c r="C118" s="1" t="n">
        <v>46062</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52611-2024</t>
        </is>
      </c>
      <c r="B119" s="1" t="n">
        <v>45609.83747685186</v>
      </c>
      <c r="C119" s="1" t="n">
        <v>46062</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17952-2022</t>
        </is>
      </c>
      <c r="B120" s="1" t="n">
        <v>44683</v>
      </c>
      <c r="C120" s="1" t="n">
        <v>46062</v>
      </c>
      <c r="D120" t="inlineStr">
        <is>
          <t>STOCKHOLMS LÄN</t>
        </is>
      </c>
      <c r="E120" t="inlineStr">
        <is>
          <t>NORRTÄLJE</t>
        </is>
      </c>
      <c r="G120" t="n">
        <v>51.1</v>
      </c>
      <c r="H120" t="n">
        <v>0</v>
      </c>
      <c r="I120" t="n">
        <v>0</v>
      </c>
      <c r="J120" t="n">
        <v>0</v>
      </c>
      <c r="K120" t="n">
        <v>1</v>
      </c>
      <c r="L120" t="n">
        <v>0</v>
      </c>
      <c r="M120" t="n">
        <v>0</v>
      </c>
      <c r="N120" t="n">
        <v>0</v>
      </c>
      <c r="O120" t="n">
        <v>1</v>
      </c>
      <c r="P120" t="n">
        <v>1</v>
      </c>
      <c r="Q120" t="n">
        <v>1</v>
      </c>
      <c r="R120" s="2" t="inlineStr">
        <is>
          <t>Kattunvisslare</t>
        </is>
      </c>
      <c r="S120">
        <f>HYPERLINK("https://klasma.github.io/Logging_0188/artfynd/A 17952-2022 artfynd.xlsx", "A 17952-2022")</f>
        <v/>
      </c>
      <c r="T120">
        <f>HYPERLINK("https://klasma.github.io/Logging_0188/kartor/A 17952-2022 karta.png", "A 17952-2022")</f>
        <v/>
      </c>
      <c r="V120">
        <f>HYPERLINK("https://klasma.github.io/Logging_0188/klagomål/A 17952-2022 FSC-klagomål.docx", "A 17952-2022")</f>
        <v/>
      </c>
      <c r="W120">
        <f>HYPERLINK("https://klasma.github.io/Logging_0188/klagomålsmail/A 17952-2022 FSC-klagomål mail.docx", "A 17952-2022")</f>
        <v/>
      </c>
      <c r="X120">
        <f>HYPERLINK("https://klasma.github.io/Logging_0188/tillsyn/A 17952-2022 tillsynsbegäran.docx", "A 17952-2022")</f>
        <v/>
      </c>
      <c r="Y120">
        <f>HYPERLINK("https://klasma.github.io/Logging_0188/tillsynsmail/A 17952-2022 tillsynsbegäran mail.docx", "A 17952-2022")</f>
        <v/>
      </c>
    </row>
    <row r="121" ht="15" customHeight="1">
      <c r="A121" t="inlineStr">
        <is>
          <t>A 8371-2025</t>
        </is>
      </c>
      <c r="B121" s="1" t="n">
        <v>45708</v>
      </c>
      <c r="C121" s="1" t="n">
        <v>46062</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46062</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46062</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364-2026</t>
        </is>
      </c>
      <c r="B124" s="1" t="n">
        <v>46027.67134259259</v>
      </c>
      <c r="C124" s="1" t="n">
        <v>46062</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26635-2023</t>
        </is>
      </c>
      <c r="B125" s="1" t="n">
        <v>45092</v>
      </c>
      <c r="C125" s="1" t="n">
        <v>46062</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59682-2025</t>
        </is>
      </c>
      <c r="B126" s="1" t="n">
        <v>45992.47116898148</v>
      </c>
      <c r="C126" s="1" t="n">
        <v>46062</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47898-2022</t>
        </is>
      </c>
      <c r="B127" s="1" t="n">
        <v>44855</v>
      </c>
      <c r="C127" s="1" t="n">
        <v>46062</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14365-2025</t>
        </is>
      </c>
      <c r="B128" s="1" t="n">
        <v>45741.38688657407</v>
      </c>
      <c r="C128" s="1" t="n">
        <v>46062</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32111-2022</t>
        </is>
      </c>
      <c r="B129" s="1" t="n">
        <v>44778.92797453704</v>
      </c>
      <c r="C129" s="1" t="n">
        <v>46062</v>
      </c>
      <c r="D129" t="inlineStr">
        <is>
          <t>STOCKHOLMS LÄN</t>
        </is>
      </c>
      <c r="E129" t="inlineStr">
        <is>
          <t>NORRTÄLJE</t>
        </is>
      </c>
      <c r="G129" t="n">
        <v>3.1</v>
      </c>
      <c r="H129" t="n">
        <v>0</v>
      </c>
      <c r="I129" t="n">
        <v>0</v>
      </c>
      <c r="J129" t="n">
        <v>1</v>
      </c>
      <c r="K129" t="n">
        <v>0</v>
      </c>
      <c r="L129" t="n">
        <v>0</v>
      </c>
      <c r="M129" t="n">
        <v>0</v>
      </c>
      <c r="N129" t="n">
        <v>0</v>
      </c>
      <c r="O129" t="n">
        <v>1</v>
      </c>
      <c r="P129" t="n">
        <v>0</v>
      </c>
      <c r="Q129" t="n">
        <v>1</v>
      </c>
      <c r="R129" s="2" t="inlineStr">
        <is>
          <t>Orange taggsvamp</t>
        </is>
      </c>
      <c r="S129">
        <f>HYPERLINK("https://klasma.github.io/Logging_0188/artfynd/A 32111-2022 artfynd.xlsx", "A 32111-2022")</f>
        <v/>
      </c>
      <c r="T129">
        <f>HYPERLINK("https://klasma.github.io/Logging_0188/kartor/A 32111-2022 karta.png", "A 32111-2022")</f>
        <v/>
      </c>
      <c r="V129">
        <f>HYPERLINK("https://klasma.github.io/Logging_0188/klagomål/A 32111-2022 FSC-klagomål.docx", "A 32111-2022")</f>
        <v/>
      </c>
      <c r="W129">
        <f>HYPERLINK("https://klasma.github.io/Logging_0188/klagomålsmail/A 32111-2022 FSC-klagomål mail.docx", "A 32111-2022")</f>
        <v/>
      </c>
      <c r="X129">
        <f>HYPERLINK("https://klasma.github.io/Logging_0188/tillsyn/A 32111-2022 tillsynsbegäran.docx", "A 32111-2022")</f>
        <v/>
      </c>
      <c r="Y129">
        <f>HYPERLINK("https://klasma.github.io/Logging_0188/tillsynsmail/A 32111-2022 tillsynsbegäran mail.docx", "A 32111-2022")</f>
        <v/>
      </c>
    </row>
    <row r="130" ht="15" customHeight="1">
      <c r="A130" t="inlineStr">
        <is>
          <t>A 62715-2025</t>
        </is>
      </c>
      <c r="B130" s="1" t="n">
        <v>46008.52034722222</v>
      </c>
      <c r="C130" s="1" t="n">
        <v>46062</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4385-2023</t>
        </is>
      </c>
      <c r="B131" s="1" t="n">
        <v>44955.71322916666</v>
      </c>
      <c r="C131" s="1" t="n">
        <v>46062</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63292-2025</t>
        </is>
      </c>
      <c r="B132" s="1" t="n">
        <v>46010.59232638889</v>
      </c>
      <c r="C132" s="1" t="n">
        <v>46062</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4860-2022</t>
        </is>
      </c>
      <c r="B133" s="1" t="n">
        <v>44592</v>
      </c>
      <c r="C133" s="1" t="n">
        <v>46062</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46062</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28816-2023</t>
        </is>
      </c>
      <c r="B135" s="1" t="n">
        <v>45104</v>
      </c>
      <c r="C135" s="1" t="n">
        <v>46062</v>
      </c>
      <c r="D135" t="inlineStr">
        <is>
          <t>STOCKHOLMS LÄN</t>
        </is>
      </c>
      <c r="E135" t="inlineStr">
        <is>
          <t>NORRTÄLJE</t>
        </is>
      </c>
      <c r="F135" t="inlineStr">
        <is>
          <t>Kommuner</t>
        </is>
      </c>
      <c r="G135" t="n">
        <v>0.5</v>
      </c>
      <c r="H135" t="n">
        <v>1</v>
      </c>
      <c r="I135" t="n">
        <v>0</v>
      </c>
      <c r="J135" t="n">
        <v>0</v>
      </c>
      <c r="K135" t="n">
        <v>0</v>
      </c>
      <c r="L135" t="n">
        <v>0</v>
      </c>
      <c r="M135" t="n">
        <v>0</v>
      </c>
      <c r="N135" t="n">
        <v>0</v>
      </c>
      <c r="O135" t="n">
        <v>0</v>
      </c>
      <c r="P135" t="n">
        <v>0</v>
      </c>
      <c r="Q135" t="n">
        <v>1</v>
      </c>
      <c r="R135" s="2" t="inlineStr">
        <is>
          <t>Kungsfågel</t>
        </is>
      </c>
      <c r="S135">
        <f>HYPERLINK("https://klasma.github.io/Logging_0188/artfynd/A 28816-2023 artfynd.xlsx", "A 28816-2023")</f>
        <v/>
      </c>
      <c r="T135">
        <f>HYPERLINK("https://klasma.github.io/Logging_0188/kartor/A 28816-2023 karta.png", "A 28816-2023")</f>
        <v/>
      </c>
      <c r="V135">
        <f>HYPERLINK("https://klasma.github.io/Logging_0188/klagomål/A 28816-2023 FSC-klagomål.docx", "A 28816-2023")</f>
        <v/>
      </c>
      <c r="W135">
        <f>HYPERLINK("https://klasma.github.io/Logging_0188/klagomålsmail/A 28816-2023 FSC-klagomål mail.docx", "A 28816-2023")</f>
        <v/>
      </c>
      <c r="X135">
        <f>HYPERLINK("https://klasma.github.io/Logging_0188/tillsyn/A 28816-2023 tillsynsbegäran.docx", "A 28816-2023")</f>
        <v/>
      </c>
      <c r="Y135">
        <f>HYPERLINK("https://klasma.github.io/Logging_0188/tillsynsmail/A 28816-2023 tillsynsbegäran mail.docx", "A 28816-2023")</f>
        <v/>
      </c>
      <c r="Z135">
        <f>HYPERLINK("https://klasma.github.io/Logging_0188/fåglar/A 28816-2023 prioriterade fågelarter.docx", "A 28816-2023")</f>
        <v/>
      </c>
    </row>
    <row r="136" ht="15" customHeight="1">
      <c r="A136" t="inlineStr">
        <is>
          <t>A 52508-2023</t>
        </is>
      </c>
      <c r="B136" s="1" t="n">
        <v>45225</v>
      </c>
      <c r="C136" s="1" t="n">
        <v>46062</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27827-2022</t>
        </is>
      </c>
      <c r="B137" s="1" t="n">
        <v>44743.59504629629</v>
      </c>
      <c r="C137" s="1" t="n">
        <v>46062</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23146-2024</t>
        </is>
      </c>
      <c r="B138" s="1" t="n">
        <v>45450.63958333333</v>
      </c>
      <c r="C138" s="1" t="n">
        <v>46062</v>
      </c>
      <c r="D138" t="inlineStr">
        <is>
          <t>STOCKHOLMS LÄN</t>
        </is>
      </c>
      <c r="E138" t="inlineStr">
        <is>
          <t>NORRTÄLJE</t>
        </is>
      </c>
      <c r="F138" t="inlineStr">
        <is>
          <t>Kommuner</t>
        </is>
      </c>
      <c r="G138" t="n">
        <v>6</v>
      </c>
      <c r="H138" t="n">
        <v>0</v>
      </c>
      <c r="I138" t="n">
        <v>0</v>
      </c>
      <c r="J138" t="n">
        <v>1</v>
      </c>
      <c r="K138" t="n">
        <v>0</v>
      </c>
      <c r="L138" t="n">
        <v>0</v>
      </c>
      <c r="M138" t="n">
        <v>0</v>
      </c>
      <c r="N138" t="n">
        <v>0</v>
      </c>
      <c r="O138" t="n">
        <v>1</v>
      </c>
      <c r="P138" t="n">
        <v>0</v>
      </c>
      <c r="Q138" t="n">
        <v>1</v>
      </c>
      <c r="R138" s="2" t="inlineStr">
        <is>
          <t>Motaggsvamp</t>
        </is>
      </c>
      <c r="S138">
        <f>HYPERLINK("https://klasma.github.io/Logging_0188/artfynd/A 23146-2024 artfynd.xlsx", "A 23146-2024")</f>
        <v/>
      </c>
      <c r="T138">
        <f>HYPERLINK("https://klasma.github.io/Logging_0188/kartor/A 23146-2024 karta.png", "A 23146-2024")</f>
        <v/>
      </c>
      <c r="V138">
        <f>HYPERLINK("https://klasma.github.io/Logging_0188/klagomål/A 23146-2024 FSC-klagomål.docx", "A 23146-2024")</f>
        <v/>
      </c>
      <c r="W138">
        <f>HYPERLINK("https://klasma.github.io/Logging_0188/klagomålsmail/A 23146-2024 FSC-klagomål mail.docx", "A 23146-2024")</f>
        <v/>
      </c>
      <c r="X138">
        <f>HYPERLINK("https://klasma.github.io/Logging_0188/tillsyn/A 23146-2024 tillsynsbegäran.docx", "A 23146-2024")</f>
        <v/>
      </c>
      <c r="Y138">
        <f>HYPERLINK("https://klasma.github.io/Logging_0188/tillsynsmail/A 23146-2024 tillsynsbegäran mail.docx", "A 23146-2024")</f>
        <v/>
      </c>
    </row>
    <row r="139" ht="15" customHeight="1">
      <c r="A139" t="inlineStr">
        <is>
          <t>A 27538-2024</t>
        </is>
      </c>
      <c r="B139" s="1" t="n">
        <v>45474</v>
      </c>
      <c r="C139" s="1" t="n">
        <v>46062</v>
      </c>
      <c r="D139" t="inlineStr">
        <is>
          <t>STOCKHOLMS LÄN</t>
        </is>
      </c>
      <c r="E139" t="inlineStr">
        <is>
          <t>NORRTÄLJE</t>
        </is>
      </c>
      <c r="G139" t="n">
        <v>1.5</v>
      </c>
      <c r="H139" t="n">
        <v>1</v>
      </c>
      <c r="I139" t="n">
        <v>1</v>
      </c>
      <c r="J139" t="n">
        <v>0</v>
      </c>
      <c r="K139" t="n">
        <v>0</v>
      </c>
      <c r="L139" t="n">
        <v>0</v>
      </c>
      <c r="M139" t="n">
        <v>0</v>
      </c>
      <c r="N139" t="n">
        <v>0</v>
      </c>
      <c r="O139" t="n">
        <v>0</v>
      </c>
      <c r="P139" t="n">
        <v>0</v>
      </c>
      <c r="Q139" t="n">
        <v>1</v>
      </c>
      <c r="R139" s="2" t="inlineStr">
        <is>
          <t>Skogsknipprot</t>
        </is>
      </c>
      <c r="S139">
        <f>HYPERLINK("https://klasma.github.io/Logging_0188/artfynd/A 27538-2024 artfynd.xlsx", "A 27538-2024")</f>
        <v/>
      </c>
      <c r="T139">
        <f>HYPERLINK("https://klasma.github.io/Logging_0188/kartor/A 27538-2024 karta.png", "A 27538-2024")</f>
        <v/>
      </c>
      <c r="V139">
        <f>HYPERLINK("https://klasma.github.io/Logging_0188/klagomål/A 27538-2024 FSC-klagomål.docx", "A 27538-2024")</f>
        <v/>
      </c>
      <c r="W139">
        <f>HYPERLINK("https://klasma.github.io/Logging_0188/klagomålsmail/A 27538-2024 FSC-klagomål mail.docx", "A 27538-2024")</f>
        <v/>
      </c>
      <c r="X139">
        <f>HYPERLINK("https://klasma.github.io/Logging_0188/tillsyn/A 27538-2024 tillsynsbegäran.docx", "A 27538-2024")</f>
        <v/>
      </c>
      <c r="Y139">
        <f>HYPERLINK("https://klasma.github.io/Logging_0188/tillsynsmail/A 27538-2024 tillsynsbegäran mail.docx", "A 27538-2024")</f>
        <v/>
      </c>
    </row>
    <row r="140" ht="15" customHeight="1">
      <c r="A140" t="inlineStr">
        <is>
          <t>A 48131-2023</t>
        </is>
      </c>
      <c r="B140" s="1" t="n">
        <v>45205</v>
      </c>
      <c r="C140" s="1" t="n">
        <v>46062</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21150-2022</t>
        </is>
      </c>
      <c r="B141" s="1" t="n">
        <v>44704</v>
      </c>
      <c r="C141" s="1" t="n">
        <v>46062</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58888-2021</t>
        </is>
      </c>
      <c r="B142" s="1" t="n">
        <v>44489</v>
      </c>
      <c r="C142" s="1" t="n">
        <v>46062</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9955-2022</t>
        </is>
      </c>
      <c r="B143" s="1" t="n">
        <v>44620</v>
      </c>
      <c r="C143" s="1" t="n">
        <v>46062</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46062</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18580-2021</t>
        </is>
      </c>
      <c r="B145" s="1" t="n">
        <v>44306</v>
      </c>
      <c r="C145" s="1" t="n">
        <v>46062</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46062</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46062</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46062</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46062</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46062</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46062</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46062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46062</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46062</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46062</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46062</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46062</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46062</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46062</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46062</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46062</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46062</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46062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46062</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46062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46062</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46062</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46062</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46062</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46062</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46062</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46062</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46062</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46062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46062</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46062</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46062</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46062</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46062</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46062</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46062</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46062</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46062</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18609-2021</t>
        </is>
      </c>
      <c r="B184" s="1" t="n">
        <v>44306</v>
      </c>
      <c r="C184" s="1" t="n">
        <v>46062</v>
      </c>
      <c r="D184" t="inlineStr">
        <is>
          <t>STOCKHOLMS LÄN</t>
        </is>
      </c>
      <c r="E184" t="inlineStr">
        <is>
          <t>NORRTÄLJE</t>
        </is>
      </c>
      <c r="G184" t="n">
        <v>9.5</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46062</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71876-2021</t>
        </is>
      </c>
      <c r="B186" s="1" t="n">
        <v>44543</v>
      </c>
      <c r="C186" s="1" t="n">
        <v>46062</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71878-2021</t>
        </is>
      </c>
      <c r="B187" s="1" t="n">
        <v>44543</v>
      </c>
      <c r="C187" s="1" t="n">
        <v>46062</v>
      </c>
      <c r="D187" t="inlineStr">
        <is>
          <t>STOCKHOLMS LÄN</t>
        </is>
      </c>
      <c r="E187" t="inlineStr">
        <is>
          <t>NORRTÄLJE</t>
        </is>
      </c>
      <c r="G187" t="n">
        <v>1.2</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46062</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46062</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46062</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54340-2022</t>
        </is>
      </c>
      <c r="B191" s="1" t="n">
        <v>44882.44732638889</v>
      </c>
      <c r="C191" s="1" t="n">
        <v>46062</v>
      </c>
      <c r="D191" t="inlineStr">
        <is>
          <t>STOCKHOLMS LÄN</t>
        </is>
      </c>
      <c r="E191" t="inlineStr">
        <is>
          <t>NORRTÄLJE</t>
        </is>
      </c>
      <c r="G191" t="n">
        <v>6.7</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46062</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46062</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20073-2021</t>
        </is>
      </c>
      <c r="B194" s="1" t="n">
        <v>44314</v>
      </c>
      <c r="C194" s="1" t="n">
        <v>46062</v>
      </c>
      <c r="D194" t="inlineStr">
        <is>
          <t>STOCKHOLMS LÄN</t>
        </is>
      </c>
      <c r="E194" t="inlineStr">
        <is>
          <t>NORRTÄLJE</t>
        </is>
      </c>
      <c r="G194" t="n">
        <v>4.6</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46062</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46062</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46062</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27538-2022</t>
        </is>
      </c>
      <c r="B198" s="1" t="n">
        <v>44742</v>
      </c>
      <c r="C198" s="1" t="n">
        <v>46062</v>
      </c>
      <c r="D198" t="inlineStr">
        <is>
          <t>STOCKHOLMS LÄN</t>
        </is>
      </c>
      <c r="E198" t="inlineStr">
        <is>
          <t>NORRTÄLJE</t>
        </is>
      </c>
      <c r="G198" t="n">
        <v>2.2</v>
      </c>
      <c r="H198" t="n">
        <v>0</v>
      </c>
      <c r="I198" t="n">
        <v>0</v>
      </c>
      <c r="J198" t="n">
        <v>0</v>
      </c>
      <c r="K198" t="n">
        <v>0</v>
      </c>
      <c r="L198" t="n">
        <v>0</v>
      </c>
      <c r="M198" t="n">
        <v>0</v>
      </c>
      <c r="N198" t="n">
        <v>0</v>
      </c>
      <c r="O198" t="n">
        <v>0</v>
      </c>
      <c r="P198" t="n">
        <v>0</v>
      </c>
      <c r="Q198" t="n">
        <v>0</v>
      </c>
      <c r="R198" s="2" t="inlineStr"/>
    </row>
    <row r="199" ht="15" customHeight="1">
      <c r="A199" t="inlineStr">
        <is>
          <t>A 29868-2022</t>
        </is>
      </c>
      <c r="B199" s="1" t="n">
        <v>44756.40881944444</v>
      </c>
      <c r="C199" s="1" t="n">
        <v>46062</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46062</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46062</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46062</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23123-2021</t>
        </is>
      </c>
      <c r="B203" s="1" t="n">
        <v>44330</v>
      </c>
      <c r="C203" s="1" t="n">
        <v>46062</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46062</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64212-2021</t>
        </is>
      </c>
      <c r="B205" s="1" t="n">
        <v>44510</v>
      </c>
      <c r="C205" s="1" t="n">
        <v>46062</v>
      </c>
      <c r="D205" t="inlineStr">
        <is>
          <t>STOCKHOLMS LÄN</t>
        </is>
      </c>
      <c r="E205" t="inlineStr">
        <is>
          <t>NORRTÄLJE</t>
        </is>
      </c>
      <c r="G205" t="n">
        <v>28.7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46062</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46062</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46062</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46062</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49113-2021</t>
        </is>
      </c>
      <c r="B210" s="1" t="n">
        <v>44453</v>
      </c>
      <c r="C210" s="1" t="n">
        <v>46062</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64628-2021</t>
        </is>
      </c>
      <c r="B211" s="1" t="n">
        <v>44511</v>
      </c>
      <c r="C211" s="1" t="n">
        <v>46062</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60209-2021</t>
        </is>
      </c>
      <c r="B212" s="1" t="n">
        <v>44495</v>
      </c>
      <c r="C212" s="1" t="n">
        <v>46062</v>
      </c>
      <c r="D212" t="inlineStr">
        <is>
          <t>STOCKHOLMS LÄN</t>
        </is>
      </c>
      <c r="E212" t="inlineStr">
        <is>
          <t>NORRTÄLJE</t>
        </is>
      </c>
      <c r="G212" t="n">
        <v>4.3</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46062</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32561-2021</t>
        </is>
      </c>
      <c r="B214" s="1" t="n">
        <v>44375</v>
      </c>
      <c r="C214" s="1" t="n">
        <v>46062</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46062</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60813-2021</t>
        </is>
      </c>
      <c r="B216" s="1" t="n">
        <v>44496</v>
      </c>
      <c r="C216" s="1" t="n">
        <v>46062</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46062</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17460-2021</t>
        </is>
      </c>
      <c r="B218" s="1" t="n">
        <v>44299</v>
      </c>
      <c r="C218" s="1" t="n">
        <v>46062</v>
      </c>
      <c r="D218" t="inlineStr">
        <is>
          <t>STOCKHOLMS LÄN</t>
        </is>
      </c>
      <c r="E218" t="inlineStr">
        <is>
          <t>NORRTÄLJE</t>
        </is>
      </c>
      <c r="G218" t="n">
        <v>3.2</v>
      </c>
      <c r="H218" t="n">
        <v>0</v>
      </c>
      <c r="I218" t="n">
        <v>0</v>
      </c>
      <c r="J218" t="n">
        <v>0</v>
      </c>
      <c r="K218" t="n">
        <v>0</v>
      </c>
      <c r="L218" t="n">
        <v>0</v>
      </c>
      <c r="M218" t="n">
        <v>0</v>
      </c>
      <c r="N218" t="n">
        <v>0</v>
      </c>
      <c r="O218" t="n">
        <v>0</v>
      </c>
      <c r="P218" t="n">
        <v>0</v>
      </c>
      <c r="Q218" t="n">
        <v>0</v>
      </c>
      <c r="R218" s="2" t="inlineStr"/>
    </row>
    <row r="219" ht="15" customHeight="1">
      <c r="A219" t="inlineStr">
        <is>
          <t>A 39497-2021</t>
        </is>
      </c>
      <c r="B219" s="1" t="n">
        <v>44414.81494212963</v>
      </c>
      <c r="C219" s="1" t="n">
        <v>46062</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34431-2021</t>
        </is>
      </c>
      <c r="B220" s="1" t="n">
        <v>44380</v>
      </c>
      <c r="C220" s="1" t="n">
        <v>46062</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5351-2022</t>
        </is>
      </c>
      <c r="B221" s="1" t="n">
        <v>44594.75950231482</v>
      </c>
      <c r="C221" s="1" t="n">
        <v>46062</v>
      </c>
      <c r="D221" t="inlineStr">
        <is>
          <t>STOCKHOLMS LÄN</t>
        </is>
      </c>
      <c r="E221" t="inlineStr">
        <is>
          <t>NORRTÄLJE</t>
        </is>
      </c>
      <c r="G221" t="n">
        <v>4</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46062</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46062</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46062</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46062</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46062</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46062</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46062</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46062</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46062</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46062</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46062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46062</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46062</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30624-2022</t>
        </is>
      </c>
      <c r="B235" s="1" t="n">
        <v>44763.4182175926</v>
      </c>
      <c r="C235" s="1" t="n">
        <v>46062</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52449-2021</t>
        </is>
      </c>
      <c r="B236" s="1" t="n">
        <v>44466.37496527778</v>
      </c>
      <c r="C236" s="1" t="n">
        <v>46062</v>
      </c>
      <c r="D236" t="inlineStr">
        <is>
          <t>STOCKHOLMS LÄN</t>
        </is>
      </c>
      <c r="E236" t="inlineStr">
        <is>
          <t>NORRTÄLJE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33046-2021</t>
        </is>
      </c>
      <c r="B237" s="1" t="n">
        <v>44376</v>
      </c>
      <c r="C237" s="1" t="n">
        <v>46062</v>
      </c>
      <c r="D237" t="inlineStr">
        <is>
          <t>STOCKHOLMS LÄN</t>
        </is>
      </c>
      <c r="E237" t="inlineStr">
        <is>
          <t>NORRTÄLJE</t>
        </is>
      </c>
      <c r="G237" t="n">
        <v>2.1</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46062</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15441-2021</t>
        </is>
      </c>
      <c r="B239" s="1" t="n">
        <v>44284</v>
      </c>
      <c r="C239" s="1" t="n">
        <v>46062</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67598-2021</t>
        </is>
      </c>
      <c r="B240" s="1" t="n">
        <v>44524</v>
      </c>
      <c r="C240" s="1" t="n">
        <v>46062</v>
      </c>
      <c r="D240" t="inlineStr">
        <is>
          <t>STOCKHOLMS LÄN</t>
        </is>
      </c>
      <c r="E240" t="inlineStr">
        <is>
          <t>NORRTÄLJE</t>
        </is>
      </c>
      <c r="G240" t="n">
        <v>1.2</v>
      </c>
      <c r="H240" t="n">
        <v>0</v>
      </c>
      <c r="I240" t="n">
        <v>0</v>
      </c>
      <c r="J240" t="n">
        <v>0</v>
      </c>
      <c r="K240" t="n">
        <v>0</v>
      </c>
      <c r="L240" t="n">
        <v>0</v>
      </c>
      <c r="M240" t="n">
        <v>0</v>
      </c>
      <c r="N240" t="n">
        <v>0</v>
      </c>
      <c r="O240" t="n">
        <v>0</v>
      </c>
      <c r="P240" t="n">
        <v>0</v>
      </c>
      <c r="Q240" t="n">
        <v>0</v>
      </c>
      <c r="R240" s="2" t="inlineStr"/>
    </row>
    <row r="241" ht="15" customHeight="1">
      <c r="A241" t="inlineStr">
        <is>
          <t>A 34520-2021</t>
        </is>
      </c>
      <c r="B241" s="1" t="n">
        <v>44379</v>
      </c>
      <c r="C241" s="1" t="n">
        <v>46062</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1968-2022</t>
        </is>
      </c>
      <c r="B242" s="1" t="n">
        <v>44575.52831018518</v>
      </c>
      <c r="C242" s="1" t="n">
        <v>46062</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1229-2022</t>
        </is>
      </c>
      <c r="B243" s="1" t="n">
        <v>44572</v>
      </c>
      <c r="C243" s="1" t="n">
        <v>46062</v>
      </c>
      <c r="D243" t="inlineStr">
        <is>
          <t>STOCKHOLMS LÄN</t>
        </is>
      </c>
      <c r="E243" t="inlineStr">
        <is>
          <t>NORRTÄLJE</t>
        </is>
      </c>
      <c r="G243" t="n">
        <v>11.5</v>
      </c>
      <c r="H243" t="n">
        <v>0</v>
      </c>
      <c r="I243" t="n">
        <v>0</v>
      </c>
      <c r="J243" t="n">
        <v>0</v>
      </c>
      <c r="K243" t="n">
        <v>0</v>
      </c>
      <c r="L243" t="n">
        <v>0</v>
      </c>
      <c r="M243" t="n">
        <v>0</v>
      </c>
      <c r="N243" t="n">
        <v>0</v>
      </c>
      <c r="O243" t="n">
        <v>0</v>
      </c>
      <c r="P243" t="n">
        <v>0</v>
      </c>
      <c r="Q243" t="n">
        <v>0</v>
      </c>
      <c r="R243" s="2" t="inlineStr"/>
    </row>
    <row r="244" ht="15" customHeight="1">
      <c r="A244" t="inlineStr">
        <is>
          <t>A 14051-2022</t>
        </is>
      </c>
      <c r="B244" s="1" t="n">
        <v>44650.92714120371</v>
      </c>
      <c r="C244" s="1" t="n">
        <v>46062</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46062</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46062</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46062</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31924-2022</t>
        </is>
      </c>
      <c r="B248" s="1" t="n">
        <v>44777</v>
      </c>
      <c r="C248" s="1" t="n">
        <v>46062</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16119-2022</t>
        </is>
      </c>
      <c r="B249" s="1" t="n">
        <v>44665.66407407408</v>
      </c>
      <c r="C249" s="1" t="n">
        <v>46062</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46062</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46062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5513-2022</t>
        </is>
      </c>
      <c r="B252" s="1" t="n">
        <v>44595</v>
      </c>
      <c r="C252" s="1" t="n">
        <v>46062</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28042-2022</t>
        </is>
      </c>
      <c r="B253" s="1" t="n">
        <v>44744</v>
      </c>
      <c r="C253" s="1" t="n">
        <v>46062</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41398-2022</t>
        </is>
      </c>
      <c r="B254" s="1" t="n">
        <v>44826</v>
      </c>
      <c r="C254" s="1" t="n">
        <v>46062</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46062</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19398-2021</t>
        </is>
      </c>
      <c r="B256" s="1" t="n">
        <v>44309</v>
      </c>
      <c r="C256" s="1" t="n">
        <v>46062</v>
      </c>
      <c r="D256" t="inlineStr">
        <is>
          <t>STOCKHOLMS LÄN</t>
        </is>
      </c>
      <c r="E256" t="inlineStr">
        <is>
          <t>NORRTÄLJE</t>
        </is>
      </c>
      <c r="F256" t="inlineStr">
        <is>
          <t>Kommuner</t>
        </is>
      </c>
      <c r="G256" t="n">
        <v>2.1</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46062</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46062</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46062</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46062</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46062</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46062</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46062</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46062</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46062</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46062</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46062</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46062</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46062</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46062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46062</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46062</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46062</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46062</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46062</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8160-2022</t>
        </is>
      </c>
      <c r="B276" s="1" t="n">
        <v>44609</v>
      </c>
      <c r="C276" s="1" t="n">
        <v>46062</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46062</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56219-2021</t>
        </is>
      </c>
      <c r="B278" s="1" t="n">
        <v>44477</v>
      </c>
      <c r="C278" s="1" t="n">
        <v>46062</v>
      </c>
      <c r="D278" t="inlineStr">
        <is>
          <t>STOCKHOLMS LÄN</t>
        </is>
      </c>
      <c r="E278" t="inlineStr">
        <is>
          <t>NORRTÄLJE</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46062</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46062</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46062</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46062</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46062</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46062</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16117-2022</t>
        </is>
      </c>
      <c r="B285" s="1" t="n">
        <v>44665.65474537037</v>
      </c>
      <c r="C285" s="1" t="n">
        <v>46062</v>
      </c>
      <c r="D285" t="inlineStr">
        <is>
          <t>STOCKHOLMS LÄN</t>
        </is>
      </c>
      <c r="E285" t="inlineStr">
        <is>
          <t>NORRTÄLJE</t>
        </is>
      </c>
      <c r="G285" t="n">
        <v>8.1</v>
      </c>
      <c r="H285" t="n">
        <v>0</v>
      </c>
      <c r="I285" t="n">
        <v>0</v>
      </c>
      <c r="J285" t="n">
        <v>0</v>
      </c>
      <c r="K285" t="n">
        <v>0</v>
      </c>
      <c r="L285" t="n">
        <v>0</v>
      </c>
      <c r="M285" t="n">
        <v>0</v>
      </c>
      <c r="N285" t="n">
        <v>0</v>
      </c>
      <c r="O285" t="n">
        <v>0</v>
      </c>
      <c r="P285" t="n">
        <v>0</v>
      </c>
      <c r="Q285" t="n">
        <v>0</v>
      </c>
      <c r="R285" s="2" t="inlineStr"/>
    </row>
    <row r="286" ht="15" customHeight="1">
      <c r="A286" t="inlineStr">
        <is>
          <t>A 16132-2022</t>
        </is>
      </c>
      <c r="B286" s="1" t="n">
        <v>44665.78351851852</v>
      </c>
      <c r="C286" s="1" t="n">
        <v>46062</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46062</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46062</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46062</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46062</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46062</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46062</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46062</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46062</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46062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46062</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46062</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46062</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46062</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46062</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22008-2024</t>
        </is>
      </c>
      <c r="B302" s="1" t="n">
        <v>45443</v>
      </c>
      <c r="C302" s="1" t="n">
        <v>46062</v>
      </c>
      <c r="D302" t="inlineStr">
        <is>
          <t>STOCKHOLMS LÄN</t>
        </is>
      </c>
      <c r="E302" t="inlineStr">
        <is>
          <t>NORRTÄLJE</t>
        </is>
      </c>
      <c r="G302" t="n">
        <v>2</v>
      </c>
      <c r="H302" t="n">
        <v>0</v>
      </c>
      <c r="I302" t="n">
        <v>0</v>
      </c>
      <c r="J302" t="n">
        <v>0</v>
      </c>
      <c r="K302" t="n">
        <v>0</v>
      </c>
      <c r="L302" t="n">
        <v>0</v>
      </c>
      <c r="M302" t="n">
        <v>0</v>
      </c>
      <c r="N302" t="n">
        <v>0</v>
      </c>
      <c r="O302" t="n">
        <v>0</v>
      </c>
      <c r="P302" t="n">
        <v>0</v>
      </c>
      <c r="Q302" t="n">
        <v>0</v>
      </c>
      <c r="R302" s="2" t="inlineStr"/>
    </row>
    <row r="303" ht="15" customHeight="1">
      <c r="A303" t="inlineStr">
        <is>
          <t>A 55243-2023</t>
        </is>
      </c>
      <c r="B303" s="1" t="n">
        <v>45237</v>
      </c>
      <c r="C303" s="1" t="n">
        <v>46062</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29972-2024</t>
        </is>
      </c>
      <c r="B304" s="1" t="n">
        <v>45485</v>
      </c>
      <c r="C304" s="1" t="n">
        <v>46062</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55696-2022</t>
        </is>
      </c>
      <c r="B305" s="1" t="n">
        <v>44888</v>
      </c>
      <c r="C305" s="1" t="n">
        <v>46062</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46062</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22412-2021</t>
        </is>
      </c>
      <c r="B307" s="1" t="n">
        <v>44326.61967592593</v>
      </c>
      <c r="C307" s="1" t="n">
        <v>46062</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5027-2025</t>
        </is>
      </c>
      <c r="B308" s="1" t="n">
        <v>45691.41101851852</v>
      </c>
      <c r="C308" s="1" t="n">
        <v>46062</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52260-2022</t>
        </is>
      </c>
      <c r="B309" s="1" t="n">
        <v>44869</v>
      </c>
      <c r="C309" s="1" t="n">
        <v>46062</v>
      </c>
      <c r="D309" t="inlineStr">
        <is>
          <t>STOCKHOLMS LÄN</t>
        </is>
      </c>
      <c r="E309" t="inlineStr">
        <is>
          <t>NORRTÄLJE</t>
        </is>
      </c>
      <c r="G309" t="n">
        <v>3.1</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46062</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13053-2022</t>
        </is>
      </c>
      <c r="B311" s="1" t="n">
        <v>44643</v>
      </c>
      <c r="C311" s="1" t="n">
        <v>46062</v>
      </c>
      <c r="D311" t="inlineStr">
        <is>
          <t>STOCKHOLMS LÄN</t>
        </is>
      </c>
      <c r="E311" t="inlineStr">
        <is>
          <t>NORRTÄLJE</t>
        </is>
      </c>
      <c r="G311" t="n">
        <v>2.8</v>
      </c>
      <c r="H311" t="n">
        <v>0</v>
      </c>
      <c r="I311" t="n">
        <v>0</v>
      </c>
      <c r="J311" t="n">
        <v>0</v>
      </c>
      <c r="K311" t="n">
        <v>0</v>
      </c>
      <c r="L311" t="n">
        <v>0</v>
      </c>
      <c r="M311" t="n">
        <v>0</v>
      </c>
      <c r="N311" t="n">
        <v>0</v>
      </c>
      <c r="O311" t="n">
        <v>0</v>
      </c>
      <c r="P311" t="n">
        <v>0</v>
      </c>
      <c r="Q311" t="n">
        <v>0</v>
      </c>
      <c r="R311" s="2" t="inlineStr"/>
    </row>
    <row r="312" ht="15" customHeight="1">
      <c r="A312" t="inlineStr">
        <is>
          <t>A 25557-2023</t>
        </is>
      </c>
      <c r="B312" s="1" t="n">
        <v>45089</v>
      </c>
      <c r="C312" s="1" t="n">
        <v>46062</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46062</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12268-2022</t>
        </is>
      </c>
      <c r="B314" s="1" t="n">
        <v>44637</v>
      </c>
      <c r="C314" s="1" t="n">
        <v>46062</v>
      </c>
      <c r="D314" t="inlineStr">
        <is>
          <t>STOCKHOLMS LÄN</t>
        </is>
      </c>
      <c r="E314" t="inlineStr">
        <is>
          <t>NORRTÄLJE</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20015-2023</t>
        </is>
      </c>
      <c r="B315" s="1" t="n">
        <v>45054</v>
      </c>
      <c r="C315" s="1" t="n">
        <v>46062</v>
      </c>
      <c r="D315" t="inlineStr">
        <is>
          <t>STOCKHOLMS LÄN</t>
        </is>
      </c>
      <c r="E315" t="inlineStr">
        <is>
          <t>NORRTÄLJE</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3273-2025</t>
        </is>
      </c>
      <c r="B316" s="1" t="n">
        <v>45679</v>
      </c>
      <c r="C316" s="1" t="n">
        <v>46062</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24245-2024</t>
        </is>
      </c>
      <c r="B317" s="1" t="n">
        <v>45457</v>
      </c>
      <c r="C317" s="1" t="n">
        <v>46062</v>
      </c>
      <c r="D317" t="inlineStr">
        <is>
          <t>STOCKHOLMS LÄN</t>
        </is>
      </c>
      <c r="E317" t="inlineStr">
        <is>
          <t>NORRTÄLJE</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46062</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21291-2021</t>
        </is>
      </c>
      <c r="B319" s="1" t="n">
        <v>44319</v>
      </c>
      <c r="C319" s="1" t="n">
        <v>46062</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15256-2023</t>
        </is>
      </c>
      <c r="B320" s="1" t="n">
        <v>45019.3959837963</v>
      </c>
      <c r="C320" s="1" t="n">
        <v>46062</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46062</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13172-2025</t>
        </is>
      </c>
      <c r="B322" s="1" t="n">
        <v>45735.36873842592</v>
      </c>
      <c r="C322" s="1" t="n">
        <v>46062</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64145-2021</t>
        </is>
      </c>
      <c r="B323" s="1" t="n">
        <v>44510</v>
      </c>
      <c r="C323" s="1" t="n">
        <v>46062</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1740-2023</t>
        </is>
      </c>
      <c r="B324" s="1" t="n">
        <v>44938</v>
      </c>
      <c r="C324" s="1" t="n">
        <v>46062</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46062</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46062</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17785-2024</t>
        </is>
      </c>
      <c r="B327" s="1" t="n">
        <v>45418.6968287037</v>
      </c>
      <c r="C327" s="1" t="n">
        <v>46062</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46062</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42075-2023</t>
        </is>
      </c>
      <c r="B329" s="1" t="n">
        <v>45177</v>
      </c>
      <c r="C329" s="1" t="n">
        <v>46062</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10676-2025</t>
        </is>
      </c>
      <c r="B330" s="1" t="n">
        <v>45721.88684027778</v>
      </c>
      <c r="C330" s="1" t="n">
        <v>46062</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50108-2021</t>
        </is>
      </c>
      <c r="B331" s="1" t="n">
        <v>44456</v>
      </c>
      <c r="C331" s="1" t="n">
        <v>46062</v>
      </c>
      <c r="D331" t="inlineStr">
        <is>
          <t>STOCKHOLMS LÄN</t>
        </is>
      </c>
      <c r="E331" t="inlineStr">
        <is>
          <t>NORRTÄLJE</t>
        </is>
      </c>
      <c r="G331" t="n">
        <v>0.7</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46062</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46062</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46062</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55012-2024</t>
        </is>
      </c>
      <c r="B335" s="1" t="n">
        <v>45621.34813657407</v>
      </c>
      <c r="C335" s="1" t="n">
        <v>46062</v>
      </c>
      <c r="D335" t="inlineStr">
        <is>
          <t>STOCKHOLMS LÄN</t>
        </is>
      </c>
      <c r="E335" t="inlineStr">
        <is>
          <t>NORRTÄLJE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55058-2021</t>
        </is>
      </c>
      <c r="B336" s="1" t="n">
        <v>44474.62141203704</v>
      </c>
      <c r="C336" s="1" t="n">
        <v>46062</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46062</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58277-2023</t>
        </is>
      </c>
      <c r="B338" s="1" t="n">
        <v>45245</v>
      </c>
      <c r="C338" s="1" t="n">
        <v>46062</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46062</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46062</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7413-2024</t>
        </is>
      </c>
      <c r="B341" s="1" t="n">
        <v>45345.6059837963</v>
      </c>
      <c r="C341" s="1" t="n">
        <v>46062</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12251-2025</t>
        </is>
      </c>
      <c r="B342" s="1" t="n">
        <v>45729.60859953704</v>
      </c>
      <c r="C342" s="1" t="n">
        <v>46062</v>
      </c>
      <c r="D342" t="inlineStr">
        <is>
          <t>STOCKHOLMS LÄN</t>
        </is>
      </c>
      <c r="E342" t="inlineStr">
        <is>
          <t>NORRTÄLJE</t>
        </is>
      </c>
      <c r="F342" t="inlineStr">
        <is>
          <t>Holmen skog AB</t>
        </is>
      </c>
      <c r="G342" t="n">
        <v>5.9</v>
      </c>
      <c r="H342" t="n">
        <v>0</v>
      </c>
      <c r="I342" t="n">
        <v>0</v>
      </c>
      <c r="J342" t="n">
        <v>0</v>
      </c>
      <c r="K342" t="n">
        <v>0</v>
      </c>
      <c r="L342" t="n">
        <v>0</v>
      </c>
      <c r="M342" t="n">
        <v>0</v>
      </c>
      <c r="N342" t="n">
        <v>0</v>
      </c>
      <c r="O342" t="n">
        <v>0</v>
      </c>
      <c r="P342" t="n">
        <v>0</v>
      </c>
      <c r="Q342" t="n">
        <v>0</v>
      </c>
      <c r="R342" s="2" t="inlineStr"/>
    </row>
    <row r="343" ht="15" customHeight="1">
      <c r="A343" t="inlineStr">
        <is>
          <t>A 32705-2022</t>
        </is>
      </c>
      <c r="B343" s="1" t="n">
        <v>44783</v>
      </c>
      <c r="C343" s="1" t="n">
        <v>46062</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58863-2024</t>
        </is>
      </c>
      <c r="B344" s="1" t="n">
        <v>45636.41572916666</v>
      </c>
      <c r="C344" s="1" t="n">
        <v>46062</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46062</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47481-2024</t>
        </is>
      </c>
      <c r="B346" s="1" t="n">
        <v>45587</v>
      </c>
      <c r="C346" s="1" t="n">
        <v>46062</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57037-2022</t>
        </is>
      </c>
      <c r="B347" s="1" t="n">
        <v>44895</v>
      </c>
      <c r="C347" s="1" t="n">
        <v>46062</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46062</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11940-2023</t>
        </is>
      </c>
      <c r="B349" s="1" t="n">
        <v>44995</v>
      </c>
      <c r="C349" s="1" t="n">
        <v>46062</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51325-2023</t>
        </is>
      </c>
      <c r="B350" s="1" t="n">
        <v>45219</v>
      </c>
      <c r="C350" s="1" t="n">
        <v>46062</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7903-2021</t>
        </is>
      </c>
      <c r="B351" s="1" t="n">
        <v>44243.33587962963</v>
      </c>
      <c r="C351" s="1" t="n">
        <v>46062</v>
      </c>
      <c r="D351" t="inlineStr">
        <is>
          <t>STOCKHOLMS LÄN</t>
        </is>
      </c>
      <c r="E351" t="inlineStr">
        <is>
          <t>NORRTÄLJE</t>
        </is>
      </c>
      <c r="G351" t="n">
        <v>3.5</v>
      </c>
      <c r="H351" t="n">
        <v>0</v>
      </c>
      <c r="I351" t="n">
        <v>0</v>
      </c>
      <c r="J351" t="n">
        <v>0</v>
      </c>
      <c r="K351" t="n">
        <v>0</v>
      </c>
      <c r="L351" t="n">
        <v>0</v>
      </c>
      <c r="M351" t="n">
        <v>0</v>
      </c>
      <c r="N351" t="n">
        <v>0</v>
      </c>
      <c r="O351" t="n">
        <v>0</v>
      </c>
      <c r="P351" t="n">
        <v>0</v>
      </c>
      <c r="Q351" t="n">
        <v>0</v>
      </c>
      <c r="R351" s="2" t="inlineStr"/>
    </row>
    <row r="352" ht="15" customHeight="1">
      <c r="A352" t="inlineStr">
        <is>
          <t>A 59534-2024</t>
        </is>
      </c>
      <c r="B352" s="1" t="n">
        <v>45638.5987037037</v>
      </c>
      <c r="C352" s="1" t="n">
        <v>46062</v>
      </c>
      <c r="D352" t="inlineStr">
        <is>
          <t>STOCKHOLMS LÄN</t>
        </is>
      </c>
      <c r="E352" t="inlineStr">
        <is>
          <t>NORRTÄLJE</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31107-2022</t>
        </is>
      </c>
      <c r="B353" s="1" t="n">
        <v>44769.66864583334</v>
      </c>
      <c r="C353" s="1" t="n">
        <v>46062</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39213-2022</t>
        </is>
      </c>
      <c r="B354" s="1" t="n">
        <v>44817.56120370371</v>
      </c>
      <c r="C354" s="1" t="n">
        <v>46062</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13860-2023</t>
        </is>
      </c>
      <c r="B355" s="1" t="n">
        <v>45007</v>
      </c>
      <c r="C355" s="1" t="n">
        <v>46062</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6855-2025</t>
        </is>
      </c>
      <c r="B356" s="1" t="n">
        <v>45700</v>
      </c>
      <c r="C356" s="1" t="n">
        <v>46062</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2281-2024</t>
        </is>
      </c>
      <c r="B357" s="1" t="n">
        <v>45310.40628472222</v>
      </c>
      <c r="C357" s="1" t="n">
        <v>46062</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60525-2022</t>
        </is>
      </c>
      <c r="B358" s="1" t="n">
        <v>44904</v>
      </c>
      <c r="C358" s="1" t="n">
        <v>46062</v>
      </c>
      <c r="D358" t="inlineStr">
        <is>
          <t>STOCKHOLMS LÄN</t>
        </is>
      </c>
      <c r="E358" t="inlineStr">
        <is>
          <t>NORRTÄLJE</t>
        </is>
      </c>
      <c r="G358" t="n">
        <v>13.4</v>
      </c>
      <c r="H358" t="n">
        <v>0</v>
      </c>
      <c r="I358" t="n">
        <v>0</v>
      </c>
      <c r="J358" t="n">
        <v>0</v>
      </c>
      <c r="K358" t="n">
        <v>0</v>
      </c>
      <c r="L358" t="n">
        <v>0</v>
      </c>
      <c r="M358" t="n">
        <v>0</v>
      </c>
      <c r="N358" t="n">
        <v>0</v>
      </c>
      <c r="O358" t="n">
        <v>0</v>
      </c>
      <c r="P358" t="n">
        <v>0</v>
      </c>
      <c r="Q358" t="n">
        <v>0</v>
      </c>
      <c r="R358" s="2" t="inlineStr"/>
    </row>
    <row r="359" ht="15" customHeight="1">
      <c r="A359" t="inlineStr">
        <is>
          <t>A 41976-2024</t>
        </is>
      </c>
      <c r="B359" s="1" t="n">
        <v>45561.62141203704</v>
      </c>
      <c r="C359" s="1" t="n">
        <v>46062</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34432-2021</t>
        </is>
      </c>
      <c r="B360" s="1" t="n">
        <v>44380.77346064815</v>
      </c>
      <c r="C360" s="1" t="n">
        <v>46062</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13314-2025</t>
        </is>
      </c>
      <c r="B361" s="1" t="n">
        <v>45735.59287037037</v>
      </c>
      <c r="C361" s="1" t="n">
        <v>46062</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23149-2024</t>
        </is>
      </c>
      <c r="B362" s="1" t="n">
        <v>45450.64208333333</v>
      </c>
      <c r="C362" s="1" t="n">
        <v>46062</v>
      </c>
      <c r="D362" t="inlineStr">
        <is>
          <t>STOCKHOLMS LÄN</t>
        </is>
      </c>
      <c r="E362" t="inlineStr">
        <is>
          <t>NORRTÄLJE</t>
        </is>
      </c>
      <c r="F362" t="inlineStr">
        <is>
          <t>Kommuner</t>
        </is>
      </c>
      <c r="G362" t="n">
        <v>1.3</v>
      </c>
      <c r="H362" t="n">
        <v>0</v>
      </c>
      <c r="I362" t="n">
        <v>0</v>
      </c>
      <c r="J362" t="n">
        <v>0</v>
      </c>
      <c r="K362" t="n">
        <v>0</v>
      </c>
      <c r="L362" t="n">
        <v>0</v>
      </c>
      <c r="M362" t="n">
        <v>0</v>
      </c>
      <c r="N362" t="n">
        <v>0</v>
      </c>
      <c r="O362" t="n">
        <v>0</v>
      </c>
      <c r="P362" t="n">
        <v>0</v>
      </c>
      <c r="Q362" t="n">
        <v>0</v>
      </c>
      <c r="R362" s="2" t="inlineStr"/>
    </row>
    <row r="363" ht="15" customHeight="1">
      <c r="A363" t="inlineStr">
        <is>
          <t>A 23151-2024</t>
        </is>
      </c>
      <c r="B363" s="1" t="n">
        <v>45450</v>
      </c>
      <c r="C363" s="1" t="n">
        <v>46062</v>
      </c>
      <c r="D363" t="inlineStr">
        <is>
          <t>STOCKHOLMS LÄN</t>
        </is>
      </c>
      <c r="E363" t="inlineStr">
        <is>
          <t>NORRTÄLJE</t>
        </is>
      </c>
      <c r="F363" t="inlineStr">
        <is>
          <t>Kommuner</t>
        </is>
      </c>
      <c r="G363" t="n">
        <v>1.2</v>
      </c>
      <c r="H363" t="n">
        <v>0</v>
      </c>
      <c r="I363" t="n">
        <v>0</v>
      </c>
      <c r="J363" t="n">
        <v>0</v>
      </c>
      <c r="K363" t="n">
        <v>0</v>
      </c>
      <c r="L363" t="n">
        <v>0</v>
      </c>
      <c r="M363" t="n">
        <v>0</v>
      </c>
      <c r="N363" t="n">
        <v>0</v>
      </c>
      <c r="O363" t="n">
        <v>0</v>
      </c>
      <c r="P363" t="n">
        <v>0</v>
      </c>
      <c r="Q363" t="n">
        <v>0</v>
      </c>
      <c r="R363" s="2" t="inlineStr"/>
    </row>
    <row r="364" ht="15" customHeight="1">
      <c r="A364" t="inlineStr">
        <is>
          <t>A 24687-2025</t>
        </is>
      </c>
      <c r="B364" s="1" t="n">
        <v>45798.66767361111</v>
      </c>
      <c r="C364" s="1" t="n">
        <v>46062</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46062</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60185-2024</t>
        </is>
      </c>
      <c r="B366" s="1" t="n">
        <v>45642.64634259259</v>
      </c>
      <c r="C366" s="1" t="n">
        <v>46062</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21726-2022</t>
        </is>
      </c>
      <c r="B367" s="1" t="n">
        <v>44708</v>
      </c>
      <c r="C367" s="1" t="n">
        <v>46062</v>
      </c>
      <c r="D367" t="inlineStr">
        <is>
          <t>STOCKHOLMS LÄN</t>
        </is>
      </c>
      <c r="E367" t="inlineStr">
        <is>
          <t>NORRTÄLJE</t>
        </is>
      </c>
      <c r="G367" t="n">
        <v>0.2</v>
      </c>
      <c r="H367" t="n">
        <v>0</v>
      </c>
      <c r="I367" t="n">
        <v>0</v>
      </c>
      <c r="J367" t="n">
        <v>0</v>
      </c>
      <c r="K367" t="n">
        <v>0</v>
      </c>
      <c r="L367" t="n">
        <v>0</v>
      </c>
      <c r="M367" t="n">
        <v>0</v>
      </c>
      <c r="N367" t="n">
        <v>0</v>
      </c>
      <c r="O367" t="n">
        <v>0</v>
      </c>
      <c r="P367" t="n">
        <v>0</v>
      </c>
      <c r="Q367" t="n">
        <v>0</v>
      </c>
      <c r="R367" s="2" t="inlineStr"/>
    </row>
    <row r="368" ht="15" customHeight="1">
      <c r="A368" t="inlineStr">
        <is>
          <t>A 21739-2022</t>
        </is>
      </c>
      <c r="B368" s="1" t="n">
        <v>44708.36708333333</v>
      </c>
      <c r="C368" s="1" t="n">
        <v>46062</v>
      </c>
      <c r="D368" t="inlineStr">
        <is>
          <t>STOCKHOLMS LÄN</t>
        </is>
      </c>
      <c r="E368" t="inlineStr">
        <is>
          <t>NORRTÄLJE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35210-2023</t>
        </is>
      </c>
      <c r="B369" s="1" t="n">
        <v>45145.63584490741</v>
      </c>
      <c r="C369" s="1" t="n">
        <v>46062</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48686-2023</t>
        </is>
      </c>
      <c r="B370" s="1" t="n">
        <v>45208</v>
      </c>
      <c r="C370" s="1" t="n">
        <v>46062</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48691-2023</t>
        </is>
      </c>
      <c r="B371" s="1" t="n">
        <v>45208</v>
      </c>
      <c r="C371" s="1" t="n">
        <v>46062</v>
      </c>
      <c r="D371" t="inlineStr">
        <is>
          <t>STOCKHOLMS LÄN</t>
        </is>
      </c>
      <c r="E371" t="inlineStr">
        <is>
          <t>NORRTÄLJE</t>
        </is>
      </c>
      <c r="G371" t="n">
        <v>5.8</v>
      </c>
      <c r="H371" t="n">
        <v>0</v>
      </c>
      <c r="I371" t="n">
        <v>0</v>
      </c>
      <c r="J371" t="n">
        <v>0</v>
      </c>
      <c r="K371" t="n">
        <v>0</v>
      </c>
      <c r="L371" t="n">
        <v>0</v>
      </c>
      <c r="M371" t="n">
        <v>0</v>
      </c>
      <c r="N371" t="n">
        <v>0</v>
      </c>
      <c r="O371" t="n">
        <v>0</v>
      </c>
      <c r="P371" t="n">
        <v>0</v>
      </c>
      <c r="Q371" t="n">
        <v>0</v>
      </c>
      <c r="R371" s="2" t="inlineStr"/>
    </row>
    <row r="372" ht="15" customHeight="1">
      <c r="A372" t="inlineStr">
        <is>
          <t>A 59767-2022</t>
        </is>
      </c>
      <c r="B372" s="1" t="n">
        <v>44900</v>
      </c>
      <c r="C372" s="1" t="n">
        <v>46062</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46062</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5823-2023</t>
        </is>
      </c>
      <c r="B374" s="1" t="n">
        <v>44963</v>
      </c>
      <c r="C374" s="1" t="n">
        <v>46062</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19915-2024</t>
        </is>
      </c>
      <c r="B375" s="1" t="n">
        <v>45433.58431712963</v>
      </c>
      <c r="C375" s="1" t="n">
        <v>46062</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15217-2023</t>
        </is>
      </c>
      <c r="B376" s="1" t="n">
        <v>45019.28847222222</v>
      </c>
      <c r="C376" s="1" t="n">
        <v>46062</v>
      </c>
      <c r="D376" t="inlineStr">
        <is>
          <t>STOCKHOLMS LÄN</t>
        </is>
      </c>
      <c r="E376" t="inlineStr">
        <is>
          <t>NORRTÄLJE</t>
        </is>
      </c>
      <c r="G376" t="n">
        <v>3.6</v>
      </c>
      <c r="H376" t="n">
        <v>0</v>
      </c>
      <c r="I376" t="n">
        <v>0</v>
      </c>
      <c r="J376" t="n">
        <v>0</v>
      </c>
      <c r="K376" t="n">
        <v>0</v>
      </c>
      <c r="L376" t="n">
        <v>0</v>
      </c>
      <c r="M376" t="n">
        <v>0</v>
      </c>
      <c r="N376" t="n">
        <v>0</v>
      </c>
      <c r="O376" t="n">
        <v>0</v>
      </c>
      <c r="P376" t="n">
        <v>0</v>
      </c>
      <c r="Q376" t="n">
        <v>0</v>
      </c>
      <c r="R376" s="2" t="inlineStr"/>
    </row>
    <row r="377" ht="15" customHeight="1">
      <c r="A377" t="inlineStr">
        <is>
          <t>A 24638-2025</t>
        </is>
      </c>
      <c r="B377" s="1" t="n">
        <v>45798</v>
      </c>
      <c r="C377" s="1" t="n">
        <v>46062</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50143-2023</t>
        </is>
      </c>
      <c r="B378" s="1" t="n">
        <v>45215</v>
      </c>
      <c r="C378" s="1" t="n">
        <v>46062</v>
      </c>
      <c r="D378" t="inlineStr">
        <is>
          <t>STOCKHOLMS LÄN</t>
        </is>
      </c>
      <c r="E378" t="inlineStr">
        <is>
          <t>NORRTÄLJE</t>
        </is>
      </c>
      <c r="G378" t="n">
        <v>10.3</v>
      </c>
      <c r="H378" t="n">
        <v>0</v>
      </c>
      <c r="I378" t="n">
        <v>0</v>
      </c>
      <c r="J378" t="n">
        <v>0</v>
      </c>
      <c r="K378" t="n">
        <v>0</v>
      </c>
      <c r="L378" t="n">
        <v>0</v>
      </c>
      <c r="M378" t="n">
        <v>0</v>
      </c>
      <c r="N378" t="n">
        <v>0</v>
      </c>
      <c r="O378" t="n">
        <v>0</v>
      </c>
      <c r="P378" t="n">
        <v>0</v>
      </c>
      <c r="Q378" t="n">
        <v>0</v>
      </c>
      <c r="R378" s="2" t="inlineStr"/>
    </row>
    <row r="379" ht="15" customHeight="1">
      <c r="A379" t="inlineStr">
        <is>
          <t>A 29176-2024</t>
        </is>
      </c>
      <c r="B379" s="1" t="n">
        <v>45482.53388888889</v>
      </c>
      <c r="C379" s="1" t="n">
        <v>46062</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36430-2024</t>
        </is>
      </c>
      <c r="B380" s="1" t="n">
        <v>45536</v>
      </c>
      <c r="C380" s="1" t="n">
        <v>46062</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28603-2024</t>
        </is>
      </c>
      <c r="B381" s="1" t="n">
        <v>45478.42887731481</v>
      </c>
      <c r="C381" s="1" t="n">
        <v>46062</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51312-2023</t>
        </is>
      </c>
      <c r="B382" s="1" t="n">
        <v>45219.56697916667</v>
      </c>
      <c r="C382" s="1" t="n">
        <v>46062</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35640-2024</t>
        </is>
      </c>
      <c r="B383" s="1" t="n">
        <v>45531</v>
      </c>
      <c r="C383" s="1" t="n">
        <v>46062</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43212-2022</t>
        </is>
      </c>
      <c r="B384" s="1" t="n">
        <v>44834.38636574074</v>
      </c>
      <c r="C384" s="1" t="n">
        <v>46062</v>
      </c>
      <c r="D384" t="inlineStr">
        <is>
          <t>STOCKHOLMS LÄN</t>
        </is>
      </c>
      <c r="E384" t="inlineStr">
        <is>
          <t>NORRTÄLJE</t>
        </is>
      </c>
      <c r="G384" t="n">
        <v>1.3</v>
      </c>
      <c r="H384" t="n">
        <v>0</v>
      </c>
      <c r="I384" t="n">
        <v>0</v>
      </c>
      <c r="J384" t="n">
        <v>0</v>
      </c>
      <c r="K384" t="n">
        <v>0</v>
      </c>
      <c r="L384" t="n">
        <v>0</v>
      </c>
      <c r="M384" t="n">
        <v>0</v>
      </c>
      <c r="N384" t="n">
        <v>0</v>
      </c>
      <c r="O384" t="n">
        <v>0</v>
      </c>
      <c r="P384" t="n">
        <v>0</v>
      </c>
      <c r="Q384" t="n">
        <v>0</v>
      </c>
      <c r="R384" s="2" t="inlineStr"/>
    </row>
    <row r="385" ht="15" customHeight="1">
      <c r="A385" t="inlineStr">
        <is>
          <t>A 51653-2022</t>
        </is>
      </c>
      <c r="B385" s="1" t="n">
        <v>44867</v>
      </c>
      <c r="C385" s="1" t="n">
        <v>46062</v>
      </c>
      <c r="D385" t="inlineStr">
        <is>
          <t>STOCKHOLMS LÄN</t>
        </is>
      </c>
      <c r="E385" t="inlineStr">
        <is>
          <t>NORRTÄLJE</t>
        </is>
      </c>
      <c r="G385" t="n">
        <v>6.6</v>
      </c>
      <c r="H385" t="n">
        <v>0</v>
      </c>
      <c r="I385" t="n">
        <v>0</v>
      </c>
      <c r="J385" t="n">
        <v>0</v>
      </c>
      <c r="K385" t="n">
        <v>0</v>
      </c>
      <c r="L385" t="n">
        <v>0</v>
      </c>
      <c r="M385" t="n">
        <v>0</v>
      </c>
      <c r="N385" t="n">
        <v>0</v>
      </c>
      <c r="O385" t="n">
        <v>0</v>
      </c>
      <c r="P385" t="n">
        <v>0</v>
      </c>
      <c r="Q385" t="n">
        <v>0</v>
      </c>
      <c r="R385" s="2" t="inlineStr"/>
    </row>
    <row r="386" ht="15" customHeight="1">
      <c r="A386" t="inlineStr">
        <is>
          <t>A 24690-2025</t>
        </is>
      </c>
      <c r="B386" s="1" t="n">
        <v>45798.67082175926</v>
      </c>
      <c r="C386" s="1" t="n">
        <v>46062</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47259-2024</t>
        </is>
      </c>
      <c r="B387" s="1" t="n">
        <v>45586</v>
      </c>
      <c r="C387" s="1" t="n">
        <v>46062</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25702-2025</t>
        </is>
      </c>
      <c r="B388" s="1" t="n">
        <v>45800</v>
      </c>
      <c r="C388" s="1" t="n">
        <v>46062</v>
      </c>
      <c r="D388" t="inlineStr">
        <is>
          <t>STOCKHOLMS LÄN</t>
        </is>
      </c>
      <c r="E388" t="inlineStr">
        <is>
          <t>NORRTÄLJE</t>
        </is>
      </c>
      <c r="G388" t="n">
        <v>5.3</v>
      </c>
      <c r="H388" t="n">
        <v>0</v>
      </c>
      <c r="I388" t="n">
        <v>0</v>
      </c>
      <c r="J388" t="n">
        <v>0</v>
      </c>
      <c r="K388" t="n">
        <v>0</v>
      </c>
      <c r="L388" t="n">
        <v>0</v>
      </c>
      <c r="M388" t="n">
        <v>0</v>
      </c>
      <c r="N388" t="n">
        <v>0</v>
      </c>
      <c r="O388" t="n">
        <v>0</v>
      </c>
      <c r="P388" t="n">
        <v>0</v>
      </c>
      <c r="Q388" t="n">
        <v>0</v>
      </c>
      <c r="R388" s="2" t="inlineStr"/>
    </row>
    <row r="389" ht="15" customHeight="1">
      <c r="A389" t="inlineStr">
        <is>
          <t>A 4322-2023</t>
        </is>
      </c>
      <c r="B389" s="1" t="n">
        <v>44953.69298611111</v>
      </c>
      <c r="C389" s="1" t="n">
        <v>46062</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25712-2025</t>
        </is>
      </c>
      <c r="B390" s="1" t="n">
        <v>45803.69228009259</v>
      </c>
      <c r="C390" s="1" t="n">
        <v>46062</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25733-2025</t>
        </is>
      </c>
      <c r="B391" s="1" t="n">
        <v>45800</v>
      </c>
      <c r="C391" s="1" t="n">
        <v>46062</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39238-2024</t>
        </is>
      </c>
      <c r="B392" s="1" t="n">
        <v>45549</v>
      </c>
      <c r="C392" s="1" t="n">
        <v>46062</v>
      </c>
      <c r="D392" t="inlineStr">
        <is>
          <t>STOCKHOLMS LÄN</t>
        </is>
      </c>
      <c r="E392" t="inlineStr">
        <is>
          <t>NORRTÄLJE</t>
        </is>
      </c>
      <c r="G392" t="n">
        <v>3.6</v>
      </c>
      <c r="H392" t="n">
        <v>0</v>
      </c>
      <c r="I392" t="n">
        <v>0</v>
      </c>
      <c r="J392" t="n">
        <v>0</v>
      </c>
      <c r="K392" t="n">
        <v>0</v>
      </c>
      <c r="L392" t="n">
        <v>0</v>
      </c>
      <c r="M392" t="n">
        <v>0</v>
      </c>
      <c r="N392" t="n">
        <v>0</v>
      </c>
      <c r="O392" t="n">
        <v>0</v>
      </c>
      <c r="P392" t="n">
        <v>0</v>
      </c>
      <c r="Q392" t="n">
        <v>0</v>
      </c>
      <c r="R392" s="2" t="inlineStr"/>
    </row>
    <row r="393" ht="15" customHeight="1">
      <c r="A393" t="inlineStr">
        <is>
          <t>A 25571-2025</t>
        </is>
      </c>
      <c r="B393" s="1" t="n">
        <v>45803.4675</v>
      </c>
      <c r="C393" s="1" t="n">
        <v>46062</v>
      </c>
      <c r="D393" t="inlineStr">
        <is>
          <t>STOCKHOLMS LÄN</t>
        </is>
      </c>
      <c r="E393" t="inlineStr">
        <is>
          <t>NORRTÄLJE</t>
        </is>
      </c>
      <c r="G393" t="n">
        <v>5.4</v>
      </c>
      <c r="H393" t="n">
        <v>0</v>
      </c>
      <c r="I393" t="n">
        <v>0</v>
      </c>
      <c r="J393" t="n">
        <v>0</v>
      </c>
      <c r="K393" t="n">
        <v>0</v>
      </c>
      <c r="L393" t="n">
        <v>0</v>
      </c>
      <c r="M393" t="n">
        <v>0</v>
      </c>
      <c r="N393" t="n">
        <v>0</v>
      </c>
      <c r="O393" t="n">
        <v>0</v>
      </c>
      <c r="P393" t="n">
        <v>0</v>
      </c>
      <c r="Q393" t="n">
        <v>0</v>
      </c>
      <c r="R393" s="2" t="inlineStr"/>
    </row>
    <row r="394" ht="15" customHeight="1">
      <c r="A394" t="inlineStr">
        <is>
          <t>A 38990-2022</t>
        </is>
      </c>
      <c r="B394" s="1" t="n">
        <v>44816</v>
      </c>
      <c r="C394" s="1" t="n">
        <v>46062</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25721-2025</t>
        </is>
      </c>
      <c r="B395" s="1" t="n">
        <v>45800</v>
      </c>
      <c r="C395" s="1" t="n">
        <v>46062</v>
      </c>
      <c r="D395" t="inlineStr">
        <is>
          <t>STOCKHOLMS LÄN</t>
        </is>
      </c>
      <c r="E395" t="inlineStr">
        <is>
          <t>NORRTÄLJE</t>
        </is>
      </c>
      <c r="G395" t="n">
        <v>6</v>
      </c>
      <c r="H395" t="n">
        <v>0</v>
      </c>
      <c r="I395" t="n">
        <v>0</v>
      </c>
      <c r="J395" t="n">
        <v>0</v>
      </c>
      <c r="K395" t="n">
        <v>0</v>
      </c>
      <c r="L395" t="n">
        <v>0</v>
      </c>
      <c r="M395" t="n">
        <v>0</v>
      </c>
      <c r="N395" t="n">
        <v>0</v>
      </c>
      <c r="O395" t="n">
        <v>0</v>
      </c>
      <c r="P395" t="n">
        <v>0</v>
      </c>
      <c r="Q395" t="n">
        <v>0</v>
      </c>
      <c r="R395" s="2" t="inlineStr"/>
    </row>
    <row r="396" ht="15" customHeight="1">
      <c r="A396" t="inlineStr">
        <is>
          <t>A 17956-2025</t>
        </is>
      </c>
      <c r="B396" s="1" t="n">
        <v>45760.91174768518</v>
      </c>
      <c r="C396" s="1" t="n">
        <v>46062</v>
      </c>
      <c r="D396" t="inlineStr">
        <is>
          <t>STOCKHOLMS LÄN</t>
        </is>
      </c>
      <c r="E396" t="inlineStr">
        <is>
          <t>NORRTÄLJE</t>
        </is>
      </c>
      <c r="G396" t="n">
        <v>4.3</v>
      </c>
      <c r="H396" t="n">
        <v>0</v>
      </c>
      <c r="I396" t="n">
        <v>0</v>
      </c>
      <c r="J396" t="n">
        <v>0</v>
      </c>
      <c r="K396" t="n">
        <v>0</v>
      </c>
      <c r="L396" t="n">
        <v>0</v>
      </c>
      <c r="M396" t="n">
        <v>0</v>
      </c>
      <c r="N396" t="n">
        <v>0</v>
      </c>
      <c r="O396" t="n">
        <v>0</v>
      </c>
      <c r="P396" t="n">
        <v>0</v>
      </c>
      <c r="Q396" t="n">
        <v>0</v>
      </c>
      <c r="R396" s="2" t="inlineStr"/>
    </row>
    <row r="397" ht="15" customHeight="1">
      <c r="A397" t="inlineStr">
        <is>
          <t>A 875-2023</t>
        </is>
      </c>
      <c r="B397" s="1" t="n">
        <v>44931.65626157408</v>
      </c>
      <c r="C397" s="1" t="n">
        <v>46062</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31236-2022</t>
        </is>
      </c>
      <c r="B398" s="1" t="n">
        <v>44771</v>
      </c>
      <c r="C398" s="1" t="n">
        <v>46062</v>
      </c>
      <c r="D398" t="inlineStr">
        <is>
          <t>STOCKHOLMS LÄN</t>
        </is>
      </c>
      <c r="E398" t="inlineStr">
        <is>
          <t>NORRTÄLJE</t>
        </is>
      </c>
      <c r="G398" t="n">
        <v>1.7</v>
      </c>
      <c r="H398" t="n">
        <v>0</v>
      </c>
      <c r="I398" t="n">
        <v>0</v>
      </c>
      <c r="J398" t="n">
        <v>0</v>
      </c>
      <c r="K398" t="n">
        <v>0</v>
      </c>
      <c r="L398" t="n">
        <v>0</v>
      </c>
      <c r="M398" t="n">
        <v>0</v>
      </c>
      <c r="N398" t="n">
        <v>0</v>
      </c>
      <c r="O398" t="n">
        <v>0</v>
      </c>
      <c r="P398" t="n">
        <v>0</v>
      </c>
      <c r="Q398" t="n">
        <v>0</v>
      </c>
      <c r="R398" s="2" t="inlineStr"/>
    </row>
    <row r="399" ht="15" customHeight="1">
      <c r="A399" t="inlineStr">
        <is>
          <t>A 8315-2025</t>
        </is>
      </c>
      <c r="B399" s="1" t="n">
        <v>45708.61761574074</v>
      </c>
      <c r="C399" s="1" t="n">
        <v>46062</v>
      </c>
      <c r="D399" t="inlineStr">
        <is>
          <t>STOCKHOLMS LÄN</t>
        </is>
      </c>
      <c r="E399" t="inlineStr">
        <is>
          <t>NORRTÄLJE</t>
        </is>
      </c>
      <c r="G399" t="n">
        <v>3.9</v>
      </c>
      <c r="H399" t="n">
        <v>0</v>
      </c>
      <c r="I399" t="n">
        <v>0</v>
      </c>
      <c r="J399" t="n">
        <v>0</v>
      </c>
      <c r="K399" t="n">
        <v>0</v>
      </c>
      <c r="L399" t="n">
        <v>0</v>
      </c>
      <c r="M399" t="n">
        <v>0</v>
      </c>
      <c r="N399" t="n">
        <v>0</v>
      </c>
      <c r="O399" t="n">
        <v>0</v>
      </c>
      <c r="P399" t="n">
        <v>0</v>
      </c>
      <c r="Q399" t="n">
        <v>0</v>
      </c>
      <c r="R399" s="2" t="inlineStr"/>
    </row>
    <row r="400" ht="15" customHeight="1">
      <c r="A400" t="inlineStr">
        <is>
          <t>A 31281-2022</t>
        </is>
      </c>
      <c r="B400" s="1" t="n">
        <v>44771</v>
      </c>
      <c r="C400" s="1" t="n">
        <v>46062</v>
      </c>
      <c r="D400" t="inlineStr">
        <is>
          <t>STOCKHOLMS LÄN</t>
        </is>
      </c>
      <c r="E400" t="inlineStr">
        <is>
          <t>NORRTÄLJE</t>
        </is>
      </c>
      <c r="F400" t="inlineStr">
        <is>
          <t>Holmen skog AB</t>
        </is>
      </c>
      <c r="G400" t="n">
        <v>5.2</v>
      </c>
      <c r="H400" t="n">
        <v>0</v>
      </c>
      <c r="I400" t="n">
        <v>0</v>
      </c>
      <c r="J400" t="n">
        <v>0</v>
      </c>
      <c r="K400" t="n">
        <v>0</v>
      </c>
      <c r="L400" t="n">
        <v>0</v>
      </c>
      <c r="M400" t="n">
        <v>0</v>
      </c>
      <c r="N400" t="n">
        <v>0</v>
      </c>
      <c r="O400" t="n">
        <v>0</v>
      </c>
      <c r="P400" t="n">
        <v>0</v>
      </c>
      <c r="Q400" t="n">
        <v>0</v>
      </c>
      <c r="R400" s="2" t="inlineStr"/>
    </row>
    <row r="401" ht="15" customHeight="1">
      <c r="A401" t="inlineStr">
        <is>
          <t>A 25697-2025</t>
        </is>
      </c>
      <c r="B401" s="1" t="n">
        <v>45803.66587962963</v>
      </c>
      <c r="C401" s="1" t="n">
        <v>46062</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41218-2024</t>
        </is>
      </c>
      <c r="B402" s="1" t="n">
        <v>45559.54706018518</v>
      </c>
      <c r="C402" s="1" t="n">
        <v>46062</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18665-2022</t>
        </is>
      </c>
      <c r="B403" s="1" t="n">
        <v>44687</v>
      </c>
      <c r="C403" s="1" t="n">
        <v>46062</v>
      </c>
      <c r="D403" t="inlineStr">
        <is>
          <t>STOCKHOLMS LÄN</t>
        </is>
      </c>
      <c r="E403" t="inlineStr">
        <is>
          <t>NORRTÄLJE</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38449-2022</t>
        </is>
      </c>
      <c r="B404" s="1" t="n">
        <v>44813</v>
      </c>
      <c r="C404" s="1" t="n">
        <v>46062</v>
      </c>
      <c r="D404" t="inlineStr">
        <is>
          <t>STOCKHOLMS LÄN</t>
        </is>
      </c>
      <c r="E404" t="inlineStr">
        <is>
          <t>NORRTÄLJE</t>
        </is>
      </c>
      <c r="G404" t="n">
        <v>4.2</v>
      </c>
      <c r="H404" t="n">
        <v>0</v>
      </c>
      <c r="I404" t="n">
        <v>0</v>
      </c>
      <c r="J404" t="n">
        <v>0</v>
      </c>
      <c r="K404" t="n">
        <v>0</v>
      </c>
      <c r="L404" t="n">
        <v>0</v>
      </c>
      <c r="M404" t="n">
        <v>0</v>
      </c>
      <c r="N404" t="n">
        <v>0</v>
      </c>
      <c r="O404" t="n">
        <v>0</v>
      </c>
      <c r="P404" t="n">
        <v>0</v>
      </c>
      <c r="Q404" t="n">
        <v>0</v>
      </c>
      <c r="R404" s="2" t="inlineStr"/>
    </row>
    <row r="405" ht="15" customHeight="1">
      <c r="A405" t="inlineStr">
        <is>
          <t>A 38593-2025</t>
        </is>
      </c>
      <c r="B405" s="1" t="n">
        <v>45884.48696759259</v>
      </c>
      <c r="C405" s="1" t="n">
        <v>46062</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58302-2022</t>
        </is>
      </c>
      <c r="B406" s="1" t="n">
        <v>44901</v>
      </c>
      <c r="C406" s="1" t="n">
        <v>46062</v>
      </c>
      <c r="D406" t="inlineStr">
        <is>
          <t>STOCKHOLMS LÄN</t>
        </is>
      </c>
      <c r="E406" t="inlineStr">
        <is>
          <t>NORRTÄLJE</t>
        </is>
      </c>
      <c r="G406" t="n">
        <v>3.9</v>
      </c>
      <c r="H406" t="n">
        <v>0</v>
      </c>
      <c r="I406" t="n">
        <v>0</v>
      </c>
      <c r="J406" t="n">
        <v>0</v>
      </c>
      <c r="K406" t="n">
        <v>0</v>
      </c>
      <c r="L406" t="n">
        <v>0</v>
      </c>
      <c r="M406" t="n">
        <v>0</v>
      </c>
      <c r="N406" t="n">
        <v>0</v>
      </c>
      <c r="O406" t="n">
        <v>0</v>
      </c>
      <c r="P406" t="n">
        <v>0</v>
      </c>
      <c r="Q406" t="n">
        <v>0</v>
      </c>
      <c r="R406" s="2" t="inlineStr"/>
    </row>
    <row r="407" ht="15" customHeight="1">
      <c r="A407" t="inlineStr">
        <is>
          <t>A 53561-2023</t>
        </is>
      </c>
      <c r="B407" s="1" t="n">
        <v>45224</v>
      </c>
      <c r="C407" s="1" t="n">
        <v>46062</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38591-2023</t>
        </is>
      </c>
      <c r="B408" s="1" t="n">
        <v>45162</v>
      </c>
      <c r="C408" s="1" t="n">
        <v>46062</v>
      </c>
      <c r="D408" t="inlineStr">
        <is>
          <t>STOCKHOLMS LÄN</t>
        </is>
      </c>
      <c r="E408" t="inlineStr">
        <is>
          <t>NORRTÄLJE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30338-2022</t>
        </is>
      </c>
      <c r="B409" s="1" t="n">
        <v>44760</v>
      </c>
      <c r="C409" s="1" t="n">
        <v>46062</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2888-2022</t>
        </is>
      </c>
      <c r="B410" s="1" t="n">
        <v>44581</v>
      </c>
      <c r="C410" s="1" t="n">
        <v>46062</v>
      </c>
      <c r="D410" t="inlineStr">
        <is>
          <t>STOCKHOLMS LÄN</t>
        </is>
      </c>
      <c r="E410" t="inlineStr">
        <is>
          <t>NORRTÄLJE</t>
        </is>
      </c>
      <c r="G410" t="n">
        <v>2.4</v>
      </c>
      <c r="H410" t="n">
        <v>0</v>
      </c>
      <c r="I410" t="n">
        <v>0</v>
      </c>
      <c r="J410" t="n">
        <v>0</v>
      </c>
      <c r="K410" t="n">
        <v>0</v>
      </c>
      <c r="L410" t="n">
        <v>0</v>
      </c>
      <c r="M410" t="n">
        <v>0</v>
      </c>
      <c r="N410" t="n">
        <v>0</v>
      </c>
      <c r="O410" t="n">
        <v>0</v>
      </c>
      <c r="P410" t="n">
        <v>0</v>
      </c>
      <c r="Q410" t="n">
        <v>0</v>
      </c>
      <c r="R410" s="2" t="inlineStr"/>
    </row>
    <row r="411" ht="15" customHeight="1">
      <c r="A411" t="inlineStr">
        <is>
          <t>A 52686-2024</t>
        </is>
      </c>
      <c r="B411" s="1" t="n">
        <v>45610.39271990741</v>
      </c>
      <c r="C411" s="1" t="n">
        <v>46062</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20343-2024</t>
        </is>
      </c>
      <c r="B412" s="1" t="n">
        <v>45435.43466435185</v>
      </c>
      <c r="C412" s="1" t="n">
        <v>46062</v>
      </c>
      <c r="D412" t="inlineStr">
        <is>
          <t>STOCKHOLMS LÄN</t>
        </is>
      </c>
      <c r="E412" t="inlineStr">
        <is>
          <t>NORRTÄLJE</t>
        </is>
      </c>
      <c r="G412" t="n">
        <v>2.8</v>
      </c>
      <c r="H412" t="n">
        <v>0</v>
      </c>
      <c r="I412" t="n">
        <v>0</v>
      </c>
      <c r="J412" t="n">
        <v>0</v>
      </c>
      <c r="K412" t="n">
        <v>0</v>
      </c>
      <c r="L412" t="n">
        <v>0</v>
      </c>
      <c r="M412" t="n">
        <v>0</v>
      </c>
      <c r="N412" t="n">
        <v>0</v>
      </c>
      <c r="O412" t="n">
        <v>0</v>
      </c>
      <c r="P412" t="n">
        <v>0</v>
      </c>
      <c r="Q412" t="n">
        <v>0</v>
      </c>
      <c r="R412" s="2" t="inlineStr"/>
    </row>
    <row r="413" ht="15" customHeight="1">
      <c r="A413" t="inlineStr">
        <is>
          <t>A 20345-2024</t>
        </is>
      </c>
      <c r="B413" s="1" t="n">
        <v>45435.43820601852</v>
      </c>
      <c r="C413" s="1" t="n">
        <v>46062</v>
      </c>
      <c r="D413" t="inlineStr">
        <is>
          <t>STOCKHOLMS LÄN</t>
        </is>
      </c>
      <c r="E413" t="inlineStr">
        <is>
          <t>NORRTÄLJE</t>
        </is>
      </c>
      <c r="G413" t="n">
        <v>3.8</v>
      </c>
      <c r="H413" t="n">
        <v>0</v>
      </c>
      <c r="I413" t="n">
        <v>0</v>
      </c>
      <c r="J413" t="n">
        <v>0</v>
      </c>
      <c r="K413" t="n">
        <v>0</v>
      </c>
      <c r="L413" t="n">
        <v>0</v>
      </c>
      <c r="M413" t="n">
        <v>0</v>
      </c>
      <c r="N413" t="n">
        <v>0</v>
      </c>
      <c r="O413" t="n">
        <v>0</v>
      </c>
      <c r="P413" t="n">
        <v>0</v>
      </c>
      <c r="Q413" t="n">
        <v>0</v>
      </c>
      <c r="R413" s="2" t="inlineStr"/>
    </row>
    <row r="414" ht="15" customHeight="1">
      <c r="A414" t="inlineStr">
        <is>
          <t>A 9765-2024</t>
        </is>
      </c>
      <c r="B414" s="1" t="n">
        <v>45362.62811342593</v>
      </c>
      <c r="C414" s="1" t="n">
        <v>46062</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46062</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59875-2024</t>
        </is>
      </c>
      <c r="B416" s="1" t="n">
        <v>45640.58716435185</v>
      </c>
      <c r="C416" s="1" t="n">
        <v>46062</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11-2024</t>
        </is>
      </c>
      <c r="B417" s="1" t="n">
        <v>45293</v>
      </c>
      <c r="C417" s="1" t="n">
        <v>46062</v>
      </c>
      <c r="D417" t="inlineStr">
        <is>
          <t>STOCKHOLMS LÄN</t>
        </is>
      </c>
      <c r="E417" t="inlineStr">
        <is>
          <t>NORRTÄLJE</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14559-2024</t>
        </is>
      </c>
      <c r="B418" s="1" t="n">
        <v>45394.72869212963</v>
      </c>
      <c r="C418" s="1" t="n">
        <v>46062</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8433-2022</t>
        </is>
      </c>
      <c r="B419" s="1" t="n">
        <v>44611</v>
      </c>
      <c r="C419" s="1" t="n">
        <v>46062</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46062</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39152-2025</t>
        </is>
      </c>
      <c r="B421" s="1" t="n">
        <v>45888</v>
      </c>
      <c r="C421" s="1" t="n">
        <v>46062</v>
      </c>
      <c r="D421" t="inlineStr">
        <is>
          <t>STOCKHOLMS LÄN</t>
        </is>
      </c>
      <c r="E421" t="inlineStr">
        <is>
          <t>NORRTÄLJE</t>
        </is>
      </c>
      <c r="G421" t="n">
        <v>4.6</v>
      </c>
      <c r="H421" t="n">
        <v>0</v>
      </c>
      <c r="I421" t="n">
        <v>0</v>
      </c>
      <c r="J421" t="n">
        <v>0</v>
      </c>
      <c r="K421" t="n">
        <v>0</v>
      </c>
      <c r="L421" t="n">
        <v>0</v>
      </c>
      <c r="M421" t="n">
        <v>0</v>
      </c>
      <c r="N421" t="n">
        <v>0</v>
      </c>
      <c r="O421" t="n">
        <v>0</v>
      </c>
      <c r="P421" t="n">
        <v>0</v>
      </c>
      <c r="Q421" t="n">
        <v>0</v>
      </c>
      <c r="R421" s="2" t="inlineStr"/>
    </row>
    <row r="422" ht="15" customHeight="1">
      <c r="A422" t="inlineStr">
        <is>
          <t>A 25525-2022</t>
        </is>
      </c>
      <c r="B422" s="1" t="n">
        <v>44732</v>
      </c>
      <c r="C422" s="1" t="n">
        <v>46062</v>
      </c>
      <c r="D422" t="inlineStr">
        <is>
          <t>STOCKHOLMS LÄN</t>
        </is>
      </c>
      <c r="E422" t="inlineStr">
        <is>
          <t>NORRTÄLJE</t>
        </is>
      </c>
      <c r="G422" t="n">
        <v>2.2</v>
      </c>
      <c r="H422" t="n">
        <v>0</v>
      </c>
      <c r="I422" t="n">
        <v>0</v>
      </c>
      <c r="J422" t="n">
        <v>0</v>
      </c>
      <c r="K422" t="n">
        <v>0</v>
      </c>
      <c r="L422" t="n">
        <v>0</v>
      </c>
      <c r="M422" t="n">
        <v>0</v>
      </c>
      <c r="N422" t="n">
        <v>0</v>
      </c>
      <c r="O422" t="n">
        <v>0</v>
      </c>
      <c r="P422" t="n">
        <v>0</v>
      </c>
      <c r="Q422" t="n">
        <v>0</v>
      </c>
      <c r="R422" s="2" t="inlineStr"/>
    </row>
    <row r="423" ht="15" customHeight="1">
      <c r="A423" t="inlineStr">
        <is>
          <t>A 26708-2025</t>
        </is>
      </c>
      <c r="B423" s="1" t="n">
        <v>45810.45633101852</v>
      </c>
      <c r="C423" s="1" t="n">
        <v>46062</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12302-2025</t>
        </is>
      </c>
      <c r="B424" s="1" t="n">
        <v>45729.72851851852</v>
      </c>
      <c r="C424" s="1" t="n">
        <v>46062</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26702-2025</t>
        </is>
      </c>
      <c r="B425" s="1" t="n">
        <v>45810.45236111111</v>
      </c>
      <c r="C425" s="1" t="n">
        <v>46062</v>
      </c>
      <c r="D425" t="inlineStr">
        <is>
          <t>STOCKHOLMS LÄN</t>
        </is>
      </c>
      <c r="E425" t="inlineStr">
        <is>
          <t>NORRTÄLJE</t>
        </is>
      </c>
      <c r="G425" t="n">
        <v>7.3</v>
      </c>
      <c r="H425" t="n">
        <v>0</v>
      </c>
      <c r="I425" t="n">
        <v>0</v>
      </c>
      <c r="J425" t="n">
        <v>0</v>
      </c>
      <c r="K425" t="n">
        <v>0</v>
      </c>
      <c r="L425" t="n">
        <v>0</v>
      </c>
      <c r="M425" t="n">
        <v>0</v>
      </c>
      <c r="N425" t="n">
        <v>0</v>
      </c>
      <c r="O425" t="n">
        <v>0</v>
      </c>
      <c r="P425" t="n">
        <v>0</v>
      </c>
      <c r="Q425" t="n">
        <v>0</v>
      </c>
      <c r="R425" s="2" t="inlineStr"/>
    </row>
    <row r="426" ht="15" customHeight="1">
      <c r="A426" t="inlineStr">
        <is>
          <t>A 38889-2024</t>
        </is>
      </c>
      <c r="B426" s="1" t="n">
        <v>45547</v>
      </c>
      <c r="C426" s="1" t="n">
        <v>46062</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45451-2024</t>
        </is>
      </c>
      <c r="B427" s="1" t="n">
        <v>45576</v>
      </c>
      <c r="C427" s="1" t="n">
        <v>46062</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46062</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23061-2025</t>
        </is>
      </c>
      <c r="B429" s="1" t="n">
        <v>45790.81410879629</v>
      </c>
      <c r="C429" s="1" t="n">
        <v>46062</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27040-2025</t>
        </is>
      </c>
      <c r="B430" s="1" t="n">
        <v>45811.60451388889</v>
      </c>
      <c r="C430" s="1" t="n">
        <v>46062</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26747-2025</t>
        </is>
      </c>
      <c r="B431" s="1" t="n">
        <v>45810.5333912037</v>
      </c>
      <c r="C431" s="1" t="n">
        <v>46062</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39692-2025</t>
        </is>
      </c>
      <c r="B432" s="1" t="n">
        <v>45890.68083333333</v>
      </c>
      <c r="C432" s="1" t="n">
        <v>46062</v>
      </c>
      <c r="D432" t="inlineStr">
        <is>
          <t>STOCKHOLMS LÄN</t>
        </is>
      </c>
      <c r="E432" t="inlineStr">
        <is>
          <t>NORRTÄLJE</t>
        </is>
      </c>
      <c r="G432" t="n">
        <v>10.5</v>
      </c>
      <c r="H432" t="n">
        <v>0</v>
      </c>
      <c r="I432" t="n">
        <v>0</v>
      </c>
      <c r="J432" t="n">
        <v>0</v>
      </c>
      <c r="K432" t="n">
        <v>0</v>
      </c>
      <c r="L432" t="n">
        <v>0</v>
      </c>
      <c r="M432" t="n">
        <v>0</v>
      </c>
      <c r="N432" t="n">
        <v>0</v>
      </c>
      <c r="O432" t="n">
        <v>0</v>
      </c>
      <c r="P432" t="n">
        <v>0</v>
      </c>
      <c r="Q432" t="n">
        <v>0</v>
      </c>
      <c r="R432" s="2" t="inlineStr"/>
    </row>
    <row r="433" ht="15" customHeight="1">
      <c r="A433" t="inlineStr">
        <is>
          <t>A 26675-2025</t>
        </is>
      </c>
      <c r="B433" s="1" t="n">
        <v>45810.42393518519</v>
      </c>
      <c r="C433" s="1" t="n">
        <v>46062</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27554-2025</t>
        </is>
      </c>
      <c r="B434" s="1" t="n">
        <v>45813.4709375</v>
      </c>
      <c r="C434" s="1" t="n">
        <v>46062</v>
      </c>
      <c r="D434" t="inlineStr">
        <is>
          <t>STOCKHOLMS LÄN</t>
        </is>
      </c>
      <c r="E434" t="inlineStr">
        <is>
          <t>NORRTÄLJE</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35639-2025</t>
        </is>
      </c>
      <c r="B435" s="1" t="n">
        <v>45859</v>
      </c>
      <c r="C435" s="1" t="n">
        <v>46062</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26644-2024</t>
        </is>
      </c>
      <c r="B436" s="1" t="n">
        <v>45469</v>
      </c>
      <c r="C436" s="1" t="n">
        <v>46062</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35636-2025</t>
        </is>
      </c>
      <c r="B437" s="1" t="n">
        <v>45859</v>
      </c>
      <c r="C437" s="1" t="n">
        <v>46062</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27700-2025</t>
        </is>
      </c>
      <c r="B438" s="1" t="n">
        <v>45813.6799537037</v>
      </c>
      <c r="C438" s="1" t="n">
        <v>46062</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27697-2025</t>
        </is>
      </c>
      <c r="B439" s="1" t="n">
        <v>45813.66961805556</v>
      </c>
      <c r="C439" s="1" t="n">
        <v>46062</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2982-2023</t>
        </is>
      </c>
      <c r="B440" s="1" t="n">
        <v>44945.67409722223</v>
      </c>
      <c r="C440" s="1" t="n">
        <v>46062</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27802-2025</t>
        </is>
      </c>
      <c r="B441" s="1" t="n">
        <v>45817.2565625</v>
      </c>
      <c r="C441" s="1" t="n">
        <v>46062</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27806-2025</t>
        </is>
      </c>
      <c r="B442" s="1" t="n">
        <v>45817.30329861111</v>
      </c>
      <c r="C442" s="1" t="n">
        <v>46062</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27808-2025</t>
        </is>
      </c>
      <c r="B443" s="1" t="n">
        <v>45817.31085648148</v>
      </c>
      <c r="C443" s="1" t="n">
        <v>46062</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27810-2025</t>
        </is>
      </c>
      <c r="B444" s="1" t="n">
        <v>45817.31708333334</v>
      </c>
      <c r="C444" s="1" t="n">
        <v>46062</v>
      </c>
      <c r="D444" t="inlineStr">
        <is>
          <t>STOCKHOLMS LÄN</t>
        </is>
      </c>
      <c r="E444" t="inlineStr">
        <is>
          <t>NORRTÄLJE</t>
        </is>
      </c>
      <c r="G444" t="n">
        <v>3.9</v>
      </c>
      <c r="H444" t="n">
        <v>0</v>
      </c>
      <c r="I444" t="n">
        <v>0</v>
      </c>
      <c r="J444" t="n">
        <v>0</v>
      </c>
      <c r="K444" t="n">
        <v>0</v>
      </c>
      <c r="L444" t="n">
        <v>0</v>
      </c>
      <c r="M444" t="n">
        <v>0</v>
      </c>
      <c r="N444" t="n">
        <v>0</v>
      </c>
      <c r="O444" t="n">
        <v>0</v>
      </c>
      <c r="P444" t="n">
        <v>0</v>
      </c>
      <c r="Q444" t="n">
        <v>0</v>
      </c>
      <c r="R444" s="2" t="inlineStr"/>
    </row>
    <row r="445" ht="15" customHeight="1">
      <c r="A445" t="inlineStr">
        <is>
          <t>A 27811-2025</t>
        </is>
      </c>
      <c r="B445" s="1" t="n">
        <v>45817.31986111111</v>
      </c>
      <c r="C445" s="1" t="n">
        <v>46062</v>
      </c>
      <c r="D445" t="inlineStr">
        <is>
          <t>STOCKHOLMS LÄN</t>
        </is>
      </c>
      <c r="E445" t="inlineStr">
        <is>
          <t>NORRTÄLJE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27818-2025</t>
        </is>
      </c>
      <c r="B446" s="1" t="n">
        <v>45817.33503472222</v>
      </c>
      <c r="C446" s="1" t="n">
        <v>46062</v>
      </c>
      <c r="D446" t="inlineStr">
        <is>
          <t>STOCKHOLMS LÄN</t>
        </is>
      </c>
      <c r="E446" t="inlineStr">
        <is>
          <t>NORRTÄLJE</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12535-2025</t>
        </is>
      </c>
      <c r="B447" s="1" t="n">
        <v>45730.69502314815</v>
      </c>
      <c r="C447" s="1" t="n">
        <v>46062</v>
      </c>
      <c r="D447" t="inlineStr">
        <is>
          <t>STOCKHOLMS LÄN</t>
        </is>
      </c>
      <c r="E447" t="inlineStr">
        <is>
          <t>NORRTÄLJE</t>
        </is>
      </c>
      <c r="G447" t="n">
        <v>7.1</v>
      </c>
      <c r="H447" t="n">
        <v>0</v>
      </c>
      <c r="I447" t="n">
        <v>0</v>
      </c>
      <c r="J447" t="n">
        <v>0</v>
      </c>
      <c r="K447" t="n">
        <v>0</v>
      </c>
      <c r="L447" t="n">
        <v>0</v>
      </c>
      <c r="M447" t="n">
        <v>0</v>
      </c>
      <c r="N447" t="n">
        <v>0</v>
      </c>
      <c r="O447" t="n">
        <v>0</v>
      </c>
      <c r="P447" t="n">
        <v>0</v>
      </c>
      <c r="Q447" t="n">
        <v>0</v>
      </c>
      <c r="R447" s="2" t="inlineStr"/>
    </row>
    <row r="448" ht="15" customHeight="1">
      <c r="A448" t="inlineStr">
        <is>
          <t>A 40172-2025</t>
        </is>
      </c>
      <c r="B448" s="1" t="n">
        <v>45894.6353125</v>
      </c>
      <c r="C448" s="1" t="n">
        <v>46062</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40033-2025</t>
        </is>
      </c>
      <c r="B449" s="1" t="n">
        <v>45893</v>
      </c>
      <c r="C449" s="1" t="n">
        <v>46062</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40032-2025</t>
        </is>
      </c>
      <c r="B450" s="1" t="n">
        <v>45893</v>
      </c>
      <c r="C450" s="1" t="n">
        <v>46062</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46062</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46062</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40228-2025</t>
        </is>
      </c>
      <c r="B453" s="1" t="n">
        <v>45894.70854166667</v>
      </c>
      <c r="C453" s="1" t="n">
        <v>46062</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27801-2025</t>
        </is>
      </c>
      <c r="B454" s="1" t="n">
        <v>45817.25471064815</v>
      </c>
      <c r="C454" s="1" t="n">
        <v>46062</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37136-2023</t>
        </is>
      </c>
      <c r="B455" s="1" t="n">
        <v>45155</v>
      </c>
      <c r="C455" s="1" t="n">
        <v>46062</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18787-2022</t>
        </is>
      </c>
      <c r="B456" s="1" t="n">
        <v>44687</v>
      </c>
      <c r="C456" s="1" t="n">
        <v>46062</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13718-2022</t>
        </is>
      </c>
      <c r="B457" s="1" t="n">
        <v>44649</v>
      </c>
      <c r="C457" s="1" t="n">
        <v>46062</v>
      </c>
      <c r="D457" t="inlineStr">
        <is>
          <t>STOCKHOLMS LÄN</t>
        </is>
      </c>
      <c r="E457" t="inlineStr">
        <is>
          <t>NORRTÄLJE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46062</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46062</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27813-2025</t>
        </is>
      </c>
      <c r="B460" s="1" t="n">
        <v>45817.32538194444</v>
      </c>
      <c r="C460" s="1" t="n">
        <v>46062</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40230-2025</t>
        </is>
      </c>
      <c r="B461" s="1" t="n">
        <v>45894.71101851852</v>
      </c>
      <c r="C461" s="1" t="n">
        <v>46062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36269-2022</t>
        </is>
      </c>
      <c r="B462" s="1" t="n">
        <v>44803</v>
      </c>
      <c r="C462" s="1" t="n">
        <v>46062</v>
      </c>
      <c r="D462" t="inlineStr">
        <is>
          <t>STOCKHOLMS LÄN</t>
        </is>
      </c>
      <c r="E462" t="inlineStr">
        <is>
          <t>NORRTÄLJE</t>
        </is>
      </c>
      <c r="G462" t="n">
        <v>2.3</v>
      </c>
      <c r="H462" t="n">
        <v>0</v>
      </c>
      <c r="I462" t="n">
        <v>0</v>
      </c>
      <c r="J462" t="n">
        <v>0</v>
      </c>
      <c r="K462" t="n">
        <v>0</v>
      </c>
      <c r="L462" t="n">
        <v>0</v>
      </c>
      <c r="M462" t="n">
        <v>0</v>
      </c>
      <c r="N462" t="n">
        <v>0</v>
      </c>
      <c r="O462" t="n">
        <v>0</v>
      </c>
      <c r="P462" t="n">
        <v>0</v>
      </c>
      <c r="Q462" t="n">
        <v>0</v>
      </c>
      <c r="R462" s="2" t="inlineStr"/>
    </row>
    <row r="463" ht="15" customHeight="1">
      <c r="A463" t="inlineStr">
        <is>
          <t>A 36308-2022</t>
        </is>
      </c>
      <c r="B463" s="1" t="n">
        <v>44803</v>
      </c>
      <c r="C463" s="1" t="n">
        <v>46062</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27821-2025</t>
        </is>
      </c>
      <c r="B464" s="1" t="n">
        <v>45817.34083333334</v>
      </c>
      <c r="C464" s="1" t="n">
        <v>46062</v>
      </c>
      <c r="D464" t="inlineStr">
        <is>
          <t>STOCKHOLMS LÄN</t>
        </is>
      </c>
      <c r="E464" t="inlineStr">
        <is>
          <t>NORRTÄLJE</t>
        </is>
      </c>
      <c r="G464" t="n">
        <v>3.2</v>
      </c>
      <c r="H464" t="n">
        <v>0</v>
      </c>
      <c r="I464" t="n">
        <v>0</v>
      </c>
      <c r="J464" t="n">
        <v>0</v>
      </c>
      <c r="K464" t="n">
        <v>0</v>
      </c>
      <c r="L464" t="n">
        <v>0</v>
      </c>
      <c r="M464" t="n">
        <v>0</v>
      </c>
      <c r="N464" t="n">
        <v>0</v>
      </c>
      <c r="O464" t="n">
        <v>0</v>
      </c>
      <c r="P464" t="n">
        <v>0</v>
      </c>
      <c r="Q464" t="n">
        <v>0</v>
      </c>
      <c r="R464" s="2" t="inlineStr"/>
    </row>
    <row r="465" ht="15" customHeight="1">
      <c r="A465" t="inlineStr">
        <is>
          <t>A 40217-2025</t>
        </is>
      </c>
      <c r="B465" s="1" t="n">
        <v>45894.68864583333</v>
      </c>
      <c r="C465" s="1" t="n">
        <v>46062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40097-2025</t>
        </is>
      </c>
      <c r="B466" s="1" t="n">
        <v>45894.48322916667</v>
      </c>
      <c r="C466" s="1" t="n">
        <v>46062</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40829-2025</t>
        </is>
      </c>
      <c r="B467" s="1" t="n">
        <v>45897.50802083333</v>
      </c>
      <c r="C467" s="1" t="n">
        <v>46062</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6919-2025</t>
        </is>
      </c>
      <c r="B468" s="1" t="n">
        <v>45701.44372685185</v>
      </c>
      <c r="C468" s="1" t="n">
        <v>46062</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40837-2025</t>
        </is>
      </c>
      <c r="B469" s="1" t="n">
        <v>45897.51328703704</v>
      </c>
      <c r="C469" s="1" t="n">
        <v>46062</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32100-2022</t>
        </is>
      </c>
      <c r="B470" s="1" t="n">
        <v>44778</v>
      </c>
      <c r="C470" s="1" t="n">
        <v>46062</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46062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11332-2025</t>
        </is>
      </c>
      <c r="B472" s="1" t="n">
        <v>45726.48152777777</v>
      </c>
      <c r="C472" s="1" t="n">
        <v>46062</v>
      </c>
      <c r="D472" t="inlineStr">
        <is>
          <t>STOCKHOLMS LÄN</t>
        </is>
      </c>
      <c r="E472" t="inlineStr">
        <is>
          <t>NORRTÄLJE</t>
        </is>
      </c>
      <c r="G472" t="n">
        <v>4.6</v>
      </c>
      <c r="H472" t="n">
        <v>0</v>
      </c>
      <c r="I472" t="n">
        <v>0</v>
      </c>
      <c r="J472" t="n">
        <v>0</v>
      </c>
      <c r="K472" t="n">
        <v>0</v>
      </c>
      <c r="L472" t="n">
        <v>0</v>
      </c>
      <c r="M472" t="n">
        <v>0</v>
      </c>
      <c r="N472" t="n">
        <v>0</v>
      </c>
      <c r="O472" t="n">
        <v>0</v>
      </c>
      <c r="P472" t="n">
        <v>0</v>
      </c>
      <c r="Q472" t="n">
        <v>0</v>
      </c>
      <c r="R472" s="2" t="inlineStr"/>
    </row>
    <row r="473" ht="15" customHeight="1">
      <c r="A473" t="inlineStr">
        <is>
          <t>A 37444-2021</t>
        </is>
      </c>
      <c r="B473" s="1" t="n">
        <v>44398</v>
      </c>
      <c r="C473" s="1" t="n">
        <v>46062</v>
      </c>
      <c r="D473" t="inlineStr">
        <is>
          <t>STOCKHOLMS LÄN</t>
        </is>
      </c>
      <c r="E473" t="inlineStr">
        <is>
          <t>NORRTÄLJE</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40831-2025</t>
        </is>
      </c>
      <c r="B474" s="1" t="n">
        <v>45897.51077546296</v>
      </c>
      <c r="C474" s="1" t="n">
        <v>46062</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30886-2022</t>
        </is>
      </c>
      <c r="B475" s="1" t="n">
        <v>44767.60601851852</v>
      </c>
      <c r="C475" s="1" t="n">
        <v>46062</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9654-2022</t>
        </is>
      </c>
      <c r="B476" s="1" t="n">
        <v>44617</v>
      </c>
      <c r="C476" s="1" t="n">
        <v>46062</v>
      </c>
      <c r="D476" t="inlineStr">
        <is>
          <t>STOCKHOLMS LÄN</t>
        </is>
      </c>
      <c r="E476" t="inlineStr">
        <is>
          <t>NORRTÄLJE</t>
        </is>
      </c>
      <c r="G476" t="n">
        <v>6.4</v>
      </c>
      <c r="H476" t="n">
        <v>0</v>
      </c>
      <c r="I476" t="n">
        <v>0</v>
      </c>
      <c r="J476" t="n">
        <v>0</v>
      </c>
      <c r="K476" t="n">
        <v>0</v>
      </c>
      <c r="L476" t="n">
        <v>0</v>
      </c>
      <c r="M476" t="n">
        <v>0</v>
      </c>
      <c r="N476" t="n">
        <v>0</v>
      </c>
      <c r="O476" t="n">
        <v>0</v>
      </c>
      <c r="P476" t="n">
        <v>0</v>
      </c>
      <c r="Q476" t="n">
        <v>0</v>
      </c>
      <c r="R476" s="2" t="inlineStr"/>
    </row>
    <row r="477" ht="15" customHeight="1">
      <c r="A477" t="inlineStr">
        <is>
          <t>A 1453-2025</t>
        </is>
      </c>
      <c r="B477" s="1" t="n">
        <v>45670.3079050926</v>
      </c>
      <c r="C477" s="1" t="n">
        <v>46062</v>
      </c>
      <c r="D477" t="inlineStr">
        <is>
          <t>STOCKHOLMS LÄN</t>
        </is>
      </c>
      <c r="E477" t="inlineStr">
        <is>
          <t>NORRTÄLJE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46062</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41158-2025</t>
        </is>
      </c>
      <c r="B479" s="1" t="n">
        <v>45898.5315625</v>
      </c>
      <c r="C479" s="1" t="n">
        <v>46062</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50907-2022</t>
        </is>
      </c>
      <c r="B480" s="1" t="n">
        <v>44867.62090277778</v>
      </c>
      <c r="C480" s="1" t="n">
        <v>46062</v>
      </c>
      <c r="D480" t="inlineStr">
        <is>
          <t>STOCKHOLMS LÄN</t>
        </is>
      </c>
      <c r="E480" t="inlineStr">
        <is>
          <t>NORRTÄLJE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15733-2025</t>
        </is>
      </c>
      <c r="B481" s="1" t="n">
        <v>45748</v>
      </c>
      <c r="C481" s="1" t="n">
        <v>46062</v>
      </c>
      <c r="D481" t="inlineStr">
        <is>
          <t>STOCKHOLMS LÄN</t>
        </is>
      </c>
      <c r="E481" t="inlineStr">
        <is>
          <t>NORRTÄLJE</t>
        </is>
      </c>
      <c r="G481" t="n">
        <v>13.3</v>
      </c>
      <c r="H481" t="n">
        <v>0</v>
      </c>
      <c r="I481" t="n">
        <v>0</v>
      </c>
      <c r="J481" t="n">
        <v>0</v>
      </c>
      <c r="K481" t="n">
        <v>0</v>
      </c>
      <c r="L481" t="n">
        <v>0</v>
      </c>
      <c r="M481" t="n">
        <v>0</v>
      </c>
      <c r="N481" t="n">
        <v>0</v>
      </c>
      <c r="O481" t="n">
        <v>0</v>
      </c>
      <c r="P481" t="n">
        <v>0</v>
      </c>
      <c r="Q481" t="n">
        <v>0</v>
      </c>
      <c r="R481" s="2" t="inlineStr"/>
    </row>
    <row r="482" ht="15" customHeight="1">
      <c r="A482" t="inlineStr">
        <is>
          <t>A 29003-2023</t>
        </is>
      </c>
      <c r="B482" s="1" t="n">
        <v>45104</v>
      </c>
      <c r="C482" s="1" t="n">
        <v>46062</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19058-2024</t>
        </is>
      </c>
      <c r="B483" s="1" t="n">
        <v>45427.89121527778</v>
      </c>
      <c r="C483" s="1" t="n">
        <v>46062</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41053-2025</t>
        </is>
      </c>
      <c r="B484" s="1" t="n">
        <v>45898.40480324074</v>
      </c>
      <c r="C484" s="1" t="n">
        <v>46062</v>
      </c>
      <c r="D484" t="inlineStr">
        <is>
          <t>STOCKHOLMS LÄN</t>
        </is>
      </c>
      <c r="E484" t="inlineStr">
        <is>
          <t>NORRTÄLJE</t>
        </is>
      </c>
      <c r="F484" t="inlineStr">
        <is>
          <t>Holmen skog AB</t>
        </is>
      </c>
      <c r="G484" t="n">
        <v>2.5</v>
      </c>
      <c r="H484" t="n">
        <v>0</v>
      </c>
      <c r="I484" t="n">
        <v>0</v>
      </c>
      <c r="J484" t="n">
        <v>0</v>
      </c>
      <c r="K484" t="n">
        <v>0</v>
      </c>
      <c r="L484" t="n">
        <v>0</v>
      </c>
      <c r="M484" t="n">
        <v>0</v>
      </c>
      <c r="N484" t="n">
        <v>0</v>
      </c>
      <c r="O484" t="n">
        <v>0</v>
      </c>
      <c r="P484" t="n">
        <v>0</v>
      </c>
      <c r="Q484" t="n">
        <v>0</v>
      </c>
      <c r="R484" s="2" t="inlineStr"/>
    </row>
    <row r="485" ht="15" customHeight="1">
      <c r="A485" t="inlineStr">
        <is>
          <t>A 41275-2025</t>
        </is>
      </c>
      <c r="B485" s="1" t="n">
        <v>45898.62625</v>
      </c>
      <c r="C485" s="1" t="n">
        <v>46062</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41272-2025</t>
        </is>
      </c>
      <c r="B486" s="1" t="n">
        <v>45898.62373842593</v>
      </c>
      <c r="C486" s="1" t="n">
        <v>46062</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33295-2023</t>
        </is>
      </c>
      <c r="B487" s="1" t="n">
        <v>45127.69371527778</v>
      </c>
      <c r="C487" s="1" t="n">
        <v>46062</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14127-2025</t>
        </is>
      </c>
      <c r="B488" s="1" t="n">
        <v>45740.47055555556</v>
      </c>
      <c r="C488" s="1" t="n">
        <v>46062</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15528-2025</t>
        </is>
      </c>
      <c r="B489" s="1" t="n">
        <v>45747.63471064815</v>
      </c>
      <c r="C489" s="1" t="n">
        <v>46062</v>
      </c>
      <c r="D489" t="inlineStr">
        <is>
          <t>STOCKHOLMS LÄN</t>
        </is>
      </c>
      <c r="E489" t="inlineStr">
        <is>
          <t>NORRTÄLJE</t>
        </is>
      </c>
      <c r="G489" t="n">
        <v>10</v>
      </c>
      <c r="H489" t="n">
        <v>0</v>
      </c>
      <c r="I489" t="n">
        <v>0</v>
      </c>
      <c r="J489" t="n">
        <v>0</v>
      </c>
      <c r="K489" t="n">
        <v>0</v>
      </c>
      <c r="L489" t="n">
        <v>0</v>
      </c>
      <c r="M489" t="n">
        <v>0</v>
      </c>
      <c r="N489" t="n">
        <v>0</v>
      </c>
      <c r="O489" t="n">
        <v>0</v>
      </c>
      <c r="P489" t="n">
        <v>0</v>
      </c>
      <c r="Q489" t="n">
        <v>0</v>
      </c>
      <c r="R489" s="2" t="inlineStr"/>
    </row>
    <row r="490" ht="15" customHeight="1">
      <c r="A490" t="inlineStr">
        <is>
          <t>A 11901-2024</t>
        </is>
      </c>
      <c r="B490" s="1" t="n">
        <v>45376.55638888889</v>
      </c>
      <c r="C490" s="1" t="n">
        <v>46062</v>
      </c>
      <c r="D490" t="inlineStr">
        <is>
          <t>STOCKHOLMS LÄN</t>
        </is>
      </c>
      <c r="E490" t="inlineStr">
        <is>
          <t>NORRTÄLJE</t>
        </is>
      </c>
      <c r="F490" t="inlineStr">
        <is>
          <t>Holmen skog AB</t>
        </is>
      </c>
      <c r="G490" t="n">
        <v>3.5</v>
      </c>
      <c r="H490" t="n">
        <v>0</v>
      </c>
      <c r="I490" t="n">
        <v>0</v>
      </c>
      <c r="J490" t="n">
        <v>0</v>
      </c>
      <c r="K490" t="n">
        <v>0</v>
      </c>
      <c r="L490" t="n">
        <v>0</v>
      </c>
      <c r="M490" t="n">
        <v>0</v>
      </c>
      <c r="N490" t="n">
        <v>0</v>
      </c>
      <c r="O490" t="n">
        <v>0</v>
      </c>
      <c r="P490" t="n">
        <v>0</v>
      </c>
      <c r="Q490" t="n">
        <v>0</v>
      </c>
      <c r="R490" s="2" t="inlineStr"/>
    </row>
    <row r="491" ht="15" customHeight="1">
      <c r="A491" t="inlineStr">
        <is>
          <t>A 16980-2023</t>
        </is>
      </c>
      <c r="B491" s="1" t="n">
        <v>45033</v>
      </c>
      <c r="C491" s="1" t="n">
        <v>46062</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41301-2025</t>
        </is>
      </c>
      <c r="B492" s="1" t="n">
        <v>45898.68826388889</v>
      </c>
      <c r="C492" s="1" t="n">
        <v>46062</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32595-2023</t>
        </is>
      </c>
      <c r="B493" s="1" t="n">
        <v>45121</v>
      </c>
      <c r="C493" s="1" t="n">
        <v>46062</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41174-2025</t>
        </is>
      </c>
      <c r="B494" s="1" t="n">
        <v>45898.54921296296</v>
      </c>
      <c r="C494" s="1" t="n">
        <v>46062</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41030-2025</t>
        </is>
      </c>
      <c r="B495" s="1" t="n">
        <v>45898.37636574074</v>
      </c>
      <c r="C495" s="1" t="n">
        <v>46062</v>
      </c>
      <c r="D495" t="inlineStr">
        <is>
          <t>STOCKHOLMS LÄN</t>
        </is>
      </c>
      <c r="E495" t="inlineStr">
        <is>
          <t>NORRTÄLJE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41036-2025</t>
        </is>
      </c>
      <c r="B496" s="1" t="n">
        <v>45898.38552083333</v>
      </c>
      <c r="C496" s="1" t="n">
        <v>46062</v>
      </c>
      <c r="D496" t="inlineStr">
        <is>
          <t>STOCKHOLMS LÄN</t>
        </is>
      </c>
      <c r="E496" t="inlineStr">
        <is>
          <t>NORRTÄLJE</t>
        </is>
      </c>
      <c r="F496" t="inlineStr">
        <is>
          <t>Holmen skog AB</t>
        </is>
      </c>
      <c r="G496" t="n">
        <v>2.7</v>
      </c>
      <c r="H496" t="n">
        <v>0</v>
      </c>
      <c r="I496" t="n">
        <v>0</v>
      </c>
      <c r="J496" t="n">
        <v>0</v>
      </c>
      <c r="K496" t="n">
        <v>0</v>
      </c>
      <c r="L496" t="n">
        <v>0</v>
      </c>
      <c r="M496" t="n">
        <v>0</v>
      </c>
      <c r="N496" t="n">
        <v>0</v>
      </c>
      <c r="O496" t="n">
        <v>0</v>
      </c>
      <c r="P496" t="n">
        <v>0</v>
      </c>
      <c r="Q496" t="n">
        <v>0</v>
      </c>
      <c r="R496" s="2" t="inlineStr"/>
    </row>
    <row r="497" ht="15" customHeight="1">
      <c r="A497" t="inlineStr">
        <is>
          <t>A 41106-2025</t>
        </is>
      </c>
      <c r="B497" s="1" t="n">
        <v>45898.45636574074</v>
      </c>
      <c r="C497" s="1" t="n">
        <v>46062</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41110-2025</t>
        </is>
      </c>
      <c r="B498" s="1" t="n">
        <v>45898.45976851852</v>
      </c>
      <c r="C498" s="1" t="n">
        <v>46062</v>
      </c>
      <c r="D498" t="inlineStr">
        <is>
          <t>STOCKHOLMS LÄN</t>
        </is>
      </c>
      <c r="E498" t="inlineStr">
        <is>
          <t>NORRTÄLJE</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41259-2025</t>
        </is>
      </c>
      <c r="B499" s="1" t="n">
        <v>45898.61054398148</v>
      </c>
      <c r="C499" s="1" t="n">
        <v>46062</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10511-2025</t>
        </is>
      </c>
      <c r="B500" s="1" t="n">
        <v>45721.40780092592</v>
      </c>
      <c r="C500" s="1" t="n">
        <v>46062</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37550-2022</t>
        </is>
      </c>
      <c r="B501" s="1" t="n">
        <v>44809</v>
      </c>
      <c r="C501" s="1" t="n">
        <v>46062</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44075-2023</t>
        </is>
      </c>
      <c r="B502" s="1" t="n">
        <v>45188.41637731482</v>
      </c>
      <c r="C502" s="1" t="n">
        <v>46062</v>
      </c>
      <c r="D502" t="inlineStr">
        <is>
          <t>STOCKHOLMS LÄN</t>
        </is>
      </c>
      <c r="E502" t="inlineStr">
        <is>
          <t>NORRTÄLJE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19057-2024</t>
        </is>
      </c>
      <c r="B503" s="1" t="n">
        <v>45427.88731481481</v>
      </c>
      <c r="C503" s="1" t="n">
        <v>46062</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41966-2025</t>
        </is>
      </c>
      <c r="B504" s="1" t="n">
        <v>45903.47456018518</v>
      </c>
      <c r="C504" s="1" t="n">
        <v>46062</v>
      </c>
      <c r="D504" t="inlineStr">
        <is>
          <t>STOCKHOLMS LÄN</t>
        </is>
      </c>
      <c r="E504" t="inlineStr">
        <is>
          <t>NORRTÄLJE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42038-2025</t>
        </is>
      </c>
      <c r="B505" s="1" t="n">
        <v>45903.61431712963</v>
      </c>
      <c r="C505" s="1" t="n">
        <v>46062</v>
      </c>
      <c r="D505" t="inlineStr">
        <is>
          <t>STOCKHOLMS LÄN</t>
        </is>
      </c>
      <c r="E505" t="inlineStr">
        <is>
          <t>NORRTÄLJE</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48161-2022</t>
        </is>
      </c>
      <c r="B506" s="1" t="n">
        <v>44858</v>
      </c>
      <c r="C506" s="1" t="n">
        <v>46062</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48798-2021</t>
        </is>
      </c>
      <c r="B507" s="1" t="n">
        <v>44452</v>
      </c>
      <c r="C507" s="1" t="n">
        <v>46062</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46062</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41964-2025</t>
        </is>
      </c>
      <c r="B509" s="1" t="n">
        <v>45903.47270833333</v>
      </c>
      <c r="C509" s="1" t="n">
        <v>46062</v>
      </c>
      <c r="D509" t="inlineStr">
        <is>
          <t>STOCKHOLMS LÄN</t>
        </is>
      </c>
      <c r="E509" t="inlineStr">
        <is>
          <t>NORRTÄLJE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54776-2023</t>
        </is>
      </c>
      <c r="B510" s="1" t="n">
        <v>45236.46369212963</v>
      </c>
      <c r="C510" s="1" t="n">
        <v>46062</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57442-2021</t>
        </is>
      </c>
      <c r="B511" s="1" t="n">
        <v>44483</v>
      </c>
      <c r="C511" s="1" t="n">
        <v>46062</v>
      </c>
      <c r="D511" t="inlineStr">
        <is>
          <t>STOCKHOLMS LÄN</t>
        </is>
      </c>
      <c r="E511" t="inlineStr">
        <is>
          <t>NORRTÄLJE</t>
        </is>
      </c>
      <c r="G511" t="n">
        <v>3.3</v>
      </c>
      <c r="H511" t="n">
        <v>0</v>
      </c>
      <c r="I511" t="n">
        <v>0</v>
      </c>
      <c r="J511" t="n">
        <v>0</v>
      </c>
      <c r="K511" t="n">
        <v>0</v>
      </c>
      <c r="L511" t="n">
        <v>0</v>
      </c>
      <c r="M511" t="n">
        <v>0</v>
      </c>
      <c r="N511" t="n">
        <v>0</v>
      </c>
      <c r="O511" t="n">
        <v>0</v>
      </c>
      <c r="P511" t="n">
        <v>0</v>
      </c>
      <c r="Q511" t="n">
        <v>0</v>
      </c>
      <c r="R511" s="2" t="inlineStr"/>
    </row>
    <row r="512" ht="15" customHeight="1">
      <c r="A512" t="inlineStr">
        <is>
          <t>A 30699-2025</t>
        </is>
      </c>
      <c r="B512" s="1" t="n">
        <v>45831.54618055555</v>
      </c>
      <c r="C512" s="1" t="n">
        <v>46062</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55952-2024</t>
        </is>
      </c>
      <c r="B513" s="1" t="n">
        <v>45623.62563657408</v>
      </c>
      <c r="C513" s="1" t="n">
        <v>46062</v>
      </c>
      <c r="D513" t="inlineStr">
        <is>
          <t>STOCKHOLMS LÄN</t>
        </is>
      </c>
      <c r="E513" t="inlineStr">
        <is>
          <t>NORRTÄLJE</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8135-2025</t>
        </is>
      </c>
      <c r="B514" s="1" t="n">
        <v>45707.84997685185</v>
      </c>
      <c r="C514" s="1" t="n">
        <v>46062</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3383-2023</t>
        </is>
      </c>
      <c r="B515" s="1" t="n">
        <v>44949</v>
      </c>
      <c r="C515" s="1" t="n">
        <v>46062</v>
      </c>
      <c r="D515" t="inlineStr">
        <is>
          <t>STOCKHOLMS LÄN</t>
        </is>
      </c>
      <c r="E515" t="inlineStr">
        <is>
          <t>NORRTÄLJE</t>
        </is>
      </c>
      <c r="G515" t="n">
        <v>14.6</v>
      </c>
      <c r="H515" t="n">
        <v>0</v>
      </c>
      <c r="I515" t="n">
        <v>0</v>
      </c>
      <c r="J515" t="n">
        <v>0</v>
      </c>
      <c r="K515" t="n">
        <v>0</v>
      </c>
      <c r="L515" t="n">
        <v>0</v>
      </c>
      <c r="M515" t="n">
        <v>0</v>
      </c>
      <c r="N515" t="n">
        <v>0</v>
      </c>
      <c r="O515" t="n">
        <v>0</v>
      </c>
      <c r="P515" t="n">
        <v>0</v>
      </c>
      <c r="Q515" t="n">
        <v>0</v>
      </c>
      <c r="R515" s="2" t="inlineStr"/>
    </row>
    <row r="516" ht="15" customHeight="1">
      <c r="A516" t="inlineStr">
        <is>
          <t>A 13148-2021</t>
        </is>
      </c>
      <c r="B516" s="1" t="n">
        <v>44272</v>
      </c>
      <c r="C516" s="1" t="n">
        <v>46062</v>
      </c>
      <c r="D516" t="inlineStr">
        <is>
          <t>STOCKHOLMS LÄN</t>
        </is>
      </c>
      <c r="E516" t="inlineStr">
        <is>
          <t>NORRTÄLJE</t>
        </is>
      </c>
      <c r="G516" t="n">
        <v>12.4</v>
      </c>
      <c r="H516" t="n">
        <v>0</v>
      </c>
      <c r="I516" t="n">
        <v>0</v>
      </c>
      <c r="J516" t="n">
        <v>0</v>
      </c>
      <c r="K516" t="n">
        <v>0</v>
      </c>
      <c r="L516" t="n">
        <v>0</v>
      </c>
      <c r="M516" t="n">
        <v>0</v>
      </c>
      <c r="N516" t="n">
        <v>0</v>
      </c>
      <c r="O516" t="n">
        <v>0</v>
      </c>
      <c r="P516" t="n">
        <v>0</v>
      </c>
      <c r="Q516" t="n">
        <v>0</v>
      </c>
      <c r="R516" s="2" t="inlineStr"/>
    </row>
    <row r="517" ht="15" customHeight="1">
      <c r="A517" t="inlineStr">
        <is>
          <t>A 20011-2025</t>
        </is>
      </c>
      <c r="B517" s="1" t="n">
        <v>45772.29622685185</v>
      </c>
      <c r="C517" s="1" t="n">
        <v>46062</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21732-2023</t>
        </is>
      </c>
      <c r="B518" s="1" t="n">
        <v>45063</v>
      </c>
      <c r="C518" s="1" t="n">
        <v>46062</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42856-2025</t>
        </is>
      </c>
      <c r="B519" s="1" t="n">
        <v>45908</v>
      </c>
      <c r="C519" s="1" t="n">
        <v>46062</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23307-2024</t>
        </is>
      </c>
      <c r="B520" s="1" t="n">
        <v>45453</v>
      </c>
      <c r="C520" s="1" t="n">
        <v>46062</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29250-2025</t>
        </is>
      </c>
      <c r="B521" s="1" t="n">
        <v>45824.37275462963</v>
      </c>
      <c r="C521" s="1" t="n">
        <v>46062</v>
      </c>
      <c r="D521" t="inlineStr">
        <is>
          <t>STOCKHOLMS LÄN</t>
        </is>
      </c>
      <c r="E521" t="inlineStr">
        <is>
          <t>NORRTÄLJE</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46062</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46062</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37085-2021</t>
        </is>
      </c>
      <c r="B524" s="1" t="n">
        <v>44395</v>
      </c>
      <c r="C524" s="1" t="n">
        <v>46062</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30719-2025</t>
        </is>
      </c>
      <c r="B525" s="1" t="n">
        <v>45831</v>
      </c>
      <c r="C525" s="1" t="n">
        <v>46062</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56428-2023</t>
        </is>
      </c>
      <c r="B526" s="1" t="n">
        <v>45243.45289351852</v>
      </c>
      <c r="C526" s="1" t="n">
        <v>46062</v>
      </c>
      <c r="D526" t="inlineStr">
        <is>
          <t>STOCKHOLMS LÄN</t>
        </is>
      </c>
      <c r="E526" t="inlineStr">
        <is>
          <t>NORRTÄLJE</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43269-2025</t>
        </is>
      </c>
      <c r="B527" s="1" t="n">
        <v>45910.5819212963</v>
      </c>
      <c r="C527" s="1" t="n">
        <v>46062</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17556-2025</t>
        </is>
      </c>
      <c r="B528" s="1" t="n">
        <v>45757.62482638889</v>
      </c>
      <c r="C528" s="1" t="n">
        <v>46062</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43916-2025</t>
        </is>
      </c>
      <c r="B529" s="1" t="n">
        <v>45914.78884259259</v>
      </c>
      <c r="C529" s="1" t="n">
        <v>46062</v>
      </c>
      <c r="D529" t="inlineStr">
        <is>
          <t>STOCKHOLMS LÄN</t>
        </is>
      </c>
      <c r="E529" t="inlineStr">
        <is>
          <t>NORRTÄLJE</t>
        </is>
      </c>
      <c r="G529" t="n">
        <v>1.5</v>
      </c>
      <c r="H529" t="n">
        <v>0</v>
      </c>
      <c r="I529" t="n">
        <v>0</v>
      </c>
      <c r="J529" t="n">
        <v>0</v>
      </c>
      <c r="K529" t="n">
        <v>0</v>
      </c>
      <c r="L529" t="n">
        <v>0</v>
      </c>
      <c r="M529" t="n">
        <v>0</v>
      </c>
      <c r="N529" t="n">
        <v>0</v>
      </c>
      <c r="O529" t="n">
        <v>0</v>
      </c>
      <c r="P529" t="n">
        <v>0</v>
      </c>
      <c r="Q529" t="n">
        <v>0</v>
      </c>
      <c r="R529" s="2" t="inlineStr"/>
    </row>
    <row r="530" ht="15" customHeight="1">
      <c r="A530" t="inlineStr">
        <is>
          <t>A 42094-2023</t>
        </is>
      </c>
      <c r="B530" s="1" t="n">
        <v>45177.61498842593</v>
      </c>
      <c r="C530" s="1" t="n">
        <v>46062</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44354-2025</t>
        </is>
      </c>
      <c r="B531" s="1" t="n">
        <v>45916.44655092592</v>
      </c>
      <c r="C531" s="1" t="n">
        <v>46062</v>
      </c>
      <c r="D531" t="inlineStr">
        <is>
          <t>STOCKHOLMS LÄN</t>
        </is>
      </c>
      <c r="E531" t="inlineStr">
        <is>
          <t>NORRTÄLJE</t>
        </is>
      </c>
      <c r="G531" t="n">
        <v>2.3</v>
      </c>
      <c r="H531" t="n">
        <v>0</v>
      </c>
      <c r="I531" t="n">
        <v>0</v>
      </c>
      <c r="J531" t="n">
        <v>0</v>
      </c>
      <c r="K531" t="n">
        <v>0</v>
      </c>
      <c r="L531" t="n">
        <v>0</v>
      </c>
      <c r="M531" t="n">
        <v>0</v>
      </c>
      <c r="N531" t="n">
        <v>0</v>
      </c>
      <c r="O531" t="n">
        <v>0</v>
      </c>
      <c r="P531" t="n">
        <v>0</v>
      </c>
      <c r="Q531" t="n">
        <v>0</v>
      </c>
      <c r="R531" s="2" t="inlineStr"/>
    </row>
    <row r="532" ht="15" customHeight="1">
      <c r="A532" t="inlineStr">
        <is>
          <t>A 8370-2025</t>
        </is>
      </c>
      <c r="B532" s="1" t="n">
        <v>45708</v>
      </c>
      <c r="C532" s="1" t="n">
        <v>46062</v>
      </c>
      <c r="D532" t="inlineStr">
        <is>
          <t>STOCKHOLMS LÄN</t>
        </is>
      </c>
      <c r="E532" t="inlineStr">
        <is>
          <t>NORRTÄLJE</t>
        </is>
      </c>
      <c r="F532" t="inlineStr">
        <is>
          <t>Övriga Aktiebolag</t>
        </is>
      </c>
      <c r="G532" t="n">
        <v>5.6</v>
      </c>
      <c r="H532" t="n">
        <v>0</v>
      </c>
      <c r="I532" t="n">
        <v>0</v>
      </c>
      <c r="J532" t="n">
        <v>0</v>
      </c>
      <c r="K532" t="n">
        <v>0</v>
      </c>
      <c r="L532" t="n">
        <v>0</v>
      </c>
      <c r="M532" t="n">
        <v>0</v>
      </c>
      <c r="N532" t="n">
        <v>0</v>
      </c>
      <c r="O532" t="n">
        <v>0</v>
      </c>
      <c r="P532" t="n">
        <v>0</v>
      </c>
      <c r="Q532" t="n">
        <v>0</v>
      </c>
      <c r="R532" s="2" t="inlineStr"/>
    </row>
    <row r="533" ht="15" customHeight="1">
      <c r="A533" t="inlineStr">
        <is>
          <t>A 3299-2022</t>
        </is>
      </c>
      <c r="B533" s="1" t="n">
        <v>44584.91001157407</v>
      </c>
      <c r="C533" s="1" t="n">
        <v>46062</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12348-2025</t>
        </is>
      </c>
      <c r="B534" s="1" t="n">
        <v>45730.35026620371</v>
      </c>
      <c r="C534" s="1" t="n">
        <v>46062</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46062</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44343-2025</t>
        </is>
      </c>
      <c r="B536" s="1" t="n">
        <v>45916.43378472222</v>
      </c>
      <c r="C536" s="1" t="n">
        <v>46062</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46062</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17545-2025</t>
        </is>
      </c>
      <c r="B538" s="1" t="n">
        <v>45757.60658564815</v>
      </c>
      <c r="C538" s="1" t="n">
        <v>46062</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44311-2025</t>
        </is>
      </c>
      <c r="B539" s="1" t="n">
        <v>45916.38394675926</v>
      </c>
      <c r="C539" s="1" t="n">
        <v>46062</v>
      </c>
      <c r="D539" t="inlineStr">
        <is>
          <t>STOCKHOLMS LÄN</t>
        </is>
      </c>
      <c r="E539" t="inlineStr">
        <is>
          <t>NORRTÄLJE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44333-2025</t>
        </is>
      </c>
      <c r="B540" s="1" t="n">
        <v>45916.42293981482</v>
      </c>
      <c r="C540" s="1" t="n">
        <v>46062</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25094-2023</t>
        </is>
      </c>
      <c r="B541" s="1" t="n">
        <v>45086.3629050926</v>
      </c>
      <c r="C541" s="1" t="n">
        <v>46062</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36157-2024</t>
        </is>
      </c>
      <c r="B542" s="1" t="n">
        <v>45534.38240740741</v>
      </c>
      <c r="C542" s="1" t="n">
        <v>46062</v>
      </c>
      <c r="D542" t="inlineStr">
        <is>
          <t>STOCKHOLMS LÄN</t>
        </is>
      </c>
      <c r="E542" t="inlineStr">
        <is>
          <t>NORRTÄLJE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47694-2023</t>
        </is>
      </c>
      <c r="B543" s="1" t="n">
        <v>45203.63303240741</v>
      </c>
      <c r="C543" s="1" t="n">
        <v>46062</v>
      </c>
      <c r="D543" t="inlineStr">
        <is>
          <t>STOCKHOLMS LÄN</t>
        </is>
      </c>
      <c r="E543" t="inlineStr">
        <is>
          <t>NORRTÄLJE</t>
        </is>
      </c>
      <c r="G543" t="n">
        <v>5.2</v>
      </c>
      <c r="H543" t="n">
        <v>0</v>
      </c>
      <c r="I543" t="n">
        <v>0</v>
      </c>
      <c r="J543" t="n">
        <v>0</v>
      </c>
      <c r="K543" t="n">
        <v>0</v>
      </c>
      <c r="L543" t="n">
        <v>0</v>
      </c>
      <c r="M543" t="n">
        <v>0</v>
      </c>
      <c r="N543" t="n">
        <v>0</v>
      </c>
      <c r="O543" t="n">
        <v>0</v>
      </c>
      <c r="P543" t="n">
        <v>0</v>
      </c>
      <c r="Q543" t="n">
        <v>0</v>
      </c>
      <c r="R543" s="2" t="inlineStr"/>
    </row>
    <row r="544" ht="15" customHeight="1">
      <c r="A544" t="inlineStr">
        <is>
          <t>A 35532-2024</t>
        </is>
      </c>
      <c r="B544" s="1" t="n">
        <v>45531</v>
      </c>
      <c r="C544" s="1" t="n">
        <v>46062</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1654-2025</t>
        </is>
      </c>
      <c r="B545" s="1" t="n">
        <v>45670.65921296296</v>
      </c>
      <c r="C545" s="1" t="n">
        <v>46062</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62644-2023</t>
        </is>
      </c>
      <c r="B546" s="1" t="n">
        <v>45271</v>
      </c>
      <c r="C546" s="1" t="n">
        <v>46062</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44937-2025</t>
        </is>
      </c>
      <c r="B547" s="1" t="n">
        <v>45918</v>
      </c>
      <c r="C547" s="1" t="n">
        <v>46062</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30639-2025</t>
        </is>
      </c>
      <c r="B548" s="1" t="n">
        <v>45831.4844212963</v>
      </c>
      <c r="C548" s="1" t="n">
        <v>46062</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30668-2025</t>
        </is>
      </c>
      <c r="B549" s="1" t="n">
        <v>45831.51659722222</v>
      </c>
      <c r="C549" s="1" t="n">
        <v>46062</v>
      </c>
      <c r="D549" t="inlineStr">
        <is>
          <t>STOCKHOLMS LÄN</t>
        </is>
      </c>
      <c r="E549" t="inlineStr">
        <is>
          <t>NORRTÄLJE</t>
        </is>
      </c>
      <c r="G549" t="n">
        <v>4.9</v>
      </c>
      <c r="H549" t="n">
        <v>0</v>
      </c>
      <c r="I549" t="n">
        <v>0</v>
      </c>
      <c r="J549" t="n">
        <v>0</v>
      </c>
      <c r="K549" t="n">
        <v>0</v>
      </c>
      <c r="L549" t="n">
        <v>0</v>
      </c>
      <c r="M549" t="n">
        <v>0</v>
      </c>
      <c r="N549" t="n">
        <v>0</v>
      </c>
      <c r="O549" t="n">
        <v>0</v>
      </c>
      <c r="P549" t="n">
        <v>0</v>
      </c>
      <c r="Q549" t="n">
        <v>0</v>
      </c>
      <c r="R549" s="2" t="inlineStr"/>
    </row>
    <row r="550" ht="15" customHeight="1">
      <c r="A550" t="inlineStr">
        <is>
          <t>A 11229-2022</t>
        </is>
      </c>
      <c r="B550" s="1" t="n">
        <v>44629</v>
      </c>
      <c r="C550" s="1" t="n">
        <v>46062</v>
      </c>
      <c r="D550" t="inlineStr">
        <is>
          <t>STOCKHOLMS LÄN</t>
        </is>
      </c>
      <c r="E550" t="inlineStr">
        <is>
          <t>NORRTÄLJE</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22359-2025</t>
        </is>
      </c>
      <c r="B551" s="1" t="n">
        <v>45786</v>
      </c>
      <c r="C551" s="1" t="n">
        <v>46062</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57353-2024</t>
        </is>
      </c>
      <c r="B552" s="1" t="n">
        <v>45629.65143518519</v>
      </c>
      <c r="C552" s="1" t="n">
        <v>46062</v>
      </c>
      <c r="D552" t="inlineStr">
        <is>
          <t>STOCKHOLMS LÄN</t>
        </is>
      </c>
      <c r="E552" t="inlineStr">
        <is>
          <t>NORRTÄLJE</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48587-2023</t>
        </is>
      </c>
      <c r="B553" s="1" t="n">
        <v>45208</v>
      </c>
      <c r="C553" s="1" t="n">
        <v>46062</v>
      </c>
      <c r="D553" t="inlineStr">
        <is>
          <t>STOCKHOLMS LÄN</t>
        </is>
      </c>
      <c r="E553" t="inlineStr">
        <is>
          <t>NORRTÄLJE</t>
        </is>
      </c>
      <c r="G553" t="n">
        <v>7</v>
      </c>
      <c r="H553" t="n">
        <v>0</v>
      </c>
      <c r="I553" t="n">
        <v>0</v>
      </c>
      <c r="J553" t="n">
        <v>0</v>
      </c>
      <c r="K553" t="n">
        <v>0</v>
      </c>
      <c r="L553" t="n">
        <v>0</v>
      </c>
      <c r="M553" t="n">
        <v>0</v>
      </c>
      <c r="N553" t="n">
        <v>0</v>
      </c>
      <c r="O553" t="n">
        <v>0</v>
      </c>
      <c r="P553" t="n">
        <v>0</v>
      </c>
      <c r="Q553" t="n">
        <v>0</v>
      </c>
      <c r="R553" s="2" t="inlineStr"/>
    </row>
    <row r="554" ht="15" customHeight="1">
      <c r="A554" t="inlineStr">
        <is>
          <t>A 45697-2025</t>
        </is>
      </c>
      <c r="B554" s="1" t="n">
        <v>45923.39877314815</v>
      </c>
      <c r="C554" s="1" t="n">
        <v>46062</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2549-2022</t>
        </is>
      </c>
      <c r="B555" s="1" t="n">
        <v>44580</v>
      </c>
      <c r="C555" s="1" t="n">
        <v>46062</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4438-2023</t>
        </is>
      </c>
      <c r="B556" s="1" t="n">
        <v>44956</v>
      </c>
      <c r="C556" s="1" t="n">
        <v>46062</v>
      </c>
      <c r="D556" t="inlineStr">
        <is>
          <t>STOCKHOLMS LÄN</t>
        </is>
      </c>
      <c r="E556" t="inlineStr">
        <is>
          <t>NORRTÄLJE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47758-2023</t>
        </is>
      </c>
      <c r="B557" s="1" t="n">
        <v>45203.83891203703</v>
      </c>
      <c r="C557" s="1" t="n">
        <v>46062</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31170-2025</t>
        </is>
      </c>
      <c r="B558" s="1" t="n">
        <v>45832.66385416667</v>
      </c>
      <c r="C558" s="1" t="n">
        <v>46062</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46062</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46415-2025</t>
        </is>
      </c>
      <c r="B560" s="1" t="n">
        <v>45925.58636574074</v>
      </c>
      <c r="C560" s="1" t="n">
        <v>46062</v>
      </c>
      <c r="D560" t="inlineStr">
        <is>
          <t>STOCKHOLMS LÄN</t>
        </is>
      </c>
      <c r="E560" t="inlineStr">
        <is>
          <t>NORRTÄLJE</t>
        </is>
      </c>
      <c r="G560" t="n">
        <v>3.8</v>
      </c>
      <c r="H560" t="n">
        <v>0</v>
      </c>
      <c r="I560" t="n">
        <v>0</v>
      </c>
      <c r="J560" t="n">
        <v>0</v>
      </c>
      <c r="K560" t="n">
        <v>0</v>
      </c>
      <c r="L560" t="n">
        <v>0</v>
      </c>
      <c r="M560" t="n">
        <v>0</v>
      </c>
      <c r="N560" t="n">
        <v>0</v>
      </c>
      <c r="O560" t="n">
        <v>0</v>
      </c>
      <c r="P560" t="n">
        <v>0</v>
      </c>
      <c r="Q560" t="n">
        <v>0</v>
      </c>
      <c r="R560" s="2" t="inlineStr"/>
    </row>
    <row r="561" ht="15" customHeight="1">
      <c r="A561" t="inlineStr">
        <is>
          <t>A 22697-2022</t>
        </is>
      </c>
      <c r="B561" s="1" t="n">
        <v>44714.56040509259</v>
      </c>
      <c r="C561" s="1" t="n">
        <v>46062</v>
      </c>
      <c r="D561" t="inlineStr">
        <is>
          <t>STOCKHOLMS LÄN</t>
        </is>
      </c>
      <c r="E561" t="inlineStr">
        <is>
          <t>NORRTÄLJE</t>
        </is>
      </c>
      <c r="G561" t="n">
        <v>5.6</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46062</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46062</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46062</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31880-2025</t>
        </is>
      </c>
      <c r="B565" s="1" t="n">
        <v>45834.65538194445</v>
      </c>
      <c r="C565" s="1" t="n">
        <v>46062</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46062</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48722-2023</t>
        </is>
      </c>
      <c r="B567" s="1" t="n">
        <v>45208.70996527778</v>
      </c>
      <c r="C567" s="1" t="n">
        <v>46062</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31868-2025</t>
        </is>
      </c>
      <c r="B568" s="1" t="n">
        <v>45834.6447337963</v>
      </c>
      <c r="C568" s="1" t="n">
        <v>46062</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35235-2024</t>
        </is>
      </c>
      <c r="B569" s="1" t="n">
        <v>45530</v>
      </c>
      <c r="C569" s="1" t="n">
        <v>46062</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46900-2025</t>
        </is>
      </c>
      <c r="B570" s="1" t="n">
        <v>45929.38712962963</v>
      </c>
      <c r="C570" s="1" t="n">
        <v>46062</v>
      </c>
      <c r="D570" t="inlineStr">
        <is>
          <t>STOCKHOLMS LÄN</t>
        </is>
      </c>
      <c r="E570" t="inlineStr">
        <is>
          <t>NORRTÄLJE</t>
        </is>
      </c>
      <c r="F570" t="inlineStr">
        <is>
          <t>Holmen skog AB</t>
        </is>
      </c>
      <c r="G570" t="n">
        <v>6.2</v>
      </c>
      <c r="H570" t="n">
        <v>0</v>
      </c>
      <c r="I570" t="n">
        <v>0</v>
      </c>
      <c r="J570" t="n">
        <v>0</v>
      </c>
      <c r="K570" t="n">
        <v>0</v>
      </c>
      <c r="L570" t="n">
        <v>0</v>
      </c>
      <c r="M570" t="n">
        <v>0</v>
      </c>
      <c r="N570" t="n">
        <v>0</v>
      </c>
      <c r="O570" t="n">
        <v>0</v>
      </c>
      <c r="P570" t="n">
        <v>0</v>
      </c>
      <c r="Q570" t="n">
        <v>0</v>
      </c>
      <c r="R570" s="2" t="inlineStr"/>
    </row>
    <row r="571" ht="15" customHeight="1">
      <c r="A571" t="inlineStr">
        <is>
          <t>A 6413-2025</t>
        </is>
      </c>
      <c r="B571" s="1" t="n">
        <v>45699.46283564815</v>
      </c>
      <c r="C571" s="1" t="n">
        <v>46062</v>
      </c>
      <c r="D571" t="inlineStr">
        <is>
          <t>STOCKHOLMS LÄN</t>
        </is>
      </c>
      <c r="E571" t="inlineStr">
        <is>
          <t>NORRTÄLJE</t>
        </is>
      </c>
      <c r="G571" t="n">
        <v>3.6</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46062</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8736-2024</t>
        </is>
      </c>
      <c r="B573" s="1" t="n">
        <v>45356.4722800926</v>
      </c>
      <c r="C573" s="1" t="n">
        <v>46062</v>
      </c>
      <c r="D573" t="inlineStr">
        <is>
          <t>STOCKHOLMS LÄN</t>
        </is>
      </c>
      <c r="E573" t="inlineStr">
        <is>
          <t>NORRTÄLJE</t>
        </is>
      </c>
      <c r="G573" t="n">
        <v>8.9</v>
      </c>
      <c r="H573" t="n">
        <v>0</v>
      </c>
      <c r="I573" t="n">
        <v>0</v>
      </c>
      <c r="J573" t="n">
        <v>0</v>
      </c>
      <c r="K573" t="n">
        <v>0</v>
      </c>
      <c r="L573" t="n">
        <v>0</v>
      </c>
      <c r="M573" t="n">
        <v>0</v>
      </c>
      <c r="N573" t="n">
        <v>0</v>
      </c>
      <c r="O573" t="n">
        <v>0</v>
      </c>
      <c r="P573" t="n">
        <v>0</v>
      </c>
      <c r="Q573" t="n">
        <v>0</v>
      </c>
      <c r="R573" s="2" t="inlineStr"/>
    </row>
    <row r="574" ht="15" customHeight="1">
      <c r="A574" t="inlineStr">
        <is>
          <t>A 33149-2022</t>
        </is>
      </c>
      <c r="B574" s="1" t="n">
        <v>44785</v>
      </c>
      <c r="C574" s="1" t="n">
        <v>46062</v>
      </c>
      <c r="D574" t="inlineStr">
        <is>
          <t>STOCKHOLMS LÄN</t>
        </is>
      </c>
      <c r="E574" t="inlineStr">
        <is>
          <t>NORRTÄLJE</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32016-2025</t>
        </is>
      </c>
      <c r="B575" s="1" t="n">
        <v>45835</v>
      </c>
      <c r="C575" s="1" t="n">
        <v>46062</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35256-2025</t>
        </is>
      </c>
      <c r="B576" s="1" t="n">
        <v>45853</v>
      </c>
      <c r="C576" s="1" t="n">
        <v>46062</v>
      </c>
      <c r="D576" t="inlineStr">
        <is>
          <t>STOCKHOLMS LÄN</t>
        </is>
      </c>
      <c r="E576" t="inlineStr">
        <is>
          <t>NORRTÄLJE</t>
        </is>
      </c>
      <c r="G576" t="n">
        <v>6.4</v>
      </c>
      <c r="H576" t="n">
        <v>0</v>
      </c>
      <c r="I576" t="n">
        <v>0</v>
      </c>
      <c r="J576" t="n">
        <v>0</v>
      </c>
      <c r="K576" t="n">
        <v>0</v>
      </c>
      <c r="L576" t="n">
        <v>0</v>
      </c>
      <c r="M576" t="n">
        <v>0</v>
      </c>
      <c r="N576" t="n">
        <v>0</v>
      </c>
      <c r="O576" t="n">
        <v>0</v>
      </c>
      <c r="P576" t="n">
        <v>0</v>
      </c>
      <c r="Q576" t="n">
        <v>0</v>
      </c>
      <c r="R576" s="2" t="inlineStr"/>
    </row>
    <row r="577" ht="15" customHeight="1">
      <c r="A577" t="inlineStr">
        <is>
          <t>A 32283-2025</t>
        </is>
      </c>
      <c r="B577" s="1" t="n">
        <v>45835.68076388889</v>
      </c>
      <c r="C577" s="1" t="n">
        <v>46062</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31874-2025</t>
        </is>
      </c>
      <c r="B578" s="1" t="n">
        <v>45834</v>
      </c>
      <c r="C578" s="1" t="n">
        <v>46062</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32094-2025</t>
        </is>
      </c>
      <c r="B579" s="1" t="n">
        <v>45835.46034722222</v>
      </c>
      <c r="C579" s="1" t="n">
        <v>46062</v>
      </c>
      <c r="D579" t="inlineStr">
        <is>
          <t>STOCKHOLMS LÄN</t>
        </is>
      </c>
      <c r="E579" t="inlineStr">
        <is>
          <t>NORRTÄLJE</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6537-2024</t>
        </is>
      </c>
      <c r="B580" s="1" t="n">
        <v>45341.39853009259</v>
      </c>
      <c r="C580" s="1" t="n">
        <v>46062</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40175-2024</t>
        </is>
      </c>
      <c r="B581" s="1" t="n">
        <v>45554.55707175926</v>
      </c>
      <c r="C581" s="1" t="n">
        <v>46062</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32480-2025</t>
        </is>
      </c>
      <c r="B582" s="1" t="n">
        <v>45838.43261574074</v>
      </c>
      <c r="C582" s="1" t="n">
        <v>46062</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47498-2025</t>
        </is>
      </c>
      <c r="B583" s="1" t="n">
        <v>45930.8134375</v>
      </c>
      <c r="C583" s="1" t="n">
        <v>46062</v>
      </c>
      <c r="D583" t="inlineStr">
        <is>
          <t>STOCKHOLMS LÄN</t>
        </is>
      </c>
      <c r="E583" t="inlineStr">
        <is>
          <t>NORRTÄLJE</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47460-2025</t>
        </is>
      </c>
      <c r="B584" s="1" t="n">
        <v>45930.66012731481</v>
      </c>
      <c r="C584" s="1" t="n">
        <v>46062</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47496-2025</t>
        </is>
      </c>
      <c r="B585" s="1" t="n">
        <v>45930.79252314815</v>
      </c>
      <c r="C585" s="1" t="n">
        <v>46062</v>
      </c>
      <c r="D585" t="inlineStr">
        <is>
          <t>STOCKHOLMS LÄN</t>
        </is>
      </c>
      <c r="E585" t="inlineStr">
        <is>
          <t>NORRTÄLJE</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47497-2025</t>
        </is>
      </c>
      <c r="B586" s="1" t="n">
        <v>45930.80217592593</v>
      </c>
      <c r="C586" s="1" t="n">
        <v>46062</v>
      </c>
      <c r="D586" t="inlineStr">
        <is>
          <t>STOCKHOLMS LÄN</t>
        </is>
      </c>
      <c r="E586" t="inlineStr">
        <is>
          <t>NORRTÄLJE</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46062</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32872-2025</t>
        </is>
      </c>
      <c r="B588" s="1" t="n">
        <v>45839</v>
      </c>
      <c r="C588" s="1" t="n">
        <v>46062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32903-2025</t>
        </is>
      </c>
      <c r="B589" s="1" t="n">
        <v>45839.62398148148</v>
      </c>
      <c r="C589" s="1" t="n">
        <v>46062</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32395-2025</t>
        </is>
      </c>
      <c r="B590" s="1" t="n">
        <v>45837.93730324074</v>
      </c>
      <c r="C590" s="1" t="n">
        <v>46062</v>
      </c>
      <c r="D590" t="inlineStr">
        <is>
          <t>STOCKHOLMS LÄN</t>
        </is>
      </c>
      <c r="E590" t="inlineStr">
        <is>
          <t>NORRTÄLJE</t>
        </is>
      </c>
      <c r="G590" t="n">
        <v>2.2</v>
      </c>
      <c r="H590" t="n">
        <v>0</v>
      </c>
      <c r="I590" t="n">
        <v>0</v>
      </c>
      <c r="J590" t="n">
        <v>0</v>
      </c>
      <c r="K590" t="n">
        <v>0</v>
      </c>
      <c r="L590" t="n">
        <v>0</v>
      </c>
      <c r="M590" t="n">
        <v>0</v>
      </c>
      <c r="N590" t="n">
        <v>0</v>
      </c>
      <c r="O590" t="n">
        <v>0</v>
      </c>
      <c r="P590" t="n">
        <v>0</v>
      </c>
      <c r="Q590" t="n">
        <v>0</v>
      </c>
      <c r="R590" s="2" t="inlineStr"/>
    </row>
    <row r="591" ht="15" customHeight="1">
      <c r="A591" t="inlineStr">
        <is>
          <t>A 32396-2025</t>
        </is>
      </c>
      <c r="B591" s="1" t="n">
        <v>45837</v>
      </c>
      <c r="C591" s="1" t="n">
        <v>46062</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32397-2025</t>
        </is>
      </c>
      <c r="B592" s="1" t="n">
        <v>45837.94081018519</v>
      </c>
      <c r="C592" s="1" t="n">
        <v>46062</v>
      </c>
      <c r="D592" t="inlineStr">
        <is>
          <t>STOCKHOLMS LÄN</t>
        </is>
      </c>
      <c r="E592" t="inlineStr">
        <is>
          <t>NORRTÄLJE</t>
        </is>
      </c>
      <c r="G592" t="n">
        <v>5.9</v>
      </c>
      <c r="H592" t="n">
        <v>0</v>
      </c>
      <c r="I592" t="n">
        <v>0</v>
      </c>
      <c r="J592" t="n">
        <v>0</v>
      </c>
      <c r="K592" t="n">
        <v>0</v>
      </c>
      <c r="L592" t="n">
        <v>0</v>
      </c>
      <c r="M592" t="n">
        <v>0</v>
      </c>
      <c r="N592" t="n">
        <v>0</v>
      </c>
      <c r="O592" t="n">
        <v>0</v>
      </c>
      <c r="P592" t="n">
        <v>0</v>
      </c>
      <c r="Q592" t="n">
        <v>0</v>
      </c>
      <c r="R592" s="2" t="inlineStr"/>
    </row>
    <row r="593" ht="15" customHeight="1">
      <c r="A593" t="inlineStr">
        <is>
          <t>A 23056-2023</t>
        </is>
      </c>
      <c r="B593" s="1" t="n">
        <v>45075</v>
      </c>
      <c r="C593" s="1" t="n">
        <v>46062</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48360-2025</t>
        </is>
      </c>
      <c r="B594" s="1" t="n">
        <v>45933.66253472222</v>
      </c>
      <c r="C594" s="1" t="n">
        <v>46062</v>
      </c>
      <c r="D594" t="inlineStr">
        <is>
          <t>STOCKHOLMS LÄN</t>
        </is>
      </c>
      <c r="E594" t="inlineStr">
        <is>
          <t>NORRTÄLJE</t>
        </is>
      </c>
      <c r="G594" t="n">
        <v>4.1</v>
      </c>
      <c r="H594" t="n">
        <v>0</v>
      </c>
      <c r="I594" t="n">
        <v>0</v>
      </c>
      <c r="J594" t="n">
        <v>0</v>
      </c>
      <c r="K594" t="n">
        <v>0</v>
      </c>
      <c r="L594" t="n">
        <v>0</v>
      </c>
      <c r="M594" t="n">
        <v>0</v>
      </c>
      <c r="N594" t="n">
        <v>0</v>
      </c>
      <c r="O594" t="n">
        <v>0</v>
      </c>
      <c r="P594" t="n">
        <v>0</v>
      </c>
      <c r="Q594" t="n">
        <v>0</v>
      </c>
      <c r="R594" s="2" t="inlineStr"/>
    </row>
    <row r="595" ht="15" customHeight="1">
      <c r="A595" t="inlineStr">
        <is>
          <t>A 48370-2025</t>
        </is>
      </c>
      <c r="B595" s="1" t="n">
        <v>45933.67854166667</v>
      </c>
      <c r="C595" s="1" t="n">
        <v>46062</v>
      </c>
      <c r="D595" t="inlineStr">
        <is>
          <t>STOCKHOLMS LÄN</t>
        </is>
      </c>
      <c r="E595" t="inlineStr">
        <is>
          <t>NORRTÄLJE</t>
        </is>
      </c>
      <c r="G595" t="n">
        <v>4.5</v>
      </c>
      <c r="H595" t="n">
        <v>0</v>
      </c>
      <c r="I595" t="n">
        <v>0</v>
      </c>
      <c r="J595" t="n">
        <v>0</v>
      </c>
      <c r="K595" t="n">
        <v>0</v>
      </c>
      <c r="L595" t="n">
        <v>0</v>
      </c>
      <c r="M595" t="n">
        <v>0</v>
      </c>
      <c r="N595" t="n">
        <v>0</v>
      </c>
      <c r="O595" t="n">
        <v>0</v>
      </c>
      <c r="P595" t="n">
        <v>0</v>
      </c>
      <c r="Q595" t="n">
        <v>0</v>
      </c>
      <c r="R595" s="2" t="inlineStr"/>
    </row>
    <row r="596" ht="15" customHeight="1">
      <c r="A596" t="inlineStr">
        <is>
          <t>A 47431-2023</t>
        </is>
      </c>
      <c r="B596" s="1" t="n">
        <v>45202</v>
      </c>
      <c r="C596" s="1" t="n">
        <v>46062</v>
      </c>
      <c r="D596" t="inlineStr">
        <is>
          <t>STOCKHOLMS LÄN</t>
        </is>
      </c>
      <c r="E596" t="inlineStr">
        <is>
          <t>NORRTÄLJE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48364-2025</t>
        </is>
      </c>
      <c r="B597" s="1" t="n">
        <v>45933.66796296297</v>
      </c>
      <c r="C597" s="1" t="n">
        <v>46062</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59499-2023</t>
        </is>
      </c>
      <c r="B598" s="1" t="n">
        <v>45254</v>
      </c>
      <c r="C598" s="1" t="n">
        <v>46062</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59468-2023</t>
        </is>
      </c>
      <c r="B599" s="1" t="n">
        <v>45254.41509259259</v>
      </c>
      <c r="C599" s="1" t="n">
        <v>46062</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12532-2025</t>
        </is>
      </c>
      <c r="B600" s="1" t="n">
        <v>45730.69143518519</v>
      </c>
      <c r="C600" s="1" t="n">
        <v>46062</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5732-2023</t>
        </is>
      </c>
      <c r="B601" s="1" t="n">
        <v>44962</v>
      </c>
      <c r="C601" s="1" t="n">
        <v>46062</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10653-2022</t>
        </is>
      </c>
      <c r="B602" s="1" t="n">
        <v>44624.59434027778</v>
      </c>
      <c r="C602" s="1" t="n">
        <v>46062</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48174-2025</t>
        </is>
      </c>
      <c r="B603" s="1" t="n">
        <v>45933.44230324074</v>
      </c>
      <c r="C603" s="1" t="n">
        <v>46062</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21729-2024</t>
        </is>
      </c>
      <c r="B604" s="1" t="n">
        <v>45442</v>
      </c>
      <c r="C604" s="1" t="n">
        <v>46062</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48127-2025</t>
        </is>
      </c>
      <c r="B605" s="1" t="n">
        <v>45933.36621527778</v>
      </c>
      <c r="C605" s="1" t="n">
        <v>46062</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48179-2025</t>
        </is>
      </c>
      <c r="B606" s="1" t="n">
        <v>45933.44907407407</v>
      </c>
      <c r="C606" s="1" t="n">
        <v>46062</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11854-2025</t>
        </is>
      </c>
      <c r="B607" s="1" t="n">
        <v>45728.38924768518</v>
      </c>
      <c r="C607" s="1" t="n">
        <v>46062</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48718-2025</t>
        </is>
      </c>
      <c r="B608" s="1" t="n">
        <v>45936</v>
      </c>
      <c r="C608" s="1" t="n">
        <v>46062</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14762-2024</t>
        </is>
      </c>
      <c r="B609" s="1" t="n">
        <v>45397</v>
      </c>
      <c r="C609" s="1" t="n">
        <v>46062</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46062</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48443-2025</t>
        </is>
      </c>
      <c r="B611" s="1" t="n">
        <v>45935.55326388889</v>
      </c>
      <c r="C611" s="1" t="n">
        <v>46062</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33702-2025</t>
        </is>
      </c>
      <c r="B612" s="1" t="n">
        <v>45841.74596064815</v>
      </c>
      <c r="C612" s="1" t="n">
        <v>46062</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59712-2024</t>
        </is>
      </c>
      <c r="B613" s="1" t="n">
        <v>45639.45166666667</v>
      </c>
      <c r="C613" s="1" t="n">
        <v>46062</v>
      </c>
      <c r="D613" t="inlineStr">
        <is>
          <t>STOCKHOLMS LÄN</t>
        </is>
      </c>
      <c r="E613" t="inlineStr">
        <is>
          <t>NORRTÄLJE</t>
        </is>
      </c>
      <c r="G613" t="n">
        <v>4.4</v>
      </c>
      <c r="H613" t="n">
        <v>0</v>
      </c>
      <c r="I613" t="n">
        <v>0</v>
      </c>
      <c r="J613" t="n">
        <v>0</v>
      </c>
      <c r="K613" t="n">
        <v>0</v>
      </c>
      <c r="L613" t="n">
        <v>0</v>
      </c>
      <c r="M613" t="n">
        <v>0</v>
      </c>
      <c r="N613" t="n">
        <v>0</v>
      </c>
      <c r="O613" t="n">
        <v>0</v>
      </c>
      <c r="P613" t="n">
        <v>0</v>
      </c>
      <c r="Q613" t="n">
        <v>0</v>
      </c>
      <c r="R613" s="2" t="inlineStr"/>
    </row>
    <row r="614" ht="15" customHeight="1">
      <c r="A614" t="inlineStr">
        <is>
          <t>A 33211-2025</t>
        </is>
      </c>
      <c r="B614" s="1" t="n">
        <v>45840.62755787037</v>
      </c>
      <c r="C614" s="1" t="n">
        <v>46062</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35127-2023</t>
        </is>
      </c>
      <c r="B615" s="1" t="n">
        <v>45145.51</v>
      </c>
      <c r="C615" s="1" t="n">
        <v>46062</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48780-2025</t>
        </is>
      </c>
      <c r="B616" s="1" t="n">
        <v>45937.30377314815</v>
      </c>
      <c r="C616" s="1" t="n">
        <v>46062</v>
      </c>
      <c r="D616" t="inlineStr">
        <is>
          <t>STOCKHOLMS LÄN</t>
        </is>
      </c>
      <c r="E616" t="inlineStr">
        <is>
          <t>NORRTÄLJE</t>
        </is>
      </c>
      <c r="G616" t="n">
        <v>7.7</v>
      </c>
      <c r="H616" t="n">
        <v>0</v>
      </c>
      <c r="I616" t="n">
        <v>0</v>
      </c>
      <c r="J616" t="n">
        <v>0</v>
      </c>
      <c r="K616" t="n">
        <v>0</v>
      </c>
      <c r="L616" t="n">
        <v>0</v>
      </c>
      <c r="M616" t="n">
        <v>0</v>
      </c>
      <c r="N616" t="n">
        <v>0</v>
      </c>
      <c r="O616" t="n">
        <v>0</v>
      </c>
      <c r="P616" t="n">
        <v>0</v>
      </c>
      <c r="Q616" t="n">
        <v>0</v>
      </c>
      <c r="R616" s="2" t="inlineStr"/>
    </row>
    <row r="617" ht="15" customHeight="1">
      <c r="A617" t="inlineStr">
        <is>
          <t>A 33265-2025</t>
        </is>
      </c>
      <c r="B617" s="1" t="n">
        <v>45840.67829861111</v>
      </c>
      <c r="C617" s="1" t="n">
        <v>46062</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33552-2025</t>
        </is>
      </c>
      <c r="B618" s="1" t="n">
        <v>45841.5737962963</v>
      </c>
      <c r="C618" s="1" t="n">
        <v>46062</v>
      </c>
      <c r="D618" t="inlineStr">
        <is>
          <t>STOCKHOLMS LÄN</t>
        </is>
      </c>
      <c r="E618" t="inlineStr">
        <is>
          <t>NORRTÄLJE</t>
        </is>
      </c>
      <c r="G618" t="n">
        <v>8.9</v>
      </c>
      <c r="H618" t="n">
        <v>0</v>
      </c>
      <c r="I618" t="n">
        <v>0</v>
      </c>
      <c r="J618" t="n">
        <v>0</v>
      </c>
      <c r="K618" t="n">
        <v>0</v>
      </c>
      <c r="L618" t="n">
        <v>0</v>
      </c>
      <c r="M618" t="n">
        <v>0</v>
      </c>
      <c r="N618" t="n">
        <v>0</v>
      </c>
      <c r="O618" t="n">
        <v>0</v>
      </c>
      <c r="P618" t="n">
        <v>0</v>
      </c>
      <c r="Q618" t="n">
        <v>0</v>
      </c>
      <c r="R618" s="2" t="inlineStr"/>
    </row>
    <row r="619" ht="15" customHeight="1">
      <c r="A619" t="inlineStr">
        <is>
          <t>A 33336-2025</t>
        </is>
      </c>
      <c r="B619" s="1" t="n">
        <v>45841.35611111111</v>
      </c>
      <c r="C619" s="1" t="n">
        <v>46062</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45255-2022</t>
        </is>
      </c>
      <c r="B620" s="1" t="n">
        <v>44840</v>
      </c>
      <c r="C620" s="1" t="n">
        <v>46062</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33824-2025</t>
        </is>
      </c>
      <c r="B621" s="1" t="n">
        <v>45842.46885416667</v>
      </c>
      <c r="C621" s="1" t="n">
        <v>46062</v>
      </c>
      <c r="D621" t="inlineStr">
        <is>
          <t>STOCKHOLMS LÄN</t>
        </is>
      </c>
      <c r="E621" t="inlineStr">
        <is>
          <t>NORRTÄLJE</t>
        </is>
      </c>
      <c r="G621" t="n">
        <v>1.9</v>
      </c>
      <c r="H621" t="n">
        <v>0</v>
      </c>
      <c r="I621" t="n">
        <v>0</v>
      </c>
      <c r="J621" t="n">
        <v>0</v>
      </c>
      <c r="K621" t="n">
        <v>0</v>
      </c>
      <c r="L621" t="n">
        <v>0</v>
      </c>
      <c r="M621" t="n">
        <v>0</v>
      </c>
      <c r="N621" t="n">
        <v>0</v>
      </c>
      <c r="O621" t="n">
        <v>0</v>
      </c>
      <c r="P621" t="n">
        <v>0</v>
      </c>
      <c r="Q621" t="n">
        <v>0</v>
      </c>
      <c r="R621" s="2" t="inlineStr"/>
    </row>
    <row r="622" ht="15" customHeight="1">
      <c r="A622" t="inlineStr">
        <is>
          <t>A 59893-2022</t>
        </is>
      </c>
      <c r="B622" s="1" t="n">
        <v>44908.77368055555</v>
      </c>
      <c r="C622" s="1" t="n">
        <v>46062</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49129-2025</t>
        </is>
      </c>
      <c r="B623" s="1" t="n">
        <v>45937.89517361111</v>
      </c>
      <c r="C623" s="1" t="n">
        <v>46062</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39905-2023</t>
        </is>
      </c>
      <c r="B624" s="1" t="n">
        <v>45168.44489583333</v>
      </c>
      <c r="C624" s="1" t="n">
        <v>46062</v>
      </c>
      <c r="D624" t="inlineStr">
        <is>
          <t>STOCKHOLMS LÄN</t>
        </is>
      </c>
      <c r="E624" t="inlineStr">
        <is>
          <t>NORRTÄLJE</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5645-2023</t>
        </is>
      </c>
      <c r="B625" s="1" t="n">
        <v>44960.60469907407</v>
      </c>
      <c r="C625" s="1" t="n">
        <v>46062</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68361-2021</t>
        </is>
      </c>
      <c r="B626" s="1" t="n">
        <v>44528.91494212963</v>
      </c>
      <c r="C626" s="1" t="n">
        <v>46062</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60529-2023</t>
        </is>
      </c>
      <c r="B627" s="1" t="n">
        <v>45259</v>
      </c>
      <c r="C627" s="1" t="n">
        <v>46062</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34006-2025</t>
        </is>
      </c>
      <c r="B628" s="1" t="n">
        <v>45844.62609953704</v>
      </c>
      <c r="C628" s="1" t="n">
        <v>46062</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34139-2025</t>
        </is>
      </c>
      <c r="B629" s="1" t="n">
        <v>45845</v>
      </c>
      <c r="C629" s="1" t="n">
        <v>46062</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34010-2025</t>
        </is>
      </c>
      <c r="B630" s="1" t="n">
        <v>45844.91234953704</v>
      </c>
      <c r="C630" s="1" t="n">
        <v>46062</v>
      </c>
      <c r="D630" t="inlineStr">
        <is>
          <t>STOCKHOLMS LÄN</t>
        </is>
      </c>
      <c r="E630" t="inlineStr">
        <is>
          <t>NORRTÄLJE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19706-2023</t>
        </is>
      </c>
      <c r="B631" s="1" t="n">
        <v>45051.455</v>
      </c>
      <c r="C631" s="1" t="n">
        <v>46062</v>
      </c>
      <c r="D631" t="inlineStr">
        <is>
          <t>STOCKHOLMS LÄN</t>
        </is>
      </c>
      <c r="E631" t="inlineStr">
        <is>
          <t>NORRTÄLJE</t>
        </is>
      </c>
      <c r="G631" t="n">
        <v>0.2</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46062</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18539-2021</t>
        </is>
      </c>
      <c r="B633" s="1" t="n">
        <v>44306</v>
      </c>
      <c r="C633" s="1" t="n">
        <v>46062</v>
      </c>
      <c r="D633" t="inlineStr">
        <is>
          <t>STOCKHOLMS LÄN</t>
        </is>
      </c>
      <c r="E633" t="inlineStr">
        <is>
          <t>NORRTÄLJE</t>
        </is>
      </c>
      <c r="F633" t="inlineStr">
        <is>
          <t>Holmen skog AB</t>
        </is>
      </c>
      <c r="G633" t="n">
        <v>5.5</v>
      </c>
      <c r="H633" t="n">
        <v>0</v>
      </c>
      <c r="I633" t="n">
        <v>0</v>
      </c>
      <c r="J633" t="n">
        <v>0</v>
      </c>
      <c r="K633" t="n">
        <v>0</v>
      </c>
      <c r="L633" t="n">
        <v>0</v>
      </c>
      <c r="M633" t="n">
        <v>0</v>
      </c>
      <c r="N633" t="n">
        <v>0</v>
      </c>
      <c r="O633" t="n">
        <v>0</v>
      </c>
      <c r="P633" t="n">
        <v>0</v>
      </c>
      <c r="Q633" t="n">
        <v>0</v>
      </c>
      <c r="R633" s="2" t="inlineStr"/>
    </row>
    <row r="634" ht="15" customHeight="1">
      <c r="A634" t="inlineStr">
        <is>
          <t>A 49836-2025</t>
        </is>
      </c>
      <c r="B634" s="1" t="n">
        <v>45940.46862268518</v>
      </c>
      <c r="C634" s="1" t="n">
        <v>46062</v>
      </c>
      <c r="D634" t="inlineStr">
        <is>
          <t>STOCKHOLMS LÄN</t>
        </is>
      </c>
      <c r="E634" t="inlineStr">
        <is>
          <t>NORRTÄLJE</t>
        </is>
      </c>
      <c r="G634" t="n">
        <v>3.5</v>
      </c>
      <c r="H634" t="n">
        <v>0</v>
      </c>
      <c r="I634" t="n">
        <v>0</v>
      </c>
      <c r="J634" t="n">
        <v>0</v>
      </c>
      <c r="K634" t="n">
        <v>0</v>
      </c>
      <c r="L634" t="n">
        <v>0</v>
      </c>
      <c r="M634" t="n">
        <v>0</v>
      </c>
      <c r="N634" t="n">
        <v>0</v>
      </c>
      <c r="O634" t="n">
        <v>0</v>
      </c>
      <c r="P634" t="n">
        <v>0</v>
      </c>
      <c r="Q634" t="n">
        <v>0</v>
      </c>
      <c r="R634" s="2" t="inlineStr"/>
    </row>
    <row r="635" ht="15" customHeight="1">
      <c r="A635" t="inlineStr">
        <is>
          <t>A 17612-2022</t>
        </is>
      </c>
      <c r="B635" s="1" t="n">
        <v>44680</v>
      </c>
      <c r="C635" s="1" t="n">
        <v>46062</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36689-2023</t>
        </is>
      </c>
      <c r="B636" s="1" t="n">
        <v>45152</v>
      </c>
      <c r="C636" s="1" t="n">
        <v>46062</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46073-2024</t>
        </is>
      </c>
      <c r="B637" s="1" t="n">
        <v>45581</v>
      </c>
      <c r="C637" s="1" t="n">
        <v>46062</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16835-2022</t>
        </is>
      </c>
      <c r="B638" s="1" t="n">
        <v>44673</v>
      </c>
      <c r="C638" s="1" t="n">
        <v>46062</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62765-2022</t>
        </is>
      </c>
      <c r="B639" s="1" t="n">
        <v>44637</v>
      </c>
      <c r="C639" s="1" t="n">
        <v>46062</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58404-2023</t>
        </is>
      </c>
      <c r="B640" s="1" t="n">
        <v>45245</v>
      </c>
      <c r="C640" s="1" t="n">
        <v>46062</v>
      </c>
      <c r="D640" t="inlineStr">
        <is>
          <t>STOCKHOLMS LÄN</t>
        </is>
      </c>
      <c r="E640" t="inlineStr">
        <is>
          <t>NORRTÄLJE</t>
        </is>
      </c>
      <c r="G640" t="n">
        <v>53.5</v>
      </c>
      <c r="H640" t="n">
        <v>0</v>
      </c>
      <c r="I640" t="n">
        <v>0</v>
      </c>
      <c r="J640" t="n">
        <v>0</v>
      </c>
      <c r="K640" t="n">
        <v>0</v>
      </c>
      <c r="L640" t="n">
        <v>0</v>
      </c>
      <c r="M640" t="n">
        <v>0</v>
      </c>
      <c r="N640" t="n">
        <v>0</v>
      </c>
      <c r="O640" t="n">
        <v>0</v>
      </c>
      <c r="P640" t="n">
        <v>0</v>
      </c>
      <c r="Q640" t="n">
        <v>0</v>
      </c>
      <c r="R640" s="2" t="inlineStr"/>
    </row>
    <row r="641" ht="15" customHeight="1">
      <c r="A641" t="inlineStr">
        <is>
          <t>A 8586-2023</t>
        </is>
      </c>
      <c r="B641" s="1" t="n">
        <v>44977</v>
      </c>
      <c r="C641" s="1" t="n">
        <v>46062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50327-2025</t>
        </is>
      </c>
      <c r="B642" s="1" t="n">
        <v>45944.46387731482</v>
      </c>
      <c r="C642" s="1" t="n">
        <v>46062</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16202-2022</t>
        </is>
      </c>
      <c r="B643" s="1" t="n">
        <v>44670</v>
      </c>
      <c r="C643" s="1" t="n">
        <v>46062</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50563-2025</t>
        </is>
      </c>
      <c r="B644" s="1" t="n">
        <v>45944</v>
      </c>
      <c r="C644" s="1" t="n">
        <v>46062</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50333-2025</t>
        </is>
      </c>
      <c r="B645" s="1" t="n">
        <v>45944.47178240741</v>
      </c>
      <c r="C645" s="1" t="n">
        <v>46062</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55018-2024</t>
        </is>
      </c>
      <c r="B646" s="1" t="n">
        <v>45621.35712962963</v>
      </c>
      <c r="C646" s="1" t="n">
        <v>46062</v>
      </c>
      <c r="D646" t="inlineStr">
        <is>
          <t>STOCKHOLMS LÄN</t>
        </is>
      </c>
      <c r="E646" t="inlineStr">
        <is>
          <t>NORRTÄLJE</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50136-2023</t>
        </is>
      </c>
      <c r="B647" s="1" t="n">
        <v>45215</v>
      </c>
      <c r="C647" s="1" t="n">
        <v>46062</v>
      </c>
      <c r="D647" t="inlineStr">
        <is>
          <t>STOCKHOLMS LÄN</t>
        </is>
      </c>
      <c r="E647" t="inlineStr">
        <is>
          <t>NORRTÄLJE</t>
        </is>
      </c>
      <c r="G647" t="n">
        <v>5.2</v>
      </c>
      <c r="H647" t="n">
        <v>0</v>
      </c>
      <c r="I647" t="n">
        <v>0</v>
      </c>
      <c r="J647" t="n">
        <v>0</v>
      </c>
      <c r="K647" t="n">
        <v>0</v>
      </c>
      <c r="L647" t="n">
        <v>0</v>
      </c>
      <c r="M647" t="n">
        <v>0</v>
      </c>
      <c r="N647" t="n">
        <v>0</v>
      </c>
      <c r="O647" t="n">
        <v>0</v>
      </c>
      <c r="P647" t="n">
        <v>0</v>
      </c>
      <c r="Q647" t="n">
        <v>0</v>
      </c>
      <c r="R647" s="2" t="inlineStr"/>
    </row>
    <row r="648" ht="15" customHeight="1">
      <c r="A648" t="inlineStr">
        <is>
          <t>A 25656-2023</t>
        </is>
      </c>
      <c r="B648" s="1" t="n">
        <v>45089</v>
      </c>
      <c r="C648" s="1" t="n">
        <v>46062</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46062</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6003-2025</t>
        </is>
      </c>
      <c r="B650" s="1" t="n">
        <v>45695.57881944445</v>
      </c>
      <c r="C650" s="1" t="n">
        <v>46062</v>
      </c>
      <c r="D650" t="inlineStr">
        <is>
          <t>STOCKHOLMS LÄN</t>
        </is>
      </c>
      <c r="E650" t="inlineStr">
        <is>
          <t>NORRTÄLJE</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51233-2025</t>
        </is>
      </c>
      <c r="B651" s="1" t="n">
        <v>45947.68232638889</v>
      </c>
      <c r="C651" s="1" t="n">
        <v>46062</v>
      </c>
      <c r="D651" t="inlineStr">
        <is>
          <t>STOCKHOLMS LÄN</t>
        </is>
      </c>
      <c r="E651" t="inlineStr">
        <is>
          <t>NORRTÄLJE</t>
        </is>
      </c>
      <c r="F651" t="inlineStr">
        <is>
          <t>Naturvårdsverket</t>
        </is>
      </c>
      <c r="G651" t="n">
        <v>8.1</v>
      </c>
      <c r="H651" t="n">
        <v>0</v>
      </c>
      <c r="I651" t="n">
        <v>0</v>
      </c>
      <c r="J651" t="n">
        <v>0</v>
      </c>
      <c r="K651" t="n">
        <v>0</v>
      </c>
      <c r="L651" t="n">
        <v>0</v>
      </c>
      <c r="M651" t="n">
        <v>0</v>
      </c>
      <c r="N651" t="n">
        <v>0</v>
      </c>
      <c r="O651" t="n">
        <v>0</v>
      </c>
      <c r="P651" t="n">
        <v>0</v>
      </c>
      <c r="Q651" t="n">
        <v>0</v>
      </c>
      <c r="R651" s="2" t="inlineStr"/>
    </row>
    <row r="652" ht="15" customHeight="1">
      <c r="A652" t="inlineStr">
        <is>
          <t>A 51236-2025</t>
        </is>
      </c>
      <c r="B652" s="1" t="n">
        <v>45947.69078703703</v>
      </c>
      <c r="C652" s="1" t="n">
        <v>46062</v>
      </c>
      <c r="D652" t="inlineStr">
        <is>
          <t>STOCKHOLMS LÄN</t>
        </is>
      </c>
      <c r="E652" t="inlineStr">
        <is>
          <t>NORRTÄLJE</t>
        </is>
      </c>
      <c r="F652" t="inlineStr">
        <is>
          <t>Naturvårdsverket</t>
        </is>
      </c>
      <c r="G652" t="n">
        <v>6.3</v>
      </c>
      <c r="H652" t="n">
        <v>0</v>
      </c>
      <c r="I652" t="n">
        <v>0</v>
      </c>
      <c r="J652" t="n">
        <v>0</v>
      </c>
      <c r="K652" t="n">
        <v>0</v>
      </c>
      <c r="L652" t="n">
        <v>0</v>
      </c>
      <c r="M652" t="n">
        <v>0</v>
      </c>
      <c r="N652" t="n">
        <v>0</v>
      </c>
      <c r="O652" t="n">
        <v>0</v>
      </c>
      <c r="P652" t="n">
        <v>0</v>
      </c>
      <c r="Q652" t="n">
        <v>0</v>
      </c>
      <c r="R652" s="2" t="inlineStr"/>
    </row>
    <row r="653" ht="15" customHeight="1">
      <c r="A653" t="inlineStr">
        <is>
          <t>A 51241-2025</t>
        </is>
      </c>
      <c r="B653" s="1" t="n">
        <v>45947.71726851852</v>
      </c>
      <c r="C653" s="1" t="n">
        <v>46062</v>
      </c>
      <c r="D653" t="inlineStr">
        <is>
          <t>STOCKHOLMS LÄN</t>
        </is>
      </c>
      <c r="E653" t="inlineStr">
        <is>
          <t>NORRTÄLJE</t>
        </is>
      </c>
      <c r="F653" t="inlineStr">
        <is>
          <t>Naturvårdsverket</t>
        </is>
      </c>
      <c r="G653" t="n">
        <v>6.4</v>
      </c>
      <c r="H653" t="n">
        <v>0</v>
      </c>
      <c r="I653" t="n">
        <v>0</v>
      </c>
      <c r="J653" t="n">
        <v>0</v>
      </c>
      <c r="K653" t="n">
        <v>0</v>
      </c>
      <c r="L653" t="n">
        <v>0</v>
      </c>
      <c r="M653" t="n">
        <v>0</v>
      </c>
      <c r="N653" t="n">
        <v>0</v>
      </c>
      <c r="O653" t="n">
        <v>0</v>
      </c>
      <c r="P653" t="n">
        <v>0</v>
      </c>
      <c r="Q653" t="n">
        <v>0</v>
      </c>
      <c r="R653" s="2" t="inlineStr"/>
    </row>
    <row r="654" ht="15" customHeight="1">
      <c r="A654" t="inlineStr">
        <is>
          <t>A 51240-2025</t>
        </is>
      </c>
      <c r="B654" s="1" t="n">
        <v>45947.70420138889</v>
      </c>
      <c r="C654" s="1" t="n">
        <v>46062</v>
      </c>
      <c r="D654" t="inlineStr">
        <is>
          <t>STOCKHOLMS LÄN</t>
        </is>
      </c>
      <c r="E654" t="inlineStr">
        <is>
          <t>NORRTÄLJE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51121-2025</t>
        </is>
      </c>
      <c r="B655" s="1" t="n">
        <v>45947.53293981482</v>
      </c>
      <c r="C655" s="1" t="n">
        <v>46062</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11902-2024</t>
        </is>
      </c>
      <c r="B656" s="1" t="n">
        <v>45376.55704861111</v>
      </c>
      <c r="C656" s="1" t="n">
        <v>46062</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59477-2025</t>
        </is>
      </c>
      <c r="B657" s="1" t="n">
        <v>45989.58679398148</v>
      </c>
      <c r="C657" s="1" t="n">
        <v>46062</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38049-2023</t>
        </is>
      </c>
      <c r="B658" s="1" t="n">
        <v>45159</v>
      </c>
      <c r="C658" s="1" t="n">
        <v>46062</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59535-2024</t>
        </is>
      </c>
      <c r="B659" s="1" t="n">
        <v>45638.59979166667</v>
      </c>
      <c r="C659" s="1" t="n">
        <v>46062</v>
      </c>
      <c r="D659" t="inlineStr">
        <is>
          <t>STOCKHOLMS LÄN</t>
        </is>
      </c>
      <c r="E659" t="inlineStr">
        <is>
          <t>NORRTÄLJE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51532-2025</t>
        </is>
      </c>
      <c r="B660" s="1" t="n">
        <v>45950.68297453703</v>
      </c>
      <c r="C660" s="1" t="n">
        <v>46062</v>
      </c>
      <c r="D660" t="inlineStr">
        <is>
          <t>STOCKHOLMS LÄN</t>
        </is>
      </c>
      <c r="E660" t="inlineStr">
        <is>
          <t>NORRTÄLJE</t>
        </is>
      </c>
      <c r="F660" t="inlineStr">
        <is>
          <t>Naturvårdsverket</t>
        </is>
      </c>
      <c r="G660" t="n">
        <v>17.3</v>
      </c>
      <c r="H660" t="n">
        <v>0</v>
      </c>
      <c r="I660" t="n">
        <v>0</v>
      </c>
      <c r="J660" t="n">
        <v>0</v>
      </c>
      <c r="K660" t="n">
        <v>0</v>
      </c>
      <c r="L660" t="n">
        <v>0</v>
      </c>
      <c r="M660" t="n">
        <v>0</v>
      </c>
      <c r="N660" t="n">
        <v>0</v>
      </c>
      <c r="O660" t="n">
        <v>0</v>
      </c>
      <c r="P660" t="n">
        <v>0</v>
      </c>
      <c r="Q660" t="n">
        <v>0</v>
      </c>
      <c r="R660" s="2" t="inlineStr"/>
    </row>
    <row r="661" ht="15" customHeight="1">
      <c r="A661" t="inlineStr">
        <is>
          <t>A 35110-2025</t>
        </is>
      </c>
      <c r="B661" s="1" t="n">
        <v>45852.58030092593</v>
      </c>
      <c r="C661" s="1" t="n">
        <v>46062</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51789-2025</t>
        </is>
      </c>
      <c r="B662" s="1" t="n">
        <v>45951.68046296296</v>
      </c>
      <c r="C662" s="1" t="n">
        <v>46062</v>
      </c>
      <c r="D662" t="inlineStr">
        <is>
          <t>STOCKHOLMS LÄN</t>
        </is>
      </c>
      <c r="E662" t="inlineStr">
        <is>
          <t>NORRTÄLJE</t>
        </is>
      </c>
      <c r="F662" t="inlineStr">
        <is>
          <t>Naturvårdsverket</t>
        </is>
      </c>
      <c r="G662" t="n">
        <v>8.9</v>
      </c>
      <c r="H662" t="n">
        <v>0</v>
      </c>
      <c r="I662" t="n">
        <v>0</v>
      </c>
      <c r="J662" t="n">
        <v>0</v>
      </c>
      <c r="K662" t="n">
        <v>0</v>
      </c>
      <c r="L662" t="n">
        <v>0</v>
      </c>
      <c r="M662" t="n">
        <v>0</v>
      </c>
      <c r="N662" t="n">
        <v>0</v>
      </c>
      <c r="O662" t="n">
        <v>0</v>
      </c>
      <c r="P662" t="n">
        <v>0</v>
      </c>
      <c r="Q662" t="n">
        <v>0</v>
      </c>
      <c r="R662" s="2" t="inlineStr"/>
    </row>
    <row r="663" ht="15" customHeight="1">
      <c r="A663" t="inlineStr">
        <is>
          <t>A 35254-2025</t>
        </is>
      </c>
      <c r="B663" s="1" t="n">
        <v>45853</v>
      </c>
      <c r="C663" s="1" t="n">
        <v>46062</v>
      </c>
      <c r="D663" t="inlineStr">
        <is>
          <t>STOCKHOLMS LÄN</t>
        </is>
      </c>
      <c r="E663" t="inlineStr">
        <is>
          <t>NORRTÄLJE</t>
        </is>
      </c>
      <c r="G663" t="n">
        <v>6.5</v>
      </c>
      <c r="H663" t="n">
        <v>0</v>
      </c>
      <c r="I663" t="n">
        <v>0</v>
      </c>
      <c r="J663" t="n">
        <v>0</v>
      </c>
      <c r="K663" t="n">
        <v>0</v>
      </c>
      <c r="L663" t="n">
        <v>0</v>
      </c>
      <c r="M663" t="n">
        <v>0</v>
      </c>
      <c r="N663" t="n">
        <v>0</v>
      </c>
      <c r="O663" t="n">
        <v>0</v>
      </c>
      <c r="P663" t="n">
        <v>0</v>
      </c>
      <c r="Q663" t="n">
        <v>0</v>
      </c>
      <c r="R663" s="2" t="inlineStr"/>
    </row>
    <row r="664" ht="15" customHeight="1">
      <c r="A664" t="inlineStr">
        <is>
          <t>A 4183-2025</t>
        </is>
      </c>
      <c r="B664" s="1" t="n">
        <v>45685.44592592592</v>
      </c>
      <c r="C664" s="1" t="n">
        <v>46062</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35479-2025</t>
        </is>
      </c>
      <c r="B665" s="1" t="n">
        <v>45855.69387731481</v>
      </c>
      <c r="C665" s="1" t="n">
        <v>46062</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35451-2025</t>
        </is>
      </c>
      <c r="B666" s="1" t="n">
        <v>45855.57033564815</v>
      </c>
      <c r="C666" s="1" t="n">
        <v>46062</v>
      </c>
      <c r="D666" t="inlineStr">
        <is>
          <t>STOCKHOLMS LÄN</t>
        </is>
      </c>
      <c r="E666" t="inlineStr">
        <is>
          <t>NORRTÄLJE</t>
        </is>
      </c>
      <c r="F666" t="inlineStr">
        <is>
          <t>Holmen skog AB</t>
        </is>
      </c>
      <c r="G666" t="n">
        <v>7.4</v>
      </c>
      <c r="H666" t="n">
        <v>0</v>
      </c>
      <c r="I666" t="n">
        <v>0</v>
      </c>
      <c r="J666" t="n">
        <v>0</v>
      </c>
      <c r="K666" t="n">
        <v>0</v>
      </c>
      <c r="L666" t="n">
        <v>0</v>
      </c>
      <c r="M666" t="n">
        <v>0</v>
      </c>
      <c r="N666" t="n">
        <v>0</v>
      </c>
      <c r="O666" t="n">
        <v>0</v>
      </c>
      <c r="P666" t="n">
        <v>0</v>
      </c>
      <c r="Q666" t="n">
        <v>0</v>
      </c>
      <c r="R666" s="2" t="inlineStr"/>
    </row>
    <row r="667" ht="15" customHeight="1">
      <c r="A667" t="inlineStr">
        <is>
          <t>A 35478-2025</t>
        </is>
      </c>
      <c r="B667" s="1" t="n">
        <v>45855.68413194444</v>
      </c>
      <c r="C667" s="1" t="n">
        <v>46062</v>
      </c>
      <c r="D667" t="inlineStr">
        <is>
          <t>STOCKHOLMS LÄN</t>
        </is>
      </c>
      <c r="E667" t="inlineStr">
        <is>
          <t>NORRTÄLJE</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9480-2025</t>
        </is>
      </c>
      <c r="B668" s="1" t="n">
        <v>45715</v>
      </c>
      <c r="C668" s="1" t="n">
        <v>46062</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51960-2025</t>
        </is>
      </c>
      <c r="B669" s="1" t="n">
        <v>45952.54755787037</v>
      </c>
      <c r="C669" s="1" t="n">
        <v>46062</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24522-2023</t>
        </is>
      </c>
      <c r="B670" s="1" t="n">
        <v>45082.69179398148</v>
      </c>
      <c r="C670" s="1" t="n">
        <v>46062</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25625-2023</t>
        </is>
      </c>
      <c r="B671" s="1" t="n">
        <v>45089</v>
      </c>
      <c r="C671" s="1" t="n">
        <v>46062</v>
      </c>
      <c r="D671" t="inlineStr">
        <is>
          <t>STOCKHOLMS LÄN</t>
        </is>
      </c>
      <c r="E671" t="inlineStr">
        <is>
          <t>NORRTÄLJE</t>
        </is>
      </c>
      <c r="G671" t="n">
        <v>5.5</v>
      </c>
      <c r="H671" t="n">
        <v>0</v>
      </c>
      <c r="I671" t="n">
        <v>0</v>
      </c>
      <c r="J671" t="n">
        <v>0</v>
      </c>
      <c r="K671" t="n">
        <v>0</v>
      </c>
      <c r="L671" t="n">
        <v>0</v>
      </c>
      <c r="M671" t="n">
        <v>0</v>
      </c>
      <c r="N671" t="n">
        <v>0</v>
      </c>
      <c r="O671" t="n">
        <v>0</v>
      </c>
      <c r="P671" t="n">
        <v>0</v>
      </c>
      <c r="Q671" t="n">
        <v>0</v>
      </c>
      <c r="R671" s="2" t="inlineStr"/>
    </row>
    <row r="672" ht="15" customHeight="1">
      <c r="A672" t="inlineStr">
        <is>
          <t>A 37147-2023</t>
        </is>
      </c>
      <c r="B672" s="1" t="n">
        <v>45155</v>
      </c>
      <c r="C672" s="1" t="n">
        <v>46062</v>
      </c>
      <c r="D672" t="inlineStr">
        <is>
          <t>STOCKHOLMS LÄN</t>
        </is>
      </c>
      <c r="E672" t="inlineStr">
        <is>
          <t>NORRTÄLJE</t>
        </is>
      </c>
      <c r="G672" t="n">
        <v>8</v>
      </c>
      <c r="H672" t="n">
        <v>0</v>
      </c>
      <c r="I672" t="n">
        <v>0</v>
      </c>
      <c r="J672" t="n">
        <v>0</v>
      </c>
      <c r="K672" t="n">
        <v>0</v>
      </c>
      <c r="L672" t="n">
        <v>0</v>
      </c>
      <c r="M672" t="n">
        <v>0</v>
      </c>
      <c r="N672" t="n">
        <v>0</v>
      </c>
      <c r="O672" t="n">
        <v>0</v>
      </c>
      <c r="P672" t="n">
        <v>0</v>
      </c>
      <c r="Q672" t="n">
        <v>0</v>
      </c>
      <c r="R672" s="2" t="inlineStr"/>
    </row>
    <row r="673" ht="15" customHeight="1">
      <c r="A673" t="inlineStr">
        <is>
          <t>A 7186-2024</t>
        </is>
      </c>
      <c r="B673" s="1" t="n">
        <v>45344</v>
      </c>
      <c r="C673" s="1" t="n">
        <v>46062</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34444-2024</t>
        </is>
      </c>
      <c r="B674" s="1" t="n">
        <v>45525</v>
      </c>
      <c r="C674" s="1" t="n">
        <v>46062</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20698-2025</t>
        </is>
      </c>
      <c r="B675" s="1" t="n">
        <v>45776.47122685185</v>
      </c>
      <c r="C675" s="1" t="n">
        <v>46062</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51941-2025</t>
        </is>
      </c>
      <c r="B676" s="1" t="n">
        <v>45952.52261574074</v>
      </c>
      <c r="C676" s="1" t="n">
        <v>46062</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57602-2024</t>
        </is>
      </c>
      <c r="B677" s="1" t="n">
        <v>45630.52866898148</v>
      </c>
      <c r="C677" s="1" t="n">
        <v>46062</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64600-2021</t>
        </is>
      </c>
      <c r="B678" s="1" t="n">
        <v>44511.70518518519</v>
      </c>
      <c r="C678" s="1" t="n">
        <v>46062</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50602-2021</t>
        </is>
      </c>
      <c r="B679" s="1" t="n">
        <v>44459</v>
      </c>
      <c r="C679" s="1" t="n">
        <v>46062</v>
      </c>
      <c r="D679" t="inlineStr">
        <is>
          <t>STOCKHOLMS LÄN</t>
        </is>
      </c>
      <c r="E679" t="inlineStr">
        <is>
          <t>NORRTÄLJE</t>
        </is>
      </c>
      <c r="F679" t="inlineStr">
        <is>
          <t>Holmen skog AB</t>
        </is>
      </c>
      <c r="G679" t="n">
        <v>2</v>
      </c>
      <c r="H679" t="n">
        <v>0</v>
      </c>
      <c r="I679" t="n">
        <v>0</v>
      </c>
      <c r="J679" t="n">
        <v>0</v>
      </c>
      <c r="K679" t="n">
        <v>0</v>
      </c>
      <c r="L679" t="n">
        <v>0</v>
      </c>
      <c r="M679" t="n">
        <v>0</v>
      </c>
      <c r="N679" t="n">
        <v>0</v>
      </c>
      <c r="O679" t="n">
        <v>0</v>
      </c>
      <c r="P679" t="n">
        <v>0</v>
      </c>
      <c r="Q679" t="n">
        <v>0</v>
      </c>
      <c r="R679" s="2" t="inlineStr"/>
    </row>
    <row r="680" ht="15" customHeight="1">
      <c r="A680" t="inlineStr">
        <is>
          <t>A 26365-2024</t>
        </is>
      </c>
      <c r="B680" s="1" t="n">
        <v>45469</v>
      </c>
      <c r="C680" s="1" t="n">
        <v>46062</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52061-2025</t>
        </is>
      </c>
      <c r="B681" s="1" t="n">
        <v>45952.63679398148</v>
      </c>
      <c r="C681" s="1" t="n">
        <v>46062</v>
      </c>
      <c r="D681" t="inlineStr">
        <is>
          <t>STOCKHOLMS LÄN</t>
        </is>
      </c>
      <c r="E681" t="inlineStr">
        <is>
          <t>NORRTÄLJE</t>
        </is>
      </c>
      <c r="G681" t="n">
        <v>9.5</v>
      </c>
      <c r="H681" t="n">
        <v>0</v>
      </c>
      <c r="I681" t="n">
        <v>0</v>
      </c>
      <c r="J681" t="n">
        <v>0</v>
      </c>
      <c r="K681" t="n">
        <v>0</v>
      </c>
      <c r="L681" t="n">
        <v>0</v>
      </c>
      <c r="M681" t="n">
        <v>0</v>
      </c>
      <c r="N681" t="n">
        <v>0</v>
      </c>
      <c r="O681" t="n">
        <v>0</v>
      </c>
      <c r="P681" t="n">
        <v>0</v>
      </c>
      <c r="Q681" t="n">
        <v>0</v>
      </c>
      <c r="R681" s="2" t="inlineStr"/>
    </row>
    <row r="682" ht="15" customHeight="1">
      <c r="A682" t="inlineStr">
        <is>
          <t>A 51945-2025</t>
        </is>
      </c>
      <c r="B682" s="1" t="n">
        <v>45952.52679398148</v>
      </c>
      <c r="C682" s="1" t="n">
        <v>46062</v>
      </c>
      <c r="D682" t="inlineStr">
        <is>
          <t>STOCKHOLMS LÄN</t>
        </is>
      </c>
      <c r="E682" t="inlineStr">
        <is>
          <t>NORRTÄLJE</t>
        </is>
      </c>
      <c r="G682" t="n">
        <v>7</v>
      </c>
      <c r="H682" t="n">
        <v>0</v>
      </c>
      <c r="I682" t="n">
        <v>0</v>
      </c>
      <c r="J682" t="n">
        <v>0</v>
      </c>
      <c r="K682" t="n">
        <v>0</v>
      </c>
      <c r="L682" t="n">
        <v>0</v>
      </c>
      <c r="M682" t="n">
        <v>0</v>
      </c>
      <c r="N682" t="n">
        <v>0</v>
      </c>
      <c r="O682" t="n">
        <v>0</v>
      </c>
      <c r="P682" t="n">
        <v>0</v>
      </c>
      <c r="Q682" t="n">
        <v>0</v>
      </c>
      <c r="R682" s="2" t="inlineStr"/>
    </row>
    <row r="683" ht="15" customHeight="1">
      <c r="A683" t="inlineStr">
        <is>
          <t>A 52251-2025</t>
        </is>
      </c>
      <c r="B683" s="1" t="n">
        <v>45953.49185185185</v>
      </c>
      <c r="C683" s="1" t="n">
        <v>46062</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52254-2025</t>
        </is>
      </c>
      <c r="B684" s="1" t="n">
        <v>45953.49519675926</v>
      </c>
      <c r="C684" s="1" t="n">
        <v>46062</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52773-2025</t>
        </is>
      </c>
      <c r="B685" s="1" t="n">
        <v>45957.41457175926</v>
      </c>
      <c r="C685" s="1" t="n">
        <v>46062</v>
      </c>
      <c r="D685" t="inlineStr">
        <is>
          <t>STOCKHOLMS LÄN</t>
        </is>
      </c>
      <c r="E685" t="inlineStr">
        <is>
          <t>NORRTÄLJE</t>
        </is>
      </c>
      <c r="F685" t="inlineStr">
        <is>
          <t>Sveaskog</t>
        </is>
      </c>
      <c r="G685" t="n">
        <v>10.5</v>
      </c>
      <c r="H685" t="n">
        <v>0</v>
      </c>
      <c r="I685" t="n">
        <v>0</v>
      </c>
      <c r="J685" t="n">
        <v>0</v>
      </c>
      <c r="K685" t="n">
        <v>0</v>
      </c>
      <c r="L685" t="n">
        <v>0</v>
      </c>
      <c r="M685" t="n">
        <v>0</v>
      </c>
      <c r="N685" t="n">
        <v>0</v>
      </c>
      <c r="O685" t="n">
        <v>0</v>
      </c>
      <c r="P685" t="n">
        <v>0</v>
      </c>
      <c r="Q685" t="n">
        <v>0</v>
      </c>
      <c r="R685" s="2" t="inlineStr"/>
    </row>
    <row r="686" ht="15" customHeight="1">
      <c r="A686" t="inlineStr">
        <is>
          <t>A 22232-2024</t>
        </is>
      </c>
      <c r="B686" s="1" t="n">
        <v>45446.4287962963</v>
      </c>
      <c r="C686" s="1" t="n">
        <v>46062</v>
      </c>
      <c r="D686" t="inlineStr">
        <is>
          <t>STOCKHOLMS LÄN</t>
        </is>
      </c>
      <c r="E686" t="inlineStr">
        <is>
          <t>NORRTÄLJE</t>
        </is>
      </c>
      <c r="G686" t="n">
        <v>12.8</v>
      </c>
      <c r="H686" t="n">
        <v>0</v>
      </c>
      <c r="I686" t="n">
        <v>0</v>
      </c>
      <c r="J686" t="n">
        <v>0</v>
      </c>
      <c r="K686" t="n">
        <v>0</v>
      </c>
      <c r="L686" t="n">
        <v>0</v>
      </c>
      <c r="M686" t="n">
        <v>0</v>
      </c>
      <c r="N686" t="n">
        <v>0</v>
      </c>
      <c r="O686" t="n">
        <v>0</v>
      </c>
      <c r="P686" t="n">
        <v>0</v>
      </c>
      <c r="Q686" t="n">
        <v>0</v>
      </c>
      <c r="R686" s="2" t="inlineStr"/>
    </row>
    <row r="687" ht="15" customHeight="1">
      <c r="A687" t="inlineStr">
        <is>
          <t>A 26640-2023</t>
        </is>
      </c>
      <c r="B687" s="1" t="n">
        <v>45092</v>
      </c>
      <c r="C687" s="1" t="n">
        <v>46062</v>
      </c>
      <c r="D687" t="inlineStr">
        <is>
          <t>STOCKHOLMS LÄN</t>
        </is>
      </c>
      <c r="E687" t="inlineStr">
        <is>
          <t>NORRTÄLJE</t>
        </is>
      </c>
      <c r="G687" t="n">
        <v>5.7</v>
      </c>
      <c r="H687" t="n">
        <v>0</v>
      </c>
      <c r="I687" t="n">
        <v>0</v>
      </c>
      <c r="J687" t="n">
        <v>0</v>
      </c>
      <c r="K687" t="n">
        <v>0</v>
      </c>
      <c r="L687" t="n">
        <v>0</v>
      </c>
      <c r="M687" t="n">
        <v>0</v>
      </c>
      <c r="N687" t="n">
        <v>0</v>
      </c>
      <c r="O687" t="n">
        <v>0</v>
      </c>
      <c r="P687" t="n">
        <v>0</v>
      </c>
      <c r="Q687" t="n">
        <v>0</v>
      </c>
      <c r="R687" s="2" t="inlineStr"/>
    </row>
    <row r="688" ht="15" customHeight="1">
      <c r="A688" t="inlineStr">
        <is>
          <t>A 52777-2025</t>
        </is>
      </c>
      <c r="B688" s="1" t="n">
        <v>45957.41832175926</v>
      </c>
      <c r="C688" s="1" t="n">
        <v>46062</v>
      </c>
      <c r="D688" t="inlineStr">
        <is>
          <t>STOCKHOLMS LÄN</t>
        </is>
      </c>
      <c r="E688" t="inlineStr">
        <is>
          <t>NORRTÄLJE</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31827-2023</t>
        </is>
      </c>
      <c r="B689" s="1" t="n">
        <v>45118</v>
      </c>
      <c r="C689" s="1" t="n">
        <v>46062</v>
      </c>
      <c r="D689" t="inlineStr">
        <is>
          <t>STOCKHOLMS LÄN</t>
        </is>
      </c>
      <c r="E689" t="inlineStr">
        <is>
          <t>NORRTÄLJE</t>
        </is>
      </c>
      <c r="F689" t="inlineStr">
        <is>
          <t>Kyrkan</t>
        </is>
      </c>
      <c r="G689" t="n">
        <v>4.9</v>
      </c>
      <c r="H689" t="n">
        <v>0</v>
      </c>
      <c r="I689" t="n">
        <v>0</v>
      </c>
      <c r="J689" t="n">
        <v>0</v>
      </c>
      <c r="K689" t="n">
        <v>0</v>
      </c>
      <c r="L689" t="n">
        <v>0</v>
      </c>
      <c r="M689" t="n">
        <v>0</v>
      </c>
      <c r="N689" t="n">
        <v>0</v>
      </c>
      <c r="O689" t="n">
        <v>0</v>
      </c>
      <c r="P689" t="n">
        <v>0</v>
      </c>
      <c r="Q689" t="n">
        <v>0</v>
      </c>
      <c r="R689" s="2" t="inlineStr"/>
    </row>
    <row r="690" ht="15" customHeight="1">
      <c r="A690" t="inlineStr">
        <is>
          <t>A 58993-2022</t>
        </is>
      </c>
      <c r="B690" s="1" t="n">
        <v>44903</v>
      </c>
      <c r="C690" s="1" t="n">
        <v>46062</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36396-2025</t>
        </is>
      </c>
      <c r="B691" s="1" t="n">
        <v>45868.62267361111</v>
      </c>
      <c r="C691" s="1" t="n">
        <v>46062</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52526-2025</t>
        </is>
      </c>
      <c r="B692" s="1" t="n">
        <v>45954.53061342592</v>
      </c>
      <c r="C692" s="1" t="n">
        <v>46062</v>
      </c>
      <c r="D692" t="inlineStr">
        <is>
          <t>STOCKHOLMS LÄN</t>
        </is>
      </c>
      <c r="E692" t="inlineStr">
        <is>
          <t>NORRTÄLJE</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53000-2025</t>
        </is>
      </c>
      <c r="B693" s="1" t="n">
        <v>45957.74357638889</v>
      </c>
      <c r="C693" s="1" t="n">
        <v>46062</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28900-2022</t>
        </is>
      </c>
      <c r="B694" s="1" t="n">
        <v>44749.55258101852</v>
      </c>
      <c r="C694" s="1" t="n">
        <v>46062</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17574-2025</t>
        </is>
      </c>
      <c r="B695" s="1" t="n">
        <v>45757.65178240741</v>
      </c>
      <c r="C695" s="1" t="n">
        <v>46062</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52703-2025</t>
        </is>
      </c>
      <c r="B696" s="1" t="n">
        <v>45956.88643518519</v>
      </c>
      <c r="C696" s="1" t="n">
        <v>46062</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52729-2025</t>
        </is>
      </c>
      <c r="B697" s="1" t="n">
        <v>45957.3636574074</v>
      </c>
      <c r="C697" s="1" t="n">
        <v>46062</v>
      </c>
      <c r="D697" t="inlineStr">
        <is>
          <t>STOCKHOLMS LÄN</t>
        </is>
      </c>
      <c r="E697" t="inlineStr">
        <is>
          <t>NORRTÄLJE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52734-2025</t>
        </is>
      </c>
      <c r="B698" s="1" t="n">
        <v>45957.3710300926</v>
      </c>
      <c r="C698" s="1" t="n">
        <v>46062</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52776-2025</t>
        </is>
      </c>
      <c r="B699" s="1" t="n">
        <v>45957.41724537037</v>
      </c>
      <c r="C699" s="1" t="n">
        <v>46062</v>
      </c>
      <c r="D699" t="inlineStr">
        <is>
          <t>STOCKHOLMS LÄN</t>
        </is>
      </c>
      <c r="E699" t="inlineStr">
        <is>
          <t>NORRTÄLJE</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58297-2023</t>
        </is>
      </c>
      <c r="B700" s="1" t="n">
        <v>45245</v>
      </c>
      <c r="C700" s="1" t="n">
        <v>46062</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20304-2023</t>
        </is>
      </c>
      <c r="B701" s="1" t="n">
        <v>45056</v>
      </c>
      <c r="C701" s="1" t="n">
        <v>46062</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52529-2025</t>
        </is>
      </c>
      <c r="B702" s="1" t="n">
        <v>45954.53229166667</v>
      </c>
      <c r="C702" s="1" t="n">
        <v>46062</v>
      </c>
      <c r="D702" t="inlineStr">
        <is>
          <t>STOCKHOLMS LÄN</t>
        </is>
      </c>
      <c r="E702" t="inlineStr">
        <is>
          <t>NORRTÄLJE</t>
        </is>
      </c>
      <c r="F702" t="inlineStr">
        <is>
          <t>Sveaskog</t>
        </is>
      </c>
      <c r="G702" t="n">
        <v>7.8</v>
      </c>
      <c r="H702" t="n">
        <v>0</v>
      </c>
      <c r="I702" t="n">
        <v>0</v>
      </c>
      <c r="J702" t="n">
        <v>0</v>
      </c>
      <c r="K702" t="n">
        <v>0</v>
      </c>
      <c r="L702" t="n">
        <v>0</v>
      </c>
      <c r="M702" t="n">
        <v>0</v>
      </c>
      <c r="N702" t="n">
        <v>0</v>
      </c>
      <c r="O702" t="n">
        <v>0</v>
      </c>
      <c r="P702" t="n">
        <v>0</v>
      </c>
      <c r="Q702" t="n">
        <v>0</v>
      </c>
      <c r="R702" s="2" t="inlineStr"/>
    </row>
    <row r="703" ht="15" customHeight="1">
      <c r="A703" t="inlineStr">
        <is>
          <t>A 52704-2025</t>
        </is>
      </c>
      <c r="B703" s="1" t="n">
        <v>45956.89097222222</v>
      </c>
      <c r="C703" s="1" t="n">
        <v>46062</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12299-2025</t>
        </is>
      </c>
      <c r="B704" s="1" t="n">
        <v>45729.71065972222</v>
      </c>
      <c r="C704" s="1" t="n">
        <v>46062</v>
      </c>
      <c r="D704" t="inlineStr">
        <is>
          <t>STOCKHOLMS LÄN</t>
        </is>
      </c>
      <c r="E704" t="inlineStr">
        <is>
          <t>NORRTÄLJE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46062</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22157-2023</t>
        </is>
      </c>
      <c r="B706" s="1" t="n">
        <v>45069</v>
      </c>
      <c r="C706" s="1" t="n">
        <v>46062</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c r="U706">
        <f>HYPERLINK("https://klasma.github.io/Logging_0188/knärot/A 22157-2023 karta knärot.png", "A 22157-2023")</f>
        <v/>
      </c>
      <c r="V706">
        <f>HYPERLINK("https://klasma.github.io/Logging_0188/klagomål/A 22157-2023 FSC-klagomål.docx", "A 22157-2023")</f>
        <v/>
      </c>
      <c r="W706">
        <f>HYPERLINK("https://klasma.github.io/Logging_0188/klagomålsmail/A 22157-2023 FSC-klagomål mail.docx", "A 22157-2023")</f>
        <v/>
      </c>
      <c r="X706">
        <f>HYPERLINK("https://klasma.github.io/Logging_0188/tillsyn/A 22157-2023 tillsynsbegäran.docx", "A 22157-2023")</f>
        <v/>
      </c>
      <c r="Y706">
        <f>HYPERLINK("https://klasma.github.io/Logging_0188/tillsynsmail/A 22157-2023 tillsynsbegäran mail.docx", "A 22157-2023")</f>
        <v/>
      </c>
    </row>
    <row r="707" ht="15" customHeight="1">
      <c r="A707" t="inlineStr">
        <is>
          <t>A 11929-2024</t>
        </is>
      </c>
      <c r="B707" s="1" t="n">
        <v>45376.64532407407</v>
      </c>
      <c r="C707" s="1" t="n">
        <v>46062</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8296-2023</t>
        </is>
      </c>
      <c r="B708" s="1" t="n">
        <v>44974</v>
      </c>
      <c r="C708" s="1" t="n">
        <v>46062</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24575-2024</t>
        </is>
      </c>
      <c r="B709" s="1" t="n">
        <v>45460.45523148148</v>
      </c>
      <c r="C709" s="1" t="n">
        <v>46062</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64899-2023</t>
        </is>
      </c>
      <c r="B710" s="1" t="n">
        <v>45282</v>
      </c>
      <c r="C710" s="1" t="n">
        <v>46062</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52593-2024</t>
        </is>
      </c>
      <c r="B711" s="1" t="n">
        <v>45609.70778935185</v>
      </c>
      <c r="C711" s="1" t="n">
        <v>46062</v>
      </c>
      <c r="D711" t="inlineStr">
        <is>
          <t>STOCKHOLMS LÄN</t>
        </is>
      </c>
      <c r="E711" t="inlineStr">
        <is>
          <t>NORRTÄLJE</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52617-2024</t>
        </is>
      </c>
      <c r="B712" s="1" t="n">
        <v>45609.85146990741</v>
      </c>
      <c r="C712" s="1" t="n">
        <v>46062</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37261-2025</t>
        </is>
      </c>
      <c r="B713" s="1" t="n">
        <v>45876.45253472222</v>
      </c>
      <c r="C713" s="1" t="n">
        <v>46062</v>
      </c>
      <c r="D713" t="inlineStr">
        <is>
          <t>STOCKHOLMS LÄN</t>
        </is>
      </c>
      <c r="E713" t="inlineStr">
        <is>
          <t>NORRTÄLJE</t>
        </is>
      </c>
      <c r="F713" t="inlineStr">
        <is>
          <t>Kommuner</t>
        </is>
      </c>
      <c r="G713" t="n">
        <v>2.2</v>
      </c>
      <c r="H713" t="n">
        <v>0</v>
      </c>
      <c r="I713" t="n">
        <v>0</v>
      </c>
      <c r="J713" t="n">
        <v>0</v>
      </c>
      <c r="K713" t="n">
        <v>0</v>
      </c>
      <c r="L713" t="n">
        <v>0</v>
      </c>
      <c r="M713" t="n">
        <v>0</v>
      </c>
      <c r="N713" t="n">
        <v>0</v>
      </c>
      <c r="O713" t="n">
        <v>0</v>
      </c>
      <c r="P713" t="n">
        <v>0</v>
      </c>
      <c r="Q713" t="n">
        <v>0</v>
      </c>
      <c r="R713" s="2" t="inlineStr"/>
    </row>
    <row r="714" ht="15" customHeight="1">
      <c r="A714" t="inlineStr">
        <is>
          <t>A 22816-2021</t>
        </is>
      </c>
      <c r="B714" s="1" t="n">
        <v>44325</v>
      </c>
      <c r="C714" s="1" t="n">
        <v>46062</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59904-2023</t>
        </is>
      </c>
      <c r="B715" s="1" t="n">
        <v>45257</v>
      </c>
      <c r="C715" s="1" t="n">
        <v>46062</v>
      </c>
      <c r="D715" t="inlineStr">
        <is>
          <t>STOCKHOLMS LÄN</t>
        </is>
      </c>
      <c r="E715" t="inlineStr">
        <is>
          <t>NORRTÄLJE</t>
        </is>
      </c>
      <c r="G715" t="n">
        <v>17.4</v>
      </c>
      <c r="H715" t="n">
        <v>0</v>
      </c>
      <c r="I715" t="n">
        <v>0</v>
      </c>
      <c r="J715" t="n">
        <v>0</v>
      </c>
      <c r="K715" t="n">
        <v>0</v>
      </c>
      <c r="L715" t="n">
        <v>0</v>
      </c>
      <c r="M715" t="n">
        <v>0</v>
      </c>
      <c r="N715" t="n">
        <v>0</v>
      </c>
      <c r="O715" t="n">
        <v>0</v>
      </c>
      <c r="P715" t="n">
        <v>0</v>
      </c>
      <c r="Q715" t="n">
        <v>0</v>
      </c>
      <c r="R715" s="2" t="inlineStr"/>
    </row>
    <row r="716" ht="15" customHeight="1">
      <c r="A716" t="inlineStr">
        <is>
          <t>A 9914-2023</t>
        </is>
      </c>
      <c r="B716" s="1" t="n">
        <v>44985</v>
      </c>
      <c r="C716" s="1" t="n">
        <v>46062</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46062</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11062-2024</t>
        </is>
      </c>
      <c r="B718" s="1" t="n">
        <v>45370</v>
      </c>
      <c r="C718" s="1" t="n">
        <v>46062</v>
      </c>
      <c r="D718" t="inlineStr">
        <is>
          <t>STOCKHOLMS LÄN</t>
        </is>
      </c>
      <c r="E718" t="inlineStr">
        <is>
          <t>NORRTÄLJE</t>
        </is>
      </c>
      <c r="G718" t="n">
        <v>3.2</v>
      </c>
      <c r="H718" t="n">
        <v>0</v>
      </c>
      <c r="I718" t="n">
        <v>0</v>
      </c>
      <c r="J718" t="n">
        <v>0</v>
      </c>
      <c r="K718" t="n">
        <v>0</v>
      </c>
      <c r="L718" t="n">
        <v>0</v>
      </c>
      <c r="M718" t="n">
        <v>0</v>
      </c>
      <c r="N718" t="n">
        <v>0</v>
      </c>
      <c r="O718" t="n">
        <v>0</v>
      </c>
      <c r="P718" t="n">
        <v>0</v>
      </c>
      <c r="Q718" t="n">
        <v>0</v>
      </c>
      <c r="R718" s="2" t="inlineStr"/>
    </row>
    <row r="719" ht="15" customHeight="1">
      <c r="A719" t="inlineStr">
        <is>
          <t>A 53087-2025</t>
        </is>
      </c>
      <c r="B719" s="1" t="n">
        <v>45958.41065972222</v>
      </c>
      <c r="C719" s="1" t="n">
        <v>46062</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53115-2025</t>
        </is>
      </c>
      <c r="B720" s="1" t="n">
        <v>45958.44614583333</v>
      </c>
      <c r="C720" s="1" t="n">
        <v>46062</v>
      </c>
      <c r="D720" t="inlineStr">
        <is>
          <t>STOCKHOLMS LÄN</t>
        </is>
      </c>
      <c r="E720" t="inlineStr">
        <is>
          <t>NORRTÄLJE</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46062</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33569-2023</t>
        </is>
      </c>
      <c r="B722" s="1" t="n">
        <v>45131.666875</v>
      </c>
      <c r="C722" s="1" t="n">
        <v>46062</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15905-2023</t>
        </is>
      </c>
      <c r="B723" s="1" t="n">
        <v>45022</v>
      </c>
      <c r="C723" s="1" t="n">
        <v>46062</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53747-2025</t>
        </is>
      </c>
      <c r="B724" s="1" t="n">
        <v>45960.65415509259</v>
      </c>
      <c r="C724" s="1" t="n">
        <v>46062</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15956-2023</t>
        </is>
      </c>
      <c r="B725" s="1" t="n">
        <v>45022.61003472222</v>
      </c>
      <c r="C725" s="1" t="n">
        <v>46062</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37628-2025</t>
        </is>
      </c>
      <c r="B726" s="1" t="n">
        <v>45880.46189814815</v>
      </c>
      <c r="C726" s="1" t="n">
        <v>46062</v>
      </c>
      <c r="D726" t="inlineStr">
        <is>
          <t>STOCKHOLMS LÄN</t>
        </is>
      </c>
      <c r="E726" t="inlineStr">
        <is>
          <t>NORRTÄLJE</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29369-2024</t>
        </is>
      </c>
      <c r="B727" s="1" t="n">
        <v>45483.57244212963</v>
      </c>
      <c r="C727" s="1" t="n">
        <v>46062</v>
      </c>
      <c r="D727" t="inlineStr">
        <is>
          <t>STOCKHOLMS LÄN</t>
        </is>
      </c>
      <c r="E727" t="inlineStr">
        <is>
          <t>NORRTÄLJE</t>
        </is>
      </c>
      <c r="G727" t="n">
        <v>15.9</v>
      </c>
      <c r="H727" t="n">
        <v>0</v>
      </c>
      <c r="I727" t="n">
        <v>0</v>
      </c>
      <c r="J727" t="n">
        <v>0</v>
      </c>
      <c r="K727" t="n">
        <v>0</v>
      </c>
      <c r="L727" t="n">
        <v>0</v>
      </c>
      <c r="M727" t="n">
        <v>0</v>
      </c>
      <c r="N727" t="n">
        <v>0</v>
      </c>
      <c r="O727" t="n">
        <v>0</v>
      </c>
      <c r="P727" t="n">
        <v>0</v>
      </c>
      <c r="Q727" t="n">
        <v>0</v>
      </c>
      <c r="R727" s="2" t="inlineStr"/>
    </row>
    <row r="728" ht="15" customHeight="1">
      <c r="A728" t="inlineStr">
        <is>
          <t>A 47626-2022</t>
        </is>
      </c>
      <c r="B728" s="1" t="n">
        <v>44854</v>
      </c>
      <c r="C728" s="1" t="n">
        <v>46062</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37632-2025</t>
        </is>
      </c>
      <c r="B729" s="1" t="n">
        <v>45880.46524305556</v>
      </c>
      <c r="C729" s="1" t="n">
        <v>46062</v>
      </c>
      <c r="D729" t="inlineStr">
        <is>
          <t>STOCKHOLMS LÄN</t>
        </is>
      </c>
      <c r="E729" t="inlineStr">
        <is>
          <t>NORRTÄLJE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29841-2024</t>
        </is>
      </c>
      <c r="B730" s="1" t="n">
        <v>45485.60261574074</v>
      </c>
      <c r="C730" s="1" t="n">
        <v>46062</v>
      </c>
      <c r="D730" t="inlineStr">
        <is>
          <t>STOCKHOLMS LÄN</t>
        </is>
      </c>
      <c r="E730" t="inlineStr">
        <is>
          <t>NORRTÄLJE</t>
        </is>
      </c>
      <c r="G730" t="n">
        <v>15.9</v>
      </c>
      <c r="H730" t="n">
        <v>0</v>
      </c>
      <c r="I730" t="n">
        <v>0</v>
      </c>
      <c r="J730" t="n">
        <v>0</v>
      </c>
      <c r="K730" t="n">
        <v>0</v>
      </c>
      <c r="L730" t="n">
        <v>0</v>
      </c>
      <c r="M730" t="n">
        <v>0</v>
      </c>
      <c r="N730" t="n">
        <v>0</v>
      </c>
      <c r="O730" t="n">
        <v>0</v>
      </c>
      <c r="P730" t="n">
        <v>0</v>
      </c>
      <c r="Q730" t="n">
        <v>0</v>
      </c>
      <c r="R730" s="2" t="inlineStr"/>
    </row>
    <row r="731" ht="15" customHeight="1">
      <c r="A731" t="inlineStr">
        <is>
          <t>A 62206-2022</t>
        </is>
      </c>
      <c r="B731" s="1" t="n">
        <v>44922</v>
      </c>
      <c r="C731" s="1" t="n">
        <v>46062</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20692-2025</t>
        </is>
      </c>
      <c r="B732" s="1" t="n">
        <v>45776.46369212963</v>
      </c>
      <c r="C732" s="1" t="n">
        <v>46062</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20618-2022</t>
        </is>
      </c>
      <c r="B733" s="1" t="n">
        <v>44700.50659722222</v>
      </c>
      <c r="C733" s="1" t="n">
        <v>46062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37630-2025</t>
        </is>
      </c>
      <c r="B734" s="1" t="n">
        <v>45880.46372685185</v>
      </c>
      <c r="C734" s="1" t="n">
        <v>46062</v>
      </c>
      <c r="D734" t="inlineStr">
        <is>
          <t>STOCKHOLMS LÄN</t>
        </is>
      </c>
      <c r="E734" t="inlineStr">
        <is>
          <t>NORRTÄLJE</t>
        </is>
      </c>
      <c r="F734" t="inlineStr">
        <is>
          <t>Sveaskog</t>
        </is>
      </c>
      <c r="G734" t="n">
        <v>12.9</v>
      </c>
      <c r="H734" t="n">
        <v>0</v>
      </c>
      <c r="I734" t="n">
        <v>0</v>
      </c>
      <c r="J734" t="n">
        <v>0</v>
      </c>
      <c r="K734" t="n">
        <v>0</v>
      </c>
      <c r="L734" t="n">
        <v>0</v>
      </c>
      <c r="M734" t="n">
        <v>0</v>
      </c>
      <c r="N734" t="n">
        <v>0</v>
      </c>
      <c r="O734" t="n">
        <v>0</v>
      </c>
      <c r="P734" t="n">
        <v>0</v>
      </c>
      <c r="Q734" t="n">
        <v>0</v>
      </c>
      <c r="R734" s="2" t="inlineStr"/>
    </row>
    <row r="735" ht="15" customHeight="1">
      <c r="A735" t="inlineStr">
        <is>
          <t>A 40192-2023</t>
        </is>
      </c>
      <c r="B735" s="1" t="n">
        <v>45169</v>
      </c>
      <c r="C735" s="1" t="n">
        <v>46062</v>
      </c>
      <c r="D735" t="inlineStr">
        <is>
          <t>STOCKHOLMS LÄN</t>
        </is>
      </c>
      <c r="E735" t="inlineStr">
        <is>
          <t>NORRTÄLJE</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46062</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10973-2025</t>
        </is>
      </c>
      <c r="B737" s="1" t="n">
        <v>45723</v>
      </c>
      <c r="C737" s="1" t="n">
        <v>46062</v>
      </c>
      <c r="D737" t="inlineStr">
        <is>
          <t>STOCKHOLMS LÄN</t>
        </is>
      </c>
      <c r="E737" t="inlineStr">
        <is>
          <t>NORRTÄLJE</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27885-2022</t>
        </is>
      </c>
      <c r="B738" s="1" t="n">
        <v>44743.67418981482</v>
      </c>
      <c r="C738" s="1" t="n">
        <v>46062</v>
      </c>
      <c r="D738" t="inlineStr">
        <is>
          <t>STOCKHOLMS LÄN</t>
        </is>
      </c>
      <c r="E738" t="inlineStr">
        <is>
          <t>NORRTÄLJE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46071-2024</t>
        </is>
      </c>
      <c r="B739" s="1" t="n">
        <v>45581</v>
      </c>
      <c r="C739" s="1" t="n">
        <v>46062</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13137-2024</t>
        </is>
      </c>
      <c r="B740" s="1" t="n">
        <v>45386.34175925926</v>
      </c>
      <c r="C740" s="1" t="n">
        <v>46062</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54907-2025</t>
        </is>
      </c>
      <c r="B741" s="1" t="n">
        <v>45967.37137731481</v>
      </c>
      <c r="C741" s="1" t="n">
        <v>46062</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55503-2025</t>
        </is>
      </c>
      <c r="B742" s="1" t="n">
        <v>45971</v>
      </c>
      <c r="C742" s="1" t="n">
        <v>46062</v>
      </c>
      <c r="D742" t="inlineStr">
        <is>
          <t>STOCKHOLMS LÄN</t>
        </is>
      </c>
      <c r="E742" t="inlineStr">
        <is>
          <t>NORRTÄLJE</t>
        </is>
      </c>
      <c r="G742" t="n">
        <v>3</v>
      </c>
      <c r="H742" t="n">
        <v>0</v>
      </c>
      <c r="I742" t="n">
        <v>0</v>
      </c>
      <c r="J742" t="n">
        <v>0</v>
      </c>
      <c r="K742" t="n">
        <v>0</v>
      </c>
      <c r="L742" t="n">
        <v>0</v>
      </c>
      <c r="M742" t="n">
        <v>0</v>
      </c>
      <c r="N742" t="n">
        <v>0</v>
      </c>
      <c r="O742" t="n">
        <v>0</v>
      </c>
      <c r="P742" t="n">
        <v>0</v>
      </c>
      <c r="Q742" t="n">
        <v>0</v>
      </c>
      <c r="R742" s="2" t="inlineStr"/>
    </row>
    <row r="743" ht="15" customHeight="1">
      <c r="A743" t="inlineStr">
        <is>
          <t>A 24350-2025</t>
        </is>
      </c>
      <c r="B743" s="1" t="n">
        <v>45797.58350694444</v>
      </c>
      <c r="C743" s="1" t="n">
        <v>46062</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26703-2025</t>
        </is>
      </c>
      <c r="B744" s="1" t="n">
        <v>45810.45263888889</v>
      </c>
      <c r="C744" s="1" t="n">
        <v>46062</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60224-2023</t>
        </is>
      </c>
      <c r="B745" s="1" t="n">
        <v>45257</v>
      </c>
      <c r="C745" s="1" t="n">
        <v>46062</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5158-2024</t>
        </is>
      </c>
      <c r="B746" s="1" t="n">
        <v>45330.50098379629</v>
      </c>
      <c r="C746" s="1" t="n">
        <v>46062</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55599-2025</t>
        </is>
      </c>
      <c r="B747" s="1" t="n">
        <v>45971.76810185185</v>
      </c>
      <c r="C747" s="1" t="n">
        <v>46062</v>
      </c>
      <c r="D747" t="inlineStr">
        <is>
          <t>STOCKHOLMS LÄN</t>
        </is>
      </c>
      <c r="E747" t="inlineStr">
        <is>
          <t>NORRTÄLJE</t>
        </is>
      </c>
      <c r="F747" t="inlineStr">
        <is>
          <t>Holmen skog AB</t>
        </is>
      </c>
      <c r="G747" t="n">
        <v>6.4</v>
      </c>
      <c r="H747" t="n">
        <v>0</v>
      </c>
      <c r="I747" t="n">
        <v>0</v>
      </c>
      <c r="J747" t="n">
        <v>0</v>
      </c>
      <c r="K747" t="n">
        <v>0</v>
      </c>
      <c r="L747" t="n">
        <v>0</v>
      </c>
      <c r="M747" t="n">
        <v>0</v>
      </c>
      <c r="N747" t="n">
        <v>0</v>
      </c>
      <c r="O747" t="n">
        <v>0</v>
      </c>
      <c r="P747" t="n">
        <v>0</v>
      </c>
      <c r="Q747" t="n">
        <v>0</v>
      </c>
      <c r="R747" s="2" t="inlineStr"/>
    </row>
    <row r="748" ht="15" customHeight="1">
      <c r="A748" t="inlineStr">
        <is>
          <t>A 56114-2025</t>
        </is>
      </c>
      <c r="B748" s="1" t="n">
        <v>45973.74474537037</v>
      </c>
      <c r="C748" s="1" t="n">
        <v>46062</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38153-2025</t>
        </is>
      </c>
      <c r="B749" s="1" t="n">
        <v>45882.59722222222</v>
      </c>
      <c r="C749" s="1" t="n">
        <v>46062</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9130-2025</t>
        </is>
      </c>
      <c r="B750" s="1" t="n">
        <v>45713.92623842593</v>
      </c>
      <c r="C750" s="1" t="n">
        <v>46062</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17551-2025</t>
        </is>
      </c>
      <c r="B751" s="1" t="n">
        <v>45757.61421296297</v>
      </c>
      <c r="C751" s="1" t="n">
        <v>46062</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55010-2024</t>
        </is>
      </c>
      <c r="B752" s="1" t="n">
        <v>45621.34425925926</v>
      </c>
      <c r="C752" s="1" t="n">
        <v>46062</v>
      </c>
      <c r="D752" t="inlineStr">
        <is>
          <t>STOCKHOLMS LÄN</t>
        </is>
      </c>
      <c r="E752" t="inlineStr">
        <is>
          <t>NORRTÄLJE</t>
        </is>
      </c>
      <c r="F752" t="inlineStr">
        <is>
          <t>Sveaskog</t>
        </is>
      </c>
      <c r="G752" t="n">
        <v>5.7</v>
      </c>
      <c r="H752" t="n">
        <v>0</v>
      </c>
      <c r="I752" t="n">
        <v>0</v>
      </c>
      <c r="J752" t="n">
        <v>0</v>
      </c>
      <c r="K752" t="n">
        <v>0</v>
      </c>
      <c r="L752" t="n">
        <v>0</v>
      </c>
      <c r="M752" t="n">
        <v>0</v>
      </c>
      <c r="N752" t="n">
        <v>0</v>
      </c>
      <c r="O752" t="n">
        <v>0</v>
      </c>
      <c r="P752" t="n">
        <v>0</v>
      </c>
      <c r="Q752" t="n">
        <v>0</v>
      </c>
      <c r="R752" s="2" t="inlineStr"/>
    </row>
    <row r="753" ht="15" customHeight="1">
      <c r="A753" t="inlineStr">
        <is>
          <t>A 31105-2022</t>
        </is>
      </c>
      <c r="B753" s="1" t="n">
        <v>44769.66039351852</v>
      </c>
      <c r="C753" s="1" t="n">
        <v>46062</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22816-2021</t>
        </is>
      </c>
      <c r="B754" s="1" t="n">
        <v>44325</v>
      </c>
      <c r="C754" s="1" t="n">
        <v>46062</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46062</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56207-2025</t>
        </is>
      </c>
      <c r="B756" s="1" t="n">
        <v>45974.47329861111</v>
      </c>
      <c r="C756" s="1" t="n">
        <v>46062</v>
      </c>
      <c r="D756" t="inlineStr">
        <is>
          <t>STOCKHOLMS LÄN</t>
        </is>
      </c>
      <c r="E756" t="inlineStr">
        <is>
          <t>NORRTÄLJE</t>
        </is>
      </c>
      <c r="G756" t="n">
        <v>3.2</v>
      </c>
      <c r="H756" t="n">
        <v>0</v>
      </c>
      <c r="I756" t="n">
        <v>0</v>
      </c>
      <c r="J756" t="n">
        <v>0</v>
      </c>
      <c r="K756" t="n">
        <v>0</v>
      </c>
      <c r="L756" t="n">
        <v>0</v>
      </c>
      <c r="M756" t="n">
        <v>0</v>
      </c>
      <c r="N756" t="n">
        <v>0</v>
      </c>
      <c r="O756" t="n">
        <v>0</v>
      </c>
      <c r="P756" t="n">
        <v>0</v>
      </c>
      <c r="Q756" t="n">
        <v>0</v>
      </c>
      <c r="R756" s="2" t="inlineStr"/>
    </row>
    <row r="757" ht="15" customHeight="1">
      <c r="A757" t="inlineStr">
        <is>
          <t>A 30620-2022</t>
        </is>
      </c>
      <c r="B757" s="1" t="n">
        <v>44763.40914351852</v>
      </c>
      <c r="C757" s="1" t="n">
        <v>46062</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50113-2024</t>
        </is>
      </c>
      <c r="B758" s="1" t="n">
        <v>45600.411875</v>
      </c>
      <c r="C758" s="1" t="n">
        <v>46062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28365-2022</t>
        </is>
      </c>
      <c r="B759" s="1" t="n">
        <v>44747</v>
      </c>
      <c r="C759" s="1" t="n">
        <v>46062</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65499-2021</t>
        </is>
      </c>
      <c r="B760" s="1" t="n">
        <v>44516</v>
      </c>
      <c r="C760" s="1" t="n">
        <v>46062</v>
      </c>
      <c r="D760" t="inlineStr">
        <is>
          <t>STOCKHOLMS LÄN</t>
        </is>
      </c>
      <c r="E760" t="inlineStr">
        <is>
          <t>NORRTÄLJE</t>
        </is>
      </c>
      <c r="F760" t="inlineStr">
        <is>
          <t>Kommuner</t>
        </is>
      </c>
      <c r="G760" t="n">
        <v>5.2</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46062</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46062</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9703-2021</t>
        </is>
      </c>
      <c r="B763" s="1" t="n">
        <v>44252</v>
      </c>
      <c r="C763" s="1" t="n">
        <v>46062</v>
      </c>
      <c r="D763" t="inlineStr">
        <is>
          <t>STOCKHOLMS LÄN</t>
        </is>
      </c>
      <c r="E763" t="inlineStr">
        <is>
          <t>NORRTÄLJE</t>
        </is>
      </c>
      <c r="G763" t="n">
        <v>3.4</v>
      </c>
      <c r="H763" t="n">
        <v>0</v>
      </c>
      <c r="I763" t="n">
        <v>0</v>
      </c>
      <c r="J763" t="n">
        <v>0</v>
      </c>
      <c r="K763" t="n">
        <v>0</v>
      </c>
      <c r="L763" t="n">
        <v>0</v>
      </c>
      <c r="M763" t="n">
        <v>0</v>
      </c>
      <c r="N763" t="n">
        <v>0</v>
      </c>
      <c r="O763" t="n">
        <v>0</v>
      </c>
      <c r="P763" t="n">
        <v>0</v>
      </c>
      <c r="Q763" t="n">
        <v>0</v>
      </c>
      <c r="R763" s="2" t="inlineStr"/>
    </row>
    <row r="764" ht="15" customHeight="1">
      <c r="A764" t="inlineStr">
        <is>
          <t>A 13767-2025</t>
        </is>
      </c>
      <c r="B764" s="1" t="n">
        <v>45737.43347222222</v>
      </c>
      <c r="C764" s="1" t="n">
        <v>46062</v>
      </c>
      <c r="D764" t="inlineStr">
        <is>
          <t>STOCKHOLMS LÄN</t>
        </is>
      </c>
      <c r="E764" t="inlineStr">
        <is>
          <t>NORRTÄLJE</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46062</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53362-2023</t>
        </is>
      </c>
      <c r="B766" s="1" t="n">
        <v>45223</v>
      </c>
      <c r="C766" s="1" t="n">
        <v>46062</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15422-2024</t>
        </is>
      </c>
      <c r="B767" s="1" t="n">
        <v>45401.3653125</v>
      </c>
      <c r="C767" s="1" t="n">
        <v>46062</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30508-2023</t>
        </is>
      </c>
      <c r="B768" s="1" t="n">
        <v>45111</v>
      </c>
      <c r="C768" s="1" t="n">
        <v>46062</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16008-2025</t>
        </is>
      </c>
      <c r="B769" s="1" t="n">
        <v>45749</v>
      </c>
      <c r="C769" s="1" t="n">
        <v>46062</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21158-2022</t>
        </is>
      </c>
      <c r="B770" s="1" t="n">
        <v>44704</v>
      </c>
      <c r="C770" s="1" t="n">
        <v>46062</v>
      </c>
      <c r="D770" t="inlineStr">
        <is>
          <t>STOCKHOLMS LÄN</t>
        </is>
      </c>
      <c r="E770" t="inlineStr">
        <is>
          <t>NORRTÄLJE</t>
        </is>
      </c>
      <c r="G770" t="n">
        <v>17.8</v>
      </c>
      <c r="H770" t="n">
        <v>0</v>
      </c>
      <c r="I770" t="n">
        <v>0</v>
      </c>
      <c r="J770" t="n">
        <v>0</v>
      </c>
      <c r="K770" t="n">
        <v>0</v>
      </c>
      <c r="L770" t="n">
        <v>0</v>
      </c>
      <c r="M770" t="n">
        <v>0</v>
      </c>
      <c r="N770" t="n">
        <v>0</v>
      </c>
      <c r="O770" t="n">
        <v>0</v>
      </c>
      <c r="P770" t="n">
        <v>0</v>
      </c>
      <c r="Q770" t="n">
        <v>0</v>
      </c>
      <c r="R770" s="2" t="inlineStr"/>
    </row>
    <row r="771" ht="15" customHeight="1">
      <c r="A771" t="inlineStr">
        <is>
          <t>A 32101-2022</t>
        </is>
      </c>
      <c r="B771" s="1" t="n">
        <v>44778.69210648148</v>
      </c>
      <c r="C771" s="1" t="n">
        <v>46062</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58403-2025</t>
        </is>
      </c>
      <c r="B772" s="1" t="n">
        <v>45985.56777777777</v>
      </c>
      <c r="C772" s="1" t="n">
        <v>46062</v>
      </c>
      <c r="D772" t="inlineStr">
        <is>
          <t>STOCKHOLMS LÄN</t>
        </is>
      </c>
      <c r="E772" t="inlineStr">
        <is>
          <t>NORRTÄLJE</t>
        </is>
      </c>
      <c r="F772" t="inlineStr">
        <is>
          <t>Naturvårdsverket</t>
        </is>
      </c>
      <c r="G772" t="n">
        <v>13.5</v>
      </c>
      <c r="H772" t="n">
        <v>0</v>
      </c>
      <c r="I772" t="n">
        <v>0</v>
      </c>
      <c r="J772" t="n">
        <v>0</v>
      </c>
      <c r="K772" t="n">
        <v>0</v>
      </c>
      <c r="L772" t="n">
        <v>0</v>
      </c>
      <c r="M772" t="n">
        <v>0</v>
      </c>
      <c r="N772" t="n">
        <v>0</v>
      </c>
      <c r="O772" t="n">
        <v>0</v>
      </c>
      <c r="P772" t="n">
        <v>0</v>
      </c>
      <c r="Q772" t="n">
        <v>0</v>
      </c>
      <c r="R772" s="2" t="inlineStr"/>
    </row>
    <row r="773" ht="15" customHeight="1">
      <c r="A773" t="inlineStr">
        <is>
          <t>A 23150-2024</t>
        </is>
      </c>
      <c r="B773" s="1" t="n">
        <v>45450.64643518518</v>
      </c>
      <c r="C773" s="1" t="n">
        <v>46062</v>
      </c>
      <c r="D773" t="inlineStr">
        <is>
          <t>STOCKHOLMS LÄN</t>
        </is>
      </c>
      <c r="E773" t="inlineStr">
        <is>
          <t>NORRTÄLJE</t>
        </is>
      </c>
      <c r="F773" t="inlineStr">
        <is>
          <t>Kommuner</t>
        </is>
      </c>
      <c r="G773" t="n">
        <v>2.7</v>
      </c>
      <c r="H773" t="n">
        <v>0</v>
      </c>
      <c r="I773" t="n">
        <v>0</v>
      </c>
      <c r="J773" t="n">
        <v>0</v>
      </c>
      <c r="K773" t="n">
        <v>0</v>
      </c>
      <c r="L773" t="n">
        <v>0</v>
      </c>
      <c r="M773" t="n">
        <v>0</v>
      </c>
      <c r="N773" t="n">
        <v>0</v>
      </c>
      <c r="O773" t="n">
        <v>0</v>
      </c>
      <c r="P773" t="n">
        <v>0</v>
      </c>
      <c r="Q773" t="n">
        <v>0</v>
      </c>
      <c r="R773" s="2" t="inlineStr"/>
    </row>
    <row r="774" ht="15" customHeight="1">
      <c r="A774" t="inlineStr">
        <is>
          <t>A 24933-2023</t>
        </is>
      </c>
      <c r="B774" s="1" t="n">
        <v>45085.5309375</v>
      </c>
      <c r="C774" s="1" t="n">
        <v>46062</v>
      </c>
      <c r="D774" t="inlineStr">
        <is>
          <t>STOCKHOLMS LÄN</t>
        </is>
      </c>
      <c r="E774" t="inlineStr">
        <is>
          <t>NORRTÄLJE</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56631-2024</t>
        </is>
      </c>
      <c r="B775" s="1" t="n">
        <v>45625</v>
      </c>
      <c r="C775" s="1" t="n">
        <v>46062</v>
      </c>
      <c r="D775" t="inlineStr">
        <is>
          <t>STOCKHOLMS LÄN</t>
        </is>
      </c>
      <c r="E775" t="inlineStr">
        <is>
          <t>NORRTÄLJE</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46062</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46062</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652-2025</t>
        </is>
      </c>
      <c r="B778" s="1" t="n">
        <v>45664</v>
      </c>
      <c r="C778" s="1" t="n">
        <v>46062</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197-2026</t>
        </is>
      </c>
      <c r="B779" s="1" t="n">
        <v>46026</v>
      </c>
      <c r="C779" s="1" t="n">
        <v>46062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124-2026</t>
        </is>
      </c>
      <c r="B780" s="1" t="n">
        <v>46024.58378472222</v>
      </c>
      <c r="C780" s="1" t="n">
        <v>46062</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46062</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5389-2025</t>
        </is>
      </c>
      <c r="B782" s="1" t="n">
        <v>45692</v>
      </c>
      <c r="C782" s="1" t="n">
        <v>46062</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13051-2021</t>
        </is>
      </c>
      <c r="B783" s="1" t="n">
        <v>44272</v>
      </c>
      <c r="C783" s="1" t="n">
        <v>46062</v>
      </c>
      <c r="D783" t="inlineStr">
        <is>
          <t>STOCKHOLMS LÄN</t>
        </is>
      </c>
      <c r="E783" t="inlineStr">
        <is>
          <t>NORRTÄLJE</t>
        </is>
      </c>
      <c r="G783" t="n">
        <v>9.1</v>
      </c>
      <c r="H783" t="n">
        <v>0</v>
      </c>
      <c r="I783" t="n">
        <v>0</v>
      </c>
      <c r="J783" t="n">
        <v>0</v>
      </c>
      <c r="K783" t="n">
        <v>0</v>
      </c>
      <c r="L783" t="n">
        <v>0</v>
      </c>
      <c r="M783" t="n">
        <v>0</v>
      </c>
      <c r="N783" t="n">
        <v>0</v>
      </c>
      <c r="O783" t="n">
        <v>0</v>
      </c>
      <c r="P783" t="n">
        <v>0</v>
      </c>
      <c r="Q783" t="n">
        <v>0</v>
      </c>
      <c r="R783" s="2" t="inlineStr"/>
    </row>
    <row r="784" ht="15" customHeight="1">
      <c r="A784" t="inlineStr">
        <is>
          <t>A 693-2026</t>
        </is>
      </c>
      <c r="B784" s="1" t="n">
        <v>46029.6133449074</v>
      </c>
      <c r="C784" s="1" t="n">
        <v>46062</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718-2026</t>
        </is>
      </c>
      <c r="B785" s="1" t="n">
        <v>46029.63174768518</v>
      </c>
      <c r="C785" s="1" t="n">
        <v>46062</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694-2026</t>
        </is>
      </c>
      <c r="B786" s="1" t="n">
        <v>46029.61375</v>
      </c>
      <c r="C786" s="1" t="n">
        <v>46062</v>
      </c>
      <c r="D786" t="inlineStr">
        <is>
          <t>STOCKHOLMS LÄN</t>
        </is>
      </c>
      <c r="E786" t="inlineStr">
        <is>
          <t>NORRTÄLJE</t>
        </is>
      </c>
      <c r="G786" t="n">
        <v>9.6</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46062</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475-2026</t>
        </is>
      </c>
      <c r="B788" s="1" t="n">
        <v>46029.39351851852</v>
      </c>
      <c r="C788" s="1" t="n">
        <v>46062</v>
      </c>
      <c r="D788" t="inlineStr">
        <is>
          <t>STOCKHOLMS LÄN</t>
        </is>
      </c>
      <c r="E788" t="inlineStr">
        <is>
          <t>NORRTÄLJE</t>
        </is>
      </c>
      <c r="G788" t="n">
        <v>4.6</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46062</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576-2023</t>
        </is>
      </c>
      <c r="B790" s="1" t="n">
        <v>44925</v>
      </c>
      <c r="C790" s="1" t="n">
        <v>46062</v>
      </c>
      <c r="D790" t="inlineStr">
        <is>
          <t>STOCKHOLMS LÄN</t>
        </is>
      </c>
      <c r="E790" t="inlineStr">
        <is>
          <t>NORRTÄLJE</t>
        </is>
      </c>
      <c r="G790" t="n">
        <v>7.2</v>
      </c>
      <c r="H790" t="n">
        <v>0</v>
      </c>
      <c r="I790" t="n">
        <v>0</v>
      </c>
      <c r="J790" t="n">
        <v>0</v>
      </c>
      <c r="K790" t="n">
        <v>0</v>
      </c>
      <c r="L790" t="n">
        <v>0</v>
      </c>
      <c r="M790" t="n">
        <v>0</v>
      </c>
      <c r="N790" t="n">
        <v>0</v>
      </c>
      <c r="O790" t="n">
        <v>0</v>
      </c>
      <c r="P790" t="n">
        <v>0</v>
      </c>
      <c r="Q790" t="n">
        <v>0</v>
      </c>
      <c r="R790" s="2" t="inlineStr"/>
    </row>
    <row r="791" ht="15" customHeight="1">
      <c r="A791" t="inlineStr">
        <is>
          <t>A 10678-2025</t>
        </is>
      </c>
      <c r="B791" s="1" t="n">
        <v>45721.89123842592</v>
      </c>
      <c r="C791" s="1" t="n">
        <v>46062</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31936-2022</t>
        </is>
      </c>
      <c r="B792" s="1" t="n">
        <v>44777</v>
      </c>
      <c r="C792" s="1" t="n">
        <v>46062</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59873-2024</t>
        </is>
      </c>
      <c r="B793" s="1" t="n">
        <v>45640.57305555556</v>
      </c>
      <c r="C793" s="1" t="n">
        <v>46062</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35916-2024</t>
        </is>
      </c>
      <c r="B794" s="1" t="n">
        <v>45533</v>
      </c>
      <c r="C794" s="1" t="n">
        <v>46062</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10098-2022</t>
        </is>
      </c>
      <c r="B795" s="1" t="n">
        <v>44621</v>
      </c>
      <c r="C795" s="1" t="n">
        <v>46062</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63161-2023</t>
        </is>
      </c>
      <c r="B796" s="1" t="n">
        <v>45273</v>
      </c>
      <c r="C796" s="1" t="n">
        <v>46062</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7796-2025</t>
        </is>
      </c>
      <c r="B797" s="1" t="n">
        <v>45706.60130787037</v>
      </c>
      <c r="C797" s="1" t="n">
        <v>46062</v>
      </c>
      <c r="D797" t="inlineStr">
        <is>
          <t>STOCKHOLMS LÄN</t>
        </is>
      </c>
      <c r="E797" t="inlineStr">
        <is>
          <t>NORRTÄLJE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15552-2021</t>
        </is>
      </c>
      <c r="B798" s="1" t="n">
        <v>44285</v>
      </c>
      <c r="C798" s="1" t="n">
        <v>46062</v>
      </c>
      <c r="D798" t="inlineStr">
        <is>
          <t>STOCKHOLMS LÄN</t>
        </is>
      </c>
      <c r="E798" t="inlineStr">
        <is>
          <t>NORRTÄLJE</t>
        </is>
      </c>
      <c r="G798" t="n">
        <v>10</v>
      </c>
      <c r="H798" t="n">
        <v>0</v>
      </c>
      <c r="I798" t="n">
        <v>0</v>
      </c>
      <c r="J798" t="n">
        <v>0</v>
      </c>
      <c r="K798" t="n">
        <v>0</v>
      </c>
      <c r="L798" t="n">
        <v>0</v>
      </c>
      <c r="M798" t="n">
        <v>0</v>
      </c>
      <c r="N798" t="n">
        <v>0</v>
      </c>
      <c r="O798" t="n">
        <v>0</v>
      </c>
      <c r="P798" t="n">
        <v>0</v>
      </c>
      <c r="Q798" t="n">
        <v>0</v>
      </c>
      <c r="R798" s="2" t="inlineStr"/>
    </row>
    <row r="799" ht="15" customHeight="1">
      <c r="A799" t="inlineStr">
        <is>
          <t>A 58040-2024</t>
        </is>
      </c>
      <c r="B799" s="1" t="n">
        <v>45631.73952546297</v>
      </c>
      <c r="C799" s="1" t="n">
        <v>46062</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58041-2024</t>
        </is>
      </c>
      <c r="B800" s="1" t="n">
        <v>45631.74673611111</v>
      </c>
      <c r="C800" s="1" t="n">
        <v>46062</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30268-2024</t>
        </is>
      </c>
      <c r="B801" s="1" t="n">
        <v>45490.60572916667</v>
      </c>
      <c r="C801" s="1" t="n">
        <v>46062</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812-2026</t>
        </is>
      </c>
      <c r="B802" s="1" t="n">
        <v>46030.33358796296</v>
      </c>
      <c r="C802" s="1" t="n">
        <v>46062</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12407-2025</t>
        </is>
      </c>
      <c r="B803" s="1" t="n">
        <v>45730.42851851852</v>
      </c>
      <c r="C803" s="1" t="n">
        <v>46062</v>
      </c>
      <c r="D803" t="inlineStr">
        <is>
          <t>STOCKHOLMS LÄN</t>
        </is>
      </c>
      <c r="E803" t="inlineStr">
        <is>
          <t>NORRTÄLJE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19025-2025</t>
        </is>
      </c>
      <c r="B804" s="1" t="n">
        <v>45764.6359837963</v>
      </c>
      <c r="C804" s="1" t="n">
        <v>46062</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54276-2021</t>
        </is>
      </c>
      <c r="B805" s="1" t="n">
        <v>44470</v>
      </c>
      <c r="C805" s="1" t="n">
        <v>46062</v>
      </c>
      <c r="D805" t="inlineStr">
        <is>
          <t>STOCKHOLMS LÄN</t>
        </is>
      </c>
      <c r="E805" t="inlineStr">
        <is>
          <t>NORRTÄLJE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4316-2023</t>
        </is>
      </c>
      <c r="B806" s="1" t="n">
        <v>44953.67443287037</v>
      </c>
      <c r="C806" s="1" t="n">
        <v>46062</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41587-2023</t>
        </is>
      </c>
      <c r="B807" s="1" t="n">
        <v>45175</v>
      </c>
      <c r="C807" s="1" t="n">
        <v>46062</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59041-2025</t>
        </is>
      </c>
      <c r="B808" s="1" t="n">
        <v>45988</v>
      </c>
      <c r="C808" s="1" t="n">
        <v>46062</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59914-2025</t>
        </is>
      </c>
      <c r="B809" s="1" t="n">
        <v>45993.37056712963</v>
      </c>
      <c r="C809" s="1" t="n">
        <v>46062</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59672-2025</t>
        </is>
      </c>
      <c r="B810" s="1" t="n">
        <v>45992.45884259259</v>
      </c>
      <c r="C810" s="1" t="n">
        <v>46062</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57788-2025</t>
        </is>
      </c>
      <c r="B811" s="1" t="n">
        <v>45981.5778125</v>
      </c>
      <c r="C811" s="1" t="n">
        <v>46062</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17304-2024</t>
        </is>
      </c>
      <c r="B812" s="1" t="n">
        <v>45414</v>
      </c>
      <c r="C812" s="1" t="n">
        <v>46062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59907-2025</t>
        </is>
      </c>
      <c r="B813" s="1" t="n">
        <v>45993.35350694445</v>
      </c>
      <c r="C813" s="1" t="n">
        <v>46062</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1755-2026</t>
        </is>
      </c>
      <c r="B814" s="1" t="n">
        <v>46034.66230324074</v>
      </c>
      <c r="C814" s="1" t="n">
        <v>46062</v>
      </c>
      <c r="D814" t="inlineStr">
        <is>
          <t>STOCKHOLMS LÄN</t>
        </is>
      </c>
      <c r="E814" t="inlineStr">
        <is>
          <t>NORRTÄLJE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46062</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46062</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59924-2025</t>
        </is>
      </c>
      <c r="B817" s="1" t="n">
        <v>45993.38928240741</v>
      </c>
      <c r="C817" s="1" t="n">
        <v>46062</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31926-2022</t>
        </is>
      </c>
      <c r="B818" s="1" t="n">
        <v>44777</v>
      </c>
      <c r="C818" s="1" t="n">
        <v>46062</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2116-2026</t>
        </is>
      </c>
      <c r="B819" s="1" t="n">
        <v>46036.38108796296</v>
      </c>
      <c r="C819" s="1" t="n">
        <v>46062</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60253-2025</t>
        </is>
      </c>
      <c r="B820" s="1" t="n">
        <v>45994.59827546297</v>
      </c>
      <c r="C820" s="1" t="n">
        <v>46062</v>
      </c>
      <c r="D820" t="inlineStr">
        <is>
          <t>STOCKHOLMS LÄN</t>
        </is>
      </c>
      <c r="E820" t="inlineStr">
        <is>
          <t>NORRTÄLJE</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46062</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11041-2025</t>
        </is>
      </c>
      <c r="B822" s="1" t="n">
        <v>45723</v>
      </c>
      <c r="C822" s="1" t="n">
        <v>46062</v>
      </c>
      <c r="D822" t="inlineStr">
        <is>
          <t>STOCKHOLMS LÄN</t>
        </is>
      </c>
      <c r="E822" t="inlineStr">
        <is>
          <t>NORRTÄLJE</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9469-2021</t>
        </is>
      </c>
      <c r="B823" s="1" t="n">
        <v>44251</v>
      </c>
      <c r="C823" s="1" t="n">
        <v>46062</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24024-2024</t>
        </is>
      </c>
      <c r="B824" s="1" t="n">
        <v>45456</v>
      </c>
      <c r="C824" s="1" t="n">
        <v>46062</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28809-2023</t>
        </is>
      </c>
      <c r="B825" s="1" t="n">
        <v>45104</v>
      </c>
      <c r="C825" s="1" t="n">
        <v>46062</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28813-2023</t>
        </is>
      </c>
      <c r="B826" s="1" t="n">
        <v>45104</v>
      </c>
      <c r="C826" s="1" t="n">
        <v>46062</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40656-2022</t>
        </is>
      </c>
      <c r="B827" s="1" t="n">
        <v>44824.36069444445</v>
      </c>
      <c r="C827" s="1" t="n">
        <v>46062</v>
      </c>
      <c r="D827" t="inlineStr">
        <is>
          <t>STOCKHOLMS LÄN</t>
        </is>
      </c>
      <c r="E827" t="inlineStr">
        <is>
          <t>NORRTÄLJE</t>
        </is>
      </c>
      <c r="G827" t="n">
        <v>2.7</v>
      </c>
      <c r="H827" t="n">
        <v>0</v>
      </c>
      <c r="I827" t="n">
        <v>0</v>
      </c>
      <c r="J827" t="n">
        <v>0</v>
      </c>
      <c r="K827" t="n">
        <v>0</v>
      </c>
      <c r="L827" t="n">
        <v>0</v>
      </c>
      <c r="M827" t="n">
        <v>0</v>
      </c>
      <c r="N827" t="n">
        <v>0</v>
      </c>
      <c r="O827" t="n">
        <v>0</v>
      </c>
      <c r="P827" t="n">
        <v>0</v>
      </c>
      <c r="Q827" t="n">
        <v>0</v>
      </c>
      <c r="R827" s="2" t="inlineStr"/>
    </row>
    <row r="828" ht="15" customHeight="1">
      <c r="A828" t="inlineStr">
        <is>
          <t>A 60694-2024</t>
        </is>
      </c>
      <c r="B828" s="1" t="n">
        <v>45644.47878472223</v>
      </c>
      <c r="C828" s="1" t="n">
        <v>46062</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60214-2025</t>
        </is>
      </c>
      <c r="B829" s="1" t="n">
        <v>45994.53761574074</v>
      </c>
      <c r="C829" s="1" t="n">
        <v>46062</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2088-2026</t>
        </is>
      </c>
      <c r="B830" s="1" t="n">
        <v>46036.35909722222</v>
      </c>
      <c r="C830" s="1" t="n">
        <v>46062</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19450-2025</t>
        </is>
      </c>
      <c r="B831" s="1" t="n">
        <v>45770</v>
      </c>
      <c r="C831" s="1" t="n">
        <v>46062</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60223-2025</t>
        </is>
      </c>
      <c r="B832" s="1" t="n">
        <v>45994.54497685185</v>
      </c>
      <c r="C832" s="1" t="n">
        <v>46062</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33353-2023</t>
        </is>
      </c>
      <c r="B833" s="1" t="n">
        <v>45128</v>
      </c>
      <c r="C833" s="1" t="n">
        <v>46062</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60745-2025</t>
        </is>
      </c>
      <c r="B834" s="1" t="n">
        <v>45999.37753472223</v>
      </c>
      <c r="C834" s="1" t="n">
        <v>46062</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3966-2024</t>
        </is>
      </c>
      <c r="B835" s="1" t="n">
        <v>45322</v>
      </c>
      <c r="C835" s="1" t="n">
        <v>46062</v>
      </c>
      <c r="D835" t="inlineStr">
        <is>
          <t>STOCKHOLMS LÄN</t>
        </is>
      </c>
      <c r="E835" t="inlineStr">
        <is>
          <t>NORRTÄLJE</t>
        </is>
      </c>
      <c r="G835" t="n">
        <v>5.3</v>
      </c>
      <c r="H835" t="n">
        <v>0</v>
      </c>
      <c r="I835" t="n">
        <v>0</v>
      </c>
      <c r="J835" t="n">
        <v>0</v>
      </c>
      <c r="K835" t="n">
        <v>0</v>
      </c>
      <c r="L835" t="n">
        <v>0</v>
      </c>
      <c r="M835" t="n">
        <v>0</v>
      </c>
      <c r="N835" t="n">
        <v>0</v>
      </c>
      <c r="O835" t="n">
        <v>0</v>
      </c>
      <c r="P835" t="n">
        <v>0</v>
      </c>
      <c r="Q835" t="n">
        <v>0</v>
      </c>
      <c r="R835" s="2" t="inlineStr"/>
    </row>
    <row r="836" ht="15" customHeight="1">
      <c r="A836" t="inlineStr">
        <is>
          <t>A 60649-2025</t>
        </is>
      </c>
      <c r="B836" s="1" t="n">
        <v>45996.4560300926</v>
      </c>
      <c r="C836" s="1" t="n">
        <v>46062</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60948-2025</t>
        </is>
      </c>
      <c r="B837" s="1" t="n">
        <v>45999.650625</v>
      </c>
      <c r="C837" s="1" t="n">
        <v>46062</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1789-2026</t>
        </is>
      </c>
      <c r="B838" s="1" t="n">
        <v>46034</v>
      </c>
      <c r="C838" s="1" t="n">
        <v>46062</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60928-2025</t>
        </is>
      </c>
      <c r="B839" s="1" t="n">
        <v>45999.633125</v>
      </c>
      <c r="C839" s="1" t="n">
        <v>46062</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23262-2023</t>
        </is>
      </c>
      <c r="B840" s="1" t="n">
        <v>45075.90270833333</v>
      </c>
      <c r="C840" s="1" t="n">
        <v>46062</v>
      </c>
      <c r="D840" t="inlineStr">
        <is>
          <t>STOCKHOLMS LÄN</t>
        </is>
      </c>
      <c r="E840" t="inlineStr">
        <is>
          <t>NORRTÄLJE</t>
        </is>
      </c>
      <c r="F840" t="inlineStr">
        <is>
          <t>Kommuner</t>
        </is>
      </c>
      <c r="G840" t="n">
        <v>1.9</v>
      </c>
      <c r="H840" t="n">
        <v>0</v>
      </c>
      <c r="I840" t="n">
        <v>0</v>
      </c>
      <c r="J840" t="n">
        <v>0</v>
      </c>
      <c r="K840" t="n">
        <v>0</v>
      </c>
      <c r="L840" t="n">
        <v>0</v>
      </c>
      <c r="M840" t="n">
        <v>0</v>
      </c>
      <c r="N840" t="n">
        <v>0</v>
      </c>
      <c r="O840" t="n">
        <v>0</v>
      </c>
      <c r="P840" t="n">
        <v>0</v>
      </c>
      <c r="Q840" t="n">
        <v>0</v>
      </c>
      <c r="R840" s="2" t="inlineStr"/>
    </row>
    <row r="841" ht="15" customHeight="1">
      <c r="A841" t="inlineStr">
        <is>
          <t>A 23268-2023</t>
        </is>
      </c>
      <c r="B841" s="1" t="n">
        <v>45075.91042824074</v>
      </c>
      <c r="C841" s="1" t="n">
        <v>46062</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23270-2023</t>
        </is>
      </c>
      <c r="B842" s="1" t="n">
        <v>45075.91265046296</v>
      </c>
      <c r="C842" s="1" t="n">
        <v>46062</v>
      </c>
      <c r="D842" t="inlineStr">
        <is>
          <t>STOCKHOLMS LÄN</t>
        </is>
      </c>
      <c r="E842" t="inlineStr">
        <is>
          <t>NORRTÄLJE</t>
        </is>
      </c>
      <c r="G842" t="n">
        <v>12.3</v>
      </c>
      <c r="H842" t="n">
        <v>0</v>
      </c>
      <c r="I842" t="n">
        <v>0</v>
      </c>
      <c r="J842" t="n">
        <v>0</v>
      </c>
      <c r="K842" t="n">
        <v>0</v>
      </c>
      <c r="L842" t="n">
        <v>0</v>
      </c>
      <c r="M842" t="n">
        <v>0</v>
      </c>
      <c r="N842" t="n">
        <v>0</v>
      </c>
      <c r="O842" t="n">
        <v>0</v>
      </c>
      <c r="P842" t="n">
        <v>0</v>
      </c>
      <c r="Q842" t="n">
        <v>0</v>
      </c>
      <c r="R842" s="2" t="inlineStr"/>
    </row>
    <row r="843" ht="15" customHeight="1">
      <c r="A843" t="inlineStr">
        <is>
          <t>A 23274-2023</t>
        </is>
      </c>
      <c r="B843" s="1" t="n">
        <v>45075.92153935185</v>
      </c>
      <c r="C843" s="1" t="n">
        <v>46062</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3933-2026</t>
        </is>
      </c>
      <c r="B844" s="1" t="n">
        <v>46043.79916666666</v>
      </c>
      <c r="C844" s="1" t="n">
        <v>46062</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17843-2024</t>
        </is>
      </c>
      <c r="B845" s="1" t="n">
        <v>45418</v>
      </c>
      <c r="C845" s="1" t="n">
        <v>46062</v>
      </c>
      <c r="D845" t="inlineStr">
        <is>
          <t>STOCKHOLMS LÄN</t>
        </is>
      </c>
      <c r="E845" t="inlineStr">
        <is>
          <t>NORRTÄLJE</t>
        </is>
      </c>
      <c r="G845" t="n">
        <v>5.4</v>
      </c>
      <c r="H845" t="n">
        <v>0</v>
      </c>
      <c r="I845" t="n">
        <v>0</v>
      </c>
      <c r="J845" t="n">
        <v>0</v>
      </c>
      <c r="K845" t="n">
        <v>0</v>
      </c>
      <c r="L845" t="n">
        <v>0</v>
      </c>
      <c r="M845" t="n">
        <v>0</v>
      </c>
      <c r="N845" t="n">
        <v>0</v>
      </c>
      <c r="O845" t="n">
        <v>0</v>
      </c>
      <c r="P845" t="n">
        <v>0</v>
      </c>
      <c r="Q845" t="n">
        <v>0</v>
      </c>
      <c r="R845" s="2" t="inlineStr"/>
    </row>
    <row r="846" ht="15" customHeight="1">
      <c r="A846" t="inlineStr">
        <is>
          <t>A 61160-2025</t>
        </is>
      </c>
      <c r="B846" s="1" t="n">
        <v>46000.55262731481</v>
      </c>
      <c r="C846" s="1" t="n">
        <v>46062</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26636-2023</t>
        </is>
      </c>
      <c r="B847" s="1" t="n">
        <v>45092</v>
      </c>
      <c r="C847" s="1" t="n">
        <v>46062</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26637-2023</t>
        </is>
      </c>
      <c r="B848" s="1" t="n">
        <v>45092</v>
      </c>
      <c r="C848" s="1" t="n">
        <v>46062</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46062</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52743-2024</t>
        </is>
      </c>
      <c r="B850" s="1" t="n">
        <v>45610.47414351852</v>
      </c>
      <c r="C850" s="1" t="n">
        <v>46062</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16852-2024</t>
        </is>
      </c>
      <c r="B851" s="1" t="n">
        <v>45411.54768518519</v>
      </c>
      <c r="C851" s="1" t="n">
        <v>46062</v>
      </c>
      <c r="D851" t="inlineStr">
        <is>
          <t>STOCKHOLMS LÄN</t>
        </is>
      </c>
      <c r="E851" t="inlineStr">
        <is>
          <t>NORRTÄLJE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61419-2025</t>
        </is>
      </c>
      <c r="B852" s="1" t="n">
        <v>46001.54137731482</v>
      </c>
      <c r="C852" s="1" t="n">
        <v>46062</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61430-2025</t>
        </is>
      </c>
      <c r="B853" s="1" t="n">
        <v>46001.55583333333</v>
      </c>
      <c r="C853" s="1" t="n">
        <v>46062</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61452-2025</t>
        </is>
      </c>
      <c r="B854" s="1" t="n">
        <v>46001.58043981482</v>
      </c>
      <c r="C854" s="1" t="n">
        <v>46062</v>
      </c>
      <c r="D854" t="inlineStr">
        <is>
          <t>STOCKHOLMS LÄN</t>
        </is>
      </c>
      <c r="E854" t="inlineStr">
        <is>
          <t>NORRTÄLJE</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55755-2023</t>
        </is>
      </c>
      <c r="B855" s="1" t="n">
        <v>45239</v>
      </c>
      <c r="C855" s="1" t="n">
        <v>46062</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61289-2025</t>
        </is>
      </c>
      <c r="B856" s="1" t="n">
        <v>46000.73659722223</v>
      </c>
      <c r="C856" s="1" t="n">
        <v>46062</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61769-2025</t>
        </is>
      </c>
      <c r="B857" s="1" t="n">
        <v>46002.64556712963</v>
      </c>
      <c r="C857" s="1" t="n">
        <v>46062</v>
      </c>
      <c r="D857" t="inlineStr">
        <is>
          <t>STOCKHOLMS LÄN</t>
        </is>
      </c>
      <c r="E857" t="inlineStr">
        <is>
          <t>NORRTÄLJE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17348-2024</t>
        </is>
      </c>
      <c r="B858" s="1" t="n">
        <v>45414.58650462963</v>
      </c>
      <c r="C858" s="1" t="n">
        <v>46062</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61764-2025</t>
        </is>
      </c>
      <c r="B859" s="1" t="n">
        <v>46002.62763888889</v>
      </c>
      <c r="C859" s="1" t="n">
        <v>46062</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4232-2026</t>
        </is>
      </c>
      <c r="B860" s="1" t="n">
        <v>46044.89594907407</v>
      </c>
      <c r="C860" s="1" t="n">
        <v>46062</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13089-2022</t>
        </is>
      </c>
      <c r="B861" s="1" t="n">
        <v>44643</v>
      </c>
      <c r="C861" s="1" t="n">
        <v>46062</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4230-2026</t>
        </is>
      </c>
      <c r="B862" s="1" t="n">
        <v>46044.89366898148</v>
      </c>
      <c r="C862" s="1" t="n">
        <v>46062</v>
      </c>
      <c r="D862" t="inlineStr">
        <is>
          <t>STOCKHOLMS LÄN</t>
        </is>
      </c>
      <c r="E862" t="inlineStr">
        <is>
          <t>NORRTÄLJE</t>
        </is>
      </c>
      <c r="G862" t="n">
        <v>10.8</v>
      </c>
      <c r="H862" t="n">
        <v>0</v>
      </c>
      <c r="I862" t="n">
        <v>0</v>
      </c>
      <c r="J862" t="n">
        <v>0</v>
      </c>
      <c r="K862" t="n">
        <v>0</v>
      </c>
      <c r="L862" t="n">
        <v>0</v>
      </c>
      <c r="M862" t="n">
        <v>0</v>
      </c>
      <c r="N862" t="n">
        <v>0</v>
      </c>
      <c r="O862" t="n">
        <v>0</v>
      </c>
      <c r="P862" t="n">
        <v>0</v>
      </c>
      <c r="Q862" t="n">
        <v>0</v>
      </c>
      <c r="R862" s="2" t="inlineStr"/>
    </row>
    <row r="863" ht="15" customHeight="1">
      <c r="A863" t="inlineStr">
        <is>
          <t>A 48145-2024</t>
        </is>
      </c>
      <c r="B863" s="1" t="n">
        <v>45589.6756712963</v>
      </c>
      <c r="C863" s="1" t="n">
        <v>46062</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23998-2024</t>
        </is>
      </c>
      <c r="B864" s="1" t="n">
        <v>45456</v>
      </c>
      <c r="C864" s="1" t="n">
        <v>46062</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15447-2023</t>
        </is>
      </c>
      <c r="B865" s="1" t="n">
        <v>45020</v>
      </c>
      <c r="C865" s="1" t="n">
        <v>46062</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5227-2026</t>
        </is>
      </c>
      <c r="B866" s="1" t="n">
        <v>46049.80460648148</v>
      </c>
      <c r="C866" s="1" t="n">
        <v>46062</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5241-2026</t>
        </is>
      </c>
      <c r="B867" s="1" t="n">
        <v>46049.86471064815</v>
      </c>
      <c r="C867" s="1" t="n">
        <v>46062</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5224-2026</t>
        </is>
      </c>
      <c r="B868" s="1" t="n">
        <v>46049.79521990741</v>
      </c>
      <c r="C868" s="1" t="n">
        <v>46062</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4886-2026</t>
        </is>
      </c>
      <c r="B869" s="1" t="n">
        <v>46048.66328703704</v>
      </c>
      <c r="C869" s="1" t="n">
        <v>46062</v>
      </c>
      <c r="D869" t="inlineStr">
        <is>
          <t>STOCKHOLMS LÄN</t>
        </is>
      </c>
      <c r="E869" t="inlineStr">
        <is>
          <t>NORRTÄLJE</t>
        </is>
      </c>
      <c r="G869" t="n">
        <v>2</v>
      </c>
      <c r="H869" t="n">
        <v>0</v>
      </c>
      <c r="I869" t="n">
        <v>0</v>
      </c>
      <c r="J869" t="n">
        <v>0</v>
      </c>
      <c r="K869" t="n">
        <v>0</v>
      </c>
      <c r="L869" t="n">
        <v>0</v>
      </c>
      <c r="M869" t="n">
        <v>0</v>
      </c>
      <c r="N869" t="n">
        <v>0</v>
      </c>
      <c r="O869" t="n">
        <v>0</v>
      </c>
      <c r="P869" t="n">
        <v>0</v>
      </c>
      <c r="Q869" t="n">
        <v>0</v>
      </c>
      <c r="R869" s="2" t="inlineStr"/>
    </row>
    <row r="870" ht="15" customHeight="1">
      <c r="A870" t="inlineStr">
        <is>
          <t>A 5226-2026</t>
        </is>
      </c>
      <c r="B870" s="1" t="n">
        <v>46049.79961805556</v>
      </c>
      <c r="C870" s="1" t="n">
        <v>46062</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54358-2022</t>
        </is>
      </c>
      <c r="B871" s="1" t="n">
        <v>44882</v>
      </c>
      <c r="C871" s="1" t="n">
        <v>46062</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33279-2025</t>
        </is>
      </c>
      <c r="B872" s="1" t="n">
        <v>45840</v>
      </c>
      <c r="C872" s="1" t="n">
        <v>46062</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53499-2025</t>
        </is>
      </c>
      <c r="B873" s="1" t="n">
        <v>45960</v>
      </c>
      <c r="C873" s="1" t="n">
        <v>46062</v>
      </c>
      <c r="D873" t="inlineStr">
        <is>
          <t>STOCKHOLMS LÄN</t>
        </is>
      </c>
      <c r="E873" t="inlineStr">
        <is>
          <t>NORRTÄLJE</t>
        </is>
      </c>
      <c r="G873" t="n">
        <v>23.8</v>
      </c>
      <c r="H873" t="n">
        <v>0</v>
      </c>
      <c r="I873" t="n">
        <v>0</v>
      </c>
      <c r="J873" t="n">
        <v>0</v>
      </c>
      <c r="K873" t="n">
        <v>0</v>
      </c>
      <c r="L873" t="n">
        <v>0</v>
      </c>
      <c r="M873" t="n">
        <v>0</v>
      </c>
      <c r="N873" t="n">
        <v>0</v>
      </c>
      <c r="O873" t="n">
        <v>0</v>
      </c>
      <c r="P873" t="n">
        <v>0</v>
      </c>
      <c r="Q873" t="n">
        <v>0</v>
      </c>
      <c r="R873" s="2" t="inlineStr"/>
    </row>
    <row r="874" ht="15" customHeight="1">
      <c r="A874" t="inlineStr">
        <is>
          <t>A 23263-2023</t>
        </is>
      </c>
      <c r="B874" s="1" t="n">
        <v>45075</v>
      </c>
      <c r="C874" s="1" t="n">
        <v>46062</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23264-2023</t>
        </is>
      </c>
      <c r="B875" s="1" t="n">
        <v>45075</v>
      </c>
      <c r="C875" s="1" t="n">
        <v>46062</v>
      </c>
      <c r="D875" t="inlineStr">
        <is>
          <t>STOCKHOLMS LÄN</t>
        </is>
      </c>
      <c r="E875" t="inlineStr">
        <is>
          <t>NORRTÄLJE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23267-2023</t>
        </is>
      </c>
      <c r="B876" s="1" t="n">
        <v>45075.90934027778</v>
      </c>
      <c r="C876" s="1" t="n">
        <v>46062</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23269-2023</t>
        </is>
      </c>
      <c r="B877" s="1" t="n">
        <v>45075.91148148148</v>
      </c>
      <c r="C877" s="1" t="n">
        <v>46062</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46062</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5831-2022</t>
        </is>
      </c>
      <c r="B879" s="1" t="n">
        <v>44596</v>
      </c>
      <c r="C879" s="1" t="n">
        <v>46062</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5867-2022</t>
        </is>
      </c>
      <c r="B880" s="1" t="n">
        <v>44596.66335648148</v>
      </c>
      <c r="C880" s="1" t="n">
        <v>46062</v>
      </c>
      <c r="D880" t="inlineStr">
        <is>
          <t>STOCKHOLMS LÄN</t>
        </is>
      </c>
      <c r="E880" t="inlineStr">
        <is>
          <t>NORRTÄLJE</t>
        </is>
      </c>
      <c r="F880" t="inlineStr">
        <is>
          <t>Naturvårdsverket</t>
        </is>
      </c>
      <c r="G880" t="n">
        <v>1.6</v>
      </c>
      <c r="H880" t="n">
        <v>0</v>
      </c>
      <c r="I880" t="n">
        <v>0</v>
      </c>
      <c r="J880" t="n">
        <v>0</v>
      </c>
      <c r="K880" t="n">
        <v>0</v>
      </c>
      <c r="L880" t="n">
        <v>0</v>
      </c>
      <c r="M880" t="n">
        <v>0</v>
      </c>
      <c r="N880" t="n">
        <v>0</v>
      </c>
      <c r="O880" t="n">
        <v>0</v>
      </c>
      <c r="P880" t="n">
        <v>0</v>
      </c>
      <c r="Q880" t="n">
        <v>0</v>
      </c>
      <c r="R880" s="2" t="inlineStr"/>
    </row>
    <row r="881" ht="15" customHeight="1">
      <c r="A881" t="inlineStr">
        <is>
          <t>A 20244-2025</t>
        </is>
      </c>
      <c r="B881" s="1" t="n">
        <v>45772.71221064815</v>
      </c>
      <c r="C881" s="1" t="n">
        <v>46062</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48633-2023</t>
        </is>
      </c>
      <c r="B882" s="1" t="n">
        <v>45208.58004629629</v>
      </c>
      <c r="C882" s="1" t="n">
        <v>46062</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39669-2024</t>
        </is>
      </c>
      <c r="B883" s="1" t="n">
        <v>45552.52827546297</v>
      </c>
      <c r="C883" s="1" t="n">
        <v>46062</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4227-2026</t>
        </is>
      </c>
      <c r="B884" s="1" t="n">
        <v>46044</v>
      </c>
      <c r="C884" s="1" t="n">
        <v>46062</v>
      </c>
      <c r="D884" t="inlineStr">
        <is>
          <t>STOCKHOLMS LÄN</t>
        </is>
      </c>
      <c r="E884" t="inlineStr">
        <is>
          <t>NORRTÄLJE</t>
        </is>
      </c>
      <c r="G884" t="n">
        <v>3.6</v>
      </c>
      <c r="H884" t="n">
        <v>0</v>
      </c>
      <c r="I884" t="n">
        <v>0</v>
      </c>
      <c r="J884" t="n">
        <v>0</v>
      </c>
      <c r="K884" t="n">
        <v>0</v>
      </c>
      <c r="L884" t="n">
        <v>0</v>
      </c>
      <c r="M884" t="n">
        <v>0</v>
      </c>
      <c r="N884" t="n">
        <v>0</v>
      </c>
      <c r="O884" t="n">
        <v>0</v>
      </c>
      <c r="P884" t="n">
        <v>0</v>
      </c>
      <c r="Q884" t="n">
        <v>0</v>
      </c>
      <c r="R884" s="2" t="inlineStr"/>
    </row>
    <row r="885" ht="15" customHeight="1">
      <c r="A885" t="inlineStr">
        <is>
          <t>A 4235-2026</t>
        </is>
      </c>
      <c r="B885" s="1" t="n">
        <v>46044</v>
      </c>
      <c r="C885" s="1" t="n">
        <v>46062</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62708-2025</t>
        </is>
      </c>
      <c r="B886" s="1" t="n">
        <v>46008.50986111111</v>
      </c>
      <c r="C886" s="1" t="n">
        <v>46062</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34478-2025</t>
        </is>
      </c>
      <c r="B887" s="1" t="n">
        <v>45847</v>
      </c>
      <c r="C887" s="1" t="n">
        <v>46062</v>
      </c>
      <c r="D887" t="inlineStr">
        <is>
          <t>STOCKHOLMS LÄN</t>
        </is>
      </c>
      <c r="E887" t="inlineStr">
        <is>
          <t>NORRTÄLJE</t>
        </is>
      </c>
      <c r="F887" t="inlineStr">
        <is>
          <t>Övriga Aktiebolag</t>
        </is>
      </c>
      <c r="G887" t="n">
        <v>10.8</v>
      </c>
      <c r="H887" t="n">
        <v>0</v>
      </c>
      <c r="I887" t="n">
        <v>0</v>
      </c>
      <c r="J887" t="n">
        <v>0</v>
      </c>
      <c r="K887" t="n">
        <v>0</v>
      </c>
      <c r="L887" t="n">
        <v>0</v>
      </c>
      <c r="M887" t="n">
        <v>0</v>
      </c>
      <c r="N887" t="n">
        <v>0</v>
      </c>
      <c r="O887" t="n">
        <v>0</v>
      </c>
      <c r="P887" t="n">
        <v>0</v>
      </c>
      <c r="Q887" t="n">
        <v>0</v>
      </c>
      <c r="R887" s="2" t="inlineStr"/>
    </row>
    <row r="888" ht="15" customHeight="1">
      <c r="A888" t="inlineStr">
        <is>
          <t>A 4231-2026</t>
        </is>
      </c>
      <c r="B888" s="1" t="n">
        <v>46044</v>
      </c>
      <c r="C888" s="1" t="n">
        <v>46062</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62681-2025</t>
        </is>
      </c>
      <c r="B889" s="1" t="n">
        <v>46008.45534722223</v>
      </c>
      <c r="C889" s="1" t="n">
        <v>46062</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43170-2023</t>
        </is>
      </c>
      <c r="B890" s="1" t="n">
        <v>45183</v>
      </c>
      <c r="C890" s="1" t="n">
        <v>46062</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9-2024</t>
        </is>
      </c>
      <c r="B891" s="1" t="n">
        <v>45293</v>
      </c>
      <c r="C891" s="1" t="n">
        <v>46062</v>
      </c>
      <c r="D891" t="inlineStr">
        <is>
          <t>STOCKHOLMS LÄN</t>
        </is>
      </c>
      <c r="E891" t="inlineStr">
        <is>
          <t>NORRTÄLJE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22832-2021</t>
        </is>
      </c>
      <c r="B892" s="1" t="n">
        <v>44325</v>
      </c>
      <c r="C892" s="1" t="n">
        <v>46062</v>
      </c>
      <c r="D892" t="inlineStr">
        <is>
          <t>STOCKHOLMS LÄN</t>
        </is>
      </c>
      <c r="E892" t="inlineStr">
        <is>
          <t>NORRTÄLJE</t>
        </is>
      </c>
      <c r="G892" t="n">
        <v>6.8</v>
      </c>
      <c r="H892" t="n">
        <v>0</v>
      </c>
      <c r="I892" t="n">
        <v>0</v>
      </c>
      <c r="J892" t="n">
        <v>0</v>
      </c>
      <c r="K892" t="n">
        <v>0</v>
      </c>
      <c r="L892" t="n">
        <v>0</v>
      </c>
      <c r="M892" t="n">
        <v>0</v>
      </c>
      <c r="N892" t="n">
        <v>0</v>
      </c>
      <c r="O892" t="n">
        <v>0</v>
      </c>
      <c r="P892" t="n">
        <v>0</v>
      </c>
      <c r="Q892" t="n">
        <v>0</v>
      </c>
      <c r="R892" s="2" t="inlineStr"/>
    </row>
    <row r="893" ht="15" customHeight="1">
      <c r="A893" t="inlineStr">
        <is>
          <t>A 62922-2025</t>
        </is>
      </c>
      <c r="B893" s="1" t="n">
        <v>46009.38064814815</v>
      </c>
      <c r="C893" s="1" t="n">
        <v>46062</v>
      </c>
      <c r="D893" t="inlineStr">
        <is>
          <t>STOCKHOLMS LÄN</t>
        </is>
      </c>
      <c r="E893" t="inlineStr">
        <is>
          <t>NORRTÄLJE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16913-2025</t>
        </is>
      </c>
      <c r="B894" s="1" t="n">
        <v>45755.36583333334</v>
      </c>
      <c r="C894" s="1" t="n">
        <v>46062</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4035-2023</t>
        </is>
      </c>
      <c r="B895" s="1" t="n">
        <v>44952.57989583333</v>
      </c>
      <c r="C895" s="1" t="n">
        <v>46062</v>
      </c>
      <c r="D895" t="inlineStr">
        <is>
          <t>STOCKHOLMS LÄN</t>
        </is>
      </c>
      <c r="E895" t="inlineStr">
        <is>
          <t>NORRTÄLJE</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46062</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53600-2022</t>
        </is>
      </c>
      <c r="B897" s="1" t="n">
        <v>44879.70518518519</v>
      </c>
      <c r="C897" s="1" t="n">
        <v>46062</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7697-2025</t>
        </is>
      </c>
      <c r="B898" s="1" t="n">
        <v>45706.40086805556</v>
      </c>
      <c r="C898" s="1" t="n">
        <v>46062</v>
      </c>
      <c r="D898" t="inlineStr">
        <is>
          <t>STOCKHOLMS LÄN</t>
        </is>
      </c>
      <c r="E898" t="inlineStr">
        <is>
          <t>NORRTÄLJE</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39610-2025</t>
        </is>
      </c>
      <c r="B899" s="1" t="n">
        <v>45890</v>
      </c>
      <c r="C899" s="1" t="n">
        <v>46062</v>
      </c>
      <c r="D899" t="inlineStr">
        <is>
          <t>STOCKHOLMS LÄN</t>
        </is>
      </c>
      <c r="E899" t="inlineStr">
        <is>
          <t>NORRTÄLJE</t>
        </is>
      </c>
      <c r="G899" t="n">
        <v>28.6</v>
      </c>
      <c r="H899" t="n">
        <v>0</v>
      </c>
      <c r="I899" t="n">
        <v>0</v>
      </c>
      <c r="J899" t="n">
        <v>0</v>
      </c>
      <c r="K899" t="n">
        <v>0</v>
      </c>
      <c r="L899" t="n">
        <v>0</v>
      </c>
      <c r="M899" t="n">
        <v>0</v>
      </c>
      <c r="N899" t="n">
        <v>0</v>
      </c>
      <c r="O899" t="n">
        <v>0</v>
      </c>
      <c r="P899" t="n">
        <v>0</v>
      </c>
      <c r="Q899" t="n">
        <v>0</v>
      </c>
      <c r="R899" s="2" t="inlineStr"/>
    </row>
    <row r="900" ht="15" customHeight="1">
      <c r="A900" t="inlineStr">
        <is>
          <t>A 62689-2025</t>
        </is>
      </c>
      <c r="B900" s="1" t="n">
        <v>46008.47171296296</v>
      </c>
      <c r="C900" s="1" t="n">
        <v>46062</v>
      </c>
      <c r="D900" t="inlineStr">
        <is>
          <t>STOCKHOLMS LÄN</t>
        </is>
      </c>
      <c r="E900" t="inlineStr">
        <is>
          <t>NORRTÄLJE</t>
        </is>
      </c>
      <c r="F900" t="inlineStr">
        <is>
          <t>Kyrkan</t>
        </is>
      </c>
      <c r="G900" t="n">
        <v>0.7</v>
      </c>
      <c r="H900" t="n">
        <v>0</v>
      </c>
      <c r="I900" t="n">
        <v>0</v>
      </c>
      <c r="J900" t="n">
        <v>0</v>
      </c>
      <c r="K900" t="n">
        <v>0</v>
      </c>
      <c r="L900" t="n">
        <v>0</v>
      </c>
      <c r="M900" t="n">
        <v>0</v>
      </c>
      <c r="N900" t="n">
        <v>0</v>
      </c>
      <c r="O900" t="n">
        <v>0</v>
      </c>
      <c r="P900" t="n">
        <v>0</v>
      </c>
      <c r="Q900" t="n">
        <v>0</v>
      </c>
      <c r="R900" s="2" t="inlineStr"/>
    </row>
    <row r="901" ht="15" customHeight="1">
      <c r="A901" t="inlineStr">
        <is>
          <t>A 30221-2024</t>
        </is>
      </c>
      <c r="B901" s="1" t="n">
        <v>45490.45342592592</v>
      </c>
      <c r="C901" s="1" t="n">
        <v>46062</v>
      </c>
      <c r="D901" t="inlineStr">
        <is>
          <t>STOCKHOLMS LÄN</t>
        </is>
      </c>
      <c r="E901" t="inlineStr">
        <is>
          <t>NORRTÄLJE</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13-2024</t>
        </is>
      </c>
      <c r="B902" s="1" t="n">
        <v>45293.37263888889</v>
      </c>
      <c r="C902" s="1" t="n">
        <v>46062</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19-2024</t>
        </is>
      </c>
      <c r="B903" s="1" t="n">
        <v>45293</v>
      </c>
      <c r="C903" s="1" t="n">
        <v>46062</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31559-2022</t>
        </is>
      </c>
      <c r="B904" s="1" t="n">
        <v>44775</v>
      </c>
      <c r="C904" s="1" t="n">
        <v>46062</v>
      </c>
      <c r="D904" t="inlineStr">
        <is>
          <t>STOCKHOLMS LÄN</t>
        </is>
      </c>
      <c r="E904" t="inlineStr">
        <is>
          <t>NORRTÄLJE</t>
        </is>
      </c>
      <c r="G904" t="n">
        <v>5.6</v>
      </c>
      <c r="H904" t="n">
        <v>0</v>
      </c>
      <c r="I904" t="n">
        <v>0</v>
      </c>
      <c r="J904" t="n">
        <v>0</v>
      </c>
      <c r="K904" t="n">
        <v>0</v>
      </c>
      <c r="L904" t="n">
        <v>0</v>
      </c>
      <c r="M904" t="n">
        <v>0</v>
      </c>
      <c r="N904" t="n">
        <v>0</v>
      </c>
      <c r="O904" t="n">
        <v>0</v>
      </c>
      <c r="P904" t="n">
        <v>0</v>
      </c>
      <c r="Q904" t="n">
        <v>0</v>
      </c>
      <c r="R904" s="2" t="inlineStr"/>
    </row>
    <row r="905" ht="15" customHeight="1">
      <c r="A905" t="inlineStr">
        <is>
          <t>A 8419-2025</t>
        </is>
      </c>
      <c r="B905" s="1" t="n">
        <v>45709.40231481481</v>
      </c>
      <c r="C905" s="1" t="n">
        <v>46062</v>
      </c>
      <c r="D905" t="inlineStr">
        <is>
          <t>STOCKHOLMS LÄN</t>
        </is>
      </c>
      <c r="E905" t="inlineStr">
        <is>
          <t>NORRTÄLJE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46062</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58989-2021</t>
        </is>
      </c>
      <c r="B907" s="1" t="n">
        <v>44490.02482638889</v>
      </c>
      <c r="C907" s="1" t="n">
        <v>46062</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46988-2024</t>
        </is>
      </c>
      <c r="B908" s="1" t="n">
        <v>45586</v>
      </c>
      <c r="C908" s="1" t="n">
        <v>46062</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21529-2021</t>
        </is>
      </c>
      <c r="B909" s="1" t="n">
        <v>44321</v>
      </c>
      <c r="C909" s="1" t="n">
        <v>46062</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13701-2022</t>
        </is>
      </c>
      <c r="B910" s="1" t="n">
        <v>44648</v>
      </c>
      <c r="C910" s="1" t="n">
        <v>46062</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5934-2026</t>
        </is>
      </c>
      <c r="B911" s="1" t="n">
        <v>46052.47082175926</v>
      </c>
      <c r="C911" s="1" t="n">
        <v>46062</v>
      </c>
      <c r="D911" t="inlineStr">
        <is>
          <t>STOCKHOLMS LÄN</t>
        </is>
      </c>
      <c r="E911" t="inlineStr">
        <is>
          <t>NORRTÄLJE</t>
        </is>
      </c>
      <c r="F911" t="inlineStr">
        <is>
          <t>Holmen skog AB</t>
        </is>
      </c>
      <c r="G911" t="n">
        <v>5.5</v>
      </c>
      <c r="H911" t="n">
        <v>0</v>
      </c>
      <c r="I911" t="n">
        <v>0</v>
      </c>
      <c r="J911" t="n">
        <v>0</v>
      </c>
      <c r="K911" t="n">
        <v>0</v>
      </c>
      <c r="L911" t="n">
        <v>0</v>
      </c>
      <c r="M911" t="n">
        <v>0</v>
      </c>
      <c r="N911" t="n">
        <v>0</v>
      </c>
      <c r="O911" t="n">
        <v>0</v>
      </c>
      <c r="P911" t="n">
        <v>0</v>
      </c>
      <c r="Q911" t="n">
        <v>0</v>
      </c>
      <c r="R911" s="2" t="inlineStr"/>
    </row>
    <row r="912" ht="15" customHeight="1">
      <c r="A912" t="inlineStr">
        <is>
          <t>A 14132-2025</t>
        </is>
      </c>
      <c r="B912" s="1" t="n">
        <v>45740.47550925926</v>
      </c>
      <c r="C912" s="1" t="n">
        <v>46062</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14133-2025</t>
        </is>
      </c>
      <c r="B913" s="1" t="n">
        <v>45740.47724537037</v>
      </c>
      <c r="C913" s="1" t="n">
        <v>46062</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8792-2025</t>
        </is>
      </c>
      <c r="B914" s="1" t="n">
        <v>45712</v>
      </c>
      <c r="C914" s="1" t="n">
        <v>46062</v>
      </c>
      <c r="D914" t="inlineStr">
        <is>
          <t>STOCKHOLMS LÄN</t>
        </is>
      </c>
      <c r="E914" t="inlineStr">
        <is>
          <t>NORRTÄLJE</t>
        </is>
      </c>
      <c r="F914" t="inlineStr">
        <is>
          <t>Övriga Aktiebolag</t>
        </is>
      </c>
      <c r="G914" t="n">
        <v>6.6</v>
      </c>
      <c r="H914" t="n">
        <v>0</v>
      </c>
      <c r="I914" t="n">
        <v>0</v>
      </c>
      <c r="J914" t="n">
        <v>0</v>
      </c>
      <c r="K914" t="n">
        <v>0</v>
      </c>
      <c r="L914" t="n">
        <v>0</v>
      </c>
      <c r="M914" t="n">
        <v>0</v>
      </c>
      <c r="N914" t="n">
        <v>0</v>
      </c>
      <c r="O914" t="n">
        <v>0</v>
      </c>
      <c r="P914" t="n">
        <v>0</v>
      </c>
      <c r="Q914" t="n">
        <v>0</v>
      </c>
      <c r="R914" s="2" t="inlineStr"/>
    </row>
    <row r="915" ht="15" customHeight="1">
      <c r="A915" t="inlineStr">
        <is>
          <t>A 24887-2023</t>
        </is>
      </c>
      <c r="B915" s="1" t="n">
        <v>45085</v>
      </c>
      <c r="C915" s="1" t="n">
        <v>46062</v>
      </c>
      <c r="D915" t="inlineStr">
        <is>
          <t>STOCKHOLMS LÄN</t>
        </is>
      </c>
      <c r="E915" t="inlineStr">
        <is>
          <t>NORRTÄLJE</t>
        </is>
      </c>
      <c r="G915" t="n">
        <v>13.9</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46062</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4549-2026</t>
        </is>
      </c>
      <c r="B917" s="1" t="n">
        <v>46047</v>
      </c>
      <c r="C917" s="1" t="n">
        <v>46062</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46062</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54504-2024</t>
        </is>
      </c>
      <c r="B919" s="1" t="n">
        <v>45617.58453703704</v>
      </c>
      <c r="C919" s="1" t="n">
        <v>46062</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6701-2026</t>
        </is>
      </c>
      <c r="B920" s="1" t="n">
        <v>46056.64357638889</v>
      </c>
      <c r="C920" s="1" t="n">
        <v>46062</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6724-2026</t>
        </is>
      </c>
      <c r="B921" s="1" t="n">
        <v>46056.67717592593</v>
      </c>
      <c r="C921" s="1" t="n">
        <v>46062</v>
      </c>
      <c r="D921" t="inlineStr">
        <is>
          <t>STOCKHOLMS LÄN</t>
        </is>
      </c>
      <c r="E921" t="inlineStr">
        <is>
          <t>NORRTÄLJE</t>
        </is>
      </c>
      <c r="F921" t="inlineStr">
        <is>
          <t>Holmen skog AB</t>
        </is>
      </c>
      <c r="G921" t="n">
        <v>16.2</v>
      </c>
      <c r="H921" t="n">
        <v>0</v>
      </c>
      <c r="I921" t="n">
        <v>0</v>
      </c>
      <c r="J921" t="n">
        <v>0</v>
      </c>
      <c r="K921" t="n">
        <v>0</v>
      </c>
      <c r="L921" t="n">
        <v>0</v>
      </c>
      <c r="M921" t="n">
        <v>0</v>
      </c>
      <c r="N921" t="n">
        <v>0</v>
      </c>
      <c r="O921" t="n">
        <v>0</v>
      </c>
      <c r="P921" t="n">
        <v>0</v>
      </c>
      <c r="Q921" t="n">
        <v>0</v>
      </c>
      <c r="R921" s="2" t="inlineStr"/>
    </row>
    <row r="922" ht="15" customHeight="1">
      <c r="A922" t="inlineStr">
        <is>
          <t>A 6838-2026</t>
        </is>
      </c>
      <c r="B922" s="1" t="n">
        <v>46057.41151620371</v>
      </c>
      <c r="C922" s="1" t="n">
        <v>46062</v>
      </c>
      <c r="D922" t="inlineStr">
        <is>
          <t>STOCKHOLMS LÄN</t>
        </is>
      </c>
      <c r="E922" t="inlineStr">
        <is>
          <t>NORRTÄLJE</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21745-2023</t>
        </is>
      </c>
      <c r="B923" s="1" t="n">
        <v>45065.55917824074</v>
      </c>
      <c r="C923" s="1" t="n">
        <v>46062</v>
      </c>
      <c r="D923" t="inlineStr">
        <is>
          <t>STOCKHOLMS LÄN</t>
        </is>
      </c>
      <c r="E923" t="inlineStr">
        <is>
          <t>NORRTÄLJE</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21894-2023</t>
        </is>
      </c>
      <c r="B924" s="1" t="n">
        <v>45068.51783564815</v>
      </c>
      <c r="C924" s="1" t="n">
        <v>46062</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13276-2022</t>
        </is>
      </c>
      <c r="B925" s="1" t="n">
        <v>44644</v>
      </c>
      <c r="C925" s="1" t="n">
        <v>46062</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6532-2026</t>
        </is>
      </c>
      <c r="B926" s="1" t="n">
        <v>46056.41300925926</v>
      </c>
      <c r="C926" s="1" t="n">
        <v>46062</v>
      </c>
      <c r="D926" t="inlineStr">
        <is>
          <t>STOCKHOLMS LÄN</t>
        </is>
      </c>
      <c r="E926" t="inlineStr">
        <is>
          <t>NORRTÄLJE</t>
        </is>
      </c>
      <c r="G926" t="n">
        <v>2.2</v>
      </c>
      <c r="H926" t="n">
        <v>0</v>
      </c>
      <c r="I926" t="n">
        <v>0</v>
      </c>
      <c r="J926" t="n">
        <v>0</v>
      </c>
      <c r="K926" t="n">
        <v>0</v>
      </c>
      <c r="L926" t="n">
        <v>0</v>
      </c>
      <c r="M926" t="n">
        <v>0</v>
      </c>
      <c r="N926" t="n">
        <v>0</v>
      </c>
      <c r="O926" t="n">
        <v>0</v>
      </c>
      <c r="P926" t="n">
        <v>0</v>
      </c>
      <c r="Q926" t="n">
        <v>0</v>
      </c>
      <c r="R926" s="2" t="inlineStr"/>
    </row>
    <row r="927" ht="15" customHeight="1">
      <c r="A927" t="inlineStr">
        <is>
          <t>A 28182-2022</t>
        </is>
      </c>
      <c r="B927" s="1" t="n">
        <v>44746.58530092592</v>
      </c>
      <c r="C927" s="1" t="n">
        <v>46062</v>
      </c>
      <c r="D927" t="inlineStr">
        <is>
          <t>STOCKHOLMS LÄN</t>
        </is>
      </c>
      <c r="E927" t="inlineStr">
        <is>
          <t>NORRTÄLJE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34461-2023</t>
        </is>
      </c>
      <c r="B928" s="1" t="n">
        <v>45139</v>
      </c>
      <c r="C928" s="1" t="n">
        <v>46062</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51046-2023</t>
        </is>
      </c>
      <c r="B929" s="1" t="n">
        <v>45218</v>
      </c>
      <c r="C929" s="1" t="n">
        <v>46062</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6874-2026</t>
        </is>
      </c>
      <c r="B930" s="1" t="n">
        <v>46057.45295138889</v>
      </c>
      <c r="C930" s="1" t="n">
        <v>46062</v>
      </c>
      <c r="D930" t="inlineStr">
        <is>
          <t>STOCKHOLMS LÄN</t>
        </is>
      </c>
      <c r="E930" t="inlineStr">
        <is>
          <t>NORRTÄLJE</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17382-2024</t>
        </is>
      </c>
      <c r="B931" s="1" t="n">
        <v>45414.65855324074</v>
      </c>
      <c r="C931" s="1" t="n">
        <v>46062</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6070-2022</t>
        </is>
      </c>
      <c r="B932" s="1" t="n">
        <v>44599.58428240741</v>
      </c>
      <c r="C932" s="1" t="n">
        <v>46062</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17039-2024</t>
        </is>
      </c>
      <c r="B933" s="1" t="n">
        <v>45412.4104050926</v>
      </c>
      <c r="C933" s="1" t="n">
        <v>46062</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7532-2026</t>
        </is>
      </c>
      <c r="B934" s="1" t="n">
        <v>46059.61903935186</v>
      </c>
      <c r="C934" s="1" t="n">
        <v>46062</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48180-2023</t>
        </is>
      </c>
      <c r="B935" s="1" t="n">
        <v>45205</v>
      </c>
      <c r="C935" s="1" t="n">
        <v>46062</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35695-2023</t>
        </is>
      </c>
      <c r="B936" s="1" t="n">
        <v>45147.65407407407</v>
      </c>
      <c r="C936" s="1" t="n">
        <v>46062</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45173-2023</t>
        </is>
      </c>
      <c r="B937" s="1" t="n">
        <v>45191</v>
      </c>
      <c r="C937" s="1" t="n">
        <v>46062</v>
      </c>
      <c r="D937" t="inlineStr">
        <is>
          <t>STOCKHOLMS LÄN</t>
        </is>
      </c>
      <c r="E937" t="inlineStr">
        <is>
          <t>NORRTÄLJE</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6828-2026</t>
        </is>
      </c>
      <c r="B938" s="1" t="n">
        <v>46057</v>
      </c>
      <c r="C938" s="1" t="n">
        <v>46062</v>
      </c>
      <c r="D938" t="inlineStr">
        <is>
          <t>STOCKHOLMS LÄN</t>
        </is>
      </c>
      <c r="E938" t="inlineStr">
        <is>
          <t>NORRTÄLJE</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3549-2026</t>
        </is>
      </c>
      <c r="B939" s="1" t="n">
        <v>46042</v>
      </c>
      <c r="C939" s="1" t="n">
        <v>46062</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24705-2023</t>
        </is>
      </c>
      <c r="B940" s="1" t="n">
        <v>45084.54459490741</v>
      </c>
      <c r="C940" s="1" t="n">
        <v>46062</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21696-2024</t>
        </is>
      </c>
      <c r="B941" s="1" t="n">
        <v>45442.45686342593</v>
      </c>
      <c r="C941" s="1" t="n">
        <v>46062</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7308-2026</t>
        </is>
      </c>
      <c r="B942" s="1" t="n">
        <v>46058.66025462963</v>
      </c>
      <c r="C942" s="1" t="n">
        <v>46062</v>
      </c>
      <c r="D942" t="inlineStr">
        <is>
          <t>STOCKHOLMS LÄN</t>
        </is>
      </c>
      <c r="E942" t="inlineStr">
        <is>
          <t>NORRTÄLJE</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67990-2021</t>
        </is>
      </c>
      <c r="B943" s="1" t="n">
        <v>44525</v>
      </c>
      <c r="C943" s="1" t="n">
        <v>46062</v>
      </c>
      <c r="D943" t="inlineStr">
        <is>
          <t>STOCKHOLMS LÄN</t>
        </is>
      </c>
      <c r="E943" t="inlineStr">
        <is>
          <t>NORRTÄLJE</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71552-2021</t>
        </is>
      </c>
      <c r="B944" s="1" t="n">
        <v>44540</v>
      </c>
      <c r="C944" s="1" t="n">
        <v>46062</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73992-2021</t>
        </is>
      </c>
      <c r="B945" s="1" t="n">
        <v>44556</v>
      </c>
      <c r="C945" s="1" t="n">
        <v>46062</v>
      </c>
      <c r="D945" t="inlineStr">
        <is>
          <t>STOCKHOLMS LÄN</t>
        </is>
      </c>
      <c r="E945" t="inlineStr">
        <is>
          <t>NORRTÄLJE</t>
        </is>
      </c>
      <c r="G945" t="n">
        <v>12.5</v>
      </c>
      <c r="H945" t="n">
        <v>0</v>
      </c>
      <c r="I945" t="n">
        <v>0</v>
      </c>
      <c r="J945" t="n">
        <v>0</v>
      </c>
      <c r="K945" t="n">
        <v>0</v>
      </c>
      <c r="L945" t="n">
        <v>0</v>
      </c>
      <c r="M945" t="n">
        <v>0</v>
      </c>
      <c r="N945" t="n">
        <v>0</v>
      </c>
      <c r="O945" t="n">
        <v>0</v>
      </c>
      <c r="P945" t="n">
        <v>0</v>
      </c>
      <c r="Q945" t="n">
        <v>0</v>
      </c>
      <c r="R945" s="2" t="inlineStr"/>
    </row>
    <row r="946" ht="15" customHeight="1">
      <c r="A946" t="inlineStr">
        <is>
          <t>A 26113-2024</t>
        </is>
      </c>
      <c r="B946" s="1" t="n">
        <v>45468.45541666666</v>
      </c>
      <c r="C946" s="1" t="n">
        <v>46062</v>
      </c>
      <c r="D946" t="inlineStr">
        <is>
          <t>STOCKHOLMS LÄN</t>
        </is>
      </c>
      <c r="E946" t="inlineStr">
        <is>
          <t>NORRTÄLJE</t>
        </is>
      </c>
      <c r="G946" t="n">
        <v>0.4</v>
      </c>
      <c r="H946" t="n">
        <v>0</v>
      </c>
      <c r="I946" t="n">
        <v>0</v>
      </c>
      <c r="J946" t="n">
        <v>0</v>
      </c>
      <c r="K946" t="n">
        <v>0</v>
      </c>
      <c r="L946" t="n">
        <v>0</v>
      </c>
      <c r="M946" t="n">
        <v>0</v>
      </c>
      <c r="N946" t="n">
        <v>0</v>
      </c>
      <c r="O946" t="n">
        <v>0</v>
      </c>
      <c r="P946" t="n">
        <v>0</v>
      </c>
      <c r="Q946" t="n">
        <v>0</v>
      </c>
      <c r="R946" s="2" t="inlineStr"/>
    </row>
    <row r="947" ht="15" customHeight="1">
      <c r="A947" t="inlineStr">
        <is>
          <t>A 26116-2024</t>
        </is>
      </c>
      <c r="B947" s="1" t="n">
        <v>45468.45747685185</v>
      </c>
      <c r="C947" s="1" t="n">
        <v>46062</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15978-2024</t>
        </is>
      </c>
      <c r="B948" s="1" t="n">
        <v>45405.57927083333</v>
      </c>
      <c r="C948" s="1" t="n">
        <v>46062</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11333-2025</t>
        </is>
      </c>
      <c r="B949" s="1" t="n">
        <v>45726.48377314815</v>
      </c>
      <c r="C949" s="1" t="n">
        <v>46062</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34391-2023</t>
        </is>
      </c>
      <c r="B950" s="1" t="n">
        <v>45139.51457175926</v>
      </c>
      <c r="C950" s="1" t="n">
        <v>46062</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67921-2021</t>
        </is>
      </c>
      <c r="B951" s="1" t="n">
        <v>44525</v>
      </c>
      <c r="C951" s="1" t="n">
        <v>46062</v>
      </c>
      <c r="D951" t="inlineStr">
        <is>
          <t>STOCKHOLMS LÄN</t>
        </is>
      </c>
      <c r="E951" t="inlineStr">
        <is>
          <t>NORRTÄLJE</t>
        </is>
      </c>
      <c r="G951" t="n">
        <v>6.3</v>
      </c>
      <c r="H951" t="n">
        <v>0</v>
      </c>
      <c r="I951" t="n">
        <v>0</v>
      </c>
      <c r="J951" t="n">
        <v>0</v>
      </c>
      <c r="K951" t="n">
        <v>0</v>
      </c>
      <c r="L951" t="n">
        <v>0</v>
      </c>
      <c r="M951" t="n">
        <v>0</v>
      </c>
      <c r="N951" t="n">
        <v>0</v>
      </c>
      <c r="O951" t="n">
        <v>0</v>
      </c>
      <c r="P951" t="n">
        <v>0</v>
      </c>
      <c r="Q951" t="n">
        <v>0</v>
      </c>
      <c r="R951" s="2" t="inlineStr"/>
    </row>
    <row r="952" ht="15" customHeight="1">
      <c r="A952" t="inlineStr">
        <is>
          <t>A 25681-2024</t>
        </is>
      </c>
      <c r="B952" s="1" t="n">
        <v>45463.80486111111</v>
      </c>
      <c r="C952" s="1" t="n">
        <v>46062</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58853-2024</t>
        </is>
      </c>
      <c r="B953" s="1" t="n">
        <v>45636.38974537037</v>
      </c>
      <c r="C953" s="1" t="n">
        <v>46062</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35438-2023</t>
        </is>
      </c>
      <c r="B954" s="1" t="n">
        <v>45146</v>
      </c>
      <c r="C954" s="1" t="n">
        <v>46062</v>
      </c>
      <c r="D954" t="inlineStr">
        <is>
          <t>STOCKHOLMS LÄN</t>
        </is>
      </c>
      <c r="E954" t="inlineStr">
        <is>
          <t>NORRTÄLJE</t>
        </is>
      </c>
      <c r="F954" t="inlineStr">
        <is>
          <t>Kommuner</t>
        </is>
      </c>
      <c r="G954" t="n">
        <v>1.9</v>
      </c>
      <c r="H954" t="n">
        <v>0</v>
      </c>
      <c r="I954" t="n">
        <v>0</v>
      </c>
      <c r="J954" t="n">
        <v>0</v>
      </c>
      <c r="K954" t="n">
        <v>0</v>
      </c>
      <c r="L954" t="n">
        <v>0</v>
      </c>
      <c r="M954" t="n">
        <v>0</v>
      </c>
      <c r="N954" t="n">
        <v>0</v>
      </c>
      <c r="O954" t="n">
        <v>0</v>
      </c>
      <c r="P954" t="n">
        <v>0</v>
      </c>
      <c r="Q954" t="n">
        <v>0</v>
      </c>
      <c r="R954" s="2" t="inlineStr"/>
    </row>
    <row r="955" ht="15" customHeight="1">
      <c r="A955" t="inlineStr">
        <is>
          <t>A 20291-2022</t>
        </is>
      </c>
      <c r="B955" s="1" t="n">
        <v>44698</v>
      </c>
      <c r="C955" s="1" t="n">
        <v>46062</v>
      </c>
      <c r="D955" t="inlineStr">
        <is>
          <t>STOCKHOLMS LÄN</t>
        </is>
      </c>
      <c r="E955" t="inlineStr">
        <is>
          <t>NORRTÄLJE</t>
        </is>
      </c>
      <c r="F955" t="inlineStr">
        <is>
          <t>Naturvårdsverket</t>
        </is>
      </c>
      <c r="G955" t="n">
        <v>2</v>
      </c>
      <c r="H955" t="n">
        <v>0</v>
      </c>
      <c r="I955" t="n">
        <v>0</v>
      </c>
      <c r="J955" t="n">
        <v>0</v>
      </c>
      <c r="K955" t="n">
        <v>0</v>
      </c>
      <c r="L955" t="n">
        <v>0</v>
      </c>
      <c r="M955" t="n">
        <v>0</v>
      </c>
      <c r="N955" t="n">
        <v>0</v>
      </c>
      <c r="O955" t="n">
        <v>0</v>
      </c>
      <c r="P955" t="n">
        <v>0</v>
      </c>
      <c r="Q955" t="n">
        <v>0</v>
      </c>
      <c r="R955" s="2" t="inlineStr"/>
    </row>
    <row r="956" ht="15" customHeight="1">
      <c r="A956" t="inlineStr">
        <is>
          <t>A 26115-2024</t>
        </is>
      </c>
      <c r="B956" s="1" t="n">
        <v>45468.45628472222</v>
      </c>
      <c r="C956" s="1" t="n">
        <v>46062</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19118-2022</t>
        </is>
      </c>
      <c r="B957" s="1" t="n">
        <v>44691.5652662037</v>
      </c>
      <c r="C957" s="1" t="n">
        <v>46062</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8739-2024</t>
        </is>
      </c>
      <c r="B958" s="1" t="n">
        <v>45356.47784722222</v>
      </c>
      <c r="C958" s="1" t="n">
        <v>46062</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46062</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32857-2021</t>
        </is>
      </c>
      <c r="B960" s="1" t="n">
        <v>44375</v>
      </c>
      <c r="C960" s="1" t="n">
        <v>46062</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29714-2023</t>
        </is>
      </c>
      <c r="B961" s="1" t="n">
        <v>45107.42538194444</v>
      </c>
      <c r="C961" s="1" t="n">
        <v>46062</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23271-2023</t>
        </is>
      </c>
      <c r="B962" s="1" t="n">
        <v>45075.91362268518</v>
      </c>
      <c r="C962" s="1" t="n">
        <v>46062</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23273-2023</t>
        </is>
      </c>
      <c r="B963" s="1" t="n">
        <v>45075.91971064815</v>
      </c>
      <c r="C963" s="1" t="n">
        <v>46062</v>
      </c>
      <c r="D963" t="inlineStr">
        <is>
          <t>STOCKHOLMS LÄN</t>
        </is>
      </c>
      <c r="E963" t="inlineStr">
        <is>
          <t>NORRTÄLJE</t>
        </is>
      </c>
      <c r="G963" t="n">
        <v>7.5</v>
      </c>
      <c r="H963" t="n">
        <v>0</v>
      </c>
      <c r="I963" t="n">
        <v>0</v>
      </c>
      <c r="J963" t="n">
        <v>0</v>
      </c>
      <c r="K963" t="n">
        <v>0</v>
      </c>
      <c r="L963" t="n">
        <v>0</v>
      </c>
      <c r="M963" t="n">
        <v>0</v>
      </c>
      <c r="N963" t="n">
        <v>0</v>
      </c>
      <c r="O963" t="n">
        <v>0</v>
      </c>
      <c r="P963" t="n">
        <v>0</v>
      </c>
      <c r="Q963" t="n">
        <v>0</v>
      </c>
      <c r="R963" s="2" t="inlineStr"/>
    </row>
    <row r="964" ht="15" customHeight="1">
      <c r="A964" t="inlineStr">
        <is>
          <t>A 7603-2025</t>
        </is>
      </c>
      <c r="B964" s="1" t="n">
        <v>45705.66126157407</v>
      </c>
      <c r="C964" s="1" t="n">
        <v>46062</v>
      </c>
      <c r="D964" t="inlineStr">
        <is>
          <t>STOCKHOLMS LÄN</t>
        </is>
      </c>
      <c r="E964" t="inlineStr">
        <is>
          <t>NORRTÄLJE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30802-2022</t>
        </is>
      </c>
      <c r="B965" s="1" t="n">
        <v>44764</v>
      </c>
      <c r="C965" s="1" t="n">
        <v>46062</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55369-2023</t>
        </is>
      </c>
      <c r="B966" s="1" t="n">
        <v>45238</v>
      </c>
      <c r="C966" s="1" t="n">
        <v>46062</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61113-2023</t>
        </is>
      </c>
      <c r="B967" s="1" t="n">
        <v>45261</v>
      </c>
      <c r="C967" s="1" t="n">
        <v>46062</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3283-2025</t>
        </is>
      </c>
      <c r="B968" s="1" t="n">
        <v>45679</v>
      </c>
      <c r="C968" s="1" t="n">
        <v>46062</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34295-2024</t>
        </is>
      </c>
      <c r="B969" s="1" t="n">
        <v>45524</v>
      </c>
      <c r="C969" s="1" t="n">
        <v>46062</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58311-2023</t>
        </is>
      </c>
      <c r="B970" s="1" t="n">
        <v>45245</v>
      </c>
      <c r="C970" s="1" t="n">
        <v>46062</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23692-2024</t>
        </is>
      </c>
      <c r="B971" s="1" t="n">
        <v>45454.65774305556</v>
      </c>
      <c r="C971" s="1" t="n">
        <v>46062</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20473-2021</t>
        </is>
      </c>
      <c r="B972" s="1" t="n">
        <v>44315</v>
      </c>
      <c r="C972" s="1" t="n">
        <v>46062</v>
      </c>
      <c r="D972" t="inlineStr">
        <is>
          <t>STOCKHOLMS LÄN</t>
        </is>
      </c>
      <c r="E972" t="inlineStr">
        <is>
          <t>NORRTÄLJE</t>
        </is>
      </c>
      <c r="F972" t="inlineStr">
        <is>
          <t>Övriga Aktiebolag</t>
        </is>
      </c>
      <c r="G972" t="n">
        <v>3.6</v>
      </c>
      <c r="H972" t="n">
        <v>0</v>
      </c>
      <c r="I972" t="n">
        <v>0</v>
      </c>
      <c r="J972" t="n">
        <v>0</v>
      </c>
      <c r="K972" t="n">
        <v>0</v>
      </c>
      <c r="L972" t="n">
        <v>0</v>
      </c>
      <c r="M972" t="n">
        <v>0</v>
      </c>
      <c r="N972" t="n">
        <v>0</v>
      </c>
      <c r="O972" t="n">
        <v>0</v>
      </c>
      <c r="P972" t="n">
        <v>0</v>
      </c>
      <c r="Q972" t="n">
        <v>0</v>
      </c>
      <c r="R972" s="2" t="inlineStr"/>
    </row>
    <row r="973" ht="15" customHeight="1">
      <c r="A973" t="inlineStr">
        <is>
          <t>A 54273-2021</t>
        </is>
      </c>
      <c r="B973" s="1" t="n">
        <v>44470.72987268519</v>
      </c>
      <c r="C973" s="1" t="n">
        <v>46062</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7806-2025</t>
        </is>
      </c>
      <c r="B974" s="1" t="n">
        <v>45706.61178240741</v>
      </c>
      <c r="C974" s="1" t="n">
        <v>46062</v>
      </c>
      <c r="D974" t="inlineStr">
        <is>
          <t>STOCKHOLMS LÄN</t>
        </is>
      </c>
      <c r="E974" t="inlineStr">
        <is>
          <t>NORRTÄLJE</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53792-2023</t>
        </is>
      </c>
      <c r="B975" s="1" t="n">
        <v>45231.34144675926</v>
      </c>
      <c r="C975" s="1" t="n">
        <v>46062</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21329-2022</t>
        </is>
      </c>
      <c r="B976" s="1" t="n">
        <v>44705.60626157407</v>
      </c>
      <c r="C976" s="1" t="n">
        <v>46062</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50569-2022</t>
        </is>
      </c>
      <c r="B977" s="1" t="n">
        <v>44866.63775462963</v>
      </c>
      <c r="C977" s="1" t="n">
        <v>46062</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24501-2023</t>
        </is>
      </c>
      <c r="B978" s="1" t="n">
        <v>45082</v>
      </c>
      <c r="C978" s="1" t="n">
        <v>46062</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24520-2023</t>
        </is>
      </c>
      <c r="B979" s="1" t="n">
        <v>45082.68922453704</v>
      </c>
      <c r="C979" s="1" t="n">
        <v>46062</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60654-2023</t>
        </is>
      </c>
      <c r="B980" s="1" t="n">
        <v>45260.43225694444</v>
      </c>
      <c r="C980" s="1" t="n">
        <v>46062</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60656-2023</t>
        </is>
      </c>
      <c r="B981" s="1" t="n">
        <v>45260.4333449074</v>
      </c>
      <c r="C981" s="1" t="n">
        <v>46062</v>
      </c>
      <c r="D981" t="inlineStr">
        <is>
          <t>STOCKHOLMS LÄN</t>
        </is>
      </c>
      <c r="E981" t="inlineStr">
        <is>
          <t>NORRTÄLJE</t>
        </is>
      </c>
      <c r="G981" t="n">
        <v>4.8</v>
      </c>
      <c r="H981" t="n">
        <v>0</v>
      </c>
      <c r="I981" t="n">
        <v>0</v>
      </c>
      <c r="J981" t="n">
        <v>0</v>
      </c>
      <c r="K981" t="n">
        <v>0</v>
      </c>
      <c r="L981" t="n">
        <v>0</v>
      </c>
      <c r="M981" t="n">
        <v>0</v>
      </c>
      <c r="N981" t="n">
        <v>0</v>
      </c>
      <c r="O981" t="n">
        <v>0</v>
      </c>
      <c r="P981" t="n">
        <v>0</v>
      </c>
      <c r="Q981" t="n">
        <v>0</v>
      </c>
      <c r="R981" s="2" t="inlineStr"/>
    </row>
    <row r="982" ht="15" customHeight="1">
      <c r="A982" t="inlineStr">
        <is>
          <t>A 54496-2024</t>
        </is>
      </c>
      <c r="B982" s="1" t="n">
        <v>45617.57439814815</v>
      </c>
      <c r="C982" s="1" t="n">
        <v>46062</v>
      </c>
      <c r="D982" t="inlineStr">
        <is>
          <t>STOCKHOLMS LÄN</t>
        </is>
      </c>
      <c r="E982" t="inlineStr">
        <is>
          <t>NORRTÄLJE</t>
        </is>
      </c>
      <c r="G982" t="n">
        <v>2.2</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46062</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10642-2025</t>
        </is>
      </c>
      <c r="B984" s="1" t="n">
        <v>45721.65858796296</v>
      </c>
      <c r="C984" s="1" t="n">
        <v>46062</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20144-2023</t>
        </is>
      </c>
      <c r="B985" s="1" t="n">
        <v>45055.43509259259</v>
      </c>
      <c r="C985" s="1" t="n">
        <v>46062</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53312-2024</t>
        </is>
      </c>
      <c r="B986" s="1" t="n">
        <v>45614.39627314815</v>
      </c>
      <c r="C986" s="1" t="n">
        <v>46062</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39202-2024</t>
        </is>
      </c>
      <c r="B987" s="1" t="n">
        <v>45548.72306712963</v>
      </c>
      <c r="C987" s="1" t="n">
        <v>46062</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22756-2022</t>
        </is>
      </c>
      <c r="B988" s="1" t="n">
        <v>44714.92253472222</v>
      </c>
      <c r="C988" s="1" t="n">
        <v>46062</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4581-2025</t>
        </is>
      </c>
      <c r="B989" s="1" t="n">
        <v>45687</v>
      </c>
      <c r="C989" s="1" t="n">
        <v>46062</v>
      </c>
      <c r="D989" t="inlineStr">
        <is>
          <t>STOCKHOLMS LÄN</t>
        </is>
      </c>
      <c r="E989" t="inlineStr">
        <is>
          <t>NORRTÄLJE</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60765-2023</t>
        </is>
      </c>
      <c r="B990" s="1" t="n">
        <v>45260</v>
      </c>
      <c r="C990" s="1" t="n">
        <v>46062</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23801-2022</t>
        </is>
      </c>
      <c r="B991" s="1" t="n">
        <v>44722</v>
      </c>
      <c r="C991" s="1" t="n">
        <v>46062</v>
      </c>
      <c r="D991" t="inlineStr">
        <is>
          <t>STOCKHOLMS LÄN</t>
        </is>
      </c>
      <c r="E991" t="inlineStr">
        <is>
          <t>NORRTÄLJE</t>
        </is>
      </c>
      <c r="G991" t="n">
        <v>6.8</v>
      </c>
      <c r="H991" t="n">
        <v>0</v>
      </c>
      <c r="I991" t="n">
        <v>0</v>
      </c>
      <c r="J991" t="n">
        <v>0</v>
      </c>
      <c r="K991" t="n">
        <v>0</v>
      </c>
      <c r="L991" t="n">
        <v>0</v>
      </c>
      <c r="M991" t="n">
        <v>0</v>
      </c>
      <c r="N991" t="n">
        <v>0</v>
      </c>
      <c r="O991" t="n">
        <v>0</v>
      </c>
      <c r="P991" t="n">
        <v>0</v>
      </c>
      <c r="Q991" t="n">
        <v>0</v>
      </c>
      <c r="R991" s="2" t="inlineStr"/>
    </row>
    <row r="992" ht="15" customHeight="1">
      <c r="A992" t="inlineStr">
        <is>
          <t>A 59276-2023</t>
        </is>
      </c>
      <c r="B992" s="1" t="n">
        <v>45253.55641203704</v>
      </c>
      <c r="C992" s="1" t="n">
        <v>46062</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46914-2022</t>
        </is>
      </c>
      <c r="B993" s="1" t="n">
        <v>44851</v>
      </c>
      <c r="C993" s="1" t="n">
        <v>46062</v>
      </c>
      <c r="D993" t="inlineStr">
        <is>
          <t>STOCKHOLMS LÄN</t>
        </is>
      </c>
      <c r="E993" t="inlineStr">
        <is>
          <t>NORRTÄLJE</t>
        </is>
      </c>
      <c r="G993" t="n">
        <v>2.4</v>
      </c>
      <c r="H993" t="n">
        <v>0</v>
      </c>
      <c r="I993" t="n">
        <v>0</v>
      </c>
      <c r="J993" t="n">
        <v>0</v>
      </c>
      <c r="K993" t="n">
        <v>0</v>
      </c>
      <c r="L993" t="n">
        <v>0</v>
      </c>
      <c r="M993" t="n">
        <v>0</v>
      </c>
      <c r="N993" t="n">
        <v>0</v>
      </c>
      <c r="O993" t="n">
        <v>0</v>
      </c>
      <c r="P993" t="n">
        <v>0</v>
      </c>
      <c r="Q993" t="n">
        <v>0</v>
      </c>
      <c r="R993" s="2" t="inlineStr"/>
    </row>
    <row r="994" ht="15" customHeight="1">
      <c r="A994" t="inlineStr">
        <is>
          <t>A 18541-2023</t>
        </is>
      </c>
      <c r="B994" s="1" t="n">
        <v>45042.74291666667</v>
      </c>
      <c r="C994" s="1" t="n">
        <v>46062</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3509-2022</t>
        </is>
      </c>
      <c r="B995" s="1" t="n">
        <v>44585</v>
      </c>
      <c r="C995" s="1" t="n">
        <v>46062</v>
      </c>
      <c r="D995" t="inlineStr">
        <is>
          <t>STOCKHOLMS LÄN</t>
        </is>
      </c>
      <c r="E995" t="inlineStr">
        <is>
          <t>NORRTÄLJE</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26407-2024</t>
        </is>
      </c>
      <c r="B996" s="1" t="n">
        <v>45469</v>
      </c>
      <c r="C996" s="1" t="n">
        <v>46062</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12890-2024</t>
        </is>
      </c>
      <c r="B997" s="1" t="n">
        <v>45385.36243055556</v>
      </c>
      <c r="C997" s="1" t="n">
        <v>46062</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47419-2023</t>
        </is>
      </c>
      <c r="B998" s="1" t="n">
        <v>45202.65660879629</v>
      </c>
      <c r="C998" s="1" t="n">
        <v>46062</v>
      </c>
      <c r="D998" t="inlineStr">
        <is>
          <t>STOCKHOLMS LÄN</t>
        </is>
      </c>
      <c r="E998" t="inlineStr">
        <is>
          <t>NORRTÄLJE</t>
        </is>
      </c>
      <c r="G998" t="n">
        <v>11.4</v>
      </c>
      <c r="H998" t="n">
        <v>0</v>
      </c>
      <c r="I998" t="n">
        <v>0</v>
      </c>
      <c r="J998" t="n">
        <v>0</v>
      </c>
      <c r="K998" t="n">
        <v>0</v>
      </c>
      <c r="L998" t="n">
        <v>0</v>
      </c>
      <c r="M998" t="n">
        <v>0</v>
      </c>
      <c r="N998" t="n">
        <v>0</v>
      </c>
      <c r="O998" t="n">
        <v>0</v>
      </c>
      <c r="P998" t="n">
        <v>0</v>
      </c>
      <c r="Q998" t="n">
        <v>0</v>
      </c>
      <c r="R998" s="2" t="inlineStr"/>
    </row>
    <row r="999" ht="15" customHeight="1">
      <c r="A999" t="inlineStr">
        <is>
          <t>A 23070-2023</t>
        </is>
      </c>
      <c r="B999" s="1" t="n">
        <v>45075</v>
      </c>
      <c r="C999" s="1" t="n">
        <v>46062</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27824-2022</t>
        </is>
      </c>
      <c r="B1000" s="1" t="n">
        <v>44743.59331018518</v>
      </c>
      <c r="C1000" s="1" t="n">
        <v>46062</v>
      </c>
      <c r="D1000" t="inlineStr">
        <is>
          <t>STOCKHOLMS LÄN</t>
        </is>
      </c>
      <c r="E1000" t="inlineStr">
        <is>
          <t>NORRTÄLJE</t>
        </is>
      </c>
      <c r="F1000" t="inlineStr">
        <is>
          <t>Kommuner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25619-2022</t>
        </is>
      </c>
      <c r="B1001" s="1" t="n">
        <v>44732</v>
      </c>
      <c r="C1001" s="1" t="n">
        <v>46062</v>
      </c>
      <c r="D1001" t="inlineStr">
        <is>
          <t>STOCKHOLMS LÄN</t>
        </is>
      </c>
      <c r="E1001" t="inlineStr">
        <is>
          <t>NORRTÄLJE</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36246-2021</t>
        </is>
      </c>
      <c r="B1002" s="1" t="n">
        <v>44390</v>
      </c>
      <c r="C1002" s="1" t="n">
        <v>46062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19952-2023</t>
        </is>
      </c>
      <c r="B1003" s="1" t="n">
        <v>45054.54091435186</v>
      </c>
      <c r="C1003" s="1" t="n">
        <v>46062</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19994-2023</t>
        </is>
      </c>
      <c r="B1004" s="1" t="n">
        <v>45054</v>
      </c>
      <c r="C1004" s="1" t="n">
        <v>46062</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14130-2025</t>
        </is>
      </c>
      <c r="B1005" s="1" t="n">
        <v>45740.47288194444</v>
      </c>
      <c r="C1005" s="1" t="n">
        <v>46062</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46062</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30283-2022</t>
        </is>
      </c>
      <c r="B1007" s="1" t="n">
        <v>44760</v>
      </c>
      <c r="C1007" s="1" t="n">
        <v>46062</v>
      </c>
      <c r="D1007" t="inlineStr">
        <is>
          <t>STOCKHOLMS LÄN</t>
        </is>
      </c>
      <c r="E1007" t="inlineStr">
        <is>
          <t>NORRTÄLJE</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30290-2022</t>
        </is>
      </c>
      <c r="B1008" s="1" t="n">
        <v>44760</v>
      </c>
      <c r="C1008" s="1" t="n">
        <v>46062</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29684-2021</t>
        </is>
      </c>
      <c r="B1009" s="1" t="n">
        <v>44362.37172453704</v>
      </c>
      <c r="C1009" s="1" t="n">
        <v>46062</v>
      </c>
      <c r="D1009" t="inlineStr">
        <is>
          <t>STOCKHOLMS LÄN</t>
        </is>
      </c>
      <c r="E1009" t="inlineStr">
        <is>
          <t>NORRTÄLJE</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60884-2024</t>
        </is>
      </c>
      <c r="B1010" s="1" t="n">
        <v>45644.90815972222</v>
      </c>
      <c r="C1010" s="1" t="n">
        <v>46062</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38610-2022</t>
        </is>
      </c>
      <c r="B1011" s="1" t="n">
        <v>44813.59915509259</v>
      </c>
      <c r="C1011" s="1" t="n">
        <v>46062</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10090-2022</t>
        </is>
      </c>
      <c r="B1012" s="1" t="n">
        <v>44621</v>
      </c>
      <c r="C1012" s="1" t="n">
        <v>46062</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14724-2022</t>
        </is>
      </c>
      <c r="B1013" s="1" t="n">
        <v>44656</v>
      </c>
      <c r="C1013" s="1" t="n">
        <v>46062</v>
      </c>
      <c r="D1013" t="inlineStr">
        <is>
          <t>STOCKHOLMS LÄN</t>
        </is>
      </c>
      <c r="E1013" t="inlineStr">
        <is>
          <t>NORRTÄLJE</t>
        </is>
      </c>
      <c r="F1013" t="inlineStr">
        <is>
          <t>Sveaskog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18846-2022</t>
        </is>
      </c>
      <c r="B1014" s="1" t="n">
        <v>44690</v>
      </c>
      <c r="C1014" s="1" t="n">
        <v>46062</v>
      </c>
      <c r="D1014" t="inlineStr">
        <is>
          <t>STOCKHOLMS LÄN</t>
        </is>
      </c>
      <c r="E1014" t="inlineStr">
        <is>
          <t>NORRTÄLJE</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43300-2023</t>
        </is>
      </c>
      <c r="B1015" s="1" t="n">
        <v>45183</v>
      </c>
      <c r="C1015" s="1" t="n">
        <v>46062</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25654-2023</t>
        </is>
      </c>
      <c r="B1016" s="1" t="n">
        <v>45089</v>
      </c>
      <c r="C1016" s="1" t="n">
        <v>46062</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23125-2022</t>
        </is>
      </c>
      <c r="B1017" s="1" t="n">
        <v>44719</v>
      </c>
      <c r="C1017" s="1" t="n">
        <v>46062</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46062</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33385-2024</t>
        </is>
      </c>
      <c r="B1019" s="1" t="n">
        <v>45519</v>
      </c>
      <c r="C1019" s="1" t="n">
        <v>46062</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41172-2023</t>
        </is>
      </c>
      <c r="B1020" s="1" t="n">
        <v>45170</v>
      </c>
      <c r="C1020" s="1" t="n">
        <v>46062</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73307-2021</t>
        </is>
      </c>
      <c r="B1021" s="1" t="n">
        <v>44549</v>
      </c>
      <c r="C1021" s="1" t="n">
        <v>46062</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50534-2024</t>
        </is>
      </c>
      <c r="B1022" s="1" t="n">
        <v>45601.56726851852</v>
      </c>
      <c r="C1022" s="1" t="n">
        <v>46062</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11988-2021</t>
        </is>
      </c>
      <c r="B1023" s="1" t="n">
        <v>44266</v>
      </c>
      <c r="C1023" s="1" t="n">
        <v>46062</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12132-2021</t>
        </is>
      </c>
      <c r="B1024" s="1" t="n">
        <v>44266</v>
      </c>
      <c r="C1024" s="1" t="n">
        <v>46062</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65499-2021</t>
        </is>
      </c>
      <c r="B1025" s="1" t="n">
        <v>44516</v>
      </c>
      <c r="C1025" s="1" t="n">
        <v>46062</v>
      </c>
      <c r="D1025" t="inlineStr">
        <is>
          <t>STOCKHOLMS LÄN</t>
        </is>
      </c>
      <c r="E1025" t="inlineStr">
        <is>
          <t>NORRTÄLJE</t>
        </is>
      </c>
      <c r="F1025" t="inlineStr">
        <is>
          <t>Kommuner</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65511-2021</t>
        </is>
      </c>
      <c r="B1026" s="1" t="n">
        <v>44516.40674768519</v>
      </c>
      <c r="C1026" s="1" t="n">
        <v>46062</v>
      </c>
      <c r="D1026" t="inlineStr">
        <is>
          <t>STOCKHOLMS LÄN</t>
        </is>
      </c>
      <c r="E1026" t="inlineStr">
        <is>
          <t>NORRTÄLJE</t>
        </is>
      </c>
      <c r="F1026" t="inlineStr">
        <is>
          <t>Kommuner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22833-2024</t>
        </is>
      </c>
      <c r="B1027" s="1" t="n">
        <v>45448.56746527777</v>
      </c>
      <c r="C1027" s="1" t="n">
        <v>46062</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32514-2022</t>
        </is>
      </c>
      <c r="B1028" s="1" t="n">
        <v>44782</v>
      </c>
      <c r="C1028" s="1" t="n">
        <v>46062</v>
      </c>
      <c r="D1028" t="inlineStr">
        <is>
          <t>STOCKHOLMS LÄN</t>
        </is>
      </c>
      <c r="E1028" t="inlineStr">
        <is>
          <t>NORRTÄLJE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29362-2022</t>
        </is>
      </c>
      <c r="B1029" s="1" t="n">
        <v>44753</v>
      </c>
      <c r="C1029" s="1" t="n">
        <v>46062</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46062</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51315-2021</t>
        </is>
      </c>
      <c r="B1031" s="1" t="n">
        <v>44461</v>
      </c>
      <c r="C1031" s="1" t="n">
        <v>46062</v>
      </c>
      <c r="D1031" t="inlineStr">
        <is>
          <t>STOCKHOLMS LÄN</t>
        </is>
      </c>
      <c r="E1031" t="inlineStr">
        <is>
          <t>NORRTÄLJE</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14873-2025</t>
        </is>
      </c>
      <c r="B1032" s="1" t="n">
        <v>45743.44953703704</v>
      </c>
      <c r="C1032" s="1" t="n">
        <v>46062</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34773-2022</t>
        </is>
      </c>
      <c r="B1033" s="1" t="n">
        <v>44795</v>
      </c>
      <c r="C1033" s="1" t="n">
        <v>46062</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33173-2024</t>
        </is>
      </c>
      <c r="B1034" s="1" t="n">
        <v>45518</v>
      </c>
      <c r="C1034" s="1" t="n">
        <v>46062</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4484-2025</t>
        </is>
      </c>
      <c r="B1035" s="1" t="n">
        <v>45686.65545138889</v>
      </c>
      <c r="C1035" s="1" t="n">
        <v>46062</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33878-2024</t>
        </is>
      </c>
      <c r="B1036" s="1" t="n">
        <v>45522.44414351852</v>
      </c>
      <c r="C1036" s="1" t="n">
        <v>46062</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9246-2024</t>
        </is>
      </c>
      <c r="B1037" s="1" t="n">
        <v>45357</v>
      </c>
      <c r="C1037" s="1" t="n">
        <v>46062</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35698-2023</t>
        </is>
      </c>
      <c r="B1038" s="1" t="n">
        <v>45147</v>
      </c>
      <c r="C1038" s="1" t="n">
        <v>46062</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44923.90159722222</v>
      </c>
      <c r="C1039" s="1" t="n">
        <v>46062</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49700-2023</t>
        </is>
      </c>
      <c r="B1040" s="1" t="n">
        <v>45212</v>
      </c>
      <c r="C1040" s="1" t="n">
        <v>46062</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32071-2023</t>
        </is>
      </c>
      <c r="B1041" s="1" t="n">
        <v>45119.57728009259</v>
      </c>
      <c r="C1041" s="1" t="n">
        <v>46062</v>
      </c>
      <c r="D1041" t="inlineStr">
        <is>
          <t>STOCKHOLMS LÄN</t>
        </is>
      </c>
      <c r="E1041" t="inlineStr">
        <is>
          <t>NORRTÄLJE</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1425-2025</t>
        </is>
      </c>
      <c r="B1042" s="1" t="n">
        <v>45668.67446759259</v>
      </c>
      <c r="C1042" s="1" t="n">
        <v>46062</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46062</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38720-2022</t>
        </is>
      </c>
      <c r="B1044" s="1" t="n">
        <v>44815.74539351852</v>
      </c>
      <c r="C1044" s="1" t="n">
        <v>46062</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10215-2023</t>
        </is>
      </c>
      <c r="B1045" s="1" t="n">
        <v>44986.5887962963</v>
      </c>
      <c r="C1045" s="1" t="n">
        <v>46062</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25609-2023</t>
        </is>
      </c>
      <c r="B1046" s="1" t="n">
        <v>45089</v>
      </c>
      <c r="C1046" s="1" t="n">
        <v>46062</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20014-2025</t>
        </is>
      </c>
      <c r="B1047" s="1" t="n">
        <v>45772.3078125</v>
      </c>
      <c r="C1047" s="1" t="n">
        <v>46062</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20136-2025</t>
        </is>
      </c>
      <c r="B1048" s="1" t="n">
        <v>45772.51127314815</v>
      </c>
      <c r="C1048" s="1" t="n">
        <v>46062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2287-2024</t>
        </is>
      </c>
      <c r="B1049" s="1" t="n">
        <v>45310</v>
      </c>
      <c r="C1049" s="1" t="n">
        <v>46062</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13785-2024</t>
        </is>
      </c>
      <c r="B1050" s="1" t="n">
        <v>45391.3395949074</v>
      </c>
      <c r="C1050" s="1" t="n">
        <v>46062</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50469-2022</t>
        </is>
      </c>
      <c r="B1051" s="1" t="n">
        <v>44866.49827546296</v>
      </c>
      <c r="C1051" s="1" t="n">
        <v>46062</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51116-2022</t>
        </is>
      </c>
      <c r="B1052" s="1" t="n">
        <v>44868.45741898148</v>
      </c>
      <c r="C1052" s="1" t="n">
        <v>46062</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60217-2021</t>
        </is>
      </c>
      <c r="B1053" s="1" t="n">
        <v>44495.5893287037</v>
      </c>
      <c r="C1053" s="1" t="n">
        <v>46062</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5839-2023</t>
        </is>
      </c>
      <c r="B1054" s="1" t="n">
        <v>44963</v>
      </c>
      <c r="C1054" s="1" t="n">
        <v>46062</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38985-2022</t>
        </is>
      </c>
      <c r="B1055" s="1" t="n">
        <v>44816</v>
      </c>
      <c r="C1055" s="1" t="n">
        <v>46062</v>
      </c>
      <c r="D1055" t="inlineStr">
        <is>
          <t>STOCKHOLMS LÄN</t>
        </is>
      </c>
      <c r="E1055" t="inlineStr">
        <is>
          <t>NORRTÄLJE</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5665-2025</t>
        </is>
      </c>
      <c r="B1056" s="1" t="n">
        <v>45693</v>
      </c>
      <c r="C1056" s="1" t="n">
        <v>46062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3426-2025</t>
        </is>
      </c>
      <c r="B1057" s="1" t="n">
        <v>45680.42665509259</v>
      </c>
      <c r="C1057" s="1" t="n">
        <v>46062</v>
      </c>
      <c r="D1057" t="inlineStr">
        <is>
          <t>STOCKHOLMS LÄN</t>
        </is>
      </c>
      <c r="E1057" t="inlineStr">
        <is>
          <t>NORRTÄLJE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58530-2024</t>
        </is>
      </c>
      <c r="B1058" s="1" t="n">
        <v>45635.44788194444</v>
      </c>
      <c r="C1058" s="1" t="n">
        <v>46062</v>
      </c>
      <c r="D1058" t="inlineStr">
        <is>
          <t>STOCKHOLMS LÄN</t>
        </is>
      </c>
      <c r="E1058" t="inlineStr">
        <is>
          <t>NORRTÄLJE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22421-2021</t>
        </is>
      </c>
      <c r="B1059" s="1" t="n">
        <v>44326</v>
      </c>
      <c r="C1059" s="1" t="n">
        <v>46062</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40761-2024</t>
        </is>
      </c>
      <c r="B1060" s="1" t="n">
        <v>45558.46283564815</v>
      </c>
      <c r="C1060" s="1" t="n">
        <v>46062</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46062</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46062</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13171-2025</t>
        </is>
      </c>
      <c r="B1063" s="1" t="n">
        <v>45735.36594907408</v>
      </c>
      <c r="C1063" s="1" t="n">
        <v>46062</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51978-2023</t>
        </is>
      </c>
      <c r="B1064" s="1" t="n">
        <v>45223</v>
      </c>
      <c r="C1064" s="1" t="n">
        <v>46062</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18092-2022</t>
        </is>
      </c>
      <c r="B1065" s="1" t="n">
        <v>44684</v>
      </c>
      <c r="C1065" s="1" t="n">
        <v>46062</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59310-2023</t>
        </is>
      </c>
      <c r="B1066" s="1" t="n">
        <v>45253.61146990741</v>
      </c>
      <c r="C1066" s="1" t="n">
        <v>46062</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9329-2023</t>
        </is>
      </c>
      <c r="B1067" s="1" t="n">
        <v>44980</v>
      </c>
      <c r="C1067" s="1" t="n">
        <v>46062</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59878-2024</t>
        </is>
      </c>
      <c r="B1068" s="1" t="n">
        <v>45640.60240740741</v>
      </c>
      <c r="C1068" s="1" t="n">
        <v>46062</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41335-2023</t>
        </is>
      </c>
      <c r="B1069" s="1" t="n">
        <v>45174.68702546296</v>
      </c>
      <c r="C1069" s="1" t="n">
        <v>46062</v>
      </c>
      <c r="D1069" t="inlineStr">
        <is>
          <t>STOCKHOLMS LÄN</t>
        </is>
      </c>
      <c r="E1069" t="inlineStr">
        <is>
          <t>NORRTÄLJE</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33040-2021</t>
        </is>
      </c>
      <c r="B1070" s="1" t="n">
        <v>44376.50728009259</v>
      </c>
      <c r="C1070" s="1" t="n">
        <v>46062</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33053-2021</t>
        </is>
      </c>
      <c r="B1071" s="1" t="n">
        <v>44376</v>
      </c>
      <c r="C1071" s="1" t="n">
        <v>46062</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43150-2023</t>
        </is>
      </c>
      <c r="B1072" s="1" t="n">
        <v>45183</v>
      </c>
      <c r="C1072" s="1" t="n">
        <v>46062</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54259-2023</t>
        </is>
      </c>
      <c r="B1073" s="1" t="n">
        <v>45232</v>
      </c>
      <c r="C1073" s="1" t="n">
        <v>46062</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60822-2023</t>
        </is>
      </c>
      <c r="B1074" s="1" t="n">
        <v>45259</v>
      </c>
      <c r="C1074" s="1" t="n">
        <v>46062</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12031-2021</t>
        </is>
      </c>
      <c r="B1075" s="1" t="n">
        <v>44266</v>
      </c>
      <c r="C1075" s="1" t="n">
        <v>46062</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27381-2024</t>
        </is>
      </c>
      <c r="B1076" s="1" t="n">
        <v>45473.94501157408</v>
      </c>
      <c r="C1076" s="1" t="n">
        <v>46062</v>
      </c>
      <c r="D1076" t="inlineStr">
        <is>
          <t>STOCKHOLMS LÄN</t>
        </is>
      </c>
      <c r="E1076" t="inlineStr">
        <is>
          <t>NORRTÄLJE</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23265-2023</t>
        </is>
      </c>
      <c r="B1077" s="1" t="n">
        <v>45075.90703703704</v>
      </c>
      <c r="C1077" s="1" t="n">
        <v>46062</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26117-2024</t>
        </is>
      </c>
      <c r="B1078" s="1" t="n">
        <v>45468.45877314815</v>
      </c>
      <c r="C1078" s="1" t="n">
        <v>46062</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20336-2024</t>
        </is>
      </c>
      <c r="B1079" s="1" t="n">
        <v>45435.43123842592</v>
      </c>
      <c r="C1079" s="1" t="n">
        <v>46062</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1847-2023</t>
        </is>
      </c>
      <c r="B1080" s="1" t="n">
        <v>44938</v>
      </c>
      <c r="C1080" s="1" t="n">
        <v>46062</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59721-2024</t>
        </is>
      </c>
      <c r="B1081" s="1" t="n">
        <v>45639.47385416667</v>
      </c>
      <c r="C1081" s="1" t="n">
        <v>46062</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37010-2022</t>
        </is>
      </c>
      <c r="B1082" s="1" t="n">
        <v>44806.41576388889</v>
      </c>
      <c r="C1082" s="1" t="n">
        <v>46062</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46062</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46062</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50182-2024</t>
        </is>
      </c>
      <c r="B1085" s="1" t="n">
        <v>45600.47275462963</v>
      </c>
      <c r="C1085" s="1" t="n">
        <v>46062</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12629-2024</t>
        </is>
      </c>
      <c r="B1086" s="1" t="n">
        <v>45383</v>
      </c>
      <c r="C1086" s="1" t="n">
        <v>46062</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35708-2022</t>
        </is>
      </c>
      <c r="B1087" s="1" t="n">
        <v>44799.65013888889</v>
      </c>
      <c r="C1087" s="1" t="n">
        <v>46062</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45220-2024</t>
        </is>
      </c>
      <c r="B1088" s="1" t="n">
        <v>45575</v>
      </c>
      <c r="C1088" s="1" t="n">
        <v>46062</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21731-2023</t>
        </is>
      </c>
      <c r="B1089" s="1" t="n">
        <v>45063</v>
      </c>
      <c r="C1089" s="1" t="n">
        <v>46062</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23266-2023</t>
        </is>
      </c>
      <c r="B1090" s="1" t="n">
        <v>45075.90817129629</v>
      </c>
      <c r="C1090" s="1" t="n">
        <v>46062</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47521-2024</t>
        </is>
      </c>
      <c r="B1091" s="1" t="n">
        <v>45587.62565972222</v>
      </c>
      <c r="C1091" s="1" t="n">
        <v>46062</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58260-2023</t>
        </is>
      </c>
      <c r="B1092" s="1" t="n">
        <v>45245</v>
      </c>
      <c r="C1092" s="1" t="n">
        <v>46062</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58261-2023</t>
        </is>
      </c>
      <c r="B1093" s="1" t="n">
        <v>45245</v>
      </c>
      <c r="C1093" s="1" t="n">
        <v>46062</v>
      </c>
      <c r="D1093" t="inlineStr">
        <is>
          <t>STOCKHOLMS LÄN</t>
        </is>
      </c>
      <c r="E1093" t="inlineStr">
        <is>
          <t>NORRTÄLJE</t>
        </is>
      </c>
      <c r="G1093" t="n">
        <v>53.5</v>
      </c>
      <c r="H1093" t="n">
        <v>0</v>
      </c>
      <c r="I1093" t="n">
        <v>0</v>
      </c>
      <c r="J1093" t="n">
        <v>0</v>
      </c>
      <c r="K1093" t="n">
        <v>0</v>
      </c>
      <c r="L1093" t="n">
        <v>0</v>
      </c>
      <c r="M1093" t="n">
        <v>0</v>
      </c>
      <c r="N1093" t="n">
        <v>0</v>
      </c>
      <c r="O1093" t="n">
        <v>0</v>
      </c>
      <c r="P1093" t="n">
        <v>0</v>
      </c>
      <c r="Q1093" t="n">
        <v>0</v>
      </c>
      <c r="R1093" s="2" t="inlineStr"/>
    </row>
    <row r="1094" ht="15" customHeight="1">
      <c r="A1094" t="inlineStr">
        <is>
          <t>A 29266-2022</t>
        </is>
      </c>
      <c r="B1094" s="1" t="n">
        <v>44750.66068287037</v>
      </c>
      <c r="C1094" s="1" t="n">
        <v>46062</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29278-2022</t>
        </is>
      </c>
      <c r="B1095" s="1" t="n">
        <v>44750</v>
      </c>
      <c r="C1095" s="1" t="n">
        <v>46062</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37273-2024</t>
        </is>
      </c>
      <c r="B1096" s="1" t="n">
        <v>45540</v>
      </c>
      <c r="C1096" s="1" t="n">
        <v>46062</v>
      </c>
      <c r="D1096" t="inlineStr">
        <is>
          <t>STOCKHOLMS LÄN</t>
        </is>
      </c>
      <c r="E1096" t="inlineStr">
        <is>
          <t>NORRTÄLJE</t>
        </is>
      </c>
      <c r="F1096" t="inlineStr">
        <is>
          <t>Sveaskog</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12908-2025</t>
        </is>
      </c>
      <c r="B1097" s="1" t="n">
        <v>45733.82105324074</v>
      </c>
      <c r="C1097" s="1" t="n">
        <v>46062</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23060-2023</t>
        </is>
      </c>
      <c r="B1098" s="1" t="n">
        <v>45075</v>
      </c>
      <c r="C1098" s="1" t="n">
        <v>46062</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32103-2022</t>
        </is>
      </c>
      <c r="B1099" s="1" t="n">
        <v>44778</v>
      </c>
      <c r="C1099" s="1" t="n">
        <v>46062</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6401-2024</t>
        </is>
      </c>
      <c r="B1100" s="1" t="n">
        <v>45338</v>
      </c>
      <c r="C1100" s="1" t="n">
        <v>46062</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46062</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52321-2024</t>
        </is>
      </c>
      <c r="B1102" s="1" t="n">
        <v>45608</v>
      </c>
      <c r="C1102" s="1" t="n">
        <v>46062</v>
      </c>
      <c r="D1102" t="inlineStr">
        <is>
          <t>STOCKHOLMS LÄN</t>
        </is>
      </c>
      <c r="E1102" t="inlineStr">
        <is>
          <t>NORRTÄLJE</t>
        </is>
      </c>
      <c r="G1102" t="n">
        <v>18.1</v>
      </c>
      <c r="H1102" t="n">
        <v>0</v>
      </c>
      <c r="I1102" t="n">
        <v>0</v>
      </c>
      <c r="J1102" t="n">
        <v>0</v>
      </c>
      <c r="K1102" t="n">
        <v>0</v>
      </c>
      <c r="L1102" t="n">
        <v>0</v>
      </c>
      <c r="M1102" t="n">
        <v>0</v>
      </c>
      <c r="N1102" t="n">
        <v>0</v>
      </c>
      <c r="O1102" t="n">
        <v>0</v>
      </c>
      <c r="P1102" t="n">
        <v>0</v>
      </c>
      <c r="Q1102" t="n">
        <v>0</v>
      </c>
      <c r="R1102" s="2" t="inlineStr"/>
    </row>
    <row r="1103" ht="15" customHeight="1">
      <c r="A1103" t="inlineStr">
        <is>
          <t>A 48151-2024</t>
        </is>
      </c>
      <c r="B1103" s="1" t="n">
        <v>45589.68289351852</v>
      </c>
      <c r="C1103" s="1" t="n">
        <v>46062</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20370-2025</t>
        </is>
      </c>
      <c r="B1104" s="1" t="n">
        <v>45775.41451388889</v>
      </c>
      <c r="C1104" s="1" t="n">
        <v>46062</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19580-2022</t>
        </is>
      </c>
      <c r="B1105" s="1" t="n">
        <v>44693</v>
      </c>
      <c r="C1105" s="1" t="n">
        <v>46062</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30731-2023</t>
        </is>
      </c>
      <c r="B1106" s="1" t="n">
        <v>45112</v>
      </c>
      <c r="C1106" s="1" t="n">
        <v>46062</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4580-2025</t>
        </is>
      </c>
      <c r="B1107" s="1" t="n">
        <v>45687.5038425926</v>
      </c>
      <c r="C1107" s="1" t="n">
        <v>46062</v>
      </c>
      <c r="D1107" t="inlineStr">
        <is>
          <t>STOCKHOLMS LÄN</t>
        </is>
      </c>
      <c r="E1107" t="inlineStr">
        <is>
          <t>NORRTÄLJE</t>
        </is>
      </c>
      <c r="F1107" t="inlineStr">
        <is>
          <t>Holmen skog AB</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31057-2022</t>
        </is>
      </c>
      <c r="B1108" s="1" t="n">
        <v>44769</v>
      </c>
      <c r="C1108" s="1" t="n">
        <v>46062</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31140-2023</t>
        </is>
      </c>
      <c r="B1109" s="1" t="n">
        <v>45113</v>
      </c>
      <c r="C1109" s="1" t="n">
        <v>46062</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31149-2023</t>
        </is>
      </c>
      <c r="B1110" s="1" t="n">
        <v>45113</v>
      </c>
      <c r="C1110" s="1" t="n">
        <v>46062</v>
      </c>
      <c r="D1110" t="inlineStr">
        <is>
          <t>STOCKHOLMS LÄN</t>
        </is>
      </c>
      <c r="E1110" t="inlineStr">
        <is>
          <t>NORRTÄLJE</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4658-2024</t>
        </is>
      </c>
      <c r="B1111" s="1" t="n">
        <v>45328.46336805556</v>
      </c>
      <c r="C1111" s="1" t="n">
        <v>46062</v>
      </c>
      <c r="D1111" t="inlineStr">
        <is>
          <t>STOCKHOLMS LÄN</t>
        </is>
      </c>
      <c r="E1111" t="inlineStr">
        <is>
          <t>NORRTÄLJE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19131-2025</t>
        </is>
      </c>
      <c r="B1112" s="1" t="n">
        <v>45769</v>
      </c>
      <c r="C1112" s="1" t="n">
        <v>46062</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7571-2024</t>
        </is>
      </c>
      <c r="B1113" s="1" t="n">
        <v>45348.46300925926</v>
      </c>
      <c r="C1113" s="1" t="n">
        <v>46062</v>
      </c>
      <c r="D1113" t="inlineStr">
        <is>
          <t>STOCKHOLMS LÄN</t>
        </is>
      </c>
      <c r="E1113" t="inlineStr">
        <is>
          <t>NORRTÄLJE</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11849-2025</t>
        </is>
      </c>
      <c r="B1114" s="1" t="n">
        <v>45728.38409722222</v>
      </c>
      <c r="C1114" s="1" t="n">
        <v>46062</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40425-2021</t>
        </is>
      </c>
      <c r="B1115" s="1" t="n">
        <v>44419</v>
      </c>
      <c r="C1115" s="1" t="n">
        <v>46062</v>
      </c>
      <c r="D1115" t="inlineStr">
        <is>
          <t>STOCKHOLMS LÄN</t>
        </is>
      </c>
      <c r="E1115" t="inlineStr">
        <is>
          <t>NORRTÄLJE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58990-2021</t>
        </is>
      </c>
      <c r="B1116" s="1" t="n">
        <v>44490.03621527777</v>
      </c>
      <c r="C1116" s="1" t="n">
        <v>46062</v>
      </c>
      <c r="D1116" t="inlineStr">
        <is>
          <t>STOCKHOLMS LÄN</t>
        </is>
      </c>
      <c r="E1116" t="inlineStr">
        <is>
          <t>NORRTÄLJE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46062</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20699-2025</t>
        </is>
      </c>
      <c r="B1118" s="1" t="n">
        <v>45776.47346064815</v>
      </c>
      <c r="C1118" s="1" t="n">
        <v>46062</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3152-2024</t>
        </is>
      </c>
      <c r="B1119" s="1" t="n">
        <v>45316.60306712963</v>
      </c>
      <c r="C1119" s="1" t="n">
        <v>46062</v>
      </c>
      <c r="D1119" t="inlineStr">
        <is>
          <t>STOCKHOLMS LÄN</t>
        </is>
      </c>
      <c r="E1119" t="inlineStr">
        <is>
          <t>NORRTÄLJE</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59326-2023</t>
        </is>
      </c>
      <c r="B1120" s="1" t="n">
        <v>45253.63089120371</v>
      </c>
      <c r="C1120" s="1" t="n">
        <v>46062</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46062</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20779-2025</t>
        </is>
      </c>
      <c r="B1122" s="1" t="n">
        <v>45776.59871527777</v>
      </c>
      <c r="C1122" s="1" t="n">
        <v>46062</v>
      </c>
      <c r="D1122" t="inlineStr">
        <is>
          <t>STOCKHOLMS LÄN</t>
        </is>
      </c>
      <c r="E1122" t="inlineStr">
        <is>
          <t>NORRTÄLJE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21771-2025</t>
        </is>
      </c>
      <c r="B1123" s="1" t="n">
        <v>45783</v>
      </c>
      <c r="C1123" s="1" t="n">
        <v>46062</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21778-2025</t>
        </is>
      </c>
      <c r="B1124" s="1" t="n">
        <v>45783.66429398148</v>
      </c>
      <c r="C1124" s="1" t="n">
        <v>46062</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22202-2025</t>
        </is>
      </c>
      <c r="B1125" s="1" t="n">
        <v>45785.65300925926</v>
      </c>
      <c r="C1125" s="1" t="n">
        <v>46062</v>
      </c>
      <c r="D1125" t="inlineStr">
        <is>
          <t>STOCKHOLMS LÄN</t>
        </is>
      </c>
      <c r="E1125" t="inlineStr">
        <is>
          <t>NORRTÄLJE</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16620-2024</t>
        </is>
      </c>
      <c r="B1126" s="1" t="n">
        <v>45408.57707175926</v>
      </c>
      <c r="C1126" s="1" t="n">
        <v>46062</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22416-2025</t>
        </is>
      </c>
      <c r="B1127" s="1" t="n">
        <v>45786.55645833333</v>
      </c>
      <c r="C1127" s="1" t="n">
        <v>46062</v>
      </c>
      <c r="D1127" t="inlineStr">
        <is>
          <t>STOCKHOLMS LÄN</t>
        </is>
      </c>
      <c r="E1127" t="inlineStr">
        <is>
          <t>NORRTÄLJE</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58785-2024</t>
        </is>
      </c>
      <c r="B1128" s="1" t="n">
        <v>45635.88849537037</v>
      </c>
      <c r="C1128" s="1" t="n">
        <v>46062</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2182-2022</t>
        </is>
      </c>
      <c r="B1129" s="1" t="n">
        <v>44578</v>
      </c>
      <c r="C1129" s="1" t="n">
        <v>46062</v>
      </c>
      <c r="D1129" t="inlineStr">
        <is>
          <t>STOCKHOLMS LÄN</t>
        </is>
      </c>
      <c r="E1129" t="inlineStr">
        <is>
          <t>NORRTÄLJE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13268-2025</t>
        </is>
      </c>
      <c r="B1130" s="1" t="n">
        <v>45735</v>
      </c>
      <c r="C1130" s="1" t="n">
        <v>46062</v>
      </c>
      <c r="D1130" t="inlineStr">
        <is>
          <t>STOCKHOLMS LÄN</t>
        </is>
      </c>
      <c r="E1130" t="inlineStr">
        <is>
          <t>NORRTÄLJE</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8414-2025</t>
        </is>
      </c>
      <c r="B1131" s="1" t="n">
        <v>45709.39361111111</v>
      </c>
      <c r="C1131" s="1" t="n">
        <v>46062</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46062</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44891-2023</t>
        </is>
      </c>
      <c r="B1133" s="1" t="n">
        <v>45187</v>
      </c>
      <c r="C1133" s="1" t="n">
        <v>46062</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12902-2024</t>
        </is>
      </c>
      <c r="B1134" s="1" t="n">
        <v>45385.38146990741</v>
      </c>
      <c r="C1134" s="1" t="n">
        <v>46062</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44032-2024</t>
        </is>
      </c>
      <c r="B1135" s="1" t="n">
        <v>45572.57828703704</v>
      </c>
      <c r="C1135" s="1" t="n">
        <v>46062</v>
      </c>
      <c r="D1135" t="inlineStr">
        <is>
          <t>STOCKHOLMS LÄN</t>
        </is>
      </c>
      <c r="E1135" t="inlineStr">
        <is>
          <t>NORRTÄLJE</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24563-2024</t>
        </is>
      </c>
      <c r="B1136" s="1" t="n">
        <v>45460.44347222222</v>
      </c>
      <c r="C1136" s="1" t="n">
        <v>46062</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39237-2024</t>
        </is>
      </c>
      <c r="B1137" s="1" t="n">
        <v>45549</v>
      </c>
      <c r="C1137" s="1" t="n">
        <v>46062</v>
      </c>
      <c r="D1137" t="inlineStr">
        <is>
          <t>STOCKHOLMS LÄN</t>
        </is>
      </c>
      <c r="E1137" t="inlineStr">
        <is>
          <t>NORRTÄLJE</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45746-2024</t>
        </is>
      </c>
      <c r="B1138" s="1" t="n">
        <v>45579</v>
      </c>
      <c r="C1138" s="1" t="n">
        <v>46062</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8400-2024</t>
        </is>
      </c>
      <c r="B1139" s="1" t="n">
        <v>45352.74090277778</v>
      </c>
      <c r="C1139" s="1" t="n">
        <v>46062</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62998-2023</t>
        </is>
      </c>
      <c r="B1140" s="1" t="n">
        <v>45272.64479166667</v>
      </c>
      <c r="C1140" s="1" t="n">
        <v>46062</v>
      </c>
      <c r="D1140" t="inlineStr">
        <is>
          <t>STOCKHOLMS LÄN</t>
        </is>
      </c>
      <c r="E1140" t="inlineStr">
        <is>
          <t>NORRTÄLJE</t>
        </is>
      </c>
      <c r="G1140" t="n">
        <v>16.3</v>
      </c>
      <c r="H1140" t="n">
        <v>0</v>
      </c>
      <c r="I1140" t="n">
        <v>0</v>
      </c>
      <c r="J1140" t="n">
        <v>0</v>
      </c>
      <c r="K1140" t="n">
        <v>0</v>
      </c>
      <c r="L1140" t="n">
        <v>0</v>
      </c>
      <c r="M1140" t="n">
        <v>0</v>
      </c>
      <c r="N1140" t="n">
        <v>0</v>
      </c>
      <c r="O1140" t="n">
        <v>0</v>
      </c>
      <c r="P1140" t="n">
        <v>0</v>
      </c>
      <c r="Q1140" t="n">
        <v>0</v>
      </c>
      <c r="R1140" s="2" t="inlineStr"/>
    </row>
    <row r="1141" ht="15" customHeight="1">
      <c r="A1141" t="inlineStr">
        <is>
          <t>A 63015-2023</t>
        </is>
      </c>
      <c r="B1141" s="1" t="n">
        <v>45272</v>
      </c>
      <c r="C1141" s="1" t="n">
        <v>46062</v>
      </c>
      <c r="D1141" t="inlineStr">
        <is>
          <t>STOCKHOLMS LÄN</t>
        </is>
      </c>
      <c r="E1141" t="inlineStr">
        <is>
          <t>NORRTÄLJE</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27831-2024</t>
        </is>
      </c>
      <c r="B1142" s="1" t="n">
        <v>45475.61896990741</v>
      </c>
      <c r="C1142" s="1" t="n">
        <v>46062</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33175-2024</t>
        </is>
      </c>
      <c r="B1143" s="1" t="n">
        <v>45518</v>
      </c>
      <c r="C1143" s="1" t="n">
        <v>46062</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21803-2022</t>
        </is>
      </c>
      <c r="B1144" s="1" t="n">
        <v>44708.67822916667</v>
      </c>
      <c r="C1144" s="1" t="n">
        <v>46062</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20730-2024</t>
        </is>
      </c>
      <c r="B1145" s="1" t="n">
        <v>45436</v>
      </c>
      <c r="C1145" s="1" t="n">
        <v>46062</v>
      </c>
      <c r="D1145" t="inlineStr">
        <is>
          <t>STOCKHOLMS LÄN</t>
        </is>
      </c>
      <c r="E1145" t="inlineStr">
        <is>
          <t>NORRTÄLJE</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12901-2024</t>
        </is>
      </c>
      <c r="B1146" s="1" t="n">
        <v>45385.37922453704</v>
      </c>
      <c r="C1146" s="1" t="n">
        <v>46062</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8950-2025</t>
        </is>
      </c>
      <c r="B1147" s="1" t="n">
        <v>45713</v>
      </c>
      <c r="C1147" s="1" t="n">
        <v>46062</v>
      </c>
      <c r="D1147" t="inlineStr">
        <is>
          <t>STOCKHOLMS LÄN</t>
        </is>
      </c>
      <c r="E1147" t="inlineStr">
        <is>
          <t>NORRTÄLJE</t>
        </is>
      </c>
      <c r="F1147" t="inlineStr">
        <is>
          <t>Övriga Aktiebolag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12301-2025</t>
        </is>
      </c>
      <c r="B1148" s="1" t="n">
        <v>45729.7271875</v>
      </c>
      <c r="C1148" s="1" t="n">
        <v>46062</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46062</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c r="A1150" t="inlineStr">
        <is>
          <t>A 13283-2025</t>
        </is>
      </c>
      <c r="B1150" s="1" t="n">
        <v>45735</v>
      </c>
      <c r="C1150" s="1" t="n">
        <v>46062</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2026-02-09T19:43:51Z</dcterms:created>
  <dcterms:modified xmlns:dcterms="http://purl.org/dc/terms/" xmlns:xsi="http://www.w3.org/2001/XMLSchema-instance" xsi:type="dcterms:W3CDTF">2026-02-09T19:43:52Z</dcterms:modified>
</cp:coreProperties>
</file>