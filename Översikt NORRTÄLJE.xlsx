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45988</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45988</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45988</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45988</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45988</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45988</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52797-2023</t>
        </is>
      </c>
      <c r="B12" s="1" t="n">
        <v>45226</v>
      </c>
      <c r="C12" s="1" t="n">
        <v>45988</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25731-2025</t>
        </is>
      </c>
      <c r="B13" s="1" t="n">
        <v>45800</v>
      </c>
      <c r="C13" s="1" t="n">
        <v>45988</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21837-2025</t>
        </is>
      </c>
      <c r="B14" s="1" t="n">
        <v>45784.32179398148</v>
      </c>
      <c r="C14" s="1" t="n">
        <v>45988</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10646-2024</t>
        </is>
      </c>
      <c r="B15" s="1" t="n">
        <v>45367</v>
      </c>
      <c r="C15" s="1" t="n">
        <v>45988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45988</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45988</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45988</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45988</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45988</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45988</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47274-2024</t>
        </is>
      </c>
      <c r="B23" s="1" t="n">
        <v>45586.88145833334</v>
      </c>
      <c r="C23" s="1" t="n">
        <v>45988</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73093-2021</t>
        </is>
      </c>
      <c r="B24" s="1" t="n">
        <v>44550</v>
      </c>
      <c r="C24" s="1" t="n">
        <v>45988</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45988</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45988</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59582-2024</t>
        </is>
      </c>
      <c r="B27" s="1" t="n">
        <v>45638</v>
      </c>
      <c r="C27" s="1" t="n">
        <v>45988</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25732-2025</t>
        </is>
      </c>
      <c r="B28" s="1" t="n">
        <v>45800</v>
      </c>
      <c r="C28" s="1" t="n">
        <v>45988</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45988</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45811-2022</t>
        </is>
      </c>
      <c r="B30" s="1" t="n">
        <v>44846</v>
      </c>
      <c r="C30" s="1" t="n">
        <v>45988</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45988</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45988</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45988</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45988</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45988</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45988</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45988</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45988</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72111-2021</t>
        </is>
      </c>
      <c r="B39" s="1" t="n">
        <v>44544</v>
      </c>
      <c r="C39" s="1" t="n">
        <v>45988</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56791-2025</t>
        </is>
      </c>
      <c r="B40" s="1" t="n">
        <v>45978</v>
      </c>
      <c r="C40" s="1" t="n">
        <v>45988</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15804-2025</t>
        </is>
      </c>
      <c r="B41" s="1" t="n">
        <v>45748.6521875</v>
      </c>
      <c r="C41" s="1" t="n">
        <v>45988</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45988</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22071-2022</t>
        </is>
      </c>
      <c r="B43" s="1" t="n">
        <v>44711</v>
      </c>
      <c r="C43" s="1" t="n">
        <v>45988</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41276-2025</t>
        </is>
      </c>
      <c r="B44" s="1" t="n">
        <v>45898.62723379629</v>
      </c>
      <c r="C44" s="1" t="n">
        <v>45988</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25687-2025</t>
        </is>
      </c>
      <c r="B45" s="1" t="n">
        <v>45800</v>
      </c>
      <c r="C45" s="1" t="n">
        <v>45988</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10876-2025</t>
        </is>
      </c>
      <c r="B46" s="1" t="n">
        <v>45722</v>
      </c>
      <c r="C46" s="1" t="n">
        <v>45988</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72305-2021</t>
        </is>
      </c>
      <c r="B47" s="1" t="n">
        <v>44545</v>
      </c>
      <c r="C47" s="1" t="n">
        <v>45988</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34521-2025</t>
        </is>
      </c>
      <c r="B48" s="1" t="n">
        <v>45847.47052083333</v>
      </c>
      <c r="C48" s="1" t="n">
        <v>45988</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47212-2025</t>
        </is>
      </c>
      <c r="B49" s="1" t="n">
        <v>45930</v>
      </c>
      <c r="C49" s="1" t="n">
        <v>45988</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24052-2021</t>
        </is>
      </c>
      <c r="B50" s="1" t="n">
        <v>44336</v>
      </c>
      <c r="C50" s="1" t="n">
        <v>45988</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45988</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45988</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45988</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45988</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45988</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45988</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45988</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45988</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45988</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45988</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45988</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34524-2025</t>
        </is>
      </c>
      <c r="B62" s="1" t="n">
        <v>45847.47685185185</v>
      </c>
      <c r="C62" s="1" t="n">
        <v>45988</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27870-2022</t>
        </is>
      </c>
      <c r="B63" s="1" t="n">
        <v>44743.64592592593</v>
      </c>
      <c r="C63" s="1" t="n">
        <v>45988</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52726-2025</t>
        </is>
      </c>
      <c r="B64" s="1" t="n">
        <v>45957.34722222222</v>
      </c>
      <c r="C64" s="1" t="n">
        <v>45988</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50618-2022</t>
        </is>
      </c>
      <c r="B65" s="1" t="n">
        <v>44866</v>
      </c>
      <c r="C65" s="1" t="n">
        <v>45988</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20185-2022</t>
        </is>
      </c>
      <c r="B66" s="1" t="n">
        <v>44698</v>
      </c>
      <c r="C66" s="1" t="n">
        <v>45988</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31803-2021</t>
        </is>
      </c>
      <c r="B67" s="1" t="n">
        <v>44370</v>
      </c>
      <c r="C67" s="1" t="n">
        <v>45988</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45988</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45988</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45988</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30693-2022</t>
        </is>
      </c>
      <c r="B71" s="1" t="n">
        <v>44763</v>
      </c>
      <c r="C71" s="1" t="n">
        <v>45988</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50697-2025</t>
        </is>
      </c>
      <c r="B72" s="1" t="n">
        <v>45945.90854166666</v>
      </c>
      <c r="C72" s="1" t="n">
        <v>45988</v>
      </c>
      <c r="D72" t="inlineStr">
        <is>
          <t>STOCKHOLMS LÄN</t>
        </is>
      </c>
      <c r="E72" t="inlineStr">
        <is>
          <t>NORRTÄLJE</t>
        </is>
      </c>
      <c r="G72" t="n">
        <v>5.5</v>
      </c>
      <c r="H72" t="n">
        <v>0</v>
      </c>
      <c r="I72" t="n">
        <v>0</v>
      </c>
      <c r="J72" t="n">
        <v>2</v>
      </c>
      <c r="K72" t="n">
        <v>0</v>
      </c>
      <c r="L72" t="n">
        <v>0</v>
      </c>
      <c r="M72" t="n">
        <v>0</v>
      </c>
      <c r="N72" t="n">
        <v>0</v>
      </c>
      <c r="O72" t="n">
        <v>2</v>
      </c>
      <c r="P72" t="n">
        <v>0</v>
      </c>
      <c r="Q72" t="n">
        <v>2</v>
      </c>
      <c r="R72" s="2" t="inlineStr">
        <is>
          <t>Skogsklocka
Småflikig brosklav</t>
        </is>
      </c>
      <c r="S72">
        <f>HYPERLINK("https://klasma.github.io/Logging_0188/artfynd/A 50697-2025 artfynd.xlsx", "A 50697-2025")</f>
        <v/>
      </c>
      <c r="T72">
        <f>HYPERLINK("https://klasma.github.io/Logging_0188/kartor/A 50697-2025 karta.png", "A 50697-2025")</f>
        <v/>
      </c>
      <c r="V72">
        <f>HYPERLINK("https://klasma.github.io/Logging_0188/klagomål/A 50697-2025 FSC-klagomål.docx", "A 50697-2025")</f>
        <v/>
      </c>
      <c r="W72">
        <f>HYPERLINK("https://klasma.github.io/Logging_0188/klagomålsmail/A 50697-2025 FSC-klagomål mail.docx", "A 50697-2025")</f>
        <v/>
      </c>
      <c r="X72">
        <f>HYPERLINK("https://klasma.github.io/Logging_0188/tillsyn/A 50697-2025 tillsynsbegäran.docx", "A 50697-2025")</f>
        <v/>
      </c>
      <c r="Y72">
        <f>HYPERLINK("https://klasma.github.io/Logging_0188/tillsynsmail/A 50697-2025 tillsynsbegäran mail.docx", "A 50697-2025")</f>
        <v/>
      </c>
    </row>
    <row r="73" ht="15" customHeight="1">
      <c r="A73" t="inlineStr">
        <is>
          <t>A 11031-2025</t>
        </is>
      </c>
      <c r="B73" s="1" t="n">
        <v>45723</v>
      </c>
      <c r="C73" s="1" t="n">
        <v>45988</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53608-2025</t>
        </is>
      </c>
      <c r="B74" s="1" t="n">
        <v>45960</v>
      </c>
      <c r="C74" s="1" t="n">
        <v>45988</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22190-2024</t>
        </is>
      </c>
      <c r="B75" s="1" t="n">
        <v>45446.35888888889</v>
      </c>
      <c r="C75" s="1" t="n">
        <v>45988</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51980-2022</t>
        </is>
      </c>
      <c r="B76" s="1" t="n">
        <v>44872</v>
      </c>
      <c r="C76" s="1" t="n">
        <v>45988</v>
      </c>
      <c r="D76" t="inlineStr">
        <is>
          <t>STOCKHOLMS LÄN</t>
        </is>
      </c>
      <c r="E76" t="inlineStr">
        <is>
          <t>NORRTÄLJE</t>
        </is>
      </c>
      <c r="G76" t="n">
        <v>7.9</v>
      </c>
      <c r="H76" t="n">
        <v>1</v>
      </c>
      <c r="I76" t="n">
        <v>2</v>
      </c>
      <c r="J76" t="n">
        <v>0</v>
      </c>
      <c r="K76" t="n">
        <v>0</v>
      </c>
      <c r="L76" t="n">
        <v>0</v>
      </c>
      <c r="M76" t="n">
        <v>0</v>
      </c>
      <c r="N76" t="n">
        <v>0</v>
      </c>
      <c r="O76" t="n">
        <v>0</v>
      </c>
      <c r="P76" t="n">
        <v>0</v>
      </c>
      <c r="Q76" t="n">
        <v>2</v>
      </c>
      <c r="R76" s="2" t="inlineStr">
        <is>
          <t>Rödgul trumpetsvamp
Skogsknipprot</t>
        </is>
      </c>
      <c r="S76">
        <f>HYPERLINK("https://klasma.github.io/Logging_0188/artfynd/A 51980-2022 artfynd.xlsx", "A 51980-2022")</f>
        <v/>
      </c>
      <c r="T76">
        <f>HYPERLINK("https://klasma.github.io/Logging_0188/kartor/A 51980-2022 karta.png", "A 51980-2022")</f>
        <v/>
      </c>
      <c r="V76">
        <f>HYPERLINK("https://klasma.github.io/Logging_0188/klagomål/A 51980-2022 FSC-klagomål.docx", "A 51980-2022")</f>
        <v/>
      </c>
      <c r="W76">
        <f>HYPERLINK("https://klasma.github.io/Logging_0188/klagomålsmail/A 51980-2022 FSC-klagomål mail.docx", "A 51980-2022")</f>
        <v/>
      </c>
      <c r="X76">
        <f>HYPERLINK("https://klasma.github.io/Logging_0188/tillsyn/A 51980-2022 tillsynsbegäran.docx", "A 51980-2022")</f>
        <v/>
      </c>
      <c r="Y76">
        <f>HYPERLINK("https://klasma.github.io/Logging_0188/tillsynsmail/A 51980-2022 tillsynsbegäran mail.docx", "A 51980-2022")</f>
        <v/>
      </c>
    </row>
    <row r="77" ht="15" customHeight="1">
      <c r="A77" t="inlineStr">
        <is>
          <t>A 51220-2023</t>
        </is>
      </c>
      <c r="B77" s="1" t="n">
        <v>45219</v>
      </c>
      <c r="C77" s="1" t="n">
        <v>45988</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52124-2022</t>
        </is>
      </c>
      <c r="B78" s="1" t="n">
        <v>44868</v>
      </c>
      <c r="C78" s="1" t="n">
        <v>45988</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52825-2023</t>
        </is>
      </c>
      <c r="B79" s="1" t="n">
        <v>45226</v>
      </c>
      <c r="C79" s="1" t="n">
        <v>45988</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16260-2022</t>
        </is>
      </c>
      <c r="B80" s="1" t="n">
        <v>44670</v>
      </c>
      <c r="C80" s="1" t="n">
        <v>45988</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52360-2024</t>
        </is>
      </c>
      <c r="B81" s="1" t="n">
        <v>45609.37094907407</v>
      </c>
      <c r="C81" s="1" t="n">
        <v>45988</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1547-2022</t>
        </is>
      </c>
      <c r="B82" s="1" t="n">
        <v>44573</v>
      </c>
      <c r="C82" s="1" t="n">
        <v>45988</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45988</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30138-2021</t>
        </is>
      </c>
      <c r="B84" s="1" t="n">
        <v>44363</v>
      </c>
      <c r="C84" s="1" t="n">
        <v>45988</v>
      </c>
      <c r="D84" t="inlineStr">
        <is>
          <t>STOCKHOLMS LÄN</t>
        </is>
      </c>
      <c r="E84" t="inlineStr">
        <is>
          <t>NORRTÄLJE</t>
        </is>
      </c>
      <c r="G84" t="n">
        <v>4.5</v>
      </c>
      <c r="H84" t="n">
        <v>0</v>
      </c>
      <c r="I84" t="n">
        <v>1</v>
      </c>
      <c r="J84" t="n">
        <v>0</v>
      </c>
      <c r="K84" t="n">
        <v>0</v>
      </c>
      <c r="L84" t="n">
        <v>0</v>
      </c>
      <c r="M84" t="n">
        <v>0</v>
      </c>
      <c r="N84" t="n">
        <v>0</v>
      </c>
      <c r="O84" t="n">
        <v>0</v>
      </c>
      <c r="P84" t="n">
        <v>0</v>
      </c>
      <c r="Q84" t="n">
        <v>1</v>
      </c>
      <c r="R84" s="2" t="inlineStr">
        <is>
          <t>Vårärt</t>
        </is>
      </c>
      <c r="S84">
        <f>HYPERLINK("https://klasma.github.io/Logging_0188/artfynd/A 30138-2021 artfynd.xlsx", "A 30138-2021")</f>
        <v/>
      </c>
      <c r="T84">
        <f>HYPERLINK("https://klasma.github.io/Logging_0188/kartor/A 30138-2021 karta.png", "A 30138-2021")</f>
        <v/>
      </c>
      <c r="V84">
        <f>HYPERLINK("https://klasma.github.io/Logging_0188/klagomål/A 30138-2021 FSC-klagomål.docx", "A 30138-2021")</f>
        <v/>
      </c>
      <c r="W84">
        <f>HYPERLINK("https://klasma.github.io/Logging_0188/klagomålsmail/A 30138-2021 FSC-klagomål mail.docx", "A 30138-2021")</f>
        <v/>
      </c>
      <c r="X84">
        <f>HYPERLINK("https://klasma.github.io/Logging_0188/tillsyn/A 30138-2021 tillsynsbegäran.docx", "A 30138-2021")</f>
        <v/>
      </c>
      <c r="Y84">
        <f>HYPERLINK("https://klasma.github.io/Logging_0188/tillsynsmail/A 30138-2021 tillsynsbegäran mail.docx", "A 30138-2021")</f>
        <v/>
      </c>
    </row>
    <row r="85" ht="15" customHeight="1">
      <c r="A85" t="inlineStr">
        <is>
          <t>A 17629-2022</t>
        </is>
      </c>
      <c r="B85" s="1" t="n">
        <v>44680</v>
      </c>
      <c r="C85" s="1" t="n">
        <v>45988</v>
      </c>
      <c r="D85" t="inlineStr">
        <is>
          <t>STOCKHOLMS LÄN</t>
        </is>
      </c>
      <c r="E85" t="inlineStr">
        <is>
          <t>NORRTÄLJE</t>
        </is>
      </c>
      <c r="G85" t="n">
        <v>0.6</v>
      </c>
      <c r="H85" t="n">
        <v>1</v>
      </c>
      <c r="I85" t="n">
        <v>0</v>
      </c>
      <c r="J85" t="n">
        <v>1</v>
      </c>
      <c r="K85" t="n">
        <v>0</v>
      </c>
      <c r="L85" t="n">
        <v>0</v>
      </c>
      <c r="M85" t="n">
        <v>0</v>
      </c>
      <c r="N85" t="n">
        <v>0</v>
      </c>
      <c r="O85" t="n">
        <v>1</v>
      </c>
      <c r="P85" t="n">
        <v>0</v>
      </c>
      <c r="Q85" t="n">
        <v>1</v>
      </c>
      <c r="R85" s="2" t="inlineStr">
        <is>
          <t>Hornuggla</t>
        </is>
      </c>
      <c r="S85">
        <f>HYPERLINK("https://klasma.github.io/Logging_0188/artfynd/A 17629-2022 artfynd.xlsx", "A 17629-2022")</f>
        <v/>
      </c>
      <c r="T85">
        <f>HYPERLINK("https://klasma.github.io/Logging_0188/kartor/A 17629-2022 karta.png", "A 17629-2022")</f>
        <v/>
      </c>
      <c r="V85">
        <f>HYPERLINK("https://klasma.github.io/Logging_0188/klagomål/A 17629-2022 FSC-klagomål.docx", "A 17629-2022")</f>
        <v/>
      </c>
      <c r="W85">
        <f>HYPERLINK("https://klasma.github.io/Logging_0188/klagomålsmail/A 17629-2022 FSC-klagomål mail.docx", "A 17629-2022")</f>
        <v/>
      </c>
      <c r="X85">
        <f>HYPERLINK("https://klasma.github.io/Logging_0188/tillsyn/A 17629-2022 tillsynsbegäran.docx", "A 17629-2022")</f>
        <v/>
      </c>
      <c r="Y85">
        <f>HYPERLINK("https://klasma.github.io/Logging_0188/tillsynsmail/A 17629-2022 tillsynsbegäran mail.docx", "A 17629-2022")</f>
        <v/>
      </c>
      <c r="Z85">
        <f>HYPERLINK("https://klasma.github.io/Logging_0188/fåglar/A 17629-2022 prioriterade fågelarter.docx", "A 17629-2022")</f>
        <v/>
      </c>
    </row>
    <row r="86" ht="15" customHeight="1">
      <c r="A86" t="inlineStr">
        <is>
          <t>A 33477-2022</t>
        </is>
      </c>
      <c r="B86" s="1" t="n">
        <v>44788.70217592592</v>
      </c>
      <c r="C86" s="1" t="n">
        <v>45988</v>
      </c>
      <c r="D86" t="inlineStr">
        <is>
          <t>STOCKHOLMS LÄN</t>
        </is>
      </c>
      <c r="E86" t="inlineStr">
        <is>
          <t>NORRTÄLJE</t>
        </is>
      </c>
      <c r="G86" t="n">
        <v>5.7</v>
      </c>
      <c r="H86" t="n">
        <v>1</v>
      </c>
      <c r="I86" t="n">
        <v>1</v>
      </c>
      <c r="J86" t="n">
        <v>0</v>
      </c>
      <c r="K86" t="n">
        <v>0</v>
      </c>
      <c r="L86" t="n">
        <v>0</v>
      </c>
      <c r="M86" t="n">
        <v>0</v>
      </c>
      <c r="N86" t="n">
        <v>0</v>
      </c>
      <c r="O86" t="n">
        <v>0</v>
      </c>
      <c r="P86" t="n">
        <v>0</v>
      </c>
      <c r="Q86" t="n">
        <v>1</v>
      </c>
      <c r="R86" s="2" t="inlineStr">
        <is>
          <t>Nästrot</t>
        </is>
      </c>
      <c r="S86">
        <f>HYPERLINK("https://klasma.github.io/Logging_0188/artfynd/A 33477-2022 artfynd.xlsx", "A 33477-2022")</f>
        <v/>
      </c>
      <c r="T86">
        <f>HYPERLINK("https://klasma.github.io/Logging_0188/kartor/A 33477-2022 karta.png", "A 33477-2022")</f>
        <v/>
      </c>
      <c r="V86">
        <f>HYPERLINK("https://klasma.github.io/Logging_0188/klagomål/A 33477-2022 FSC-klagomål.docx", "A 33477-2022")</f>
        <v/>
      </c>
      <c r="W86">
        <f>HYPERLINK("https://klasma.github.io/Logging_0188/klagomålsmail/A 33477-2022 FSC-klagomål mail.docx", "A 33477-2022")</f>
        <v/>
      </c>
      <c r="X86">
        <f>HYPERLINK("https://klasma.github.io/Logging_0188/tillsyn/A 33477-2022 tillsynsbegäran.docx", "A 33477-2022")</f>
        <v/>
      </c>
      <c r="Y86">
        <f>HYPERLINK("https://klasma.github.io/Logging_0188/tillsynsmail/A 33477-2022 tillsynsbegäran mail.docx", "A 33477-2022")</f>
        <v/>
      </c>
    </row>
    <row r="87" ht="15" customHeight="1">
      <c r="A87" t="inlineStr">
        <is>
          <t>A 11429-2023</t>
        </is>
      </c>
      <c r="B87" s="1" t="n">
        <v>44993</v>
      </c>
      <c r="C87" s="1" t="n">
        <v>45988</v>
      </c>
      <c r="D87" t="inlineStr">
        <is>
          <t>STOCKHOLMS LÄN</t>
        </is>
      </c>
      <c r="E87" t="inlineStr">
        <is>
          <t>NORRTÄLJE</t>
        </is>
      </c>
      <c r="G87" t="n">
        <v>2</v>
      </c>
      <c r="H87" t="n">
        <v>0</v>
      </c>
      <c r="I87" t="n">
        <v>0</v>
      </c>
      <c r="J87" t="n">
        <v>1</v>
      </c>
      <c r="K87" t="n">
        <v>0</v>
      </c>
      <c r="L87" t="n">
        <v>0</v>
      </c>
      <c r="M87" t="n">
        <v>0</v>
      </c>
      <c r="N87" t="n">
        <v>0</v>
      </c>
      <c r="O87" t="n">
        <v>1</v>
      </c>
      <c r="P87" t="n">
        <v>0</v>
      </c>
      <c r="Q87" t="n">
        <v>1</v>
      </c>
      <c r="R87" s="2" t="inlineStr">
        <is>
          <t>Skogsklocka</t>
        </is>
      </c>
      <c r="S87">
        <f>HYPERLINK("https://klasma.github.io/Logging_0188/artfynd/A 11429-2023 artfynd.xlsx", "A 11429-2023")</f>
        <v/>
      </c>
      <c r="T87">
        <f>HYPERLINK("https://klasma.github.io/Logging_0188/kartor/A 11429-2023 karta.png", "A 11429-2023")</f>
        <v/>
      </c>
      <c r="V87">
        <f>HYPERLINK("https://klasma.github.io/Logging_0188/klagomål/A 11429-2023 FSC-klagomål.docx", "A 11429-2023")</f>
        <v/>
      </c>
      <c r="W87">
        <f>HYPERLINK("https://klasma.github.io/Logging_0188/klagomålsmail/A 11429-2023 FSC-klagomål mail.docx", "A 11429-2023")</f>
        <v/>
      </c>
      <c r="X87">
        <f>HYPERLINK("https://klasma.github.io/Logging_0188/tillsyn/A 11429-2023 tillsynsbegäran.docx", "A 11429-2023")</f>
        <v/>
      </c>
      <c r="Y87">
        <f>HYPERLINK("https://klasma.github.io/Logging_0188/tillsynsmail/A 11429-2023 tillsynsbegäran mail.docx", "A 11429-2023")</f>
        <v/>
      </c>
    </row>
    <row r="88" ht="15" customHeight="1">
      <c r="A88" t="inlineStr">
        <is>
          <t>A 9955-2022</t>
        </is>
      </c>
      <c r="B88" s="1" t="n">
        <v>44620</v>
      </c>
      <c r="C88" s="1" t="n">
        <v>45988</v>
      </c>
      <c r="D88" t="inlineStr">
        <is>
          <t>STOCKHOLMS LÄN</t>
        </is>
      </c>
      <c r="E88" t="inlineStr">
        <is>
          <t>NORRTÄLJE</t>
        </is>
      </c>
      <c r="G88" t="n">
        <v>7.8</v>
      </c>
      <c r="H88" t="n">
        <v>1</v>
      </c>
      <c r="I88" t="n">
        <v>0</v>
      </c>
      <c r="J88" t="n">
        <v>0</v>
      </c>
      <c r="K88" t="n">
        <v>0</v>
      </c>
      <c r="L88" t="n">
        <v>0</v>
      </c>
      <c r="M88" t="n">
        <v>0</v>
      </c>
      <c r="N88" t="n">
        <v>0</v>
      </c>
      <c r="O88" t="n">
        <v>0</v>
      </c>
      <c r="P88" t="n">
        <v>0</v>
      </c>
      <c r="Q88" t="n">
        <v>1</v>
      </c>
      <c r="R88" s="2" t="inlineStr">
        <is>
          <t>Åkergroda</t>
        </is>
      </c>
      <c r="S88">
        <f>HYPERLINK("https://klasma.github.io/Logging_0188/artfynd/A 9955-2022 artfynd.xlsx", "A 9955-2022")</f>
        <v/>
      </c>
      <c r="T88">
        <f>HYPERLINK("https://klasma.github.io/Logging_0188/kartor/A 9955-2022 karta.png", "A 9955-2022")</f>
        <v/>
      </c>
      <c r="V88">
        <f>HYPERLINK("https://klasma.github.io/Logging_0188/klagomål/A 9955-2022 FSC-klagomål.docx", "A 9955-2022")</f>
        <v/>
      </c>
      <c r="W88">
        <f>HYPERLINK("https://klasma.github.io/Logging_0188/klagomålsmail/A 9955-2022 FSC-klagomål mail.docx", "A 9955-2022")</f>
        <v/>
      </c>
      <c r="X88">
        <f>HYPERLINK("https://klasma.github.io/Logging_0188/tillsyn/A 9955-2022 tillsynsbegäran.docx", "A 9955-2022")</f>
        <v/>
      </c>
      <c r="Y88">
        <f>HYPERLINK("https://klasma.github.io/Logging_0188/tillsynsmail/A 9955-2022 tillsynsbegäran mail.docx", "A 9955-2022")</f>
        <v/>
      </c>
    </row>
    <row r="89" ht="15" customHeight="1">
      <c r="A89" t="inlineStr">
        <is>
          <t>A 4595-2023</t>
        </is>
      </c>
      <c r="B89" s="1" t="n">
        <v>44956</v>
      </c>
      <c r="C89" s="1" t="n">
        <v>45988</v>
      </c>
      <c r="D89" t="inlineStr">
        <is>
          <t>STOCKHOLMS LÄN</t>
        </is>
      </c>
      <c r="E89" t="inlineStr">
        <is>
          <t>NORRTÄLJE</t>
        </is>
      </c>
      <c r="G89" t="n">
        <v>0.6</v>
      </c>
      <c r="H89" t="n">
        <v>1</v>
      </c>
      <c r="I89" t="n">
        <v>0</v>
      </c>
      <c r="J89" t="n">
        <v>0</v>
      </c>
      <c r="K89" t="n">
        <v>0</v>
      </c>
      <c r="L89" t="n">
        <v>0</v>
      </c>
      <c r="M89" t="n">
        <v>0</v>
      </c>
      <c r="N89" t="n">
        <v>0</v>
      </c>
      <c r="O89" t="n">
        <v>0</v>
      </c>
      <c r="P89" t="n">
        <v>0</v>
      </c>
      <c r="Q89" t="n">
        <v>1</v>
      </c>
      <c r="R89" s="2" t="inlineStr">
        <is>
          <t>Blåsippa</t>
        </is>
      </c>
      <c r="S89">
        <f>HYPERLINK("https://klasma.github.io/Logging_0188/artfynd/A 4595-2023 artfynd.xlsx", "A 4595-2023")</f>
        <v/>
      </c>
      <c r="T89">
        <f>HYPERLINK("https://klasma.github.io/Logging_0188/kartor/A 4595-2023 karta.png", "A 4595-2023")</f>
        <v/>
      </c>
      <c r="V89">
        <f>HYPERLINK("https://klasma.github.io/Logging_0188/klagomål/A 4595-2023 FSC-klagomål.docx", "A 4595-2023")</f>
        <v/>
      </c>
      <c r="W89">
        <f>HYPERLINK("https://klasma.github.io/Logging_0188/klagomålsmail/A 4595-2023 FSC-klagomål mail.docx", "A 4595-2023")</f>
        <v/>
      </c>
      <c r="X89">
        <f>HYPERLINK("https://klasma.github.io/Logging_0188/tillsyn/A 4595-2023 tillsynsbegäran.docx", "A 4595-2023")</f>
        <v/>
      </c>
      <c r="Y89">
        <f>HYPERLINK("https://klasma.github.io/Logging_0188/tillsynsmail/A 4595-2023 tillsynsbegäran mail.docx", "A 4595-2023")</f>
        <v/>
      </c>
    </row>
    <row r="90" ht="15" customHeight="1">
      <c r="A90" t="inlineStr">
        <is>
          <t>A 23905-2025</t>
        </is>
      </c>
      <c r="B90" s="1" t="n">
        <v>45794.63298611111</v>
      </c>
      <c r="C90" s="1" t="n">
        <v>45988</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40861-2025</t>
        </is>
      </c>
      <c r="B91" s="1" t="n">
        <v>45897.56356481482</v>
      </c>
      <c r="C91" s="1" t="n">
        <v>45988</v>
      </c>
      <c r="D91" t="inlineStr">
        <is>
          <t>STOCKHOLMS LÄN</t>
        </is>
      </c>
      <c r="E91" t="inlineStr">
        <is>
          <t>NORRTÄLJE</t>
        </is>
      </c>
      <c r="G91" t="n">
        <v>4</v>
      </c>
      <c r="H91" t="n">
        <v>0</v>
      </c>
      <c r="I91" t="n">
        <v>0</v>
      </c>
      <c r="J91" t="n">
        <v>1</v>
      </c>
      <c r="K91" t="n">
        <v>0</v>
      </c>
      <c r="L91" t="n">
        <v>0</v>
      </c>
      <c r="M91" t="n">
        <v>0</v>
      </c>
      <c r="N91" t="n">
        <v>0</v>
      </c>
      <c r="O91" t="n">
        <v>1</v>
      </c>
      <c r="P91" t="n">
        <v>0</v>
      </c>
      <c r="Q91" t="n">
        <v>1</v>
      </c>
      <c r="R91" s="2" t="inlineStr">
        <is>
          <t>Skogsklocka</t>
        </is>
      </c>
      <c r="S91">
        <f>HYPERLINK("https://klasma.github.io/Logging_0188/artfynd/A 40861-2025 artfynd.xlsx", "A 40861-2025")</f>
        <v/>
      </c>
      <c r="T91">
        <f>HYPERLINK("https://klasma.github.io/Logging_0188/kartor/A 40861-2025 karta.png", "A 40861-2025")</f>
        <v/>
      </c>
      <c r="V91">
        <f>HYPERLINK("https://klasma.github.io/Logging_0188/klagomål/A 40861-2025 FSC-klagomål.docx", "A 40861-2025")</f>
        <v/>
      </c>
      <c r="W91">
        <f>HYPERLINK("https://klasma.github.io/Logging_0188/klagomålsmail/A 40861-2025 FSC-klagomål mail.docx", "A 40861-2025")</f>
        <v/>
      </c>
      <c r="X91">
        <f>HYPERLINK("https://klasma.github.io/Logging_0188/tillsyn/A 40861-2025 tillsynsbegäran.docx", "A 40861-2025")</f>
        <v/>
      </c>
      <c r="Y91">
        <f>HYPERLINK("https://klasma.github.io/Logging_0188/tillsynsmail/A 40861-2025 tillsynsbegäran mail.docx", "A 40861-2025")</f>
        <v/>
      </c>
    </row>
    <row r="92" ht="15" customHeight="1">
      <c r="A92" t="inlineStr">
        <is>
          <t>A 25669-2025</t>
        </is>
      </c>
      <c r="B92" s="1" t="n">
        <v>45803.62766203703</v>
      </c>
      <c r="C92" s="1" t="n">
        <v>45988</v>
      </c>
      <c r="D92" t="inlineStr">
        <is>
          <t>STOCKHOLMS LÄN</t>
        </is>
      </c>
      <c r="E92" t="inlineStr">
        <is>
          <t>NORRTÄLJE</t>
        </is>
      </c>
      <c r="F92" t="inlineStr">
        <is>
          <t>Holmen skog AB</t>
        </is>
      </c>
      <c r="G92" t="n">
        <v>3.1</v>
      </c>
      <c r="H92" t="n">
        <v>1</v>
      </c>
      <c r="I92" t="n">
        <v>0</v>
      </c>
      <c r="J92" t="n">
        <v>0</v>
      </c>
      <c r="K92" t="n">
        <v>0</v>
      </c>
      <c r="L92" t="n">
        <v>0</v>
      </c>
      <c r="M92" t="n">
        <v>0</v>
      </c>
      <c r="N92" t="n">
        <v>0</v>
      </c>
      <c r="O92" t="n">
        <v>0</v>
      </c>
      <c r="P92" t="n">
        <v>0</v>
      </c>
      <c r="Q92" t="n">
        <v>1</v>
      </c>
      <c r="R92" s="2" t="inlineStr">
        <is>
          <t>Tjäder</t>
        </is>
      </c>
      <c r="S92">
        <f>HYPERLINK("https://klasma.github.io/Logging_0188/artfynd/A 25669-2025 artfynd.xlsx", "A 25669-2025")</f>
        <v/>
      </c>
      <c r="T92">
        <f>HYPERLINK("https://klasma.github.io/Logging_0188/kartor/A 25669-2025 karta.png", "A 25669-2025")</f>
        <v/>
      </c>
      <c r="V92">
        <f>HYPERLINK("https://klasma.github.io/Logging_0188/klagomål/A 25669-2025 FSC-klagomål.docx", "A 25669-2025")</f>
        <v/>
      </c>
      <c r="W92">
        <f>HYPERLINK("https://klasma.github.io/Logging_0188/klagomålsmail/A 25669-2025 FSC-klagomål mail.docx", "A 25669-2025")</f>
        <v/>
      </c>
      <c r="X92">
        <f>HYPERLINK("https://klasma.github.io/Logging_0188/tillsyn/A 25669-2025 tillsynsbegäran.docx", "A 25669-2025")</f>
        <v/>
      </c>
      <c r="Y92">
        <f>HYPERLINK("https://klasma.github.io/Logging_0188/tillsynsmail/A 25669-2025 tillsynsbegäran mail.docx", "A 25669-2025")</f>
        <v/>
      </c>
      <c r="Z92">
        <f>HYPERLINK("https://klasma.github.io/Logging_0188/fåglar/A 25669-2025 prioriterade fågelarter.docx", "A 25669-2025")</f>
        <v/>
      </c>
    </row>
    <row r="93" ht="15" customHeight="1">
      <c r="A93" t="inlineStr">
        <is>
          <t>A 35764-2024</t>
        </is>
      </c>
      <c r="B93" s="1" t="n">
        <v>45532</v>
      </c>
      <c r="C93" s="1" t="n">
        <v>45988</v>
      </c>
      <c r="D93" t="inlineStr">
        <is>
          <t>STOCKHOLMS LÄN</t>
        </is>
      </c>
      <c r="E93" t="inlineStr">
        <is>
          <t>NORRTÄLJE</t>
        </is>
      </c>
      <c r="G93" t="n">
        <v>14.2</v>
      </c>
      <c r="H93" t="n">
        <v>1</v>
      </c>
      <c r="I93" t="n">
        <v>0</v>
      </c>
      <c r="J93" t="n">
        <v>0</v>
      </c>
      <c r="K93" t="n">
        <v>1</v>
      </c>
      <c r="L93" t="n">
        <v>0</v>
      </c>
      <c r="M93" t="n">
        <v>0</v>
      </c>
      <c r="N93" t="n">
        <v>0</v>
      </c>
      <c r="O93" t="n">
        <v>1</v>
      </c>
      <c r="P93" t="n">
        <v>1</v>
      </c>
      <c r="Q93" t="n">
        <v>1</v>
      </c>
      <c r="R93" s="2" t="inlineStr">
        <is>
          <t>Knärot</t>
        </is>
      </c>
      <c r="S93">
        <f>HYPERLINK("https://klasma.github.io/Logging_0188/artfynd/A 35764-2024 artfynd.xlsx", "A 35764-2024")</f>
        <v/>
      </c>
      <c r="T93">
        <f>HYPERLINK("https://klasma.github.io/Logging_0188/kartor/A 35764-2024 karta.png", "A 35764-2024")</f>
        <v/>
      </c>
      <c r="U93">
        <f>HYPERLINK("https://klasma.github.io/Logging_0188/knärot/A 35764-2024 karta knärot.png", "A 35764-2024")</f>
        <v/>
      </c>
      <c r="V93">
        <f>HYPERLINK("https://klasma.github.io/Logging_0188/klagomål/A 35764-2024 FSC-klagomål.docx", "A 35764-2024")</f>
        <v/>
      </c>
      <c r="W93">
        <f>HYPERLINK("https://klasma.github.io/Logging_0188/klagomålsmail/A 35764-2024 FSC-klagomål mail.docx", "A 35764-2024")</f>
        <v/>
      </c>
      <c r="X93">
        <f>HYPERLINK("https://klasma.github.io/Logging_0188/tillsyn/A 35764-2024 tillsynsbegäran.docx", "A 35764-2024")</f>
        <v/>
      </c>
      <c r="Y93">
        <f>HYPERLINK("https://klasma.github.io/Logging_0188/tillsynsmail/A 35764-2024 tillsynsbegäran mail.docx", "A 35764-2024")</f>
        <v/>
      </c>
    </row>
    <row r="94" ht="15" customHeight="1">
      <c r="A94" t="inlineStr">
        <is>
          <t>A 13271-2025</t>
        </is>
      </c>
      <c r="B94" s="1" t="n">
        <v>45735.54510416667</v>
      </c>
      <c r="C94" s="1" t="n">
        <v>45988</v>
      </c>
      <c r="D94" t="inlineStr">
        <is>
          <t>STOCKHOLMS LÄN</t>
        </is>
      </c>
      <c r="E94" t="inlineStr">
        <is>
          <t>NORRTÄLJE</t>
        </is>
      </c>
      <c r="G94" t="n">
        <v>7.2</v>
      </c>
      <c r="H94" t="n">
        <v>1</v>
      </c>
      <c r="I94" t="n">
        <v>0</v>
      </c>
      <c r="J94" t="n">
        <v>0</v>
      </c>
      <c r="K94" t="n">
        <v>0</v>
      </c>
      <c r="L94" t="n">
        <v>1</v>
      </c>
      <c r="M94" t="n">
        <v>0</v>
      </c>
      <c r="N94" t="n">
        <v>0</v>
      </c>
      <c r="O94" t="n">
        <v>1</v>
      </c>
      <c r="P94" t="n">
        <v>1</v>
      </c>
      <c r="Q94" t="n">
        <v>1</v>
      </c>
      <c r="R94" s="2" t="inlineStr">
        <is>
          <t>Asknätfjäril</t>
        </is>
      </c>
      <c r="S94">
        <f>HYPERLINK("https://klasma.github.io/Logging_0188/artfynd/A 13271-2025 artfynd.xlsx", "A 13271-2025")</f>
        <v/>
      </c>
      <c r="T94">
        <f>HYPERLINK("https://klasma.github.io/Logging_0188/kartor/A 13271-2025 karta.png", "A 13271-2025")</f>
        <v/>
      </c>
      <c r="V94">
        <f>HYPERLINK("https://klasma.github.io/Logging_0188/klagomål/A 13271-2025 FSC-klagomål.docx", "A 13271-2025")</f>
        <v/>
      </c>
      <c r="W94">
        <f>HYPERLINK("https://klasma.github.io/Logging_0188/klagomålsmail/A 13271-2025 FSC-klagomål mail.docx", "A 13271-2025")</f>
        <v/>
      </c>
      <c r="X94">
        <f>HYPERLINK("https://klasma.github.io/Logging_0188/tillsyn/A 13271-2025 tillsynsbegäran.docx", "A 13271-2025")</f>
        <v/>
      </c>
      <c r="Y94">
        <f>HYPERLINK("https://klasma.github.io/Logging_0188/tillsynsmail/A 13271-2025 tillsynsbegäran mail.docx", "A 13271-2025")</f>
        <v/>
      </c>
    </row>
    <row r="95" ht="15" customHeight="1">
      <c r="A95" t="inlineStr">
        <is>
          <t>A 24535-2023</t>
        </is>
      </c>
      <c r="B95" s="1" t="n">
        <v>45082</v>
      </c>
      <c r="C95" s="1" t="n">
        <v>45988</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35649-2023</t>
        </is>
      </c>
      <c r="B96" s="1" t="n">
        <v>45146</v>
      </c>
      <c r="C96" s="1" t="n">
        <v>45988</v>
      </c>
      <c r="D96" t="inlineStr">
        <is>
          <t>STOCKHOLMS LÄN</t>
        </is>
      </c>
      <c r="E96" t="inlineStr">
        <is>
          <t>NORRTÄLJE</t>
        </is>
      </c>
      <c r="G96" t="n">
        <v>25.1</v>
      </c>
      <c r="H96" t="n">
        <v>0</v>
      </c>
      <c r="I96" t="n">
        <v>0</v>
      </c>
      <c r="J96" t="n">
        <v>1</v>
      </c>
      <c r="K96" t="n">
        <v>0</v>
      </c>
      <c r="L96" t="n">
        <v>0</v>
      </c>
      <c r="M96" t="n">
        <v>0</v>
      </c>
      <c r="N96" t="n">
        <v>0</v>
      </c>
      <c r="O96" t="n">
        <v>1</v>
      </c>
      <c r="P96" t="n">
        <v>0</v>
      </c>
      <c r="Q96" t="n">
        <v>1</v>
      </c>
      <c r="R96" s="2" t="inlineStr">
        <is>
          <t>Månlåsbräken</t>
        </is>
      </c>
      <c r="S96">
        <f>HYPERLINK("https://klasma.github.io/Logging_0188/artfynd/A 35649-2023 artfynd.xlsx", "A 35649-2023")</f>
        <v/>
      </c>
      <c r="T96">
        <f>HYPERLINK("https://klasma.github.io/Logging_0188/kartor/A 35649-2023 karta.png", "A 35649-2023")</f>
        <v/>
      </c>
      <c r="V96">
        <f>HYPERLINK("https://klasma.github.io/Logging_0188/klagomål/A 35649-2023 FSC-klagomål.docx", "A 35649-2023")</f>
        <v/>
      </c>
      <c r="W96">
        <f>HYPERLINK("https://klasma.github.io/Logging_0188/klagomålsmail/A 35649-2023 FSC-klagomål mail.docx", "A 35649-2023")</f>
        <v/>
      </c>
      <c r="X96">
        <f>HYPERLINK("https://klasma.github.io/Logging_0188/tillsyn/A 35649-2023 tillsynsbegäran.docx", "A 35649-2023")</f>
        <v/>
      </c>
      <c r="Y96">
        <f>HYPERLINK("https://klasma.github.io/Logging_0188/tillsynsmail/A 35649-2023 tillsynsbegäran mail.docx", "A 35649-2023")</f>
        <v/>
      </c>
    </row>
    <row r="97" ht="15" customHeight="1">
      <c r="A97" t="inlineStr">
        <is>
          <t>A 42313-2025</t>
        </is>
      </c>
      <c r="B97" s="1" t="n">
        <v>45904.6575</v>
      </c>
      <c r="C97" s="1" t="n">
        <v>45988</v>
      </c>
      <c r="D97" t="inlineStr">
        <is>
          <t>STOCKHOLMS LÄN</t>
        </is>
      </c>
      <c r="E97" t="inlineStr">
        <is>
          <t>NORRTÄLJE</t>
        </is>
      </c>
      <c r="G97" t="n">
        <v>1.7</v>
      </c>
      <c r="H97" t="n">
        <v>1</v>
      </c>
      <c r="I97" t="n">
        <v>0</v>
      </c>
      <c r="J97" t="n">
        <v>0</v>
      </c>
      <c r="K97" t="n">
        <v>0</v>
      </c>
      <c r="L97" t="n">
        <v>0</v>
      </c>
      <c r="M97" t="n">
        <v>0</v>
      </c>
      <c r="N97" t="n">
        <v>0</v>
      </c>
      <c r="O97" t="n">
        <v>0</v>
      </c>
      <c r="P97" t="n">
        <v>0</v>
      </c>
      <c r="Q97" t="n">
        <v>1</v>
      </c>
      <c r="R97" s="2" t="inlineStr">
        <is>
          <t>Vanlig padda</t>
        </is>
      </c>
      <c r="S97">
        <f>HYPERLINK("https://klasma.github.io/Logging_0188/artfynd/A 42313-2025 artfynd.xlsx", "A 42313-2025")</f>
        <v/>
      </c>
      <c r="T97">
        <f>HYPERLINK("https://klasma.github.io/Logging_0188/kartor/A 42313-2025 karta.png", "A 42313-2025")</f>
        <v/>
      </c>
      <c r="V97">
        <f>HYPERLINK("https://klasma.github.io/Logging_0188/klagomål/A 42313-2025 FSC-klagomål.docx", "A 42313-2025")</f>
        <v/>
      </c>
      <c r="W97">
        <f>HYPERLINK("https://klasma.github.io/Logging_0188/klagomålsmail/A 42313-2025 FSC-klagomål mail.docx", "A 42313-2025")</f>
        <v/>
      </c>
      <c r="X97">
        <f>HYPERLINK("https://klasma.github.io/Logging_0188/tillsyn/A 42313-2025 tillsynsbegäran.docx", "A 42313-2025")</f>
        <v/>
      </c>
      <c r="Y97">
        <f>HYPERLINK("https://klasma.github.io/Logging_0188/tillsynsmail/A 42313-2025 tillsynsbegäran mail.docx", "A 42313-2025")</f>
        <v/>
      </c>
    </row>
    <row r="98" ht="15" customHeight="1">
      <c r="A98" t="inlineStr">
        <is>
          <t>A 4532-2025</t>
        </is>
      </c>
      <c r="B98" s="1" t="n">
        <v>45687.34177083334</v>
      </c>
      <c r="C98" s="1" t="n">
        <v>45988</v>
      </c>
      <c r="D98" t="inlineStr">
        <is>
          <t>STOCKHOLMS LÄN</t>
        </is>
      </c>
      <c r="E98" t="inlineStr">
        <is>
          <t>NORRTÄLJE</t>
        </is>
      </c>
      <c r="F98" t="inlineStr">
        <is>
          <t>Holmen skog AB</t>
        </is>
      </c>
      <c r="G98" t="n">
        <v>6.4</v>
      </c>
      <c r="H98" t="n">
        <v>1</v>
      </c>
      <c r="I98" t="n">
        <v>0</v>
      </c>
      <c r="J98" t="n">
        <v>0</v>
      </c>
      <c r="K98" t="n">
        <v>0</v>
      </c>
      <c r="L98" t="n">
        <v>1</v>
      </c>
      <c r="M98" t="n">
        <v>0</v>
      </c>
      <c r="N98" t="n">
        <v>0</v>
      </c>
      <c r="O98" t="n">
        <v>1</v>
      </c>
      <c r="P98" t="n">
        <v>1</v>
      </c>
      <c r="Q98" t="n">
        <v>1</v>
      </c>
      <c r="R98" s="2" t="inlineStr">
        <is>
          <t>Asknätfjäril</t>
        </is>
      </c>
      <c r="S98">
        <f>HYPERLINK("https://klasma.github.io/Logging_0188/artfynd/A 4532-2025 artfynd.xlsx", "A 4532-2025")</f>
        <v/>
      </c>
      <c r="T98">
        <f>HYPERLINK("https://klasma.github.io/Logging_0188/kartor/A 4532-2025 karta.png", "A 4532-2025")</f>
        <v/>
      </c>
      <c r="V98">
        <f>HYPERLINK("https://klasma.github.io/Logging_0188/klagomål/A 4532-2025 FSC-klagomål.docx", "A 4532-2025")</f>
        <v/>
      </c>
      <c r="W98">
        <f>HYPERLINK("https://klasma.github.io/Logging_0188/klagomålsmail/A 4532-2025 FSC-klagomål mail.docx", "A 4532-2025")</f>
        <v/>
      </c>
      <c r="X98">
        <f>HYPERLINK("https://klasma.github.io/Logging_0188/tillsyn/A 4532-2025 tillsynsbegäran.docx", "A 4532-2025")</f>
        <v/>
      </c>
      <c r="Y98">
        <f>HYPERLINK("https://klasma.github.io/Logging_0188/tillsynsmail/A 4532-2025 tillsynsbegäran mail.docx", "A 4532-2025")</f>
        <v/>
      </c>
    </row>
    <row r="99" ht="15" customHeight="1">
      <c r="A99" t="inlineStr">
        <is>
          <t>A 35691-2023</t>
        </is>
      </c>
      <c r="B99" s="1" t="n">
        <v>45147.65222222222</v>
      </c>
      <c r="C99" s="1" t="n">
        <v>45988</v>
      </c>
      <c r="D99" t="inlineStr">
        <is>
          <t>STOCKHOLMS LÄN</t>
        </is>
      </c>
      <c r="E99" t="inlineStr">
        <is>
          <t>NORRTÄLJE</t>
        </is>
      </c>
      <c r="G99" t="n">
        <v>2.3</v>
      </c>
      <c r="H99" t="n">
        <v>1</v>
      </c>
      <c r="I99" t="n">
        <v>0</v>
      </c>
      <c r="J99" t="n">
        <v>0</v>
      </c>
      <c r="K99" t="n">
        <v>0</v>
      </c>
      <c r="L99" t="n">
        <v>0</v>
      </c>
      <c r="M99" t="n">
        <v>0</v>
      </c>
      <c r="N99" t="n">
        <v>0</v>
      </c>
      <c r="O99" t="n">
        <v>0</v>
      </c>
      <c r="P99" t="n">
        <v>0</v>
      </c>
      <c r="Q99" t="n">
        <v>1</v>
      </c>
      <c r="R99" s="2" t="inlineStr">
        <is>
          <t>Kungsfågel</t>
        </is>
      </c>
      <c r="S99">
        <f>HYPERLINK("https://klasma.github.io/Logging_0188/artfynd/A 35691-2023 artfynd.xlsx", "A 35691-2023")</f>
        <v/>
      </c>
      <c r="T99">
        <f>HYPERLINK("https://klasma.github.io/Logging_0188/kartor/A 35691-2023 karta.png", "A 35691-2023")</f>
        <v/>
      </c>
      <c r="V99">
        <f>HYPERLINK("https://klasma.github.io/Logging_0188/klagomål/A 35691-2023 FSC-klagomål.docx", "A 35691-2023")</f>
        <v/>
      </c>
      <c r="W99">
        <f>HYPERLINK("https://klasma.github.io/Logging_0188/klagomålsmail/A 35691-2023 FSC-klagomål mail.docx", "A 35691-2023")</f>
        <v/>
      </c>
      <c r="X99">
        <f>HYPERLINK("https://klasma.github.io/Logging_0188/tillsyn/A 35691-2023 tillsynsbegäran.docx", "A 35691-2023")</f>
        <v/>
      </c>
      <c r="Y99">
        <f>HYPERLINK("https://klasma.github.io/Logging_0188/tillsynsmail/A 35691-2023 tillsynsbegäran mail.docx", "A 35691-2023")</f>
        <v/>
      </c>
      <c r="Z99">
        <f>HYPERLINK("https://klasma.github.io/Logging_0188/fåglar/A 35691-2023 prioriterade fågelarter.docx", "A 35691-2023")</f>
        <v/>
      </c>
    </row>
    <row r="100" ht="15" customHeight="1">
      <c r="A100" t="inlineStr">
        <is>
          <t>A 35693-2023</t>
        </is>
      </c>
      <c r="B100" s="1" t="n">
        <v>45147.65311342593</v>
      </c>
      <c r="C100" s="1" t="n">
        <v>45988</v>
      </c>
      <c r="D100" t="inlineStr">
        <is>
          <t>STOCKHOLMS LÄN</t>
        </is>
      </c>
      <c r="E100" t="inlineStr">
        <is>
          <t>NORRTÄLJE</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HYPERLINK("https://klasma.github.io/Logging_0188/artfynd/A 35693-2023 artfynd.xlsx", "A 35693-2023")</f>
        <v/>
      </c>
      <c r="T100">
        <f>HYPERLINK("https://klasma.github.io/Logging_0188/kartor/A 35693-2023 karta.png", "A 35693-2023")</f>
        <v/>
      </c>
      <c r="V100">
        <f>HYPERLINK("https://klasma.github.io/Logging_0188/klagomål/A 35693-2023 FSC-klagomål.docx", "A 35693-2023")</f>
        <v/>
      </c>
      <c r="W100">
        <f>HYPERLINK("https://klasma.github.io/Logging_0188/klagomålsmail/A 35693-2023 FSC-klagomål mail.docx", "A 35693-2023")</f>
        <v/>
      </c>
      <c r="X100">
        <f>HYPERLINK("https://klasma.github.io/Logging_0188/tillsyn/A 35693-2023 tillsynsbegäran.docx", "A 35693-2023")</f>
        <v/>
      </c>
      <c r="Y100">
        <f>HYPERLINK("https://klasma.github.io/Logging_0188/tillsynsmail/A 35693-2023 tillsynsbegäran mail.docx", "A 35693-2023")</f>
        <v/>
      </c>
    </row>
    <row r="101" ht="15" customHeight="1">
      <c r="A101" t="inlineStr">
        <is>
          <t>A 6381-2023</t>
        </is>
      </c>
      <c r="B101" s="1" t="n">
        <v>44965</v>
      </c>
      <c r="C101" s="1" t="n">
        <v>45988</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29946-2025</t>
        </is>
      </c>
      <c r="B102" s="1" t="n">
        <v>45826.46392361111</v>
      </c>
      <c r="C102" s="1" t="n">
        <v>45988</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50854-2022</t>
        </is>
      </c>
      <c r="B103" s="1" t="n">
        <v>44863</v>
      </c>
      <c r="C103" s="1" t="n">
        <v>45988</v>
      </c>
      <c r="D103" t="inlineStr">
        <is>
          <t>STOCKHOLMS LÄN</t>
        </is>
      </c>
      <c r="E103" t="inlineStr">
        <is>
          <t>NORRTÄLJE</t>
        </is>
      </c>
      <c r="G103" t="n">
        <v>2.9</v>
      </c>
      <c r="H103" t="n">
        <v>0</v>
      </c>
      <c r="I103" t="n">
        <v>1</v>
      </c>
      <c r="J103" t="n">
        <v>0</v>
      </c>
      <c r="K103" t="n">
        <v>0</v>
      </c>
      <c r="L103" t="n">
        <v>0</v>
      </c>
      <c r="M103" t="n">
        <v>0</v>
      </c>
      <c r="N103" t="n">
        <v>0</v>
      </c>
      <c r="O103" t="n">
        <v>0</v>
      </c>
      <c r="P103" t="n">
        <v>0</v>
      </c>
      <c r="Q103" t="n">
        <v>1</v>
      </c>
      <c r="R103" s="2" t="inlineStr">
        <is>
          <t>Tibast</t>
        </is>
      </c>
      <c r="S103">
        <f>HYPERLINK("https://klasma.github.io/Logging_0188/artfynd/A 50854-2022 artfynd.xlsx", "A 50854-2022")</f>
        <v/>
      </c>
      <c r="T103">
        <f>HYPERLINK("https://klasma.github.io/Logging_0188/kartor/A 50854-2022 karta.png", "A 50854-2022")</f>
        <v/>
      </c>
      <c r="V103">
        <f>HYPERLINK("https://klasma.github.io/Logging_0188/klagomål/A 50854-2022 FSC-klagomål.docx", "A 50854-2022")</f>
        <v/>
      </c>
      <c r="W103">
        <f>HYPERLINK("https://klasma.github.io/Logging_0188/klagomålsmail/A 50854-2022 FSC-klagomål mail.docx", "A 50854-2022")</f>
        <v/>
      </c>
      <c r="X103">
        <f>HYPERLINK("https://klasma.github.io/Logging_0188/tillsyn/A 50854-2022 tillsynsbegäran.docx", "A 50854-2022")</f>
        <v/>
      </c>
      <c r="Y103">
        <f>HYPERLINK("https://klasma.github.io/Logging_0188/tillsynsmail/A 50854-2022 tillsynsbegäran mail.docx", "A 50854-2022")</f>
        <v/>
      </c>
    </row>
    <row r="104" ht="15" customHeight="1">
      <c r="A104" t="inlineStr">
        <is>
          <t>A 52775-2025</t>
        </is>
      </c>
      <c r="B104" s="1" t="n">
        <v>45957.41608796296</v>
      </c>
      <c r="C104" s="1" t="n">
        <v>45988</v>
      </c>
      <c r="D104" t="inlineStr">
        <is>
          <t>STOCKHOLMS LÄN</t>
        </is>
      </c>
      <c r="E104" t="inlineStr">
        <is>
          <t>NORRTÄLJE</t>
        </is>
      </c>
      <c r="F104" t="inlineStr">
        <is>
          <t>Sveaskog</t>
        </is>
      </c>
      <c r="G104" t="n">
        <v>5.6</v>
      </c>
      <c r="H104" t="n">
        <v>0</v>
      </c>
      <c r="I104" t="n">
        <v>0</v>
      </c>
      <c r="J104" t="n">
        <v>1</v>
      </c>
      <c r="K104" t="n">
        <v>0</v>
      </c>
      <c r="L104" t="n">
        <v>0</v>
      </c>
      <c r="M104" t="n">
        <v>0</v>
      </c>
      <c r="N104" t="n">
        <v>0</v>
      </c>
      <c r="O104" t="n">
        <v>1</v>
      </c>
      <c r="P104" t="n">
        <v>0</v>
      </c>
      <c r="Q104" t="n">
        <v>1</v>
      </c>
      <c r="R104" s="2" t="inlineStr">
        <is>
          <t>Vedtrappmossa</t>
        </is>
      </c>
      <c r="S104">
        <f>HYPERLINK("https://klasma.github.io/Logging_0188/artfynd/A 52775-2025 artfynd.xlsx", "A 52775-2025")</f>
        <v/>
      </c>
      <c r="T104">
        <f>HYPERLINK("https://klasma.github.io/Logging_0188/kartor/A 52775-2025 karta.png", "A 52775-2025")</f>
        <v/>
      </c>
      <c r="V104">
        <f>HYPERLINK("https://klasma.github.io/Logging_0188/klagomål/A 52775-2025 FSC-klagomål.docx", "A 52775-2025")</f>
        <v/>
      </c>
      <c r="W104">
        <f>HYPERLINK("https://klasma.github.io/Logging_0188/klagomålsmail/A 52775-2025 FSC-klagomål mail.docx", "A 52775-2025")</f>
        <v/>
      </c>
      <c r="X104">
        <f>HYPERLINK("https://klasma.github.io/Logging_0188/tillsyn/A 52775-2025 tillsynsbegäran.docx", "A 52775-2025")</f>
        <v/>
      </c>
      <c r="Y104">
        <f>HYPERLINK("https://klasma.github.io/Logging_0188/tillsynsmail/A 52775-2025 tillsynsbegäran mail.docx", "A 52775-2025")</f>
        <v/>
      </c>
    </row>
    <row r="105" ht="15" customHeight="1">
      <c r="A105" t="inlineStr">
        <is>
          <t>A 53716-2025</t>
        </is>
      </c>
      <c r="B105" s="1" t="n">
        <v>45960.61782407408</v>
      </c>
      <c r="C105" s="1" t="n">
        <v>45988</v>
      </c>
      <c r="D105" t="inlineStr">
        <is>
          <t>STOCKHOLMS LÄN</t>
        </is>
      </c>
      <c r="E105" t="inlineStr">
        <is>
          <t>NORRTÄLJE</t>
        </is>
      </c>
      <c r="G105" t="n">
        <v>3.4</v>
      </c>
      <c r="H105" t="n">
        <v>0</v>
      </c>
      <c r="I105" t="n">
        <v>0</v>
      </c>
      <c r="J105" t="n">
        <v>0</v>
      </c>
      <c r="K105" t="n">
        <v>0</v>
      </c>
      <c r="L105" t="n">
        <v>1</v>
      </c>
      <c r="M105" t="n">
        <v>0</v>
      </c>
      <c r="N105" t="n">
        <v>0</v>
      </c>
      <c r="O105" t="n">
        <v>1</v>
      </c>
      <c r="P105" t="n">
        <v>1</v>
      </c>
      <c r="Q105" t="n">
        <v>1</v>
      </c>
      <c r="R105" s="2" t="inlineStr">
        <is>
          <t>Fältgentiana</t>
        </is>
      </c>
      <c r="S105">
        <f>HYPERLINK("https://klasma.github.io/Logging_0188/artfynd/A 53716-2025 artfynd.xlsx", "A 53716-2025")</f>
        <v/>
      </c>
      <c r="T105">
        <f>HYPERLINK("https://klasma.github.io/Logging_0188/kartor/A 53716-2025 karta.png", "A 53716-2025")</f>
        <v/>
      </c>
      <c r="V105">
        <f>HYPERLINK("https://klasma.github.io/Logging_0188/klagomål/A 53716-2025 FSC-klagomål.docx", "A 53716-2025")</f>
        <v/>
      </c>
      <c r="W105">
        <f>HYPERLINK("https://klasma.github.io/Logging_0188/klagomålsmail/A 53716-2025 FSC-klagomål mail.docx", "A 53716-2025")</f>
        <v/>
      </c>
      <c r="X105">
        <f>HYPERLINK("https://klasma.github.io/Logging_0188/tillsyn/A 53716-2025 tillsynsbegäran.docx", "A 53716-2025")</f>
        <v/>
      </c>
      <c r="Y105">
        <f>HYPERLINK("https://klasma.github.io/Logging_0188/tillsynsmail/A 53716-2025 tillsynsbegäran mail.docx", "A 53716-2025")</f>
        <v/>
      </c>
    </row>
    <row r="106" ht="15" customHeight="1">
      <c r="A106" t="inlineStr">
        <is>
          <t>A 33548-2025</t>
        </is>
      </c>
      <c r="B106" s="1" t="n">
        <v>45841.5721875</v>
      </c>
      <c r="C106" s="1" t="n">
        <v>45988</v>
      </c>
      <c r="D106" t="inlineStr">
        <is>
          <t>STOCKHOLMS LÄN</t>
        </is>
      </c>
      <c r="E106" t="inlineStr">
        <is>
          <t>NORRTÄLJE</t>
        </is>
      </c>
      <c r="G106" t="n">
        <v>12.2</v>
      </c>
      <c r="H106" t="n">
        <v>0</v>
      </c>
      <c r="I106" t="n">
        <v>0</v>
      </c>
      <c r="J106" t="n">
        <v>1</v>
      </c>
      <c r="K106" t="n">
        <v>0</v>
      </c>
      <c r="L106" t="n">
        <v>0</v>
      </c>
      <c r="M106" t="n">
        <v>0</v>
      </c>
      <c r="N106" t="n">
        <v>0</v>
      </c>
      <c r="O106" t="n">
        <v>1</v>
      </c>
      <c r="P106" t="n">
        <v>0</v>
      </c>
      <c r="Q106" t="n">
        <v>1</v>
      </c>
      <c r="R106" s="2" t="inlineStr">
        <is>
          <t>Dofttaggsvamp</t>
        </is>
      </c>
      <c r="S106">
        <f>HYPERLINK("https://klasma.github.io/Logging_0188/artfynd/A 33548-2025 artfynd.xlsx", "A 33548-2025")</f>
        <v/>
      </c>
      <c r="T106">
        <f>HYPERLINK("https://klasma.github.io/Logging_0188/kartor/A 33548-2025 karta.png", "A 33548-2025")</f>
        <v/>
      </c>
      <c r="V106">
        <f>HYPERLINK("https://klasma.github.io/Logging_0188/klagomål/A 33548-2025 FSC-klagomål.docx", "A 33548-2025")</f>
        <v/>
      </c>
      <c r="W106">
        <f>HYPERLINK("https://klasma.github.io/Logging_0188/klagomålsmail/A 33548-2025 FSC-klagomål mail.docx", "A 33548-2025")</f>
        <v/>
      </c>
      <c r="X106">
        <f>HYPERLINK("https://klasma.github.io/Logging_0188/tillsyn/A 33548-2025 tillsynsbegäran.docx", "A 33548-2025")</f>
        <v/>
      </c>
      <c r="Y106">
        <f>HYPERLINK("https://klasma.github.io/Logging_0188/tillsynsmail/A 33548-2025 tillsynsbegäran mail.docx", "A 33548-2025")</f>
        <v/>
      </c>
    </row>
    <row r="107" ht="15" customHeight="1">
      <c r="A107" t="inlineStr">
        <is>
          <t>A 33546-2025</t>
        </is>
      </c>
      <c r="B107" s="1" t="n">
        <v>45841.56996527778</v>
      </c>
      <c r="C107" s="1" t="n">
        <v>45988</v>
      </c>
      <c r="D107" t="inlineStr">
        <is>
          <t>STOCKHOLMS LÄN</t>
        </is>
      </c>
      <c r="E107" t="inlineStr">
        <is>
          <t>NORRTÄLJE</t>
        </is>
      </c>
      <c r="G107" t="n">
        <v>7.2</v>
      </c>
      <c r="H107" t="n">
        <v>1</v>
      </c>
      <c r="I107" t="n">
        <v>1</v>
      </c>
      <c r="J107" t="n">
        <v>0</v>
      </c>
      <c r="K107" t="n">
        <v>0</v>
      </c>
      <c r="L107" t="n">
        <v>0</v>
      </c>
      <c r="M107" t="n">
        <v>0</v>
      </c>
      <c r="N107" t="n">
        <v>0</v>
      </c>
      <c r="O107" t="n">
        <v>0</v>
      </c>
      <c r="P107" t="n">
        <v>0</v>
      </c>
      <c r="Q107" t="n">
        <v>1</v>
      </c>
      <c r="R107" s="2" t="inlineStr">
        <is>
          <t>Nästrot</t>
        </is>
      </c>
      <c r="S107">
        <f>HYPERLINK("https://klasma.github.io/Logging_0188/artfynd/A 33546-2025 artfynd.xlsx", "A 33546-2025")</f>
        <v/>
      </c>
      <c r="T107">
        <f>HYPERLINK("https://klasma.github.io/Logging_0188/kartor/A 33546-2025 karta.png", "A 33546-2025")</f>
        <v/>
      </c>
      <c r="V107">
        <f>HYPERLINK("https://klasma.github.io/Logging_0188/klagomål/A 33546-2025 FSC-klagomål.docx", "A 33546-2025")</f>
        <v/>
      </c>
      <c r="W107">
        <f>HYPERLINK("https://klasma.github.io/Logging_0188/klagomålsmail/A 33546-2025 FSC-klagomål mail.docx", "A 33546-2025")</f>
        <v/>
      </c>
      <c r="X107">
        <f>HYPERLINK("https://klasma.github.io/Logging_0188/tillsyn/A 33546-2025 tillsynsbegäran.docx", "A 33546-2025")</f>
        <v/>
      </c>
      <c r="Y107">
        <f>HYPERLINK("https://klasma.github.io/Logging_0188/tillsynsmail/A 33546-2025 tillsynsbegäran mail.docx", "A 33546-2025")</f>
        <v/>
      </c>
    </row>
    <row r="108" ht="15" customHeight="1">
      <c r="A108" t="inlineStr">
        <is>
          <t>A 26120-2024</t>
        </is>
      </c>
      <c r="B108" s="1" t="n">
        <v>45468.45995370371</v>
      </c>
      <c r="C108" s="1" t="n">
        <v>45988</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64456-2023</t>
        </is>
      </c>
      <c r="B109" s="1" t="n">
        <v>45280</v>
      </c>
      <c r="C109" s="1" t="n">
        <v>45988</v>
      </c>
      <c r="D109" t="inlineStr">
        <is>
          <t>STOCKHOLMS LÄN</t>
        </is>
      </c>
      <c r="E109" t="inlineStr">
        <is>
          <t>NORRTÄLJE</t>
        </is>
      </c>
      <c r="G109" t="n">
        <v>2.5</v>
      </c>
      <c r="H109" t="n">
        <v>0</v>
      </c>
      <c r="I109" t="n">
        <v>1</v>
      </c>
      <c r="J109" t="n">
        <v>0</v>
      </c>
      <c r="K109" t="n">
        <v>0</v>
      </c>
      <c r="L109" t="n">
        <v>0</v>
      </c>
      <c r="M109" t="n">
        <v>0</v>
      </c>
      <c r="N109" t="n">
        <v>0</v>
      </c>
      <c r="O109" t="n">
        <v>0</v>
      </c>
      <c r="P109" t="n">
        <v>0</v>
      </c>
      <c r="Q109" t="n">
        <v>1</v>
      </c>
      <c r="R109" s="2" t="inlineStr">
        <is>
          <t>Rödgul trumpetsvamp</t>
        </is>
      </c>
      <c r="S109">
        <f>HYPERLINK("https://klasma.github.io/Logging_0188/artfynd/A 64456-2023 artfynd.xlsx", "A 64456-2023")</f>
        <v/>
      </c>
      <c r="T109">
        <f>HYPERLINK("https://klasma.github.io/Logging_0188/kartor/A 64456-2023 karta.png", "A 64456-2023")</f>
        <v/>
      </c>
      <c r="V109">
        <f>HYPERLINK("https://klasma.github.io/Logging_0188/klagomål/A 64456-2023 FSC-klagomål.docx", "A 64456-2023")</f>
        <v/>
      </c>
      <c r="W109">
        <f>HYPERLINK("https://klasma.github.io/Logging_0188/klagomålsmail/A 64456-2023 FSC-klagomål mail.docx", "A 64456-2023")</f>
        <v/>
      </c>
      <c r="X109">
        <f>HYPERLINK("https://klasma.github.io/Logging_0188/tillsyn/A 64456-2023 tillsynsbegäran.docx", "A 64456-2023")</f>
        <v/>
      </c>
      <c r="Y109">
        <f>HYPERLINK("https://klasma.github.io/Logging_0188/tillsynsmail/A 64456-2023 tillsynsbegäran mail.docx", "A 64456-2023")</f>
        <v/>
      </c>
    </row>
    <row r="110" ht="15" customHeight="1">
      <c r="A110" t="inlineStr">
        <is>
          <t>A 39158-2025</t>
        </is>
      </c>
      <c r="B110" s="1" t="n">
        <v>45888</v>
      </c>
      <c r="C110" s="1" t="n">
        <v>45988</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8371-2025</t>
        </is>
      </c>
      <c r="B111" s="1" t="n">
        <v>45708</v>
      </c>
      <c r="C111" s="1" t="n">
        <v>45988</v>
      </c>
      <c r="D111" t="inlineStr">
        <is>
          <t>STOCKHOLMS LÄN</t>
        </is>
      </c>
      <c r="E111" t="inlineStr">
        <is>
          <t>NORRTÄLJE</t>
        </is>
      </c>
      <c r="F111" t="inlineStr">
        <is>
          <t>Övriga Aktiebolag</t>
        </is>
      </c>
      <c r="G111" t="n">
        <v>2.9</v>
      </c>
      <c r="H111" t="n">
        <v>1</v>
      </c>
      <c r="I111" t="n">
        <v>0</v>
      </c>
      <c r="J111" t="n">
        <v>1</v>
      </c>
      <c r="K111" t="n">
        <v>0</v>
      </c>
      <c r="L111" t="n">
        <v>0</v>
      </c>
      <c r="M111" t="n">
        <v>0</v>
      </c>
      <c r="N111" t="n">
        <v>0</v>
      </c>
      <c r="O111" t="n">
        <v>1</v>
      </c>
      <c r="P111" t="n">
        <v>0</v>
      </c>
      <c r="Q111" t="n">
        <v>1</v>
      </c>
      <c r="R111" s="2" t="inlineStr">
        <is>
          <t>Spillkråka</t>
        </is>
      </c>
      <c r="S111">
        <f>HYPERLINK("https://klasma.github.io/Logging_0188/artfynd/A 8371-2025 artfynd.xlsx", "A 8371-2025")</f>
        <v/>
      </c>
      <c r="T111">
        <f>HYPERLINK("https://klasma.github.io/Logging_0188/kartor/A 8371-2025 karta.png", "A 8371-2025")</f>
        <v/>
      </c>
      <c r="V111">
        <f>HYPERLINK("https://klasma.github.io/Logging_0188/klagomål/A 8371-2025 FSC-klagomål.docx", "A 8371-2025")</f>
        <v/>
      </c>
      <c r="W111">
        <f>HYPERLINK("https://klasma.github.io/Logging_0188/klagomålsmail/A 8371-2025 FSC-klagomål mail.docx", "A 8371-2025")</f>
        <v/>
      </c>
      <c r="X111">
        <f>HYPERLINK("https://klasma.github.io/Logging_0188/tillsyn/A 8371-2025 tillsynsbegäran.docx", "A 8371-2025")</f>
        <v/>
      </c>
      <c r="Y111">
        <f>HYPERLINK("https://klasma.github.io/Logging_0188/tillsynsmail/A 8371-2025 tillsynsbegäran mail.docx", "A 8371-2025")</f>
        <v/>
      </c>
      <c r="Z111">
        <f>HYPERLINK("https://klasma.github.io/Logging_0188/fåglar/A 8371-2025 prioriterade fågelarter.docx", "A 8371-2025")</f>
        <v/>
      </c>
    </row>
    <row r="112" ht="15" customHeight="1">
      <c r="A112" t="inlineStr">
        <is>
          <t>A 24330-2023</t>
        </is>
      </c>
      <c r="B112" s="1" t="n">
        <v>45081</v>
      </c>
      <c r="C112" s="1" t="n">
        <v>45988</v>
      </c>
      <c r="D112" t="inlineStr">
        <is>
          <t>STOCKHOLMS LÄN</t>
        </is>
      </c>
      <c r="E112" t="inlineStr">
        <is>
          <t>NORRTÄLJE</t>
        </is>
      </c>
      <c r="G112" t="n">
        <v>5</v>
      </c>
      <c r="H112" t="n">
        <v>1</v>
      </c>
      <c r="I112" t="n">
        <v>0</v>
      </c>
      <c r="J112" t="n">
        <v>1</v>
      </c>
      <c r="K112" t="n">
        <v>0</v>
      </c>
      <c r="L112" t="n">
        <v>0</v>
      </c>
      <c r="M112" t="n">
        <v>0</v>
      </c>
      <c r="N112" t="n">
        <v>0</v>
      </c>
      <c r="O112" t="n">
        <v>1</v>
      </c>
      <c r="P112" t="n">
        <v>0</v>
      </c>
      <c r="Q112" t="n">
        <v>1</v>
      </c>
      <c r="R112" s="2" t="inlineStr">
        <is>
          <t>Mindre hackspett</t>
        </is>
      </c>
      <c r="S112">
        <f>HYPERLINK("https://klasma.github.io/Logging_0188/artfynd/A 24330-2023 artfynd.xlsx", "A 24330-2023")</f>
        <v/>
      </c>
      <c r="T112">
        <f>HYPERLINK("https://klasma.github.io/Logging_0188/kartor/A 24330-2023 karta.png", "A 24330-2023")</f>
        <v/>
      </c>
      <c r="V112">
        <f>HYPERLINK("https://klasma.github.io/Logging_0188/klagomål/A 24330-2023 FSC-klagomål.docx", "A 24330-2023")</f>
        <v/>
      </c>
      <c r="W112">
        <f>HYPERLINK("https://klasma.github.io/Logging_0188/klagomålsmail/A 24330-2023 FSC-klagomål mail.docx", "A 24330-2023")</f>
        <v/>
      </c>
      <c r="X112">
        <f>HYPERLINK("https://klasma.github.io/Logging_0188/tillsyn/A 24330-2023 tillsynsbegäran.docx", "A 24330-2023")</f>
        <v/>
      </c>
      <c r="Y112">
        <f>HYPERLINK("https://klasma.github.io/Logging_0188/tillsynsmail/A 24330-2023 tillsynsbegäran mail.docx", "A 24330-2023")</f>
        <v/>
      </c>
      <c r="Z112">
        <f>HYPERLINK("https://klasma.github.io/Logging_0188/fåglar/A 24330-2023 prioriterade fågelarter.docx", "A 24330-2023")</f>
        <v/>
      </c>
    </row>
    <row r="113" ht="15" customHeight="1">
      <c r="A113" t="inlineStr">
        <is>
          <t>A 21744-2023</t>
        </is>
      </c>
      <c r="B113" s="1" t="n">
        <v>45065</v>
      </c>
      <c r="C113" s="1" t="n">
        <v>45988</v>
      </c>
      <c r="D113" t="inlineStr">
        <is>
          <t>STOCKHOLMS LÄN</t>
        </is>
      </c>
      <c r="E113" t="inlineStr">
        <is>
          <t>NORRTÄLJE</t>
        </is>
      </c>
      <c r="F113" t="inlineStr">
        <is>
          <t>Holmen skog AB</t>
        </is>
      </c>
      <c r="G113" t="n">
        <v>4.2</v>
      </c>
      <c r="H113" t="n">
        <v>0</v>
      </c>
      <c r="I113" t="n">
        <v>1</v>
      </c>
      <c r="J113" t="n">
        <v>0</v>
      </c>
      <c r="K113" t="n">
        <v>0</v>
      </c>
      <c r="L113" t="n">
        <v>0</v>
      </c>
      <c r="M113" t="n">
        <v>0</v>
      </c>
      <c r="N113" t="n">
        <v>0</v>
      </c>
      <c r="O113" t="n">
        <v>0</v>
      </c>
      <c r="P113" t="n">
        <v>0</v>
      </c>
      <c r="Q113" t="n">
        <v>1</v>
      </c>
      <c r="R113" s="2" t="inlineStr">
        <is>
          <t>Korallblylav</t>
        </is>
      </c>
      <c r="S113">
        <f>HYPERLINK("https://klasma.github.io/Logging_0188/artfynd/A 21744-2023 artfynd.xlsx", "A 21744-2023")</f>
        <v/>
      </c>
      <c r="T113">
        <f>HYPERLINK("https://klasma.github.io/Logging_0188/kartor/A 21744-2023 karta.png", "A 21744-2023")</f>
        <v/>
      </c>
      <c r="V113">
        <f>HYPERLINK("https://klasma.github.io/Logging_0188/klagomål/A 21744-2023 FSC-klagomål.docx", "A 21744-2023")</f>
        <v/>
      </c>
      <c r="W113">
        <f>HYPERLINK("https://klasma.github.io/Logging_0188/klagomålsmail/A 21744-2023 FSC-klagomål mail.docx", "A 21744-2023")</f>
        <v/>
      </c>
      <c r="X113">
        <f>HYPERLINK("https://klasma.github.io/Logging_0188/tillsyn/A 21744-2023 tillsynsbegäran.docx", "A 21744-2023")</f>
        <v/>
      </c>
      <c r="Y113">
        <f>HYPERLINK("https://klasma.github.io/Logging_0188/tillsynsmail/A 21744-2023 tillsynsbegäran mail.docx", "A 21744-2023")</f>
        <v/>
      </c>
    </row>
    <row r="114" ht="15" customHeight="1">
      <c r="A114" t="inlineStr">
        <is>
          <t>A 1162-2021</t>
        </is>
      </c>
      <c r="B114" s="1" t="n">
        <v>44207</v>
      </c>
      <c r="C114" s="1" t="n">
        <v>45988</v>
      </c>
      <c r="D114" t="inlineStr">
        <is>
          <t>STOCKHOLMS LÄN</t>
        </is>
      </c>
      <c r="E114" t="inlineStr">
        <is>
          <t>NORRTÄLJE</t>
        </is>
      </c>
      <c r="G114" t="n">
        <v>2.2</v>
      </c>
      <c r="H114" t="n">
        <v>1</v>
      </c>
      <c r="I114" t="n">
        <v>0</v>
      </c>
      <c r="J114" t="n">
        <v>0</v>
      </c>
      <c r="K114" t="n">
        <v>1</v>
      </c>
      <c r="L114" t="n">
        <v>0</v>
      </c>
      <c r="M114" t="n">
        <v>0</v>
      </c>
      <c r="N114" t="n">
        <v>0</v>
      </c>
      <c r="O114" t="n">
        <v>1</v>
      </c>
      <c r="P114" t="n">
        <v>1</v>
      </c>
      <c r="Q114" t="n">
        <v>1</v>
      </c>
      <c r="R114" s="2" t="inlineStr">
        <is>
          <t>Hällebräcka</t>
        </is>
      </c>
      <c r="S114">
        <f>HYPERLINK("https://klasma.github.io/Logging_0188/artfynd/A 1162-2021 artfynd.xlsx", "A 1162-2021")</f>
        <v/>
      </c>
      <c r="T114">
        <f>HYPERLINK("https://klasma.github.io/Logging_0188/kartor/A 1162-2021 karta.png", "A 1162-2021")</f>
        <v/>
      </c>
      <c r="V114">
        <f>HYPERLINK("https://klasma.github.io/Logging_0188/klagomål/A 1162-2021 FSC-klagomål.docx", "A 1162-2021")</f>
        <v/>
      </c>
      <c r="W114">
        <f>HYPERLINK("https://klasma.github.io/Logging_0188/klagomålsmail/A 1162-2021 FSC-klagomål mail.docx", "A 1162-2021")</f>
        <v/>
      </c>
      <c r="X114">
        <f>HYPERLINK("https://klasma.github.io/Logging_0188/tillsyn/A 1162-2021 tillsynsbegäran.docx", "A 1162-2021")</f>
        <v/>
      </c>
      <c r="Y114">
        <f>HYPERLINK("https://klasma.github.io/Logging_0188/tillsynsmail/A 1162-2021 tillsynsbegäran mail.docx", "A 1162-2021")</f>
        <v/>
      </c>
    </row>
    <row r="115" ht="15" customHeight="1">
      <c r="A115" t="inlineStr">
        <is>
          <t>A 52611-2024</t>
        </is>
      </c>
      <c r="B115" s="1" t="n">
        <v>45609.83747685186</v>
      </c>
      <c r="C115" s="1" t="n">
        <v>45988</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17952-2022</t>
        </is>
      </c>
      <c r="B116" s="1" t="n">
        <v>44683</v>
      </c>
      <c r="C116" s="1" t="n">
        <v>45988</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26635-2023</t>
        </is>
      </c>
      <c r="B117" s="1" t="n">
        <v>45092</v>
      </c>
      <c r="C117" s="1" t="n">
        <v>45988</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47898-2022</t>
        </is>
      </c>
      <c r="B118" s="1" t="n">
        <v>44855</v>
      </c>
      <c r="C118" s="1" t="n">
        <v>45988</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16870-2025</t>
        </is>
      </c>
      <c r="B119" s="1" t="n">
        <v>45754</v>
      </c>
      <c r="C119" s="1" t="n">
        <v>45988</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14365-2025</t>
        </is>
      </c>
      <c r="B120" s="1" t="n">
        <v>45741.38688657407</v>
      </c>
      <c r="C120" s="1" t="n">
        <v>45988</v>
      </c>
      <c r="D120" t="inlineStr">
        <is>
          <t>STOCKHOLMS LÄN</t>
        </is>
      </c>
      <c r="E120" t="inlineStr">
        <is>
          <t>NORRTÄLJE</t>
        </is>
      </c>
      <c r="G120" t="n">
        <v>2.4</v>
      </c>
      <c r="H120" t="n">
        <v>0</v>
      </c>
      <c r="I120" t="n">
        <v>0</v>
      </c>
      <c r="J120" t="n">
        <v>1</v>
      </c>
      <c r="K120" t="n">
        <v>0</v>
      </c>
      <c r="L120" t="n">
        <v>0</v>
      </c>
      <c r="M120" t="n">
        <v>0</v>
      </c>
      <c r="N120" t="n">
        <v>0</v>
      </c>
      <c r="O120" t="n">
        <v>1</v>
      </c>
      <c r="P120" t="n">
        <v>0</v>
      </c>
      <c r="Q120" t="n">
        <v>1</v>
      </c>
      <c r="R120" s="2" t="inlineStr">
        <is>
          <t>Granticka</t>
        </is>
      </c>
      <c r="S120">
        <f>HYPERLINK("https://klasma.github.io/Logging_0188/artfynd/A 14365-2025 artfynd.xlsx", "A 14365-2025")</f>
        <v/>
      </c>
      <c r="T120">
        <f>HYPERLINK("https://klasma.github.io/Logging_0188/kartor/A 14365-2025 karta.png", "A 14365-2025")</f>
        <v/>
      </c>
      <c r="V120">
        <f>HYPERLINK("https://klasma.github.io/Logging_0188/klagomål/A 14365-2025 FSC-klagomål.docx", "A 14365-2025")</f>
        <v/>
      </c>
      <c r="W120">
        <f>HYPERLINK("https://klasma.github.io/Logging_0188/klagomålsmail/A 14365-2025 FSC-klagomål mail.docx", "A 14365-2025")</f>
        <v/>
      </c>
      <c r="X120">
        <f>HYPERLINK("https://klasma.github.io/Logging_0188/tillsyn/A 14365-2025 tillsynsbegäran.docx", "A 14365-2025")</f>
        <v/>
      </c>
      <c r="Y120">
        <f>HYPERLINK("https://klasma.github.io/Logging_0188/tillsynsmail/A 14365-2025 tillsynsbegäran mail.docx", "A 14365-2025")</f>
        <v/>
      </c>
    </row>
    <row r="121" ht="15" customHeight="1">
      <c r="A121" t="inlineStr">
        <is>
          <t>A 32111-2022</t>
        </is>
      </c>
      <c r="B121" s="1" t="n">
        <v>44778.92797453704</v>
      </c>
      <c r="C121" s="1" t="n">
        <v>45988</v>
      </c>
      <c r="D121" t="inlineStr">
        <is>
          <t>STOCKHOLMS LÄN</t>
        </is>
      </c>
      <c r="E121" t="inlineStr">
        <is>
          <t>NORRTÄLJE</t>
        </is>
      </c>
      <c r="G121" t="n">
        <v>3.1</v>
      </c>
      <c r="H121" t="n">
        <v>0</v>
      </c>
      <c r="I121" t="n">
        <v>0</v>
      </c>
      <c r="J121" t="n">
        <v>1</v>
      </c>
      <c r="K121" t="n">
        <v>0</v>
      </c>
      <c r="L121" t="n">
        <v>0</v>
      </c>
      <c r="M121" t="n">
        <v>0</v>
      </c>
      <c r="N121" t="n">
        <v>0</v>
      </c>
      <c r="O121" t="n">
        <v>1</v>
      </c>
      <c r="P121" t="n">
        <v>0</v>
      </c>
      <c r="Q121" t="n">
        <v>1</v>
      </c>
      <c r="R121" s="2" t="inlineStr">
        <is>
          <t>Orange taggsvamp</t>
        </is>
      </c>
      <c r="S121">
        <f>HYPERLINK("https://klasma.github.io/Logging_0188/artfynd/A 32111-2022 artfynd.xlsx", "A 32111-2022")</f>
        <v/>
      </c>
      <c r="T121">
        <f>HYPERLINK("https://klasma.github.io/Logging_0188/kartor/A 32111-2022 karta.png", "A 32111-2022")</f>
        <v/>
      </c>
      <c r="V121">
        <f>HYPERLINK("https://klasma.github.io/Logging_0188/klagomål/A 32111-2022 FSC-klagomål.docx", "A 32111-2022")</f>
        <v/>
      </c>
      <c r="W121">
        <f>HYPERLINK("https://klasma.github.io/Logging_0188/klagomålsmail/A 32111-2022 FSC-klagomål mail.docx", "A 32111-2022")</f>
        <v/>
      </c>
      <c r="X121">
        <f>HYPERLINK("https://klasma.github.io/Logging_0188/tillsyn/A 32111-2022 tillsynsbegäran.docx", "A 32111-2022")</f>
        <v/>
      </c>
      <c r="Y121">
        <f>HYPERLINK("https://klasma.github.io/Logging_0188/tillsynsmail/A 32111-2022 tillsynsbegäran mail.docx", "A 32111-2022")</f>
        <v/>
      </c>
    </row>
    <row r="122" ht="15" customHeight="1">
      <c r="A122" t="inlineStr">
        <is>
          <t>A 4385-2023</t>
        </is>
      </c>
      <c r="B122" s="1" t="n">
        <v>44955.71322916666</v>
      </c>
      <c r="C122" s="1" t="n">
        <v>45988</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4860-2022</t>
        </is>
      </c>
      <c r="B123" s="1" t="n">
        <v>44592</v>
      </c>
      <c r="C123" s="1" t="n">
        <v>45988</v>
      </c>
      <c r="D123" t="inlineStr">
        <is>
          <t>STOCKHOLMS LÄN</t>
        </is>
      </c>
      <c r="E123" t="inlineStr">
        <is>
          <t>NORRTÄLJE</t>
        </is>
      </c>
      <c r="G123" t="n">
        <v>22.3</v>
      </c>
      <c r="H123" t="n">
        <v>0</v>
      </c>
      <c r="I123" t="n">
        <v>0</v>
      </c>
      <c r="J123" t="n">
        <v>1</v>
      </c>
      <c r="K123" t="n">
        <v>0</v>
      </c>
      <c r="L123" t="n">
        <v>0</v>
      </c>
      <c r="M123" t="n">
        <v>0</v>
      </c>
      <c r="N123" t="n">
        <v>0</v>
      </c>
      <c r="O123" t="n">
        <v>1</v>
      </c>
      <c r="P123" t="n">
        <v>0</v>
      </c>
      <c r="Q123" t="n">
        <v>1</v>
      </c>
      <c r="R123" s="2" t="inlineStr">
        <is>
          <t>Igelkott</t>
        </is>
      </c>
      <c r="S123">
        <f>HYPERLINK("https://klasma.github.io/Logging_0188/artfynd/A 4860-2022 artfynd.xlsx", "A 4860-2022")</f>
        <v/>
      </c>
      <c r="T123">
        <f>HYPERLINK("https://klasma.github.io/Logging_0188/kartor/A 4860-2022 karta.png", "A 4860-2022")</f>
        <v/>
      </c>
      <c r="V123">
        <f>HYPERLINK("https://klasma.github.io/Logging_0188/klagomål/A 4860-2022 FSC-klagomål.docx", "A 4860-2022")</f>
        <v/>
      </c>
      <c r="W123">
        <f>HYPERLINK("https://klasma.github.io/Logging_0188/klagomålsmail/A 4860-2022 FSC-klagomål mail.docx", "A 4860-2022")</f>
        <v/>
      </c>
      <c r="X123">
        <f>HYPERLINK("https://klasma.github.io/Logging_0188/tillsyn/A 4860-2022 tillsynsbegäran.docx", "A 4860-2022")</f>
        <v/>
      </c>
      <c r="Y123">
        <f>HYPERLINK("https://klasma.github.io/Logging_0188/tillsynsmail/A 4860-2022 tillsynsbegäran mail.docx", "A 4860-2022")</f>
        <v/>
      </c>
    </row>
    <row r="124" ht="15" customHeight="1">
      <c r="A124" t="inlineStr">
        <is>
          <t>A 19829-2022</t>
        </is>
      </c>
      <c r="B124" s="1" t="n">
        <v>44695.43527777777</v>
      </c>
      <c r="C124" s="1" t="n">
        <v>45988</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52508-2023</t>
        </is>
      </c>
      <c r="B125" s="1" t="n">
        <v>45225</v>
      </c>
      <c r="C125" s="1" t="n">
        <v>45988</v>
      </c>
      <c r="D125" t="inlineStr">
        <is>
          <t>STOCKHOLMS LÄN</t>
        </is>
      </c>
      <c r="E125" t="inlineStr">
        <is>
          <t>NORRTÄLJE</t>
        </is>
      </c>
      <c r="G125" t="n">
        <v>19.7</v>
      </c>
      <c r="H125" t="n">
        <v>1</v>
      </c>
      <c r="I125" t="n">
        <v>0</v>
      </c>
      <c r="J125" t="n">
        <v>0</v>
      </c>
      <c r="K125" t="n">
        <v>1</v>
      </c>
      <c r="L125" t="n">
        <v>0</v>
      </c>
      <c r="M125" t="n">
        <v>0</v>
      </c>
      <c r="N125" t="n">
        <v>0</v>
      </c>
      <c r="O125" t="n">
        <v>1</v>
      </c>
      <c r="P125" t="n">
        <v>1</v>
      </c>
      <c r="Q125" t="n">
        <v>1</v>
      </c>
      <c r="R125" s="2" t="inlineStr">
        <is>
          <t>Svärta</t>
        </is>
      </c>
      <c r="S125">
        <f>HYPERLINK("https://klasma.github.io/Logging_0188/artfynd/A 52508-2023 artfynd.xlsx", "A 52508-2023")</f>
        <v/>
      </c>
      <c r="T125">
        <f>HYPERLINK("https://klasma.github.io/Logging_0188/kartor/A 52508-2023 karta.png", "A 52508-2023")</f>
        <v/>
      </c>
      <c r="V125">
        <f>HYPERLINK("https://klasma.github.io/Logging_0188/klagomål/A 52508-2023 FSC-klagomål.docx", "A 52508-2023")</f>
        <v/>
      </c>
      <c r="W125">
        <f>HYPERLINK("https://klasma.github.io/Logging_0188/klagomålsmail/A 52508-2023 FSC-klagomål mail.docx", "A 52508-2023")</f>
        <v/>
      </c>
      <c r="X125">
        <f>HYPERLINK("https://klasma.github.io/Logging_0188/tillsyn/A 52508-2023 tillsynsbegäran.docx", "A 52508-2023")</f>
        <v/>
      </c>
      <c r="Y125">
        <f>HYPERLINK("https://klasma.github.io/Logging_0188/tillsynsmail/A 52508-2023 tillsynsbegäran mail.docx", "A 52508-2023")</f>
        <v/>
      </c>
    </row>
    <row r="126" ht="15" customHeight="1">
      <c r="A126" t="inlineStr">
        <is>
          <t>A 27827-2022</t>
        </is>
      </c>
      <c r="B126" s="1" t="n">
        <v>44743.59504629629</v>
      </c>
      <c r="C126" s="1" t="n">
        <v>45988</v>
      </c>
      <c r="D126" t="inlineStr">
        <is>
          <t>STOCKHOLMS LÄN</t>
        </is>
      </c>
      <c r="E126" t="inlineStr">
        <is>
          <t>NORRTÄLJE</t>
        </is>
      </c>
      <c r="F126" t="inlineStr">
        <is>
          <t>Holmen skog AB</t>
        </is>
      </c>
      <c r="G126" t="n">
        <v>4.7</v>
      </c>
      <c r="H126" t="n">
        <v>1</v>
      </c>
      <c r="I126" t="n">
        <v>0</v>
      </c>
      <c r="J126" t="n">
        <v>1</v>
      </c>
      <c r="K126" t="n">
        <v>0</v>
      </c>
      <c r="L126" t="n">
        <v>0</v>
      </c>
      <c r="M126" t="n">
        <v>0</v>
      </c>
      <c r="N126" t="n">
        <v>0</v>
      </c>
      <c r="O126" t="n">
        <v>1</v>
      </c>
      <c r="P126" t="n">
        <v>0</v>
      </c>
      <c r="Q126" t="n">
        <v>1</v>
      </c>
      <c r="R126" s="2" t="inlineStr">
        <is>
          <t>Nordfladdermus</t>
        </is>
      </c>
      <c r="S126">
        <f>HYPERLINK("https://klasma.github.io/Logging_0188/artfynd/A 27827-2022 artfynd.xlsx", "A 27827-2022")</f>
        <v/>
      </c>
      <c r="T126">
        <f>HYPERLINK("https://klasma.github.io/Logging_0188/kartor/A 27827-2022 karta.png", "A 27827-2022")</f>
        <v/>
      </c>
      <c r="V126">
        <f>HYPERLINK("https://klasma.github.io/Logging_0188/klagomål/A 27827-2022 FSC-klagomål.docx", "A 27827-2022")</f>
        <v/>
      </c>
      <c r="W126">
        <f>HYPERLINK("https://klasma.github.io/Logging_0188/klagomålsmail/A 27827-2022 FSC-klagomål mail.docx", "A 27827-2022")</f>
        <v/>
      </c>
      <c r="X126">
        <f>HYPERLINK("https://klasma.github.io/Logging_0188/tillsyn/A 27827-2022 tillsynsbegäran.docx", "A 27827-2022")</f>
        <v/>
      </c>
      <c r="Y126">
        <f>HYPERLINK("https://klasma.github.io/Logging_0188/tillsynsmail/A 27827-2022 tillsynsbegäran mail.docx", "A 27827-2022")</f>
        <v/>
      </c>
    </row>
    <row r="127" ht="15" customHeight="1">
      <c r="A127" t="inlineStr">
        <is>
          <t>A 23146-2024</t>
        </is>
      </c>
      <c r="B127" s="1" t="n">
        <v>45450.63958333333</v>
      </c>
      <c r="C127" s="1" t="n">
        <v>45988</v>
      </c>
      <c r="D127" t="inlineStr">
        <is>
          <t>STOCKHOLMS LÄN</t>
        </is>
      </c>
      <c r="E127" t="inlineStr">
        <is>
          <t>NORRTÄLJE</t>
        </is>
      </c>
      <c r="F127" t="inlineStr">
        <is>
          <t>Kommuner</t>
        </is>
      </c>
      <c r="G127" t="n">
        <v>6</v>
      </c>
      <c r="H127" t="n">
        <v>0</v>
      </c>
      <c r="I127" t="n">
        <v>0</v>
      </c>
      <c r="J127" t="n">
        <v>1</v>
      </c>
      <c r="K127" t="n">
        <v>0</v>
      </c>
      <c r="L127" t="n">
        <v>0</v>
      </c>
      <c r="M127" t="n">
        <v>0</v>
      </c>
      <c r="N127" t="n">
        <v>0</v>
      </c>
      <c r="O127" t="n">
        <v>1</v>
      </c>
      <c r="P127" t="n">
        <v>0</v>
      </c>
      <c r="Q127" t="n">
        <v>1</v>
      </c>
      <c r="R127" s="2" t="inlineStr">
        <is>
          <t>Motaggsvamp</t>
        </is>
      </c>
      <c r="S127">
        <f>HYPERLINK("https://klasma.github.io/Logging_0188/artfynd/A 23146-2024 artfynd.xlsx", "A 23146-2024")</f>
        <v/>
      </c>
      <c r="T127">
        <f>HYPERLINK("https://klasma.github.io/Logging_0188/kartor/A 23146-2024 karta.png", "A 23146-2024")</f>
        <v/>
      </c>
      <c r="V127">
        <f>HYPERLINK("https://klasma.github.io/Logging_0188/klagomål/A 23146-2024 FSC-klagomål.docx", "A 23146-2024")</f>
        <v/>
      </c>
      <c r="W127">
        <f>HYPERLINK("https://klasma.github.io/Logging_0188/klagomålsmail/A 23146-2024 FSC-klagomål mail.docx", "A 23146-2024")</f>
        <v/>
      </c>
      <c r="X127">
        <f>HYPERLINK("https://klasma.github.io/Logging_0188/tillsyn/A 23146-2024 tillsynsbegäran.docx", "A 23146-2024")</f>
        <v/>
      </c>
      <c r="Y127">
        <f>HYPERLINK("https://klasma.github.io/Logging_0188/tillsynsmail/A 23146-2024 tillsynsbegäran mail.docx", "A 23146-2024")</f>
        <v/>
      </c>
    </row>
    <row r="128" ht="15" customHeight="1">
      <c r="A128" t="inlineStr">
        <is>
          <t>A 27538-2024</t>
        </is>
      </c>
      <c r="B128" s="1" t="n">
        <v>45474</v>
      </c>
      <c r="C128" s="1" t="n">
        <v>45988</v>
      </c>
      <c r="D128" t="inlineStr">
        <is>
          <t>STOCKHOLMS LÄN</t>
        </is>
      </c>
      <c r="E128" t="inlineStr">
        <is>
          <t>NORRTÄLJE</t>
        </is>
      </c>
      <c r="G128" t="n">
        <v>1.5</v>
      </c>
      <c r="H128" t="n">
        <v>1</v>
      </c>
      <c r="I128" t="n">
        <v>1</v>
      </c>
      <c r="J128" t="n">
        <v>0</v>
      </c>
      <c r="K128" t="n">
        <v>0</v>
      </c>
      <c r="L128" t="n">
        <v>0</v>
      </c>
      <c r="M128" t="n">
        <v>0</v>
      </c>
      <c r="N128" t="n">
        <v>0</v>
      </c>
      <c r="O128" t="n">
        <v>0</v>
      </c>
      <c r="P128" t="n">
        <v>0</v>
      </c>
      <c r="Q128" t="n">
        <v>1</v>
      </c>
      <c r="R128" s="2" t="inlineStr">
        <is>
          <t>Skogsknipprot</t>
        </is>
      </c>
      <c r="S128">
        <f>HYPERLINK("https://klasma.github.io/Logging_0188/artfynd/A 27538-2024 artfynd.xlsx", "A 27538-2024")</f>
        <v/>
      </c>
      <c r="T128">
        <f>HYPERLINK("https://klasma.github.io/Logging_0188/kartor/A 27538-2024 karta.png", "A 27538-2024")</f>
        <v/>
      </c>
      <c r="V128">
        <f>HYPERLINK("https://klasma.github.io/Logging_0188/klagomål/A 27538-2024 FSC-klagomål.docx", "A 27538-2024")</f>
        <v/>
      </c>
      <c r="W128">
        <f>HYPERLINK("https://klasma.github.io/Logging_0188/klagomålsmail/A 27538-2024 FSC-klagomål mail.docx", "A 27538-2024")</f>
        <v/>
      </c>
      <c r="X128">
        <f>HYPERLINK("https://klasma.github.io/Logging_0188/tillsyn/A 27538-2024 tillsynsbegäran.docx", "A 27538-2024")</f>
        <v/>
      </c>
      <c r="Y128">
        <f>HYPERLINK("https://klasma.github.io/Logging_0188/tillsynsmail/A 27538-2024 tillsynsbegäran mail.docx", "A 27538-2024")</f>
        <v/>
      </c>
    </row>
    <row r="129" ht="15" customHeight="1">
      <c r="A129" t="inlineStr">
        <is>
          <t>A 48131-2023</t>
        </is>
      </c>
      <c r="B129" s="1" t="n">
        <v>45205</v>
      </c>
      <c r="C129" s="1" t="n">
        <v>45988</v>
      </c>
      <c r="D129" t="inlineStr">
        <is>
          <t>STOCKHOLMS LÄN</t>
        </is>
      </c>
      <c r="E129" t="inlineStr">
        <is>
          <t>NORRTÄLJE</t>
        </is>
      </c>
      <c r="G129" t="n">
        <v>2.3</v>
      </c>
      <c r="H129" t="n">
        <v>0</v>
      </c>
      <c r="I129" t="n">
        <v>0</v>
      </c>
      <c r="J129" t="n">
        <v>1</v>
      </c>
      <c r="K129" t="n">
        <v>0</v>
      </c>
      <c r="L129" t="n">
        <v>0</v>
      </c>
      <c r="M129" t="n">
        <v>0</v>
      </c>
      <c r="N129" t="n">
        <v>0</v>
      </c>
      <c r="O129" t="n">
        <v>1</v>
      </c>
      <c r="P129" t="n">
        <v>0</v>
      </c>
      <c r="Q129" t="n">
        <v>1</v>
      </c>
      <c r="R129" s="2" t="inlineStr">
        <is>
          <t>Slåtterfibbla</t>
        </is>
      </c>
      <c r="S129">
        <f>HYPERLINK("https://klasma.github.io/Logging_0188/artfynd/A 48131-2023 artfynd.xlsx", "A 48131-2023")</f>
        <v/>
      </c>
      <c r="T129">
        <f>HYPERLINK("https://klasma.github.io/Logging_0188/kartor/A 48131-2023 karta.png", "A 48131-2023")</f>
        <v/>
      </c>
      <c r="V129">
        <f>HYPERLINK("https://klasma.github.io/Logging_0188/klagomål/A 48131-2023 FSC-klagomål.docx", "A 48131-2023")</f>
        <v/>
      </c>
      <c r="W129">
        <f>HYPERLINK("https://klasma.github.io/Logging_0188/klagomålsmail/A 48131-2023 FSC-klagomål mail.docx", "A 48131-2023")</f>
        <v/>
      </c>
      <c r="X129">
        <f>HYPERLINK("https://klasma.github.io/Logging_0188/tillsyn/A 48131-2023 tillsynsbegäran.docx", "A 48131-2023")</f>
        <v/>
      </c>
      <c r="Y129">
        <f>HYPERLINK("https://klasma.github.io/Logging_0188/tillsynsmail/A 48131-2023 tillsynsbegäran mail.docx", "A 48131-2023")</f>
        <v/>
      </c>
    </row>
    <row r="130" ht="15" customHeight="1">
      <c r="A130" t="inlineStr">
        <is>
          <t>A 21150-2022</t>
        </is>
      </c>
      <c r="B130" s="1" t="n">
        <v>44704</v>
      </c>
      <c r="C130" s="1" t="n">
        <v>45988</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21150-2022 artfynd.xlsx", "A 21150-2022")</f>
        <v/>
      </c>
      <c r="T130">
        <f>HYPERLINK("https://klasma.github.io/Logging_0188/kartor/A 21150-2022 karta.png", "A 21150-2022")</f>
        <v/>
      </c>
      <c r="V130">
        <f>HYPERLINK("https://klasma.github.io/Logging_0188/klagomål/A 21150-2022 FSC-klagomål.docx", "A 21150-2022")</f>
        <v/>
      </c>
      <c r="W130">
        <f>HYPERLINK("https://klasma.github.io/Logging_0188/klagomålsmail/A 21150-2022 FSC-klagomål mail.docx", "A 21150-2022")</f>
        <v/>
      </c>
      <c r="X130">
        <f>HYPERLINK("https://klasma.github.io/Logging_0188/tillsyn/A 21150-2022 tillsynsbegäran.docx", "A 21150-2022")</f>
        <v/>
      </c>
      <c r="Y130">
        <f>HYPERLINK("https://klasma.github.io/Logging_0188/tillsynsmail/A 21150-2022 tillsynsbegäran mail.docx", "A 21150-2022")</f>
        <v/>
      </c>
    </row>
    <row r="131" ht="15" customHeight="1">
      <c r="A131" t="inlineStr">
        <is>
          <t>A 58888-2021</t>
        </is>
      </c>
      <c r="B131" s="1" t="n">
        <v>44489</v>
      </c>
      <c r="C131" s="1" t="n">
        <v>45988</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1970-2021</t>
        </is>
      </c>
      <c r="B132" s="1" t="n">
        <v>44210</v>
      </c>
      <c r="C132" s="1" t="n">
        <v>45988</v>
      </c>
      <c r="D132" t="inlineStr">
        <is>
          <t>STOCKHOLMS LÄN</t>
        </is>
      </c>
      <c r="E132" t="inlineStr">
        <is>
          <t>NORRTÄLJE</t>
        </is>
      </c>
      <c r="G132" t="n">
        <v>3.1</v>
      </c>
      <c r="H132" t="n">
        <v>0</v>
      </c>
      <c r="I132" t="n">
        <v>0</v>
      </c>
      <c r="J132" t="n">
        <v>0</v>
      </c>
      <c r="K132" t="n">
        <v>0</v>
      </c>
      <c r="L132" t="n">
        <v>0</v>
      </c>
      <c r="M132" t="n">
        <v>0</v>
      </c>
      <c r="N132" t="n">
        <v>0</v>
      </c>
      <c r="O132" t="n">
        <v>0</v>
      </c>
      <c r="P132" t="n">
        <v>0</v>
      </c>
      <c r="Q132" t="n">
        <v>0</v>
      </c>
      <c r="R132" s="2" t="inlineStr"/>
    </row>
    <row r="133" ht="15" customHeight="1">
      <c r="A133" t="inlineStr">
        <is>
          <t>A 1637-2021</t>
        </is>
      </c>
      <c r="B133" s="1" t="n">
        <v>44209</v>
      </c>
      <c r="C133" s="1" t="n">
        <v>45988</v>
      </c>
      <c r="D133" t="inlineStr">
        <is>
          <t>STOCKHOLMS LÄN</t>
        </is>
      </c>
      <c r="E133" t="inlineStr">
        <is>
          <t>NORRTÄLJE</t>
        </is>
      </c>
      <c r="G133" t="n">
        <v>1.6</v>
      </c>
      <c r="H133" t="n">
        <v>0</v>
      </c>
      <c r="I133" t="n">
        <v>0</v>
      </c>
      <c r="J133" t="n">
        <v>0</v>
      </c>
      <c r="K133" t="n">
        <v>0</v>
      </c>
      <c r="L133" t="n">
        <v>0</v>
      </c>
      <c r="M133" t="n">
        <v>0</v>
      </c>
      <c r="N133" t="n">
        <v>0</v>
      </c>
      <c r="O133" t="n">
        <v>0</v>
      </c>
      <c r="P133" t="n">
        <v>0</v>
      </c>
      <c r="Q133" t="n">
        <v>0</v>
      </c>
      <c r="R133" s="2" t="inlineStr"/>
    </row>
    <row r="134" ht="15" customHeight="1">
      <c r="A134" t="inlineStr">
        <is>
          <t>A 18580-2021</t>
        </is>
      </c>
      <c r="B134" s="1" t="n">
        <v>44306</v>
      </c>
      <c r="C134" s="1" t="n">
        <v>45988</v>
      </c>
      <c r="D134" t="inlineStr">
        <is>
          <t>STOCKHOLMS LÄN</t>
        </is>
      </c>
      <c r="E134" t="inlineStr">
        <is>
          <t>NORRTÄLJE</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12877-2022</t>
        </is>
      </c>
      <c r="B135" s="1" t="n">
        <v>44642</v>
      </c>
      <c r="C135" s="1" t="n">
        <v>45988</v>
      </c>
      <c r="D135" t="inlineStr">
        <is>
          <t>STOCKHOLMS LÄN</t>
        </is>
      </c>
      <c r="E135" t="inlineStr">
        <is>
          <t>NORRTÄLJE</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71543-2021</t>
        </is>
      </c>
      <c r="B136" s="1" t="n">
        <v>44540</v>
      </c>
      <c r="C136" s="1" t="n">
        <v>45988</v>
      </c>
      <c r="D136" t="inlineStr">
        <is>
          <t>STOCKHOLMS LÄN</t>
        </is>
      </c>
      <c r="E136" t="inlineStr">
        <is>
          <t>NORRTÄLJE</t>
        </is>
      </c>
      <c r="G136" t="n">
        <v>1.8</v>
      </c>
      <c r="H136" t="n">
        <v>0</v>
      </c>
      <c r="I136" t="n">
        <v>0</v>
      </c>
      <c r="J136" t="n">
        <v>0</v>
      </c>
      <c r="K136" t="n">
        <v>0</v>
      </c>
      <c r="L136" t="n">
        <v>0</v>
      </c>
      <c r="M136" t="n">
        <v>0</v>
      </c>
      <c r="N136" t="n">
        <v>0</v>
      </c>
      <c r="O136" t="n">
        <v>0</v>
      </c>
      <c r="P136" t="n">
        <v>0</v>
      </c>
      <c r="Q136" t="n">
        <v>0</v>
      </c>
      <c r="R136" s="2" t="inlineStr"/>
    </row>
    <row r="137" ht="15" customHeight="1">
      <c r="A137" t="inlineStr">
        <is>
          <t>A 14036-2022</t>
        </is>
      </c>
      <c r="B137" s="1" t="n">
        <v>44650.8699537037</v>
      </c>
      <c r="C137" s="1" t="n">
        <v>45988</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47344-2021</t>
        </is>
      </c>
      <c r="B138" s="1" t="n">
        <v>44447</v>
      </c>
      <c r="C138" s="1" t="n">
        <v>45988</v>
      </c>
      <c r="D138" t="inlineStr">
        <is>
          <t>STOCKHOLMS LÄN</t>
        </is>
      </c>
      <c r="E138" t="inlineStr">
        <is>
          <t>NORRTÄLJE</t>
        </is>
      </c>
      <c r="G138" t="n">
        <v>3.3</v>
      </c>
      <c r="H138" t="n">
        <v>0</v>
      </c>
      <c r="I138" t="n">
        <v>0</v>
      </c>
      <c r="J138" t="n">
        <v>0</v>
      </c>
      <c r="K138" t="n">
        <v>0</v>
      </c>
      <c r="L138" t="n">
        <v>0</v>
      </c>
      <c r="M138" t="n">
        <v>0</v>
      </c>
      <c r="N138" t="n">
        <v>0</v>
      </c>
      <c r="O138" t="n">
        <v>0</v>
      </c>
      <c r="P138" t="n">
        <v>0</v>
      </c>
      <c r="Q138" t="n">
        <v>0</v>
      </c>
      <c r="R138" s="2" t="inlineStr"/>
    </row>
    <row r="139" ht="15" customHeight="1">
      <c r="A139" t="inlineStr">
        <is>
          <t>A 43036-2022</t>
        </is>
      </c>
      <c r="B139" s="1" t="n">
        <v>44833</v>
      </c>
      <c r="C139" s="1" t="n">
        <v>45988</v>
      </c>
      <c r="D139" t="inlineStr">
        <is>
          <t>STOCKHOLMS LÄN</t>
        </is>
      </c>
      <c r="E139" t="inlineStr">
        <is>
          <t>NORRTÄLJE</t>
        </is>
      </c>
      <c r="F139" t="inlineStr">
        <is>
          <t>Kyrkan</t>
        </is>
      </c>
      <c r="G139" t="n">
        <v>1.7</v>
      </c>
      <c r="H139" t="n">
        <v>0</v>
      </c>
      <c r="I139" t="n">
        <v>0</v>
      </c>
      <c r="J139" t="n">
        <v>0</v>
      </c>
      <c r="K139" t="n">
        <v>0</v>
      </c>
      <c r="L139" t="n">
        <v>0</v>
      </c>
      <c r="M139" t="n">
        <v>0</v>
      </c>
      <c r="N139" t="n">
        <v>0</v>
      </c>
      <c r="O139" t="n">
        <v>0</v>
      </c>
      <c r="P139" t="n">
        <v>0</v>
      </c>
      <c r="Q139" t="n">
        <v>0</v>
      </c>
      <c r="R139" s="2" t="inlineStr"/>
    </row>
    <row r="140" ht="15" customHeight="1">
      <c r="A140" t="inlineStr">
        <is>
          <t>A 15289-2021</t>
        </is>
      </c>
      <c r="B140" s="1" t="n">
        <v>44284.59546296296</v>
      </c>
      <c r="C140" s="1" t="n">
        <v>45988</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40542-2021</t>
        </is>
      </c>
      <c r="B141" s="1" t="n">
        <v>44420</v>
      </c>
      <c r="C141" s="1" t="n">
        <v>45988</v>
      </c>
      <c r="D141" t="inlineStr">
        <is>
          <t>STOCKHOLMS LÄN</t>
        </is>
      </c>
      <c r="E141" t="inlineStr">
        <is>
          <t>NORRTÄLJE</t>
        </is>
      </c>
      <c r="G141" t="n">
        <v>0.4</v>
      </c>
      <c r="H141" t="n">
        <v>0</v>
      </c>
      <c r="I141" t="n">
        <v>0</v>
      </c>
      <c r="J141" t="n">
        <v>0</v>
      </c>
      <c r="K141" t="n">
        <v>0</v>
      </c>
      <c r="L141" t="n">
        <v>0</v>
      </c>
      <c r="M141" t="n">
        <v>0</v>
      </c>
      <c r="N141" t="n">
        <v>0</v>
      </c>
      <c r="O141" t="n">
        <v>0</v>
      </c>
      <c r="P141" t="n">
        <v>0</v>
      </c>
      <c r="Q141" t="n">
        <v>0</v>
      </c>
      <c r="R141" s="2" t="inlineStr"/>
    </row>
    <row r="142" ht="15" customHeight="1">
      <c r="A142" t="inlineStr">
        <is>
          <t>A 40546-2021</t>
        </is>
      </c>
      <c r="B142" s="1" t="n">
        <v>44420</v>
      </c>
      <c r="C142" s="1" t="n">
        <v>45988</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23096-2021</t>
        </is>
      </c>
      <c r="B143" s="1" t="n">
        <v>44330</v>
      </c>
      <c r="C143" s="1" t="n">
        <v>45988</v>
      </c>
      <c r="D143" t="inlineStr">
        <is>
          <t>STOCKHOLMS LÄN</t>
        </is>
      </c>
      <c r="E143" t="inlineStr">
        <is>
          <t>NORRTÄLJE</t>
        </is>
      </c>
      <c r="G143" t="n">
        <v>0.3</v>
      </c>
      <c r="H143" t="n">
        <v>0</v>
      </c>
      <c r="I143" t="n">
        <v>0</v>
      </c>
      <c r="J143" t="n">
        <v>0</v>
      </c>
      <c r="K143" t="n">
        <v>0</v>
      </c>
      <c r="L143" t="n">
        <v>0</v>
      </c>
      <c r="M143" t="n">
        <v>0</v>
      </c>
      <c r="N143" t="n">
        <v>0</v>
      </c>
      <c r="O143" t="n">
        <v>0</v>
      </c>
      <c r="P143" t="n">
        <v>0</v>
      </c>
      <c r="Q143" t="n">
        <v>0</v>
      </c>
      <c r="R143" s="2" t="inlineStr"/>
    </row>
    <row r="144" ht="15" customHeight="1">
      <c r="A144" t="inlineStr">
        <is>
          <t>A 24977-2022</t>
        </is>
      </c>
      <c r="B144" s="1" t="n">
        <v>44728.73465277778</v>
      </c>
      <c r="C144" s="1" t="n">
        <v>45988</v>
      </c>
      <c r="D144" t="inlineStr">
        <is>
          <t>STOCKHOLMS LÄN</t>
        </is>
      </c>
      <c r="E144" t="inlineStr">
        <is>
          <t>NORRTÄLJE</t>
        </is>
      </c>
      <c r="F144" t="inlineStr">
        <is>
          <t>Kyrkan</t>
        </is>
      </c>
      <c r="G144" t="n">
        <v>1</v>
      </c>
      <c r="H144" t="n">
        <v>0</v>
      </c>
      <c r="I144" t="n">
        <v>0</v>
      </c>
      <c r="J144" t="n">
        <v>0</v>
      </c>
      <c r="K144" t="n">
        <v>0</v>
      </c>
      <c r="L144" t="n">
        <v>0</v>
      </c>
      <c r="M144" t="n">
        <v>0</v>
      </c>
      <c r="N144" t="n">
        <v>0</v>
      </c>
      <c r="O144" t="n">
        <v>0</v>
      </c>
      <c r="P144" t="n">
        <v>0</v>
      </c>
      <c r="Q144" t="n">
        <v>0</v>
      </c>
      <c r="R144" s="2" t="inlineStr"/>
    </row>
    <row r="145" ht="15" customHeight="1">
      <c r="A145" t="inlineStr">
        <is>
          <t>A 31934-2022</t>
        </is>
      </c>
      <c r="B145" s="1" t="n">
        <v>44777</v>
      </c>
      <c r="C145" s="1" t="n">
        <v>45988</v>
      </c>
      <c r="D145" t="inlineStr">
        <is>
          <t>STOCKHOLMS LÄN</t>
        </is>
      </c>
      <c r="E145" t="inlineStr">
        <is>
          <t>NORRTÄLJE</t>
        </is>
      </c>
      <c r="G145" t="n">
        <v>1.2</v>
      </c>
      <c r="H145" t="n">
        <v>0</v>
      </c>
      <c r="I145" t="n">
        <v>0</v>
      </c>
      <c r="J145" t="n">
        <v>0</v>
      </c>
      <c r="K145" t="n">
        <v>0</v>
      </c>
      <c r="L145" t="n">
        <v>0</v>
      </c>
      <c r="M145" t="n">
        <v>0</v>
      </c>
      <c r="N145" t="n">
        <v>0</v>
      </c>
      <c r="O145" t="n">
        <v>0</v>
      </c>
      <c r="P145" t="n">
        <v>0</v>
      </c>
      <c r="Q145" t="n">
        <v>0</v>
      </c>
      <c r="R145" s="2" t="inlineStr"/>
    </row>
    <row r="146" ht="15" customHeight="1">
      <c r="A146" t="inlineStr">
        <is>
          <t>A 37815-2022</t>
        </is>
      </c>
      <c r="B146" s="1" t="n">
        <v>44810.85092592592</v>
      </c>
      <c r="C146" s="1" t="n">
        <v>45988</v>
      </c>
      <c r="D146" t="inlineStr">
        <is>
          <t>STOCKHOLMS LÄN</t>
        </is>
      </c>
      <c r="E146" t="inlineStr">
        <is>
          <t>NORRTÄLJE</t>
        </is>
      </c>
      <c r="G146" t="n">
        <v>1.3</v>
      </c>
      <c r="H146" t="n">
        <v>0</v>
      </c>
      <c r="I146" t="n">
        <v>0</v>
      </c>
      <c r="J146" t="n">
        <v>0</v>
      </c>
      <c r="K146" t="n">
        <v>0</v>
      </c>
      <c r="L146" t="n">
        <v>0</v>
      </c>
      <c r="M146" t="n">
        <v>0</v>
      </c>
      <c r="N146" t="n">
        <v>0</v>
      </c>
      <c r="O146" t="n">
        <v>0</v>
      </c>
      <c r="P146" t="n">
        <v>0</v>
      </c>
      <c r="Q146" t="n">
        <v>0</v>
      </c>
      <c r="R146" s="2" t="inlineStr"/>
    </row>
    <row r="147" ht="15" customHeight="1">
      <c r="A147" t="inlineStr">
        <is>
          <t>A 11821-2022</t>
        </is>
      </c>
      <c r="B147" s="1" t="n">
        <v>44634</v>
      </c>
      <c r="C147" s="1" t="n">
        <v>45988</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2977-2022</t>
        </is>
      </c>
      <c r="B148" s="1" t="n">
        <v>44581.75819444445</v>
      </c>
      <c r="C148" s="1" t="n">
        <v>45988</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73855-2021</t>
        </is>
      </c>
      <c r="B149" s="1" t="n">
        <v>44552</v>
      </c>
      <c r="C149" s="1" t="n">
        <v>45988</v>
      </c>
      <c r="D149" t="inlineStr">
        <is>
          <t>STOCKHOLMS LÄN</t>
        </is>
      </c>
      <c r="E149" t="inlineStr">
        <is>
          <t>NORRTÄLJE</t>
        </is>
      </c>
      <c r="F149" t="inlineStr">
        <is>
          <t>Övriga Aktiebolag</t>
        </is>
      </c>
      <c r="G149" t="n">
        <v>4</v>
      </c>
      <c r="H149" t="n">
        <v>0</v>
      </c>
      <c r="I149" t="n">
        <v>0</v>
      </c>
      <c r="J149" t="n">
        <v>0</v>
      </c>
      <c r="K149" t="n">
        <v>0</v>
      </c>
      <c r="L149" t="n">
        <v>0</v>
      </c>
      <c r="M149" t="n">
        <v>0</v>
      </c>
      <c r="N149" t="n">
        <v>0</v>
      </c>
      <c r="O149" t="n">
        <v>0</v>
      </c>
      <c r="P149" t="n">
        <v>0</v>
      </c>
      <c r="Q149" t="n">
        <v>0</v>
      </c>
      <c r="R149" s="2" t="inlineStr"/>
    </row>
    <row r="150" ht="15" customHeight="1">
      <c r="A150" t="inlineStr">
        <is>
          <t>A 74468-2021</t>
        </is>
      </c>
      <c r="B150" s="1" t="n">
        <v>44560</v>
      </c>
      <c r="C150" s="1" t="n">
        <v>45988</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54272-2021</t>
        </is>
      </c>
      <c r="B151" s="1" t="n">
        <v>44470.72148148148</v>
      </c>
      <c r="C151" s="1" t="n">
        <v>45988</v>
      </c>
      <c r="D151" t="inlineStr">
        <is>
          <t>STOCKHOLMS LÄN</t>
        </is>
      </c>
      <c r="E151" t="inlineStr">
        <is>
          <t>NORRTÄLJE</t>
        </is>
      </c>
      <c r="G151" t="n">
        <v>5.8</v>
      </c>
      <c r="H151" t="n">
        <v>0</v>
      </c>
      <c r="I151" t="n">
        <v>0</v>
      </c>
      <c r="J151" t="n">
        <v>0</v>
      </c>
      <c r="K151" t="n">
        <v>0</v>
      </c>
      <c r="L151" t="n">
        <v>0</v>
      </c>
      <c r="M151" t="n">
        <v>0</v>
      </c>
      <c r="N151" t="n">
        <v>0</v>
      </c>
      <c r="O151" t="n">
        <v>0</v>
      </c>
      <c r="P151" t="n">
        <v>0</v>
      </c>
      <c r="Q151" t="n">
        <v>0</v>
      </c>
      <c r="R151" s="2" t="inlineStr"/>
    </row>
    <row r="152" ht="15" customHeight="1">
      <c r="A152" t="inlineStr">
        <is>
          <t>A 56225-2021</t>
        </is>
      </c>
      <c r="B152" s="1" t="n">
        <v>44477.94327546296</v>
      </c>
      <c r="C152" s="1" t="n">
        <v>45988</v>
      </c>
      <c r="D152" t="inlineStr">
        <is>
          <t>STOCKHOLMS LÄN</t>
        </is>
      </c>
      <c r="E152" t="inlineStr">
        <is>
          <t>NORRTÄLJE</t>
        </is>
      </c>
      <c r="G152" t="n">
        <v>0.9</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45988</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34436-2021</t>
        </is>
      </c>
      <c r="B154" s="1" t="n">
        <v>44380</v>
      </c>
      <c r="C154" s="1" t="n">
        <v>45988</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67525-2021</t>
        </is>
      </c>
      <c r="B155" s="1" t="n">
        <v>44524</v>
      </c>
      <c r="C155" s="1" t="n">
        <v>45988</v>
      </c>
      <c r="D155" t="inlineStr">
        <is>
          <t>STOCKHOLMS LÄN</t>
        </is>
      </c>
      <c r="E155" t="inlineStr">
        <is>
          <t>NORRTÄLJE</t>
        </is>
      </c>
      <c r="G155" t="n">
        <v>0.8</v>
      </c>
      <c r="H155" t="n">
        <v>0</v>
      </c>
      <c r="I155" t="n">
        <v>0</v>
      </c>
      <c r="J155" t="n">
        <v>0</v>
      </c>
      <c r="K155" t="n">
        <v>0</v>
      </c>
      <c r="L155" t="n">
        <v>0</v>
      </c>
      <c r="M155" t="n">
        <v>0</v>
      </c>
      <c r="N155" t="n">
        <v>0</v>
      </c>
      <c r="O155" t="n">
        <v>0</v>
      </c>
      <c r="P155" t="n">
        <v>0</v>
      </c>
      <c r="Q155" t="n">
        <v>0</v>
      </c>
      <c r="R155" s="2" t="inlineStr"/>
    </row>
    <row r="156" ht="15" customHeight="1">
      <c r="A156" t="inlineStr">
        <is>
          <t>A 65737-2021</t>
        </is>
      </c>
      <c r="B156" s="1" t="n">
        <v>44516.72827546296</v>
      </c>
      <c r="C156" s="1" t="n">
        <v>45988</v>
      </c>
      <c r="D156" t="inlineStr">
        <is>
          <t>STOCKHOLMS LÄN</t>
        </is>
      </c>
      <c r="E156" t="inlineStr">
        <is>
          <t>NORRTÄLJE</t>
        </is>
      </c>
      <c r="G156" t="n">
        <v>3</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45988</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52133-2022</t>
        </is>
      </c>
      <c r="B158" s="1" t="n">
        <v>44868</v>
      </c>
      <c r="C158" s="1" t="n">
        <v>45988</v>
      </c>
      <c r="D158" t="inlineStr">
        <is>
          <t>STOCKHOLMS LÄN</t>
        </is>
      </c>
      <c r="E158" t="inlineStr">
        <is>
          <t>NORRTÄLJE</t>
        </is>
      </c>
      <c r="G158" t="n">
        <v>11.5</v>
      </c>
      <c r="H158" t="n">
        <v>0</v>
      </c>
      <c r="I158" t="n">
        <v>0</v>
      </c>
      <c r="J158" t="n">
        <v>0</v>
      </c>
      <c r="K158" t="n">
        <v>0</v>
      </c>
      <c r="L158" t="n">
        <v>0</v>
      </c>
      <c r="M158" t="n">
        <v>0</v>
      </c>
      <c r="N158" t="n">
        <v>0</v>
      </c>
      <c r="O158" t="n">
        <v>0</v>
      </c>
      <c r="P158" t="n">
        <v>0</v>
      </c>
      <c r="Q158" t="n">
        <v>0</v>
      </c>
      <c r="R158" s="2" t="inlineStr"/>
    </row>
    <row r="159" ht="15" customHeight="1">
      <c r="A159" t="inlineStr">
        <is>
          <t>A 19283-2021</t>
        </is>
      </c>
      <c r="B159" s="1" t="n">
        <v>44309.47061342592</v>
      </c>
      <c r="C159" s="1" t="n">
        <v>45988</v>
      </c>
      <c r="D159" t="inlineStr">
        <is>
          <t>STOCKHOLMS LÄN</t>
        </is>
      </c>
      <c r="E159" t="inlineStr">
        <is>
          <t>NORRTÄLJE</t>
        </is>
      </c>
      <c r="F159" t="inlineStr">
        <is>
          <t>Holmen skog AB</t>
        </is>
      </c>
      <c r="G159" t="n">
        <v>0.6</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45988</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37712-2021</t>
        </is>
      </c>
      <c r="B161" s="1" t="n">
        <v>44400</v>
      </c>
      <c r="C161" s="1" t="n">
        <v>45988</v>
      </c>
      <c r="D161" t="inlineStr">
        <is>
          <t>STOCKHOLMS LÄN</t>
        </is>
      </c>
      <c r="E161" t="inlineStr">
        <is>
          <t>NORRTÄLJE</t>
        </is>
      </c>
      <c r="G161" t="n">
        <v>22.9</v>
      </c>
      <c r="H161" t="n">
        <v>0</v>
      </c>
      <c r="I161" t="n">
        <v>0</v>
      </c>
      <c r="J161" t="n">
        <v>0</v>
      </c>
      <c r="K161" t="n">
        <v>0</v>
      </c>
      <c r="L161" t="n">
        <v>0</v>
      </c>
      <c r="M161" t="n">
        <v>0</v>
      </c>
      <c r="N161" t="n">
        <v>0</v>
      </c>
      <c r="O161" t="n">
        <v>0</v>
      </c>
      <c r="P161" t="n">
        <v>0</v>
      </c>
      <c r="Q161" t="n">
        <v>0</v>
      </c>
      <c r="R161" s="2" t="inlineStr"/>
    </row>
    <row r="162" ht="15" customHeight="1">
      <c r="A162" t="inlineStr">
        <is>
          <t>A 9719-2021</t>
        </is>
      </c>
      <c r="B162" s="1" t="n">
        <v>44252</v>
      </c>
      <c r="C162" s="1" t="n">
        <v>45988</v>
      </c>
      <c r="D162" t="inlineStr">
        <is>
          <t>STOCKHOLMS LÄN</t>
        </is>
      </c>
      <c r="E162" t="inlineStr">
        <is>
          <t>NORRTÄLJE</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48384-2021</t>
        </is>
      </c>
      <c r="B163" s="1" t="n">
        <v>44451</v>
      </c>
      <c r="C163" s="1" t="n">
        <v>45988</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48492-2022</t>
        </is>
      </c>
      <c r="B164" s="1" t="n">
        <v>44858</v>
      </c>
      <c r="C164" s="1" t="n">
        <v>45988</v>
      </c>
      <c r="D164" t="inlineStr">
        <is>
          <t>STOCKHOLMS LÄN</t>
        </is>
      </c>
      <c r="E164" t="inlineStr">
        <is>
          <t>NORRTÄLJE</t>
        </is>
      </c>
      <c r="G164" t="n">
        <v>0.7</v>
      </c>
      <c r="H164" t="n">
        <v>0</v>
      </c>
      <c r="I164" t="n">
        <v>0</v>
      </c>
      <c r="J164" t="n">
        <v>0</v>
      </c>
      <c r="K164" t="n">
        <v>0</v>
      </c>
      <c r="L164" t="n">
        <v>0</v>
      </c>
      <c r="M164" t="n">
        <v>0</v>
      </c>
      <c r="N164" t="n">
        <v>0</v>
      </c>
      <c r="O164" t="n">
        <v>0</v>
      </c>
      <c r="P164" t="n">
        <v>0</v>
      </c>
      <c r="Q164" t="n">
        <v>0</v>
      </c>
      <c r="R164" s="2" t="inlineStr"/>
    </row>
    <row r="165" ht="15" customHeight="1">
      <c r="A165" t="inlineStr">
        <is>
          <t>A 8338-2021</t>
        </is>
      </c>
      <c r="B165" s="1" t="n">
        <v>44244</v>
      </c>
      <c r="C165" s="1" t="n">
        <v>45988</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10711-2022</t>
        </is>
      </c>
      <c r="B166" s="1" t="n">
        <v>44626</v>
      </c>
      <c r="C166" s="1" t="n">
        <v>45988</v>
      </c>
      <c r="D166" t="inlineStr">
        <is>
          <t>STOCKHOLMS LÄN</t>
        </is>
      </c>
      <c r="E166" t="inlineStr">
        <is>
          <t>NORRTÄLJE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18905-2022</t>
        </is>
      </c>
      <c r="B167" s="1" t="n">
        <v>44690</v>
      </c>
      <c r="C167" s="1" t="n">
        <v>45988</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17777-2022</t>
        </is>
      </c>
      <c r="B168" s="1" t="n">
        <v>44682.79203703703</v>
      </c>
      <c r="C168" s="1" t="n">
        <v>45988</v>
      </c>
      <c r="D168" t="inlineStr">
        <is>
          <t>STOCKHOLMS LÄN</t>
        </is>
      </c>
      <c r="E168" t="inlineStr">
        <is>
          <t>NORRTÄLJE</t>
        </is>
      </c>
      <c r="G168" t="n">
        <v>3.7</v>
      </c>
      <c r="H168" t="n">
        <v>0</v>
      </c>
      <c r="I168" t="n">
        <v>0</v>
      </c>
      <c r="J168" t="n">
        <v>0</v>
      </c>
      <c r="K168" t="n">
        <v>0</v>
      </c>
      <c r="L168" t="n">
        <v>0</v>
      </c>
      <c r="M168" t="n">
        <v>0</v>
      </c>
      <c r="N168" t="n">
        <v>0</v>
      </c>
      <c r="O168" t="n">
        <v>0</v>
      </c>
      <c r="P168" t="n">
        <v>0</v>
      </c>
      <c r="Q168" t="n">
        <v>0</v>
      </c>
      <c r="R168" s="2" t="inlineStr"/>
    </row>
    <row r="169" ht="15" customHeight="1">
      <c r="A169" t="inlineStr">
        <is>
          <t>A 60822-2021</t>
        </is>
      </c>
      <c r="B169" s="1" t="n">
        <v>44496</v>
      </c>
      <c r="C169" s="1" t="n">
        <v>45988</v>
      </c>
      <c r="D169" t="inlineStr">
        <is>
          <t>STOCKHOLMS LÄN</t>
        </is>
      </c>
      <c r="E169" t="inlineStr">
        <is>
          <t>NORRTÄLJE</t>
        </is>
      </c>
      <c r="G169" t="n">
        <v>7.6</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45988</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45988</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45988</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28209-2022</t>
        </is>
      </c>
      <c r="B173" s="1" t="n">
        <v>44746</v>
      </c>
      <c r="C173" s="1" t="n">
        <v>45988</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66907-2020</t>
        </is>
      </c>
      <c r="B174" s="1" t="n">
        <v>44176</v>
      </c>
      <c r="C174" s="1" t="n">
        <v>45988</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18609-2021</t>
        </is>
      </c>
      <c r="B175" s="1" t="n">
        <v>44306</v>
      </c>
      <c r="C175" s="1" t="n">
        <v>45988</v>
      </c>
      <c r="D175" t="inlineStr">
        <is>
          <t>STOCKHOLMS LÄN</t>
        </is>
      </c>
      <c r="E175" t="inlineStr">
        <is>
          <t>NORRTÄLJE</t>
        </is>
      </c>
      <c r="G175" t="n">
        <v>9.5</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45988</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24534-2022</t>
        </is>
      </c>
      <c r="B177" s="1" t="n">
        <v>44727</v>
      </c>
      <c r="C177" s="1" t="n">
        <v>45988</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71876-2021</t>
        </is>
      </c>
      <c r="B178" s="1" t="n">
        <v>44543</v>
      </c>
      <c r="C178" s="1" t="n">
        <v>45988</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71878-2021</t>
        </is>
      </c>
      <c r="B179" s="1" t="n">
        <v>44543</v>
      </c>
      <c r="C179" s="1" t="n">
        <v>45988</v>
      </c>
      <c r="D179" t="inlineStr">
        <is>
          <t>STOCKHOLMS LÄN</t>
        </is>
      </c>
      <c r="E179" t="inlineStr">
        <is>
          <t>NORRTÄLJE</t>
        </is>
      </c>
      <c r="G179" t="n">
        <v>1.2</v>
      </c>
      <c r="H179" t="n">
        <v>0</v>
      </c>
      <c r="I179" t="n">
        <v>0</v>
      </c>
      <c r="J179" t="n">
        <v>0</v>
      </c>
      <c r="K179" t="n">
        <v>0</v>
      </c>
      <c r="L179" t="n">
        <v>0</v>
      </c>
      <c r="M179" t="n">
        <v>0</v>
      </c>
      <c r="N179" t="n">
        <v>0</v>
      </c>
      <c r="O179" t="n">
        <v>0</v>
      </c>
      <c r="P179" t="n">
        <v>0</v>
      </c>
      <c r="Q179" t="n">
        <v>0</v>
      </c>
      <c r="R179" s="2" t="inlineStr"/>
    </row>
    <row r="180" ht="15" customHeight="1">
      <c r="A180" t="inlineStr">
        <is>
          <t>A 45539-2022</t>
        </is>
      </c>
      <c r="B180" s="1" t="n">
        <v>44845.47585648148</v>
      </c>
      <c r="C180" s="1" t="n">
        <v>45988</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60186-2021</t>
        </is>
      </c>
      <c r="B181" s="1" t="n">
        <v>44495</v>
      </c>
      <c r="C181" s="1" t="n">
        <v>45988</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28959-2022</t>
        </is>
      </c>
      <c r="B182" s="1" t="n">
        <v>44749.61980324074</v>
      </c>
      <c r="C182" s="1" t="n">
        <v>45988</v>
      </c>
      <c r="D182" t="inlineStr">
        <is>
          <t>STOCKHOLMS LÄN</t>
        </is>
      </c>
      <c r="E182" t="inlineStr">
        <is>
          <t>NORRTÄLJE</t>
        </is>
      </c>
      <c r="G182" t="n">
        <v>5.2</v>
      </c>
      <c r="H182" t="n">
        <v>0</v>
      </c>
      <c r="I182" t="n">
        <v>0</v>
      </c>
      <c r="J182" t="n">
        <v>0</v>
      </c>
      <c r="K182" t="n">
        <v>0</v>
      </c>
      <c r="L182" t="n">
        <v>0</v>
      </c>
      <c r="M182" t="n">
        <v>0</v>
      </c>
      <c r="N182" t="n">
        <v>0</v>
      </c>
      <c r="O182" t="n">
        <v>0</v>
      </c>
      <c r="P182" t="n">
        <v>0</v>
      </c>
      <c r="Q182" t="n">
        <v>0</v>
      </c>
      <c r="R182" s="2" t="inlineStr"/>
    </row>
    <row r="183" ht="15" customHeight="1">
      <c r="A183" t="inlineStr">
        <is>
          <t>A 54340-2022</t>
        </is>
      </c>
      <c r="B183" s="1" t="n">
        <v>44882.44732638889</v>
      </c>
      <c r="C183" s="1" t="n">
        <v>45988</v>
      </c>
      <c r="D183" t="inlineStr">
        <is>
          <t>STOCKHOLMS LÄN</t>
        </is>
      </c>
      <c r="E183" t="inlineStr">
        <is>
          <t>NORRTÄLJE</t>
        </is>
      </c>
      <c r="G183" t="n">
        <v>6.7</v>
      </c>
      <c r="H183" t="n">
        <v>0</v>
      </c>
      <c r="I183" t="n">
        <v>0</v>
      </c>
      <c r="J183" t="n">
        <v>0</v>
      </c>
      <c r="K183" t="n">
        <v>0</v>
      </c>
      <c r="L183" t="n">
        <v>0</v>
      </c>
      <c r="M183" t="n">
        <v>0</v>
      </c>
      <c r="N183" t="n">
        <v>0</v>
      </c>
      <c r="O183" t="n">
        <v>0</v>
      </c>
      <c r="P183" t="n">
        <v>0</v>
      </c>
      <c r="Q183" t="n">
        <v>0</v>
      </c>
      <c r="R183" s="2" t="inlineStr"/>
    </row>
    <row r="184" ht="15" customHeight="1">
      <c r="A184" t="inlineStr">
        <is>
          <t>A 54355-2022</t>
        </is>
      </c>
      <c r="B184" s="1" t="n">
        <v>44882</v>
      </c>
      <c r="C184" s="1" t="n">
        <v>45988</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72308-2021</t>
        </is>
      </c>
      <c r="B185" s="1" t="n">
        <v>44545.4189699074</v>
      </c>
      <c r="C185" s="1" t="n">
        <v>45988</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14381-2021</t>
        </is>
      </c>
      <c r="B186" s="1" t="n">
        <v>44279</v>
      </c>
      <c r="C186" s="1" t="n">
        <v>45988</v>
      </c>
      <c r="D186" t="inlineStr">
        <is>
          <t>STOCKHOLMS LÄN</t>
        </is>
      </c>
      <c r="E186" t="inlineStr">
        <is>
          <t>NORRTÄLJE</t>
        </is>
      </c>
      <c r="G186" t="n">
        <v>0.9</v>
      </c>
      <c r="H186" t="n">
        <v>0</v>
      </c>
      <c r="I186" t="n">
        <v>0</v>
      </c>
      <c r="J186" t="n">
        <v>0</v>
      </c>
      <c r="K186" t="n">
        <v>0</v>
      </c>
      <c r="L186" t="n">
        <v>0</v>
      </c>
      <c r="M186" t="n">
        <v>0</v>
      </c>
      <c r="N186" t="n">
        <v>0</v>
      </c>
      <c r="O186" t="n">
        <v>0</v>
      </c>
      <c r="P186" t="n">
        <v>0</v>
      </c>
      <c r="Q186" t="n">
        <v>0</v>
      </c>
      <c r="R186" s="2" t="inlineStr"/>
    </row>
    <row r="187" ht="15" customHeight="1">
      <c r="A187" t="inlineStr">
        <is>
          <t>A 20073-2021</t>
        </is>
      </c>
      <c r="B187" s="1" t="n">
        <v>44314</v>
      </c>
      <c r="C187" s="1" t="n">
        <v>45988</v>
      </c>
      <c r="D187" t="inlineStr">
        <is>
          <t>STOCKHOLMS LÄN</t>
        </is>
      </c>
      <c r="E187" t="inlineStr">
        <is>
          <t>NORRTÄLJE</t>
        </is>
      </c>
      <c r="G187" t="n">
        <v>4.6</v>
      </c>
      <c r="H187" t="n">
        <v>0</v>
      </c>
      <c r="I187" t="n">
        <v>0</v>
      </c>
      <c r="J187" t="n">
        <v>0</v>
      </c>
      <c r="K187" t="n">
        <v>0</v>
      </c>
      <c r="L187" t="n">
        <v>0</v>
      </c>
      <c r="M187" t="n">
        <v>0</v>
      </c>
      <c r="N187" t="n">
        <v>0</v>
      </c>
      <c r="O187" t="n">
        <v>0</v>
      </c>
      <c r="P187" t="n">
        <v>0</v>
      </c>
      <c r="Q187" t="n">
        <v>0</v>
      </c>
      <c r="R187" s="2" t="inlineStr"/>
    </row>
    <row r="188" ht="15" customHeight="1">
      <c r="A188" t="inlineStr">
        <is>
          <t>A 17703-2021</t>
        </is>
      </c>
      <c r="B188" s="1" t="n">
        <v>44300</v>
      </c>
      <c r="C188" s="1" t="n">
        <v>45988</v>
      </c>
      <c r="D188" t="inlineStr">
        <is>
          <t>STOCKHOLMS LÄN</t>
        </is>
      </c>
      <c r="E188" t="inlineStr">
        <is>
          <t>NORRTÄLJE</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27538-2022</t>
        </is>
      </c>
      <c r="B189" s="1" t="n">
        <v>44742</v>
      </c>
      <c r="C189" s="1" t="n">
        <v>45988</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29868-2022</t>
        </is>
      </c>
      <c r="B190" s="1" t="n">
        <v>44756.40881944444</v>
      </c>
      <c r="C190" s="1" t="n">
        <v>45988</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45988</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16668-2021</t>
        </is>
      </c>
      <c r="B192" s="1" t="n">
        <v>44294</v>
      </c>
      <c r="C192" s="1" t="n">
        <v>45988</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45988</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45988</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45988</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45988</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45988</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45988</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45988</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45988</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45988</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45988</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45988</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45988</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45988</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348-2021</t>
        </is>
      </c>
      <c r="B206" s="1" t="n">
        <v>44201</v>
      </c>
      <c r="C206" s="1" t="n">
        <v>45988</v>
      </c>
      <c r="D206" t="inlineStr">
        <is>
          <t>STOCKHOLMS LÄN</t>
        </is>
      </c>
      <c r="E206" t="inlineStr">
        <is>
          <t>NORRTÄLJE</t>
        </is>
      </c>
      <c r="G206" t="n">
        <v>0.1</v>
      </c>
      <c r="H206" t="n">
        <v>0</v>
      </c>
      <c r="I206" t="n">
        <v>0</v>
      </c>
      <c r="J206" t="n">
        <v>0</v>
      </c>
      <c r="K206" t="n">
        <v>0</v>
      </c>
      <c r="L206" t="n">
        <v>0</v>
      </c>
      <c r="M206" t="n">
        <v>0</v>
      </c>
      <c r="N206" t="n">
        <v>0</v>
      </c>
      <c r="O206" t="n">
        <v>0</v>
      </c>
      <c r="P206" t="n">
        <v>0</v>
      </c>
      <c r="Q206" t="n">
        <v>0</v>
      </c>
      <c r="R206" s="2" t="inlineStr"/>
    </row>
    <row r="207" ht="15" customHeight="1">
      <c r="A207" t="inlineStr">
        <is>
          <t>A 367-2021</t>
        </is>
      </c>
      <c r="B207" s="1" t="n">
        <v>44201</v>
      </c>
      <c r="C207" s="1" t="n">
        <v>45988</v>
      </c>
      <c r="D207" t="inlineStr">
        <is>
          <t>STOCKHOLMS LÄN</t>
        </is>
      </c>
      <c r="E207" t="inlineStr">
        <is>
          <t>NORRTÄLJE</t>
        </is>
      </c>
      <c r="G207" t="n">
        <v>0.1</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45988</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45988</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45988</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17460-2021</t>
        </is>
      </c>
      <c r="B211" s="1" t="n">
        <v>44299</v>
      </c>
      <c r="C211" s="1" t="n">
        <v>45988</v>
      </c>
      <c r="D211" t="inlineStr">
        <is>
          <t>STOCKHOLMS LÄN</t>
        </is>
      </c>
      <c r="E211" t="inlineStr">
        <is>
          <t>NORRTÄLJE</t>
        </is>
      </c>
      <c r="G211" t="n">
        <v>3.2</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45988</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45988</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34431-2021</t>
        </is>
      </c>
      <c r="B214" s="1" t="n">
        <v>44380</v>
      </c>
      <c r="C214" s="1" t="n">
        <v>45988</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5351-2022</t>
        </is>
      </c>
      <c r="B215" s="1" t="n">
        <v>44594.75950231482</v>
      </c>
      <c r="C215" s="1" t="n">
        <v>45988</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45988</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45988</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45988</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9467-2021</t>
        </is>
      </c>
      <c r="B219" s="1" t="n">
        <v>44251.43971064815</v>
      </c>
      <c r="C219" s="1" t="n">
        <v>45988</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45988</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45988</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45988</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45988</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45988</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45988</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45988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45988</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45988</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45988</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45988</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45988</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66372-2020</t>
        </is>
      </c>
      <c r="B232" s="1" t="n">
        <v>44176</v>
      </c>
      <c r="C232" s="1" t="n">
        <v>45988</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45988</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45988</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45988</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45988</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45988</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45988</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1229-2022</t>
        </is>
      </c>
      <c r="B239" s="1" t="n">
        <v>44572</v>
      </c>
      <c r="C239" s="1" t="n">
        <v>45988</v>
      </c>
      <c r="D239" t="inlineStr">
        <is>
          <t>STOCKHOLMS LÄN</t>
        </is>
      </c>
      <c r="E239" t="inlineStr">
        <is>
          <t>NORRTÄLJE</t>
        </is>
      </c>
      <c r="G239" t="n">
        <v>11.5</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45988</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45988</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45988</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45988</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45988</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45988</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45988</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45988</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45988</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45988</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45988</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45988</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12779-2021</t>
        </is>
      </c>
      <c r="B252" s="1" t="n">
        <v>44270</v>
      </c>
      <c r="C252" s="1" t="n">
        <v>45988</v>
      </c>
      <c r="D252" t="inlineStr">
        <is>
          <t>STOCKHOLMS LÄN</t>
        </is>
      </c>
      <c r="E252" t="inlineStr">
        <is>
          <t>NORRTÄLJE</t>
        </is>
      </c>
      <c r="G252" t="n">
        <v>10.8</v>
      </c>
      <c r="H252" t="n">
        <v>0</v>
      </c>
      <c r="I252" t="n">
        <v>0</v>
      </c>
      <c r="J252" t="n">
        <v>0</v>
      </c>
      <c r="K252" t="n">
        <v>0</v>
      </c>
      <c r="L252" t="n">
        <v>0</v>
      </c>
      <c r="M252" t="n">
        <v>0</v>
      </c>
      <c r="N252" t="n">
        <v>0</v>
      </c>
      <c r="O252" t="n">
        <v>0</v>
      </c>
      <c r="P252" t="n">
        <v>0</v>
      </c>
      <c r="Q252" t="n">
        <v>0</v>
      </c>
      <c r="R252" s="2" t="inlineStr"/>
    </row>
    <row r="253" ht="15" customHeight="1">
      <c r="A253" t="inlineStr">
        <is>
          <t>A 12782-2021</t>
        </is>
      </c>
      <c r="B253" s="1" t="n">
        <v>44270</v>
      </c>
      <c r="C253" s="1" t="n">
        <v>45988</v>
      </c>
      <c r="D253" t="inlineStr">
        <is>
          <t>STOCKHOLMS LÄN</t>
        </is>
      </c>
      <c r="E253" t="inlineStr">
        <is>
          <t>NORRTÄLJE</t>
        </is>
      </c>
      <c r="G253" t="n">
        <v>3.8</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45988</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45988</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45988</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45988</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45988</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row>
    <row r="259" ht="15" customHeight="1">
      <c r="A259" t="inlineStr">
        <is>
          <t>A 9446-2021</t>
        </is>
      </c>
      <c r="B259" s="1" t="n">
        <v>44251</v>
      </c>
      <c r="C259" s="1" t="n">
        <v>45988</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45988</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62030-2021</t>
        </is>
      </c>
      <c r="B261" s="1" t="n">
        <v>44502</v>
      </c>
      <c r="C261" s="1" t="n">
        <v>45988</v>
      </c>
      <c r="D261" t="inlineStr">
        <is>
          <t>STOCKHOLMS LÄN</t>
        </is>
      </c>
      <c r="E261" t="inlineStr">
        <is>
          <t>NORRTÄLJE</t>
        </is>
      </c>
      <c r="G261" t="n">
        <v>4.7</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45988</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27217-2021</t>
        </is>
      </c>
      <c r="B263" s="1" t="n">
        <v>44350</v>
      </c>
      <c r="C263" s="1" t="n">
        <v>45988</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45988</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45988</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45988</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7565-2022</t>
        </is>
      </c>
      <c r="B267" s="1" t="n">
        <v>44607</v>
      </c>
      <c r="C267" s="1" t="n">
        <v>45988</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45988</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45988</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45988</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45988</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45988</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45988</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39319-2022</t>
        </is>
      </c>
      <c r="B274" s="1" t="n">
        <v>44817.70516203704</v>
      </c>
      <c r="C274" s="1" t="n">
        <v>45988</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56219-2021</t>
        </is>
      </c>
      <c r="B275" s="1" t="n">
        <v>44477</v>
      </c>
      <c r="C275" s="1" t="n">
        <v>45988</v>
      </c>
      <c r="D275" t="inlineStr">
        <is>
          <t>STOCKHOLMS LÄN</t>
        </is>
      </c>
      <c r="E275" t="inlineStr">
        <is>
          <t>NORRTÄLJE</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45988</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45988</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45988</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17771-2022</t>
        </is>
      </c>
      <c r="B279" s="1" t="n">
        <v>44682.75924768519</v>
      </c>
      <c r="C279" s="1" t="n">
        <v>45988</v>
      </c>
      <c r="D279" t="inlineStr">
        <is>
          <t>STOCKHOLMS LÄN</t>
        </is>
      </c>
      <c r="E279" t="inlineStr">
        <is>
          <t>NORRTÄLJE</t>
        </is>
      </c>
      <c r="G279" t="n">
        <v>13.3</v>
      </c>
      <c r="H279" t="n">
        <v>0</v>
      </c>
      <c r="I279" t="n">
        <v>0</v>
      </c>
      <c r="J279" t="n">
        <v>0</v>
      </c>
      <c r="K279" t="n">
        <v>0</v>
      </c>
      <c r="L279" t="n">
        <v>0</v>
      </c>
      <c r="M279" t="n">
        <v>0</v>
      </c>
      <c r="N279" t="n">
        <v>0</v>
      </c>
      <c r="O279" t="n">
        <v>0</v>
      </c>
      <c r="P279" t="n">
        <v>0</v>
      </c>
      <c r="Q279" t="n">
        <v>0</v>
      </c>
      <c r="R279" s="2" t="inlineStr"/>
    </row>
    <row r="280" ht="15" customHeight="1">
      <c r="A280" t="inlineStr">
        <is>
          <t>A 17773-2022</t>
        </is>
      </c>
      <c r="B280" s="1" t="n">
        <v>44682.77616898148</v>
      </c>
      <c r="C280" s="1" t="n">
        <v>45988</v>
      </c>
      <c r="D280" t="inlineStr">
        <is>
          <t>STOCKHOLMS LÄN</t>
        </is>
      </c>
      <c r="E280" t="inlineStr">
        <is>
          <t>NORRTÄLJE</t>
        </is>
      </c>
      <c r="G280" t="n">
        <v>10.8</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45988</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45988</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45988</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45988</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45988</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71880-2021</t>
        </is>
      </c>
      <c r="B286" s="1" t="n">
        <v>44543</v>
      </c>
      <c r="C286" s="1" t="n">
        <v>45988</v>
      </c>
      <c r="D286" t="inlineStr">
        <is>
          <t>STOCKHOLMS LÄN</t>
        </is>
      </c>
      <c r="E286" t="inlineStr">
        <is>
          <t>NORRTÄLJE</t>
        </is>
      </c>
      <c r="G286" t="n">
        <v>2</v>
      </c>
      <c r="H286" t="n">
        <v>0</v>
      </c>
      <c r="I286" t="n">
        <v>0</v>
      </c>
      <c r="J286" t="n">
        <v>0</v>
      </c>
      <c r="K286" t="n">
        <v>0</v>
      </c>
      <c r="L286" t="n">
        <v>0</v>
      </c>
      <c r="M286" t="n">
        <v>0</v>
      </c>
      <c r="N286" t="n">
        <v>0</v>
      </c>
      <c r="O286" t="n">
        <v>0</v>
      </c>
      <c r="P286" t="n">
        <v>0</v>
      </c>
      <c r="Q286" t="n">
        <v>0</v>
      </c>
      <c r="R286" s="2" t="inlineStr"/>
    </row>
    <row r="287" ht="15" customHeight="1">
      <c r="A287" t="inlineStr">
        <is>
          <t>A 17772-2022</t>
        </is>
      </c>
      <c r="B287" s="1" t="n">
        <v>44682.76528935185</v>
      </c>
      <c r="C287" s="1" t="n">
        <v>45988</v>
      </c>
      <c r="D287" t="inlineStr">
        <is>
          <t>STOCKHOLMS LÄN</t>
        </is>
      </c>
      <c r="E287" t="inlineStr">
        <is>
          <t>NORRTÄLJE</t>
        </is>
      </c>
      <c r="G287" t="n">
        <v>4</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45988</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21102-2022</t>
        </is>
      </c>
      <c r="B289" s="1" t="n">
        <v>44704</v>
      </c>
      <c r="C289" s="1" t="n">
        <v>45988</v>
      </c>
      <c r="D289" t="inlineStr">
        <is>
          <t>STOCKHOLMS LÄN</t>
        </is>
      </c>
      <c r="E289" t="inlineStr">
        <is>
          <t>NORRTÄLJE</t>
        </is>
      </c>
      <c r="G289" t="n">
        <v>0.2</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45988</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5611-2022</t>
        </is>
      </c>
      <c r="B291" s="1" t="n">
        <v>44595</v>
      </c>
      <c r="C291" s="1" t="n">
        <v>45988</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32055-2021</t>
        </is>
      </c>
      <c r="B292" s="1" t="n">
        <v>44370.72197916666</v>
      </c>
      <c r="C292" s="1" t="n">
        <v>45988</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38721-2022</t>
        </is>
      </c>
      <c r="B293" s="1" t="n">
        <v>44815</v>
      </c>
      <c r="C293" s="1" t="n">
        <v>45988</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60184-2021</t>
        </is>
      </c>
      <c r="B294" s="1" t="n">
        <v>44495</v>
      </c>
      <c r="C294" s="1" t="n">
        <v>45988</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27828-2022</t>
        </is>
      </c>
      <c r="B295" s="1" t="n">
        <v>44743.59765046297</v>
      </c>
      <c r="C295" s="1" t="n">
        <v>45988</v>
      </c>
      <c r="D295" t="inlineStr">
        <is>
          <t>STOCKHOLMS LÄN</t>
        </is>
      </c>
      <c r="E295" t="inlineStr">
        <is>
          <t>NORRTÄLJE</t>
        </is>
      </c>
      <c r="F295" t="inlineStr">
        <is>
          <t>Kommuner</t>
        </is>
      </c>
      <c r="G295" t="n">
        <v>1.6</v>
      </c>
      <c r="H295" t="n">
        <v>0</v>
      </c>
      <c r="I295" t="n">
        <v>0</v>
      </c>
      <c r="J295" t="n">
        <v>0</v>
      </c>
      <c r="K295" t="n">
        <v>0</v>
      </c>
      <c r="L295" t="n">
        <v>0</v>
      </c>
      <c r="M295" t="n">
        <v>0</v>
      </c>
      <c r="N295" t="n">
        <v>0</v>
      </c>
      <c r="O295" t="n">
        <v>0</v>
      </c>
      <c r="P295" t="n">
        <v>0</v>
      </c>
      <c r="Q295" t="n">
        <v>0</v>
      </c>
      <c r="R295" s="2" t="inlineStr"/>
    </row>
    <row r="296" ht="15" customHeight="1">
      <c r="A296" t="inlineStr">
        <is>
          <t>A 15915-2023</t>
        </is>
      </c>
      <c r="B296" s="1" t="n">
        <v>45022</v>
      </c>
      <c r="C296" s="1" t="n">
        <v>45988</v>
      </c>
      <c r="D296" t="inlineStr">
        <is>
          <t>STOCKHOLMS LÄN</t>
        </is>
      </c>
      <c r="E296" t="inlineStr">
        <is>
          <t>NORRTÄLJE</t>
        </is>
      </c>
      <c r="G296" t="n">
        <v>2.9</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45988</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55243-2023</t>
        </is>
      </c>
      <c r="B298" s="1" t="n">
        <v>45237</v>
      </c>
      <c r="C298" s="1" t="n">
        <v>45988</v>
      </c>
      <c r="D298" t="inlineStr">
        <is>
          <t>STOCKHOLMS LÄN</t>
        </is>
      </c>
      <c r="E298" t="inlineStr">
        <is>
          <t>NORRTÄLJE</t>
        </is>
      </c>
      <c r="G298" t="n">
        <v>6.5</v>
      </c>
      <c r="H298" t="n">
        <v>0</v>
      </c>
      <c r="I298" t="n">
        <v>0</v>
      </c>
      <c r="J298" t="n">
        <v>0</v>
      </c>
      <c r="K298" t="n">
        <v>0</v>
      </c>
      <c r="L298" t="n">
        <v>0</v>
      </c>
      <c r="M298" t="n">
        <v>0</v>
      </c>
      <c r="N298" t="n">
        <v>0</v>
      </c>
      <c r="O298" t="n">
        <v>0</v>
      </c>
      <c r="P298" t="n">
        <v>0</v>
      </c>
      <c r="Q298" t="n">
        <v>0</v>
      </c>
      <c r="R298" s="2" t="inlineStr"/>
    </row>
    <row r="299" ht="15" customHeight="1">
      <c r="A299" t="inlineStr">
        <is>
          <t>A 33226-2024</t>
        </is>
      </c>
      <c r="B299" s="1" t="n">
        <v>45518</v>
      </c>
      <c r="C299" s="1" t="n">
        <v>45988</v>
      </c>
      <c r="D299" t="inlineStr">
        <is>
          <t>STOCKHOLMS LÄN</t>
        </is>
      </c>
      <c r="E299" t="inlineStr">
        <is>
          <t>NORRTÄLJE</t>
        </is>
      </c>
      <c r="G299" t="n">
        <v>13.8</v>
      </c>
      <c r="H299" t="n">
        <v>0</v>
      </c>
      <c r="I299" t="n">
        <v>0</v>
      </c>
      <c r="J299" t="n">
        <v>0</v>
      </c>
      <c r="K299" t="n">
        <v>0</v>
      </c>
      <c r="L299" t="n">
        <v>0</v>
      </c>
      <c r="M299" t="n">
        <v>0</v>
      </c>
      <c r="N299" t="n">
        <v>0</v>
      </c>
      <c r="O299" t="n">
        <v>0</v>
      </c>
      <c r="P299" t="n">
        <v>0</v>
      </c>
      <c r="Q299" t="n">
        <v>0</v>
      </c>
      <c r="R299" s="2" t="inlineStr"/>
    </row>
    <row r="300" ht="15" customHeight="1">
      <c r="A300" t="inlineStr">
        <is>
          <t>A 55696-2022</t>
        </is>
      </c>
      <c r="B300" s="1" t="n">
        <v>44888</v>
      </c>
      <c r="C300" s="1" t="n">
        <v>45988</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52260-2022</t>
        </is>
      </c>
      <c r="B301" s="1" t="n">
        <v>44869</v>
      </c>
      <c r="C301" s="1" t="n">
        <v>45988</v>
      </c>
      <c r="D301" t="inlineStr">
        <is>
          <t>STOCKHOLMS LÄN</t>
        </is>
      </c>
      <c r="E301" t="inlineStr">
        <is>
          <t>NORRTÄLJE</t>
        </is>
      </c>
      <c r="G301" t="n">
        <v>3.1</v>
      </c>
      <c r="H301" t="n">
        <v>0</v>
      </c>
      <c r="I301" t="n">
        <v>0</v>
      </c>
      <c r="J301" t="n">
        <v>0</v>
      </c>
      <c r="K301" t="n">
        <v>0</v>
      </c>
      <c r="L301" t="n">
        <v>0</v>
      </c>
      <c r="M301" t="n">
        <v>0</v>
      </c>
      <c r="N301" t="n">
        <v>0</v>
      </c>
      <c r="O301" t="n">
        <v>0</v>
      </c>
      <c r="P301" t="n">
        <v>0</v>
      </c>
      <c r="Q301" t="n">
        <v>0</v>
      </c>
      <c r="R301" s="2" t="inlineStr"/>
    </row>
    <row r="302" ht="15" customHeight="1">
      <c r="A302" t="inlineStr">
        <is>
          <t>A 22412-2021</t>
        </is>
      </c>
      <c r="B302" s="1" t="n">
        <v>44326.61967592593</v>
      </c>
      <c r="C302" s="1" t="n">
        <v>45988</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22008-2024</t>
        </is>
      </c>
      <c r="B303" s="1" t="n">
        <v>45443</v>
      </c>
      <c r="C303" s="1" t="n">
        <v>45988</v>
      </c>
      <c r="D303" t="inlineStr">
        <is>
          <t>STOCKHOLMS LÄN</t>
        </is>
      </c>
      <c r="E303" t="inlineStr">
        <is>
          <t>NORRTÄLJE</t>
        </is>
      </c>
      <c r="G303" t="n">
        <v>2</v>
      </c>
      <c r="H303" t="n">
        <v>0</v>
      </c>
      <c r="I303" t="n">
        <v>0</v>
      </c>
      <c r="J303" t="n">
        <v>0</v>
      </c>
      <c r="K303" t="n">
        <v>0</v>
      </c>
      <c r="L303" t="n">
        <v>0</v>
      </c>
      <c r="M303" t="n">
        <v>0</v>
      </c>
      <c r="N303" t="n">
        <v>0</v>
      </c>
      <c r="O303" t="n">
        <v>0</v>
      </c>
      <c r="P303" t="n">
        <v>0</v>
      </c>
      <c r="Q303" t="n">
        <v>0</v>
      </c>
      <c r="R303" s="2" t="inlineStr"/>
    </row>
    <row r="304" ht="15" customHeight="1">
      <c r="A304" t="inlineStr">
        <is>
          <t>A 25557-2023</t>
        </is>
      </c>
      <c r="B304" s="1" t="n">
        <v>45089</v>
      </c>
      <c r="C304" s="1" t="n">
        <v>45988</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13053-2022</t>
        </is>
      </c>
      <c r="B305" s="1" t="n">
        <v>44643</v>
      </c>
      <c r="C305" s="1" t="n">
        <v>45988</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27715-2022</t>
        </is>
      </c>
      <c r="B306" s="1" t="n">
        <v>44743.47407407407</v>
      </c>
      <c r="C306" s="1" t="n">
        <v>45988</v>
      </c>
      <c r="D306" t="inlineStr">
        <is>
          <t>STOCKHOLMS LÄN</t>
        </is>
      </c>
      <c r="E306" t="inlineStr">
        <is>
          <t>NORRTÄLJE</t>
        </is>
      </c>
      <c r="G306" t="n">
        <v>2.2</v>
      </c>
      <c r="H306" t="n">
        <v>0</v>
      </c>
      <c r="I306" t="n">
        <v>0</v>
      </c>
      <c r="J306" t="n">
        <v>0</v>
      </c>
      <c r="K306" t="n">
        <v>0</v>
      </c>
      <c r="L306" t="n">
        <v>0</v>
      </c>
      <c r="M306" t="n">
        <v>0</v>
      </c>
      <c r="N306" t="n">
        <v>0</v>
      </c>
      <c r="O306" t="n">
        <v>0</v>
      </c>
      <c r="P306" t="n">
        <v>0</v>
      </c>
      <c r="Q306" t="n">
        <v>0</v>
      </c>
      <c r="R306" s="2" t="inlineStr"/>
    </row>
    <row r="307" ht="15" customHeight="1">
      <c r="A307" t="inlineStr">
        <is>
          <t>A 29972-2024</t>
        </is>
      </c>
      <c r="B307" s="1" t="n">
        <v>45485</v>
      </c>
      <c r="C307" s="1" t="n">
        <v>45988</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64137-2021</t>
        </is>
      </c>
      <c r="B308" s="1" t="n">
        <v>44510.51422453704</v>
      </c>
      <c r="C308" s="1" t="n">
        <v>45988</v>
      </c>
      <c r="D308" t="inlineStr">
        <is>
          <t>STOCKHOLMS LÄN</t>
        </is>
      </c>
      <c r="E308" t="inlineStr">
        <is>
          <t>NORRTÄLJE</t>
        </is>
      </c>
      <c r="F308" t="inlineStr">
        <is>
          <t>Holmen skog AB</t>
        </is>
      </c>
      <c r="G308" t="n">
        <v>1.5</v>
      </c>
      <c r="H308" t="n">
        <v>0</v>
      </c>
      <c r="I308" t="n">
        <v>0</v>
      </c>
      <c r="J308" t="n">
        <v>0</v>
      </c>
      <c r="K308" t="n">
        <v>0</v>
      </c>
      <c r="L308" t="n">
        <v>0</v>
      </c>
      <c r="M308" t="n">
        <v>0</v>
      </c>
      <c r="N308" t="n">
        <v>0</v>
      </c>
      <c r="O308" t="n">
        <v>0</v>
      </c>
      <c r="P308" t="n">
        <v>0</v>
      </c>
      <c r="Q308" t="n">
        <v>0</v>
      </c>
      <c r="R308" s="2" t="inlineStr"/>
    </row>
    <row r="309" ht="15" customHeight="1">
      <c r="A309" t="inlineStr">
        <is>
          <t>A 48716-2023</t>
        </is>
      </c>
      <c r="B309" s="1" t="n">
        <v>45208.69671296296</v>
      </c>
      <c r="C309" s="1" t="n">
        <v>45988</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12268-2022</t>
        </is>
      </c>
      <c r="B310" s="1" t="n">
        <v>44637</v>
      </c>
      <c r="C310" s="1" t="n">
        <v>45988</v>
      </c>
      <c r="D310" t="inlineStr">
        <is>
          <t>STOCKHOLMS LÄN</t>
        </is>
      </c>
      <c r="E310" t="inlineStr">
        <is>
          <t>NORRTÄLJE</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5027-2025</t>
        </is>
      </c>
      <c r="B311" s="1" t="n">
        <v>45691.41101851852</v>
      </c>
      <c r="C311" s="1" t="n">
        <v>45988</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11122-2021</t>
        </is>
      </c>
      <c r="B312" s="1" t="n">
        <v>44260</v>
      </c>
      <c r="C312" s="1" t="n">
        <v>45988</v>
      </c>
      <c r="D312" t="inlineStr">
        <is>
          <t>STOCKHOLMS LÄN</t>
        </is>
      </c>
      <c r="E312" t="inlineStr">
        <is>
          <t>NORRTÄLJE</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20015-2023</t>
        </is>
      </c>
      <c r="B313" s="1" t="n">
        <v>45054</v>
      </c>
      <c r="C313" s="1" t="n">
        <v>45988</v>
      </c>
      <c r="D313" t="inlineStr">
        <is>
          <t>STOCKHOLMS LÄN</t>
        </is>
      </c>
      <c r="E313" t="inlineStr">
        <is>
          <t>NORRTÄLJE</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3273-2025</t>
        </is>
      </c>
      <c r="B314" s="1" t="n">
        <v>45679</v>
      </c>
      <c r="C314" s="1" t="n">
        <v>45988</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24245-2024</t>
        </is>
      </c>
      <c r="B315" s="1" t="n">
        <v>45457</v>
      </c>
      <c r="C315" s="1" t="n">
        <v>45988</v>
      </c>
      <c r="D315" t="inlineStr">
        <is>
          <t>STOCKHOLMS LÄN</t>
        </is>
      </c>
      <c r="E315" t="inlineStr">
        <is>
          <t>NORRTÄLJE</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21291-2021</t>
        </is>
      </c>
      <c r="B316" s="1" t="n">
        <v>44319</v>
      </c>
      <c r="C316" s="1" t="n">
        <v>45988</v>
      </c>
      <c r="D316" t="inlineStr">
        <is>
          <t>STOCKHOLMS LÄN</t>
        </is>
      </c>
      <c r="E316" t="inlineStr">
        <is>
          <t>NORRTÄLJE</t>
        </is>
      </c>
      <c r="G316" t="n">
        <v>12.7</v>
      </c>
      <c r="H316" t="n">
        <v>0</v>
      </c>
      <c r="I316" t="n">
        <v>0</v>
      </c>
      <c r="J316" t="n">
        <v>0</v>
      </c>
      <c r="K316" t="n">
        <v>0</v>
      </c>
      <c r="L316" t="n">
        <v>0</v>
      </c>
      <c r="M316" t="n">
        <v>0</v>
      </c>
      <c r="N316" t="n">
        <v>0</v>
      </c>
      <c r="O316" t="n">
        <v>0</v>
      </c>
      <c r="P316" t="n">
        <v>0</v>
      </c>
      <c r="Q316" t="n">
        <v>0</v>
      </c>
      <c r="R316" s="2" t="inlineStr"/>
    </row>
    <row r="317" ht="15" customHeight="1">
      <c r="A317" t="inlineStr">
        <is>
          <t>A 13172-2025</t>
        </is>
      </c>
      <c r="B317" s="1" t="n">
        <v>45735.36873842592</v>
      </c>
      <c r="C317" s="1" t="n">
        <v>45988</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15256-2023</t>
        </is>
      </c>
      <c r="B318" s="1" t="n">
        <v>45019.3959837963</v>
      </c>
      <c r="C318" s="1" t="n">
        <v>45988</v>
      </c>
      <c r="D318" t="inlineStr">
        <is>
          <t>STOCKHOLMS LÄN</t>
        </is>
      </c>
      <c r="E318" t="inlineStr">
        <is>
          <t>NORRTÄLJE</t>
        </is>
      </c>
      <c r="G318" t="n">
        <v>2.4</v>
      </c>
      <c r="H318" t="n">
        <v>0</v>
      </c>
      <c r="I318" t="n">
        <v>0</v>
      </c>
      <c r="J318" t="n">
        <v>0</v>
      </c>
      <c r="K318" t="n">
        <v>0</v>
      </c>
      <c r="L318" t="n">
        <v>0</v>
      </c>
      <c r="M318" t="n">
        <v>0</v>
      </c>
      <c r="N318" t="n">
        <v>0</v>
      </c>
      <c r="O318" t="n">
        <v>0</v>
      </c>
      <c r="P318" t="n">
        <v>0</v>
      </c>
      <c r="Q318" t="n">
        <v>0</v>
      </c>
      <c r="R318" s="2" t="inlineStr"/>
    </row>
    <row r="319" ht="15" customHeight="1">
      <c r="A319" t="inlineStr">
        <is>
          <t>A 20428-2024</t>
        </is>
      </c>
      <c r="B319" s="1" t="n">
        <v>45435</v>
      </c>
      <c r="C319" s="1" t="n">
        <v>45988</v>
      </c>
      <c r="D319" t="inlineStr">
        <is>
          <t>STOCKHOLMS LÄN</t>
        </is>
      </c>
      <c r="E319" t="inlineStr">
        <is>
          <t>NORRTÄLJE</t>
        </is>
      </c>
      <c r="G319" t="n">
        <v>3.7</v>
      </c>
      <c r="H319" t="n">
        <v>0</v>
      </c>
      <c r="I319" t="n">
        <v>0</v>
      </c>
      <c r="J319" t="n">
        <v>0</v>
      </c>
      <c r="K319" t="n">
        <v>0</v>
      </c>
      <c r="L319" t="n">
        <v>0</v>
      </c>
      <c r="M319" t="n">
        <v>0</v>
      </c>
      <c r="N319" t="n">
        <v>0</v>
      </c>
      <c r="O319" t="n">
        <v>0</v>
      </c>
      <c r="P319" t="n">
        <v>0</v>
      </c>
      <c r="Q319" t="n">
        <v>0</v>
      </c>
      <c r="R319" s="2" t="inlineStr"/>
    </row>
    <row r="320" ht="15" customHeight="1">
      <c r="A320" t="inlineStr">
        <is>
          <t>A 22456-2023</t>
        </is>
      </c>
      <c r="B320" s="1" t="n">
        <v>45070</v>
      </c>
      <c r="C320" s="1" t="n">
        <v>45988</v>
      </c>
      <c r="D320" t="inlineStr">
        <is>
          <t>STOCKHOLMS LÄN</t>
        </is>
      </c>
      <c r="E320" t="inlineStr">
        <is>
          <t>NORRTÄLJE</t>
        </is>
      </c>
      <c r="G320" t="n">
        <v>3.1</v>
      </c>
      <c r="H320" t="n">
        <v>0</v>
      </c>
      <c r="I320" t="n">
        <v>0</v>
      </c>
      <c r="J320" t="n">
        <v>0</v>
      </c>
      <c r="K320" t="n">
        <v>0</v>
      </c>
      <c r="L320" t="n">
        <v>0</v>
      </c>
      <c r="M320" t="n">
        <v>0</v>
      </c>
      <c r="N320" t="n">
        <v>0</v>
      </c>
      <c r="O320" t="n">
        <v>0</v>
      </c>
      <c r="P320" t="n">
        <v>0</v>
      </c>
      <c r="Q320" t="n">
        <v>0</v>
      </c>
      <c r="R320" s="2" t="inlineStr"/>
    </row>
    <row r="321" ht="15" customHeight="1">
      <c r="A321" t="inlineStr">
        <is>
          <t>A 64145-2021</t>
        </is>
      </c>
      <c r="B321" s="1" t="n">
        <v>44510</v>
      </c>
      <c r="C321" s="1" t="n">
        <v>45988</v>
      </c>
      <c r="D321" t="inlineStr">
        <is>
          <t>STOCKHOLMS LÄN</t>
        </is>
      </c>
      <c r="E321" t="inlineStr">
        <is>
          <t>NORRTÄLJE</t>
        </is>
      </c>
      <c r="F321" t="inlineStr">
        <is>
          <t>Holmen skog AB</t>
        </is>
      </c>
      <c r="G321" t="n">
        <v>1.5</v>
      </c>
      <c r="H321" t="n">
        <v>0</v>
      </c>
      <c r="I321" t="n">
        <v>0</v>
      </c>
      <c r="J321" t="n">
        <v>0</v>
      </c>
      <c r="K321" t="n">
        <v>0</v>
      </c>
      <c r="L321" t="n">
        <v>0</v>
      </c>
      <c r="M321" t="n">
        <v>0</v>
      </c>
      <c r="N321" t="n">
        <v>0</v>
      </c>
      <c r="O321" t="n">
        <v>0</v>
      </c>
      <c r="P321" t="n">
        <v>0</v>
      </c>
      <c r="Q321" t="n">
        <v>0</v>
      </c>
      <c r="R321" s="2" t="inlineStr"/>
    </row>
    <row r="322" ht="15" customHeight="1">
      <c r="A322" t="inlineStr">
        <is>
          <t>A 1740-2023</t>
        </is>
      </c>
      <c r="B322" s="1" t="n">
        <v>44938</v>
      </c>
      <c r="C322" s="1" t="n">
        <v>45988</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4596-2023</t>
        </is>
      </c>
      <c r="B323" s="1" t="n">
        <v>44956</v>
      </c>
      <c r="C323" s="1" t="n">
        <v>45988</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17785-2024</t>
        </is>
      </c>
      <c r="B324" s="1" t="n">
        <v>45418.6968287037</v>
      </c>
      <c r="C324" s="1" t="n">
        <v>45988</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19982-2022</t>
        </is>
      </c>
      <c r="B325" s="1" t="n">
        <v>44697</v>
      </c>
      <c r="C325" s="1" t="n">
        <v>45988</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6678-2025</t>
        </is>
      </c>
      <c r="B326" s="1" t="n">
        <v>45700</v>
      </c>
      <c r="C326" s="1" t="n">
        <v>45988</v>
      </c>
      <c r="D326" t="inlineStr">
        <is>
          <t>STOCKHOLMS LÄN</t>
        </is>
      </c>
      <c r="E326" t="inlineStr">
        <is>
          <t>NORRTÄLJE</t>
        </is>
      </c>
      <c r="F326" t="inlineStr">
        <is>
          <t>Övriga Aktiebolag</t>
        </is>
      </c>
      <c r="G326" t="n">
        <v>6.6</v>
      </c>
      <c r="H326" t="n">
        <v>0</v>
      </c>
      <c r="I326" t="n">
        <v>0</v>
      </c>
      <c r="J326" t="n">
        <v>0</v>
      </c>
      <c r="K326" t="n">
        <v>0</v>
      </c>
      <c r="L326" t="n">
        <v>0</v>
      </c>
      <c r="M326" t="n">
        <v>0</v>
      </c>
      <c r="N326" t="n">
        <v>0</v>
      </c>
      <c r="O326" t="n">
        <v>0</v>
      </c>
      <c r="P326" t="n">
        <v>0</v>
      </c>
      <c r="Q326" t="n">
        <v>0</v>
      </c>
      <c r="R326" s="2" t="inlineStr"/>
    </row>
    <row r="327" ht="15" customHeight="1">
      <c r="A327" t="inlineStr">
        <is>
          <t>A 42075-2023</t>
        </is>
      </c>
      <c r="B327" s="1" t="n">
        <v>45177</v>
      </c>
      <c r="C327" s="1" t="n">
        <v>45988</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10676-2025</t>
        </is>
      </c>
      <c r="B328" s="1" t="n">
        <v>45721.88684027778</v>
      </c>
      <c r="C328" s="1" t="n">
        <v>45988</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50108-2021</t>
        </is>
      </c>
      <c r="B329" s="1" t="n">
        <v>44456</v>
      </c>
      <c r="C329" s="1" t="n">
        <v>45988</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20852-2023</t>
        </is>
      </c>
      <c r="B330" s="1" t="n">
        <v>45058.78607638889</v>
      </c>
      <c r="C330" s="1" t="n">
        <v>45988</v>
      </c>
      <c r="D330" t="inlineStr">
        <is>
          <t>STOCKHOLMS LÄN</t>
        </is>
      </c>
      <c r="E330" t="inlineStr">
        <is>
          <t>NORRTÄLJE</t>
        </is>
      </c>
      <c r="G330" t="n">
        <v>3.5</v>
      </c>
      <c r="H330" t="n">
        <v>0</v>
      </c>
      <c r="I330" t="n">
        <v>0</v>
      </c>
      <c r="J330" t="n">
        <v>0</v>
      </c>
      <c r="K330" t="n">
        <v>0</v>
      </c>
      <c r="L330" t="n">
        <v>0</v>
      </c>
      <c r="M330" t="n">
        <v>0</v>
      </c>
      <c r="N330" t="n">
        <v>0</v>
      </c>
      <c r="O330" t="n">
        <v>0</v>
      </c>
      <c r="P330" t="n">
        <v>0</v>
      </c>
      <c r="Q330" t="n">
        <v>0</v>
      </c>
      <c r="R330" s="2" t="inlineStr"/>
    </row>
    <row r="331" ht="15" customHeight="1">
      <c r="A331" t="inlineStr">
        <is>
          <t>A 16620-2024</t>
        </is>
      </c>
      <c r="B331" s="1" t="n">
        <v>45408.57707175926</v>
      </c>
      <c r="C331" s="1" t="n">
        <v>45988</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22416-2025</t>
        </is>
      </c>
      <c r="B332" s="1" t="n">
        <v>45786.55645833333</v>
      </c>
      <c r="C332" s="1" t="n">
        <v>45988</v>
      </c>
      <c r="D332" t="inlineStr">
        <is>
          <t>STOCKHOLMS LÄN</t>
        </is>
      </c>
      <c r="E332" t="inlineStr">
        <is>
          <t>NORRTÄLJE</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50355-2024</t>
        </is>
      </c>
      <c r="B333" s="1" t="n">
        <v>45600.86128472222</v>
      </c>
      <c r="C333" s="1" t="n">
        <v>45988</v>
      </c>
      <c r="D333" t="inlineStr">
        <is>
          <t>STOCKHOLMS LÄN</t>
        </is>
      </c>
      <c r="E333" t="inlineStr">
        <is>
          <t>NORRTÄLJE</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68081-2020</t>
        </is>
      </c>
      <c r="B334" s="1" t="n">
        <v>44183</v>
      </c>
      <c r="C334" s="1" t="n">
        <v>45988</v>
      </c>
      <c r="D334" t="inlineStr">
        <is>
          <t>STOCKHOLMS LÄN</t>
        </is>
      </c>
      <c r="E334" t="inlineStr">
        <is>
          <t>NORRTÄLJE</t>
        </is>
      </c>
      <c r="G334" t="n">
        <v>2.1</v>
      </c>
      <c r="H334" t="n">
        <v>0</v>
      </c>
      <c r="I334" t="n">
        <v>0</v>
      </c>
      <c r="J334" t="n">
        <v>0</v>
      </c>
      <c r="K334" t="n">
        <v>0</v>
      </c>
      <c r="L334" t="n">
        <v>0</v>
      </c>
      <c r="M334" t="n">
        <v>0</v>
      </c>
      <c r="N334" t="n">
        <v>0</v>
      </c>
      <c r="O334" t="n">
        <v>0</v>
      </c>
      <c r="P334" t="n">
        <v>0</v>
      </c>
      <c r="Q334" t="n">
        <v>0</v>
      </c>
      <c r="R334" s="2" t="inlineStr"/>
    </row>
    <row r="335" ht="15" customHeight="1">
      <c r="A335" t="inlineStr">
        <is>
          <t>A 58785-2024</t>
        </is>
      </c>
      <c r="B335" s="1" t="n">
        <v>45635.88849537037</v>
      </c>
      <c r="C335" s="1" t="n">
        <v>45988</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44917-2022</t>
        </is>
      </c>
      <c r="B336" s="1" t="n">
        <v>44841.52804398148</v>
      </c>
      <c r="C336" s="1" t="n">
        <v>45988</v>
      </c>
      <c r="D336" t="inlineStr">
        <is>
          <t>STOCKHOLMS LÄN</t>
        </is>
      </c>
      <c r="E336" t="inlineStr">
        <is>
          <t>NORRTÄLJE</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2182-2022</t>
        </is>
      </c>
      <c r="B337" s="1" t="n">
        <v>44578</v>
      </c>
      <c r="C337" s="1" t="n">
        <v>45988</v>
      </c>
      <c r="D337" t="inlineStr">
        <is>
          <t>STOCKHOLMS LÄN</t>
        </is>
      </c>
      <c r="E337" t="inlineStr">
        <is>
          <t>NORRTÄLJE</t>
        </is>
      </c>
      <c r="G337" t="n">
        <v>7.2</v>
      </c>
      <c r="H337" t="n">
        <v>0</v>
      </c>
      <c r="I337" t="n">
        <v>0</v>
      </c>
      <c r="J337" t="n">
        <v>0</v>
      </c>
      <c r="K337" t="n">
        <v>0</v>
      </c>
      <c r="L337" t="n">
        <v>0</v>
      </c>
      <c r="M337" t="n">
        <v>0</v>
      </c>
      <c r="N337" t="n">
        <v>0</v>
      </c>
      <c r="O337" t="n">
        <v>0</v>
      </c>
      <c r="P337" t="n">
        <v>0</v>
      </c>
      <c r="Q337" t="n">
        <v>0</v>
      </c>
      <c r="R337" s="2" t="inlineStr"/>
    </row>
    <row r="338" ht="15" customHeight="1">
      <c r="A338" t="inlineStr">
        <is>
          <t>A 55058-2021</t>
        </is>
      </c>
      <c r="B338" s="1" t="n">
        <v>44474.62141203704</v>
      </c>
      <c r="C338" s="1" t="n">
        <v>45988</v>
      </c>
      <c r="D338" t="inlineStr">
        <is>
          <t>STOCKHOLMS LÄN</t>
        </is>
      </c>
      <c r="E338" t="inlineStr">
        <is>
          <t>NORRTÄLJE</t>
        </is>
      </c>
      <c r="G338" t="n">
        <v>1.9</v>
      </c>
      <c r="H338" t="n">
        <v>0</v>
      </c>
      <c r="I338" t="n">
        <v>0</v>
      </c>
      <c r="J338" t="n">
        <v>0</v>
      </c>
      <c r="K338" t="n">
        <v>0</v>
      </c>
      <c r="L338" t="n">
        <v>0</v>
      </c>
      <c r="M338" t="n">
        <v>0</v>
      </c>
      <c r="N338" t="n">
        <v>0</v>
      </c>
      <c r="O338" t="n">
        <v>0</v>
      </c>
      <c r="P338" t="n">
        <v>0</v>
      </c>
      <c r="Q338" t="n">
        <v>0</v>
      </c>
      <c r="R338" s="2" t="inlineStr"/>
    </row>
    <row r="339" ht="15" customHeight="1">
      <c r="A339" t="inlineStr">
        <is>
          <t>A 13268-2025</t>
        </is>
      </c>
      <c r="B339" s="1" t="n">
        <v>45735</v>
      </c>
      <c r="C339" s="1" t="n">
        <v>45988</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8414-2025</t>
        </is>
      </c>
      <c r="B340" s="1" t="n">
        <v>45709.39361111111</v>
      </c>
      <c r="C340" s="1" t="n">
        <v>45988</v>
      </c>
      <c r="D340" t="inlineStr">
        <is>
          <t>STOCKHOLMS LÄN</t>
        </is>
      </c>
      <c r="E340" t="inlineStr">
        <is>
          <t>NORRTÄLJE</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38720-2025</t>
        </is>
      </c>
      <c r="B341" s="1" t="n">
        <v>45886</v>
      </c>
      <c r="C341" s="1" t="n">
        <v>45988</v>
      </c>
      <c r="D341" t="inlineStr">
        <is>
          <t>STOCKHOLMS LÄN</t>
        </is>
      </c>
      <c r="E341" t="inlineStr">
        <is>
          <t>NORRTÄLJE</t>
        </is>
      </c>
      <c r="G341" t="n">
        <v>1.6</v>
      </c>
      <c r="H341" t="n">
        <v>0</v>
      </c>
      <c r="I341" t="n">
        <v>0</v>
      </c>
      <c r="J341" t="n">
        <v>0</v>
      </c>
      <c r="K341" t="n">
        <v>0</v>
      </c>
      <c r="L341" t="n">
        <v>0</v>
      </c>
      <c r="M341" t="n">
        <v>0</v>
      </c>
      <c r="N341" t="n">
        <v>0</v>
      </c>
      <c r="O341" t="n">
        <v>0</v>
      </c>
      <c r="P341" t="n">
        <v>0</v>
      </c>
      <c r="Q341" t="n">
        <v>0</v>
      </c>
      <c r="R341" s="2" t="inlineStr"/>
    </row>
    <row r="342" ht="15" customHeight="1">
      <c r="A342" t="inlineStr">
        <is>
          <t>A 36625-2024</t>
        </is>
      </c>
      <c r="B342" s="1" t="n">
        <v>45537</v>
      </c>
      <c r="C342" s="1" t="n">
        <v>45988</v>
      </c>
      <c r="D342" t="inlineStr">
        <is>
          <t>STOCKHOLMS LÄN</t>
        </is>
      </c>
      <c r="E342" t="inlineStr">
        <is>
          <t>NORRTÄLJE</t>
        </is>
      </c>
      <c r="G342" t="n">
        <v>3.8</v>
      </c>
      <c r="H342" t="n">
        <v>0</v>
      </c>
      <c r="I342" t="n">
        <v>0</v>
      </c>
      <c r="J342" t="n">
        <v>0</v>
      </c>
      <c r="K342" t="n">
        <v>0</v>
      </c>
      <c r="L342" t="n">
        <v>0</v>
      </c>
      <c r="M342" t="n">
        <v>0</v>
      </c>
      <c r="N342" t="n">
        <v>0</v>
      </c>
      <c r="O342" t="n">
        <v>0</v>
      </c>
      <c r="P342" t="n">
        <v>0</v>
      </c>
      <c r="Q342" t="n">
        <v>0</v>
      </c>
      <c r="R342" s="2" t="inlineStr"/>
    </row>
    <row r="343" ht="15" customHeight="1">
      <c r="A343" t="inlineStr">
        <is>
          <t>A 44891-2023</t>
        </is>
      </c>
      <c r="B343" s="1" t="n">
        <v>45187</v>
      </c>
      <c r="C343" s="1" t="n">
        <v>45988</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55012-2024</t>
        </is>
      </c>
      <c r="B344" s="1" t="n">
        <v>45621.34813657407</v>
      </c>
      <c r="C344" s="1" t="n">
        <v>45988</v>
      </c>
      <c r="D344" t="inlineStr">
        <is>
          <t>STOCKHOLMS LÄN</t>
        </is>
      </c>
      <c r="E344" t="inlineStr">
        <is>
          <t>NORRTÄLJE</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12902-2024</t>
        </is>
      </c>
      <c r="B345" s="1" t="n">
        <v>45385.38146990741</v>
      </c>
      <c r="C345" s="1" t="n">
        <v>45988</v>
      </c>
      <c r="D345" t="inlineStr">
        <is>
          <t>STOCKHOLMS LÄN</t>
        </is>
      </c>
      <c r="E345" t="inlineStr">
        <is>
          <t>NORRTÄLJE</t>
        </is>
      </c>
      <c r="G345" t="n">
        <v>3.7</v>
      </c>
      <c r="H345" t="n">
        <v>0</v>
      </c>
      <c r="I345" t="n">
        <v>0</v>
      </c>
      <c r="J345" t="n">
        <v>0</v>
      </c>
      <c r="K345" t="n">
        <v>0</v>
      </c>
      <c r="L345" t="n">
        <v>0</v>
      </c>
      <c r="M345" t="n">
        <v>0</v>
      </c>
      <c r="N345" t="n">
        <v>0</v>
      </c>
      <c r="O345" t="n">
        <v>0</v>
      </c>
      <c r="P345" t="n">
        <v>0</v>
      </c>
      <c r="Q345" t="n">
        <v>0</v>
      </c>
      <c r="R345" s="2" t="inlineStr"/>
    </row>
    <row r="346" ht="15" customHeight="1">
      <c r="A346" t="inlineStr">
        <is>
          <t>A 44032-2024</t>
        </is>
      </c>
      <c r="B346" s="1" t="n">
        <v>45572.57828703704</v>
      </c>
      <c r="C346" s="1" t="n">
        <v>45988</v>
      </c>
      <c r="D346" t="inlineStr">
        <is>
          <t>STOCKHOLMS LÄN</t>
        </is>
      </c>
      <c r="E346" t="inlineStr">
        <is>
          <t>NORRTÄLJE</t>
        </is>
      </c>
      <c r="G346" t="n">
        <v>8.6</v>
      </c>
      <c r="H346" t="n">
        <v>0</v>
      </c>
      <c r="I346" t="n">
        <v>0</v>
      </c>
      <c r="J346" t="n">
        <v>0</v>
      </c>
      <c r="K346" t="n">
        <v>0</v>
      </c>
      <c r="L346" t="n">
        <v>0</v>
      </c>
      <c r="M346" t="n">
        <v>0</v>
      </c>
      <c r="N346" t="n">
        <v>0</v>
      </c>
      <c r="O346" t="n">
        <v>0</v>
      </c>
      <c r="P346" t="n">
        <v>0</v>
      </c>
      <c r="Q346" t="n">
        <v>0</v>
      </c>
      <c r="R346" s="2" t="inlineStr"/>
    </row>
    <row r="347" ht="15" customHeight="1">
      <c r="A347" t="inlineStr">
        <is>
          <t>A 24563-2024</t>
        </is>
      </c>
      <c r="B347" s="1" t="n">
        <v>45460.44347222222</v>
      </c>
      <c r="C347" s="1" t="n">
        <v>45988</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39237-2024</t>
        </is>
      </c>
      <c r="B348" s="1" t="n">
        <v>45549</v>
      </c>
      <c r="C348" s="1" t="n">
        <v>45988</v>
      </c>
      <c r="D348" t="inlineStr">
        <is>
          <t>STOCKHOLMS LÄN</t>
        </is>
      </c>
      <c r="E348" t="inlineStr">
        <is>
          <t>NORRTÄLJE</t>
        </is>
      </c>
      <c r="G348" t="n">
        <v>13.3</v>
      </c>
      <c r="H348" t="n">
        <v>0</v>
      </c>
      <c r="I348" t="n">
        <v>0</v>
      </c>
      <c r="J348" t="n">
        <v>0</v>
      </c>
      <c r="K348" t="n">
        <v>0</v>
      </c>
      <c r="L348" t="n">
        <v>0</v>
      </c>
      <c r="M348" t="n">
        <v>0</v>
      </c>
      <c r="N348" t="n">
        <v>0</v>
      </c>
      <c r="O348" t="n">
        <v>0</v>
      </c>
      <c r="P348" t="n">
        <v>0</v>
      </c>
      <c r="Q348" t="n">
        <v>0</v>
      </c>
      <c r="R348" s="2" t="inlineStr"/>
    </row>
    <row r="349" ht="15" customHeight="1">
      <c r="A349" t="inlineStr">
        <is>
          <t>A 45746-2024</t>
        </is>
      </c>
      <c r="B349" s="1" t="n">
        <v>45579</v>
      </c>
      <c r="C349" s="1" t="n">
        <v>45988</v>
      </c>
      <c r="D349" t="inlineStr">
        <is>
          <t>STOCKHOLMS LÄN</t>
        </is>
      </c>
      <c r="E349" t="inlineStr">
        <is>
          <t>NORRTÄLJE</t>
        </is>
      </c>
      <c r="G349" t="n">
        <v>3.3</v>
      </c>
      <c r="H349" t="n">
        <v>0</v>
      </c>
      <c r="I349" t="n">
        <v>0</v>
      </c>
      <c r="J349" t="n">
        <v>0</v>
      </c>
      <c r="K349" t="n">
        <v>0</v>
      </c>
      <c r="L349" t="n">
        <v>0</v>
      </c>
      <c r="M349" t="n">
        <v>0</v>
      </c>
      <c r="N349" t="n">
        <v>0</v>
      </c>
      <c r="O349" t="n">
        <v>0</v>
      </c>
      <c r="P349" t="n">
        <v>0</v>
      </c>
      <c r="Q349" t="n">
        <v>0</v>
      </c>
      <c r="R349" s="2" t="inlineStr"/>
    </row>
    <row r="350" ht="15" customHeight="1">
      <c r="A350" t="inlineStr">
        <is>
          <t>A 8400-2024</t>
        </is>
      </c>
      <c r="B350" s="1" t="n">
        <v>45352.74090277778</v>
      </c>
      <c r="C350" s="1" t="n">
        <v>45988</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7413-2024</t>
        </is>
      </c>
      <c r="B351" s="1" t="n">
        <v>45345.6059837963</v>
      </c>
      <c r="C351" s="1" t="n">
        <v>45988</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12251-2025</t>
        </is>
      </c>
      <c r="B352" s="1" t="n">
        <v>45729.60859953704</v>
      </c>
      <c r="C352" s="1" t="n">
        <v>45988</v>
      </c>
      <c r="D352" t="inlineStr">
        <is>
          <t>STOCKHOLMS LÄN</t>
        </is>
      </c>
      <c r="E352" t="inlineStr">
        <is>
          <t>NORRTÄLJE</t>
        </is>
      </c>
      <c r="F352" t="inlineStr">
        <is>
          <t>Holmen skog AB</t>
        </is>
      </c>
      <c r="G352" t="n">
        <v>5.9</v>
      </c>
      <c r="H352" t="n">
        <v>0</v>
      </c>
      <c r="I352" t="n">
        <v>0</v>
      </c>
      <c r="J352" t="n">
        <v>0</v>
      </c>
      <c r="K352" t="n">
        <v>0</v>
      </c>
      <c r="L352" t="n">
        <v>0</v>
      </c>
      <c r="M352" t="n">
        <v>0</v>
      </c>
      <c r="N352" t="n">
        <v>0</v>
      </c>
      <c r="O352" t="n">
        <v>0</v>
      </c>
      <c r="P352" t="n">
        <v>0</v>
      </c>
      <c r="Q352" t="n">
        <v>0</v>
      </c>
      <c r="R352" s="2" t="inlineStr"/>
    </row>
    <row r="353" ht="15" customHeight="1">
      <c r="A353" t="inlineStr">
        <is>
          <t>A 58863-2024</t>
        </is>
      </c>
      <c r="B353" s="1" t="n">
        <v>45636.41572916666</v>
      </c>
      <c r="C353" s="1" t="n">
        <v>45988</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38593-2025</t>
        </is>
      </c>
      <c r="B354" s="1" t="n">
        <v>45884.48696759259</v>
      </c>
      <c r="C354" s="1" t="n">
        <v>45988</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50154-2024</t>
        </is>
      </c>
      <c r="B355" s="1" t="n">
        <v>45600.4558912037</v>
      </c>
      <c r="C355" s="1" t="n">
        <v>45988</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11900-2024</t>
        </is>
      </c>
      <c r="B356" s="1" t="n">
        <v>45376.55484953704</v>
      </c>
      <c r="C356" s="1" t="n">
        <v>45988</v>
      </c>
      <c r="D356" t="inlineStr">
        <is>
          <t>STOCKHOLMS LÄN</t>
        </is>
      </c>
      <c r="E356" t="inlineStr">
        <is>
          <t>NORRTÄLJE</t>
        </is>
      </c>
      <c r="G356" t="n">
        <v>4.2</v>
      </c>
      <c r="H356" t="n">
        <v>0</v>
      </c>
      <c r="I356" t="n">
        <v>0</v>
      </c>
      <c r="J356" t="n">
        <v>0</v>
      </c>
      <c r="K356" t="n">
        <v>0</v>
      </c>
      <c r="L356" t="n">
        <v>0</v>
      </c>
      <c r="M356" t="n">
        <v>0</v>
      </c>
      <c r="N356" t="n">
        <v>0</v>
      </c>
      <c r="O356" t="n">
        <v>0</v>
      </c>
      <c r="P356" t="n">
        <v>0</v>
      </c>
      <c r="Q356" t="n">
        <v>0</v>
      </c>
      <c r="R356" s="2" t="inlineStr"/>
    </row>
    <row r="357" ht="15" customHeight="1">
      <c r="A357" t="inlineStr">
        <is>
          <t>A 27677-2025</t>
        </is>
      </c>
      <c r="B357" s="1" t="n">
        <v>45813.63650462963</v>
      </c>
      <c r="C357" s="1" t="n">
        <v>45988</v>
      </c>
      <c r="D357" t="inlineStr">
        <is>
          <t>STOCKHOLMS LÄN</t>
        </is>
      </c>
      <c r="E357" t="inlineStr">
        <is>
          <t>NORRTÄLJE</t>
        </is>
      </c>
      <c r="G357" t="n">
        <v>2</v>
      </c>
      <c r="H357" t="n">
        <v>0</v>
      </c>
      <c r="I357" t="n">
        <v>0</v>
      </c>
      <c r="J357" t="n">
        <v>0</v>
      </c>
      <c r="K357" t="n">
        <v>0</v>
      </c>
      <c r="L357" t="n">
        <v>0</v>
      </c>
      <c r="M357" t="n">
        <v>0</v>
      </c>
      <c r="N357" t="n">
        <v>0</v>
      </c>
      <c r="O357" t="n">
        <v>0</v>
      </c>
      <c r="P357" t="n">
        <v>0</v>
      </c>
      <c r="Q357" t="n">
        <v>0</v>
      </c>
      <c r="R357" s="2" t="inlineStr"/>
    </row>
    <row r="358" ht="15" customHeight="1">
      <c r="A358" t="inlineStr">
        <is>
          <t>A 39152-2025</t>
        </is>
      </c>
      <c r="B358" s="1" t="n">
        <v>45888</v>
      </c>
      <c r="C358" s="1" t="n">
        <v>45988</v>
      </c>
      <c r="D358" t="inlineStr">
        <is>
          <t>STOCKHOLMS LÄN</t>
        </is>
      </c>
      <c r="E358" t="inlineStr">
        <is>
          <t>NORRTÄLJE</t>
        </is>
      </c>
      <c r="G358" t="n">
        <v>4.6</v>
      </c>
      <c r="H358" t="n">
        <v>0</v>
      </c>
      <c r="I358" t="n">
        <v>0</v>
      </c>
      <c r="J358" t="n">
        <v>0</v>
      </c>
      <c r="K358" t="n">
        <v>0</v>
      </c>
      <c r="L358" t="n">
        <v>0</v>
      </c>
      <c r="M358" t="n">
        <v>0</v>
      </c>
      <c r="N358" t="n">
        <v>0</v>
      </c>
      <c r="O358" t="n">
        <v>0</v>
      </c>
      <c r="P358" t="n">
        <v>0</v>
      </c>
      <c r="Q358" t="n">
        <v>0</v>
      </c>
      <c r="R358" s="2" t="inlineStr"/>
    </row>
    <row r="359" ht="15" customHeight="1">
      <c r="A359" t="inlineStr">
        <is>
          <t>A 42867-2022</t>
        </is>
      </c>
      <c r="B359" s="1" t="n">
        <v>44832</v>
      </c>
      <c r="C359" s="1" t="n">
        <v>45988</v>
      </c>
      <c r="D359" t="inlineStr">
        <is>
          <t>STOCKHOLMS LÄN</t>
        </is>
      </c>
      <c r="E359" t="inlineStr">
        <is>
          <t>NORRTÄLJE</t>
        </is>
      </c>
      <c r="G359" t="n">
        <v>6.4</v>
      </c>
      <c r="H359" t="n">
        <v>0</v>
      </c>
      <c r="I359" t="n">
        <v>0</v>
      </c>
      <c r="J359" t="n">
        <v>0</v>
      </c>
      <c r="K359" t="n">
        <v>0</v>
      </c>
      <c r="L359" t="n">
        <v>0</v>
      </c>
      <c r="M359" t="n">
        <v>0</v>
      </c>
      <c r="N359" t="n">
        <v>0</v>
      </c>
      <c r="O359" t="n">
        <v>0</v>
      </c>
      <c r="P359" t="n">
        <v>0</v>
      </c>
      <c r="Q359" t="n">
        <v>0</v>
      </c>
      <c r="R359" s="2" t="inlineStr"/>
    </row>
    <row r="360" ht="15" customHeight="1">
      <c r="A360" t="inlineStr">
        <is>
          <t>A 39149-2025</t>
        </is>
      </c>
      <c r="B360" s="1" t="n">
        <v>45888.60714120371</v>
      </c>
      <c r="C360" s="1" t="n">
        <v>45988</v>
      </c>
      <c r="D360" t="inlineStr">
        <is>
          <t>STOCKHOLMS LÄN</t>
        </is>
      </c>
      <c r="E360" t="inlineStr">
        <is>
          <t>NORRTÄLJE</t>
        </is>
      </c>
      <c r="G360" t="n">
        <v>3.5</v>
      </c>
      <c r="H360" t="n">
        <v>0</v>
      </c>
      <c r="I360" t="n">
        <v>0</v>
      </c>
      <c r="J360" t="n">
        <v>0</v>
      </c>
      <c r="K360" t="n">
        <v>0</v>
      </c>
      <c r="L360" t="n">
        <v>0</v>
      </c>
      <c r="M360" t="n">
        <v>0</v>
      </c>
      <c r="N360" t="n">
        <v>0</v>
      </c>
      <c r="O360" t="n">
        <v>0</v>
      </c>
      <c r="P360" t="n">
        <v>0</v>
      </c>
      <c r="Q360" t="n">
        <v>0</v>
      </c>
      <c r="R360" s="2" t="inlineStr"/>
    </row>
    <row r="361" ht="15" customHeight="1">
      <c r="A361" t="inlineStr">
        <is>
          <t>A 23749-2024</t>
        </is>
      </c>
      <c r="B361" s="1" t="n">
        <v>45455.33037037037</v>
      </c>
      <c r="C361" s="1" t="n">
        <v>45988</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58277-2023</t>
        </is>
      </c>
      <c r="B362" s="1" t="n">
        <v>45245</v>
      </c>
      <c r="C362" s="1" t="n">
        <v>45988</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62998-2023</t>
        </is>
      </c>
      <c r="B363" s="1" t="n">
        <v>45272.64479166667</v>
      </c>
      <c r="C363" s="1" t="n">
        <v>45988</v>
      </c>
      <c r="D363" t="inlineStr">
        <is>
          <t>STOCKHOLMS LÄN</t>
        </is>
      </c>
      <c r="E363" t="inlineStr">
        <is>
          <t>NORRTÄLJE</t>
        </is>
      </c>
      <c r="G363" t="n">
        <v>16.3</v>
      </c>
      <c r="H363" t="n">
        <v>0</v>
      </c>
      <c r="I363" t="n">
        <v>0</v>
      </c>
      <c r="J363" t="n">
        <v>0</v>
      </c>
      <c r="K363" t="n">
        <v>0</v>
      </c>
      <c r="L363" t="n">
        <v>0</v>
      </c>
      <c r="M363" t="n">
        <v>0</v>
      </c>
      <c r="N363" t="n">
        <v>0</v>
      </c>
      <c r="O363" t="n">
        <v>0</v>
      </c>
      <c r="P363" t="n">
        <v>0</v>
      </c>
      <c r="Q363" t="n">
        <v>0</v>
      </c>
      <c r="R363" s="2" t="inlineStr"/>
    </row>
    <row r="364" ht="15" customHeight="1">
      <c r="A364" t="inlineStr">
        <is>
          <t>A 63015-2023</t>
        </is>
      </c>
      <c r="B364" s="1" t="n">
        <v>45272</v>
      </c>
      <c r="C364" s="1" t="n">
        <v>45988</v>
      </c>
      <c r="D364" t="inlineStr">
        <is>
          <t>STOCKHOLMS LÄN</t>
        </is>
      </c>
      <c r="E364" t="inlineStr">
        <is>
          <t>NORRTÄLJE</t>
        </is>
      </c>
      <c r="G364" t="n">
        <v>13.1</v>
      </c>
      <c r="H364" t="n">
        <v>0</v>
      </c>
      <c r="I364" t="n">
        <v>0</v>
      </c>
      <c r="J364" t="n">
        <v>0</v>
      </c>
      <c r="K364" t="n">
        <v>0</v>
      </c>
      <c r="L364" t="n">
        <v>0</v>
      </c>
      <c r="M364" t="n">
        <v>0</v>
      </c>
      <c r="N364" t="n">
        <v>0</v>
      </c>
      <c r="O364" t="n">
        <v>0</v>
      </c>
      <c r="P364" t="n">
        <v>0</v>
      </c>
      <c r="Q364" t="n">
        <v>0</v>
      </c>
      <c r="R364" s="2" t="inlineStr"/>
    </row>
    <row r="365" ht="15" customHeight="1">
      <c r="A365" t="inlineStr">
        <is>
          <t>A 32705-2022</t>
        </is>
      </c>
      <c r="B365" s="1" t="n">
        <v>44783</v>
      </c>
      <c r="C365" s="1" t="n">
        <v>45988</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27831-2024</t>
        </is>
      </c>
      <c r="B366" s="1" t="n">
        <v>45475.61896990741</v>
      </c>
      <c r="C366" s="1" t="n">
        <v>45988</v>
      </c>
      <c r="D366" t="inlineStr">
        <is>
          <t>STOCKHOLMS LÄN</t>
        </is>
      </c>
      <c r="E366" t="inlineStr">
        <is>
          <t>NORRTÄLJE</t>
        </is>
      </c>
      <c r="G366" t="n">
        <v>3.8</v>
      </c>
      <c r="H366" t="n">
        <v>0</v>
      </c>
      <c r="I366" t="n">
        <v>0</v>
      </c>
      <c r="J366" t="n">
        <v>0</v>
      </c>
      <c r="K366" t="n">
        <v>0</v>
      </c>
      <c r="L366" t="n">
        <v>0</v>
      </c>
      <c r="M366" t="n">
        <v>0</v>
      </c>
      <c r="N366" t="n">
        <v>0</v>
      </c>
      <c r="O366" t="n">
        <v>0</v>
      </c>
      <c r="P366" t="n">
        <v>0</v>
      </c>
      <c r="Q366" t="n">
        <v>0</v>
      </c>
      <c r="R366" s="2" t="inlineStr"/>
    </row>
    <row r="367" ht="15" customHeight="1">
      <c r="A367" t="inlineStr">
        <is>
          <t>A 47481-2024</t>
        </is>
      </c>
      <c r="B367" s="1" t="n">
        <v>45587</v>
      </c>
      <c r="C367" s="1" t="n">
        <v>45988</v>
      </c>
      <c r="D367" t="inlineStr">
        <is>
          <t>STOCKHOLMS LÄN</t>
        </is>
      </c>
      <c r="E367" t="inlineStr">
        <is>
          <t>NORRTÄLJE</t>
        </is>
      </c>
      <c r="G367" t="n">
        <v>0.5</v>
      </c>
      <c r="H367" t="n">
        <v>0</v>
      </c>
      <c r="I367" t="n">
        <v>0</v>
      </c>
      <c r="J367" t="n">
        <v>0</v>
      </c>
      <c r="K367" t="n">
        <v>0</v>
      </c>
      <c r="L367" t="n">
        <v>0</v>
      </c>
      <c r="M367" t="n">
        <v>0</v>
      </c>
      <c r="N367" t="n">
        <v>0</v>
      </c>
      <c r="O367" t="n">
        <v>0</v>
      </c>
      <c r="P367" t="n">
        <v>0</v>
      </c>
      <c r="Q367" t="n">
        <v>0</v>
      </c>
      <c r="R367" s="2" t="inlineStr"/>
    </row>
    <row r="368" ht="15" customHeight="1">
      <c r="A368" t="inlineStr">
        <is>
          <t>A 57037-2022</t>
        </is>
      </c>
      <c r="B368" s="1" t="n">
        <v>44895</v>
      </c>
      <c r="C368" s="1" t="n">
        <v>45988</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39692-2025</t>
        </is>
      </c>
      <c r="B369" s="1" t="n">
        <v>45890.68083333333</v>
      </c>
      <c r="C369" s="1" t="n">
        <v>45988</v>
      </c>
      <c r="D369" t="inlineStr">
        <is>
          <t>STOCKHOLMS LÄN</t>
        </is>
      </c>
      <c r="E369" t="inlineStr">
        <is>
          <t>NORRTÄLJE</t>
        </is>
      </c>
      <c r="G369" t="n">
        <v>10.5</v>
      </c>
      <c r="H369" t="n">
        <v>0</v>
      </c>
      <c r="I369" t="n">
        <v>0</v>
      </c>
      <c r="J369" t="n">
        <v>0</v>
      </c>
      <c r="K369" t="n">
        <v>0</v>
      </c>
      <c r="L369" t="n">
        <v>0</v>
      </c>
      <c r="M369" t="n">
        <v>0</v>
      </c>
      <c r="N369" t="n">
        <v>0</v>
      </c>
      <c r="O369" t="n">
        <v>0</v>
      </c>
      <c r="P369" t="n">
        <v>0</v>
      </c>
      <c r="Q369" t="n">
        <v>0</v>
      </c>
      <c r="R369" s="2" t="inlineStr"/>
    </row>
    <row r="370" ht="15" customHeight="1">
      <c r="A370" t="inlineStr">
        <is>
          <t>A 33175-2024</t>
        </is>
      </c>
      <c r="B370" s="1" t="n">
        <v>45518</v>
      </c>
      <c r="C370" s="1" t="n">
        <v>45988</v>
      </c>
      <c r="D370" t="inlineStr">
        <is>
          <t>STOCKHOLMS LÄN</t>
        </is>
      </c>
      <c r="E370" t="inlineStr">
        <is>
          <t>NORRTÄLJE</t>
        </is>
      </c>
      <c r="G370" t="n">
        <v>2.1</v>
      </c>
      <c r="H370" t="n">
        <v>0</v>
      </c>
      <c r="I370" t="n">
        <v>0</v>
      </c>
      <c r="J370" t="n">
        <v>0</v>
      </c>
      <c r="K370" t="n">
        <v>0</v>
      </c>
      <c r="L370" t="n">
        <v>0</v>
      </c>
      <c r="M370" t="n">
        <v>0</v>
      </c>
      <c r="N370" t="n">
        <v>0</v>
      </c>
      <c r="O370" t="n">
        <v>0</v>
      </c>
      <c r="P370" t="n">
        <v>0</v>
      </c>
      <c r="Q370" t="n">
        <v>0</v>
      </c>
      <c r="R370" s="2" t="inlineStr"/>
    </row>
    <row r="371" ht="15" customHeight="1">
      <c r="A371" t="inlineStr">
        <is>
          <t>A 11940-2023</t>
        </is>
      </c>
      <c r="B371" s="1" t="n">
        <v>44995</v>
      </c>
      <c r="C371" s="1" t="n">
        <v>45988</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21803-2022</t>
        </is>
      </c>
      <c r="B372" s="1" t="n">
        <v>44708.67822916667</v>
      </c>
      <c r="C372" s="1" t="n">
        <v>45988</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20730-2024</t>
        </is>
      </c>
      <c r="B373" s="1" t="n">
        <v>45436</v>
      </c>
      <c r="C373" s="1" t="n">
        <v>45988</v>
      </c>
      <c r="D373" t="inlineStr">
        <is>
          <t>STOCKHOLMS LÄN</t>
        </is>
      </c>
      <c r="E373" t="inlineStr">
        <is>
          <t>NORRTÄLJE</t>
        </is>
      </c>
      <c r="G373" t="n">
        <v>7.3</v>
      </c>
      <c r="H373" t="n">
        <v>0</v>
      </c>
      <c r="I373" t="n">
        <v>0</v>
      </c>
      <c r="J373" t="n">
        <v>0</v>
      </c>
      <c r="K373" t="n">
        <v>0</v>
      </c>
      <c r="L373" t="n">
        <v>0</v>
      </c>
      <c r="M373" t="n">
        <v>0</v>
      </c>
      <c r="N373" t="n">
        <v>0</v>
      </c>
      <c r="O373" t="n">
        <v>0</v>
      </c>
      <c r="P373" t="n">
        <v>0</v>
      </c>
      <c r="Q373" t="n">
        <v>0</v>
      </c>
      <c r="R373" s="2" t="inlineStr"/>
    </row>
    <row r="374" ht="15" customHeight="1">
      <c r="A374" t="inlineStr">
        <is>
          <t>A 2281-2024</t>
        </is>
      </c>
      <c r="B374" s="1" t="n">
        <v>45310.40628472222</v>
      </c>
      <c r="C374" s="1" t="n">
        <v>45988</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35639-2025</t>
        </is>
      </c>
      <c r="B375" s="1" t="n">
        <v>45859</v>
      </c>
      <c r="C375" s="1" t="n">
        <v>45988</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60525-2022</t>
        </is>
      </c>
      <c r="B376" s="1" t="n">
        <v>44904</v>
      </c>
      <c r="C376" s="1" t="n">
        <v>45988</v>
      </c>
      <c r="D376" t="inlineStr">
        <is>
          <t>STOCKHOLMS LÄN</t>
        </is>
      </c>
      <c r="E376" t="inlineStr">
        <is>
          <t>NORRTÄLJE</t>
        </is>
      </c>
      <c r="G376" t="n">
        <v>13.4</v>
      </c>
      <c r="H376" t="n">
        <v>0</v>
      </c>
      <c r="I376" t="n">
        <v>0</v>
      </c>
      <c r="J376" t="n">
        <v>0</v>
      </c>
      <c r="K376" t="n">
        <v>0</v>
      </c>
      <c r="L376" t="n">
        <v>0</v>
      </c>
      <c r="M376" t="n">
        <v>0</v>
      </c>
      <c r="N376" t="n">
        <v>0</v>
      </c>
      <c r="O376" t="n">
        <v>0</v>
      </c>
      <c r="P376" t="n">
        <v>0</v>
      </c>
      <c r="Q376" t="n">
        <v>0</v>
      </c>
      <c r="R376" s="2" t="inlineStr"/>
    </row>
    <row r="377" ht="15" customHeight="1">
      <c r="A377" t="inlineStr">
        <is>
          <t>A 12901-2024</t>
        </is>
      </c>
      <c r="B377" s="1" t="n">
        <v>45385.37922453704</v>
      </c>
      <c r="C377" s="1" t="n">
        <v>45988</v>
      </c>
      <c r="D377" t="inlineStr">
        <is>
          <t>STOCKHOLMS LÄN</t>
        </is>
      </c>
      <c r="E377" t="inlineStr">
        <is>
          <t>NORRTÄLJE</t>
        </is>
      </c>
      <c r="G377" t="n">
        <v>2.7</v>
      </c>
      <c r="H377" t="n">
        <v>0</v>
      </c>
      <c r="I377" t="n">
        <v>0</v>
      </c>
      <c r="J377" t="n">
        <v>0</v>
      </c>
      <c r="K377" t="n">
        <v>0</v>
      </c>
      <c r="L377" t="n">
        <v>0</v>
      </c>
      <c r="M377" t="n">
        <v>0</v>
      </c>
      <c r="N377" t="n">
        <v>0</v>
      </c>
      <c r="O377" t="n">
        <v>0</v>
      </c>
      <c r="P377" t="n">
        <v>0</v>
      </c>
      <c r="Q377" t="n">
        <v>0</v>
      </c>
      <c r="R377" s="2" t="inlineStr"/>
    </row>
    <row r="378" ht="15" customHeight="1">
      <c r="A378" t="inlineStr">
        <is>
          <t>A 8950-2025</t>
        </is>
      </c>
      <c r="B378" s="1" t="n">
        <v>45713</v>
      </c>
      <c r="C378" s="1" t="n">
        <v>45988</v>
      </c>
      <c r="D378" t="inlineStr">
        <is>
          <t>STOCKHOLMS LÄN</t>
        </is>
      </c>
      <c r="E378" t="inlineStr">
        <is>
          <t>NORRTÄLJE</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35636-2025</t>
        </is>
      </c>
      <c r="B379" s="1" t="n">
        <v>45859</v>
      </c>
      <c r="C379" s="1" t="n">
        <v>45988</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12301-2025</t>
        </is>
      </c>
      <c r="B380" s="1" t="n">
        <v>45729.7271875</v>
      </c>
      <c r="C380" s="1" t="n">
        <v>45988</v>
      </c>
      <c r="D380" t="inlineStr">
        <is>
          <t>STOCKHOLMS LÄN</t>
        </is>
      </c>
      <c r="E380" t="inlineStr">
        <is>
          <t>NORRTÄLJE</t>
        </is>
      </c>
      <c r="G380" t="n">
        <v>3.2</v>
      </c>
      <c r="H380" t="n">
        <v>0</v>
      </c>
      <c r="I380" t="n">
        <v>0</v>
      </c>
      <c r="J380" t="n">
        <v>0</v>
      </c>
      <c r="K380" t="n">
        <v>0</v>
      </c>
      <c r="L380" t="n">
        <v>0</v>
      </c>
      <c r="M380" t="n">
        <v>0</v>
      </c>
      <c r="N380" t="n">
        <v>0</v>
      </c>
      <c r="O380" t="n">
        <v>0</v>
      </c>
      <c r="P380" t="n">
        <v>0</v>
      </c>
      <c r="Q380" t="n">
        <v>0</v>
      </c>
      <c r="R380" s="2" t="inlineStr"/>
    </row>
    <row r="381" ht="15" customHeight="1">
      <c r="A381" t="inlineStr">
        <is>
          <t>A 7903-2021</t>
        </is>
      </c>
      <c r="B381" s="1" t="n">
        <v>44243.33587962963</v>
      </c>
      <c r="C381" s="1" t="n">
        <v>45988</v>
      </c>
      <c r="D381" t="inlineStr">
        <is>
          <t>STOCKHOLMS LÄN</t>
        </is>
      </c>
      <c r="E381" t="inlineStr">
        <is>
          <t>NORRTÄLJE</t>
        </is>
      </c>
      <c r="G381" t="n">
        <v>3.5</v>
      </c>
      <c r="H381" t="n">
        <v>0</v>
      </c>
      <c r="I381" t="n">
        <v>0</v>
      </c>
      <c r="J381" t="n">
        <v>0</v>
      </c>
      <c r="K381" t="n">
        <v>0</v>
      </c>
      <c r="L381" t="n">
        <v>0</v>
      </c>
      <c r="M381" t="n">
        <v>0</v>
      </c>
      <c r="N381" t="n">
        <v>0</v>
      </c>
      <c r="O381" t="n">
        <v>0</v>
      </c>
      <c r="P381" t="n">
        <v>0</v>
      </c>
      <c r="Q381" t="n">
        <v>0</v>
      </c>
      <c r="R381" s="2" t="inlineStr"/>
    </row>
    <row r="382" ht="15" customHeight="1">
      <c r="A382" t="inlineStr">
        <is>
          <t>A 24351-2025</t>
        </is>
      </c>
      <c r="B382" s="1" t="n">
        <v>45797.58399305555</v>
      </c>
      <c r="C382" s="1" t="n">
        <v>45988</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13283-2025</t>
        </is>
      </c>
      <c r="B383" s="1" t="n">
        <v>45735</v>
      </c>
      <c r="C383" s="1" t="n">
        <v>45988</v>
      </c>
      <c r="D383" t="inlineStr">
        <is>
          <t>STOCKHOLMS LÄN</t>
        </is>
      </c>
      <c r="E383" t="inlineStr">
        <is>
          <t>NORRTÄLJE</t>
        </is>
      </c>
      <c r="G383" t="n">
        <v>4.9</v>
      </c>
      <c r="H383" t="n">
        <v>0</v>
      </c>
      <c r="I383" t="n">
        <v>0</v>
      </c>
      <c r="J383" t="n">
        <v>0</v>
      </c>
      <c r="K383" t="n">
        <v>0</v>
      </c>
      <c r="L383" t="n">
        <v>0</v>
      </c>
      <c r="M383" t="n">
        <v>0</v>
      </c>
      <c r="N383" t="n">
        <v>0</v>
      </c>
      <c r="O383" t="n">
        <v>0</v>
      </c>
      <c r="P383" t="n">
        <v>0</v>
      </c>
      <c r="Q383" t="n">
        <v>0</v>
      </c>
      <c r="R383" s="2" t="inlineStr"/>
    </row>
    <row r="384" ht="15" customHeight="1">
      <c r="A384" t="inlineStr">
        <is>
          <t>A 39213-2022</t>
        </is>
      </c>
      <c r="B384" s="1" t="n">
        <v>44817.56120370371</v>
      </c>
      <c r="C384" s="1" t="n">
        <v>45988</v>
      </c>
      <c r="D384" t="inlineStr">
        <is>
          <t>STOCKHOLMS LÄN</t>
        </is>
      </c>
      <c r="E384" t="inlineStr">
        <is>
          <t>NORRTÄLJE</t>
        </is>
      </c>
      <c r="G384" t="n">
        <v>3.4</v>
      </c>
      <c r="H384" t="n">
        <v>0</v>
      </c>
      <c r="I384" t="n">
        <v>0</v>
      </c>
      <c r="J384" t="n">
        <v>0</v>
      </c>
      <c r="K384" t="n">
        <v>0</v>
      </c>
      <c r="L384" t="n">
        <v>0</v>
      </c>
      <c r="M384" t="n">
        <v>0</v>
      </c>
      <c r="N384" t="n">
        <v>0</v>
      </c>
      <c r="O384" t="n">
        <v>0</v>
      </c>
      <c r="P384" t="n">
        <v>0</v>
      </c>
      <c r="Q384" t="n">
        <v>0</v>
      </c>
      <c r="R384" s="2" t="inlineStr"/>
    </row>
    <row r="385" ht="15" customHeight="1">
      <c r="A385" t="inlineStr">
        <is>
          <t>A 41976-2024</t>
        </is>
      </c>
      <c r="B385" s="1" t="n">
        <v>45561.62141203704</v>
      </c>
      <c r="C385" s="1" t="n">
        <v>45988</v>
      </c>
      <c r="D385" t="inlineStr">
        <is>
          <t>STOCKHOLMS LÄN</t>
        </is>
      </c>
      <c r="E385" t="inlineStr">
        <is>
          <t>NORRTÄLJE</t>
        </is>
      </c>
      <c r="G385" t="n">
        <v>2.5</v>
      </c>
      <c r="H385" t="n">
        <v>0</v>
      </c>
      <c r="I385" t="n">
        <v>0</v>
      </c>
      <c r="J385" t="n">
        <v>0</v>
      </c>
      <c r="K385" t="n">
        <v>0</v>
      </c>
      <c r="L385" t="n">
        <v>0</v>
      </c>
      <c r="M385" t="n">
        <v>0</v>
      </c>
      <c r="N385" t="n">
        <v>0</v>
      </c>
      <c r="O385" t="n">
        <v>0</v>
      </c>
      <c r="P385" t="n">
        <v>0</v>
      </c>
      <c r="Q385" t="n">
        <v>0</v>
      </c>
      <c r="R385" s="2" t="inlineStr"/>
    </row>
    <row r="386" ht="15" customHeight="1">
      <c r="A386" t="inlineStr">
        <is>
          <t>A 40172-2025</t>
        </is>
      </c>
      <c r="B386" s="1" t="n">
        <v>45894.6353125</v>
      </c>
      <c r="C386" s="1" t="n">
        <v>45988</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40033-2025</t>
        </is>
      </c>
      <c r="B387" s="1" t="n">
        <v>45893</v>
      </c>
      <c r="C387" s="1" t="n">
        <v>45988</v>
      </c>
      <c r="D387" t="inlineStr">
        <is>
          <t>STOCKHOLMS LÄN</t>
        </is>
      </c>
      <c r="E387" t="inlineStr">
        <is>
          <t>NORRTÄLJE</t>
        </is>
      </c>
      <c r="G387" t="n">
        <v>1.7</v>
      </c>
      <c r="H387" t="n">
        <v>0</v>
      </c>
      <c r="I387" t="n">
        <v>0</v>
      </c>
      <c r="J387" t="n">
        <v>0</v>
      </c>
      <c r="K387" t="n">
        <v>0</v>
      </c>
      <c r="L387" t="n">
        <v>0</v>
      </c>
      <c r="M387" t="n">
        <v>0</v>
      </c>
      <c r="N387" t="n">
        <v>0</v>
      </c>
      <c r="O387" t="n">
        <v>0</v>
      </c>
      <c r="P387" t="n">
        <v>0</v>
      </c>
      <c r="Q387" t="n">
        <v>0</v>
      </c>
      <c r="R387" s="2" t="inlineStr"/>
    </row>
    <row r="388" ht="15" customHeight="1">
      <c r="A388" t="inlineStr">
        <is>
          <t>A 40032-2025</t>
        </is>
      </c>
      <c r="B388" s="1" t="n">
        <v>45893</v>
      </c>
      <c r="C388" s="1" t="n">
        <v>45988</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40292-2025</t>
        </is>
      </c>
      <c r="B389" s="1" t="n">
        <v>45895.3867824074</v>
      </c>
      <c r="C389" s="1" t="n">
        <v>45988</v>
      </c>
      <c r="D389" t="inlineStr">
        <is>
          <t>STOCKHOLMS LÄN</t>
        </is>
      </c>
      <c r="E389" t="inlineStr">
        <is>
          <t>NORRTÄLJE</t>
        </is>
      </c>
      <c r="G389" t="n">
        <v>3.5</v>
      </c>
      <c r="H389" t="n">
        <v>0</v>
      </c>
      <c r="I389" t="n">
        <v>0</v>
      </c>
      <c r="J389" t="n">
        <v>0</v>
      </c>
      <c r="K389" t="n">
        <v>0</v>
      </c>
      <c r="L389" t="n">
        <v>0</v>
      </c>
      <c r="M389" t="n">
        <v>0</v>
      </c>
      <c r="N389" t="n">
        <v>0</v>
      </c>
      <c r="O389" t="n">
        <v>0</v>
      </c>
      <c r="P389" t="n">
        <v>0</v>
      </c>
      <c r="Q389" t="n">
        <v>0</v>
      </c>
      <c r="R389" s="2" t="inlineStr"/>
    </row>
    <row r="390" ht="15" customHeight="1">
      <c r="A390" t="inlineStr">
        <is>
          <t>A 40294-2025</t>
        </is>
      </c>
      <c r="B390" s="1" t="n">
        <v>45895.38778935185</v>
      </c>
      <c r="C390" s="1" t="n">
        <v>45988</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51325-2023</t>
        </is>
      </c>
      <c r="B391" s="1" t="n">
        <v>45219</v>
      </c>
      <c r="C391" s="1" t="n">
        <v>45988</v>
      </c>
      <c r="D391" t="inlineStr">
        <is>
          <t>STOCKHOLMS LÄN</t>
        </is>
      </c>
      <c r="E391" t="inlineStr">
        <is>
          <t>NORRTÄLJE</t>
        </is>
      </c>
      <c r="G391" t="n">
        <v>2.2</v>
      </c>
      <c r="H391" t="n">
        <v>0</v>
      </c>
      <c r="I391" t="n">
        <v>0</v>
      </c>
      <c r="J391" t="n">
        <v>0</v>
      </c>
      <c r="K391" t="n">
        <v>0</v>
      </c>
      <c r="L391" t="n">
        <v>0</v>
      </c>
      <c r="M391" t="n">
        <v>0</v>
      </c>
      <c r="N391" t="n">
        <v>0</v>
      </c>
      <c r="O391" t="n">
        <v>0</v>
      </c>
      <c r="P391" t="n">
        <v>0</v>
      </c>
      <c r="Q391" t="n">
        <v>0</v>
      </c>
      <c r="R391" s="2" t="inlineStr"/>
    </row>
    <row r="392" ht="15" customHeight="1">
      <c r="A392" t="inlineStr">
        <is>
          <t>A 24687-2025</t>
        </is>
      </c>
      <c r="B392" s="1" t="n">
        <v>45798.66767361111</v>
      </c>
      <c r="C392" s="1" t="n">
        <v>45988</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40228-2025</t>
        </is>
      </c>
      <c r="B393" s="1" t="n">
        <v>45894.70854166667</v>
      </c>
      <c r="C393" s="1" t="n">
        <v>45988</v>
      </c>
      <c r="D393" t="inlineStr">
        <is>
          <t>STOCKHOLMS LÄN</t>
        </is>
      </c>
      <c r="E393" t="inlineStr">
        <is>
          <t>NORRTÄLJE</t>
        </is>
      </c>
      <c r="G393" t="n">
        <v>2.1</v>
      </c>
      <c r="H393" t="n">
        <v>0</v>
      </c>
      <c r="I393" t="n">
        <v>0</v>
      </c>
      <c r="J393" t="n">
        <v>0</v>
      </c>
      <c r="K393" t="n">
        <v>0</v>
      </c>
      <c r="L393" t="n">
        <v>0</v>
      </c>
      <c r="M393" t="n">
        <v>0</v>
      </c>
      <c r="N393" t="n">
        <v>0</v>
      </c>
      <c r="O393" t="n">
        <v>0</v>
      </c>
      <c r="P393" t="n">
        <v>0</v>
      </c>
      <c r="Q393" t="n">
        <v>0</v>
      </c>
      <c r="R393" s="2" t="inlineStr"/>
    </row>
    <row r="394" ht="15" customHeight="1">
      <c r="A394" t="inlineStr">
        <is>
          <t>A 59534-2024</t>
        </is>
      </c>
      <c r="B394" s="1" t="n">
        <v>45638.5987037037</v>
      </c>
      <c r="C394" s="1" t="n">
        <v>45988</v>
      </c>
      <c r="D394" t="inlineStr">
        <is>
          <t>STOCKHOLMS LÄN</t>
        </is>
      </c>
      <c r="E394" t="inlineStr">
        <is>
          <t>NORRTÄLJE</t>
        </is>
      </c>
      <c r="F394" t="inlineStr">
        <is>
          <t>Holmen skog AB</t>
        </is>
      </c>
      <c r="G394" t="n">
        <v>1.3</v>
      </c>
      <c r="H394" t="n">
        <v>0</v>
      </c>
      <c r="I394" t="n">
        <v>0</v>
      </c>
      <c r="J394" t="n">
        <v>0</v>
      </c>
      <c r="K394" t="n">
        <v>0</v>
      </c>
      <c r="L394" t="n">
        <v>0</v>
      </c>
      <c r="M394" t="n">
        <v>0</v>
      </c>
      <c r="N394" t="n">
        <v>0</v>
      </c>
      <c r="O394" t="n">
        <v>0</v>
      </c>
      <c r="P394" t="n">
        <v>0</v>
      </c>
      <c r="Q394" t="n">
        <v>0</v>
      </c>
      <c r="R394" s="2" t="inlineStr"/>
    </row>
    <row r="395" ht="15" customHeight="1">
      <c r="A395" t="inlineStr">
        <is>
          <t>A 31107-2022</t>
        </is>
      </c>
      <c r="B395" s="1" t="n">
        <v>44769.66864583334</v>
      </c>
      <c r="C395" s="1" t="n">
        <v>45988</v>
      </c>
      <c r="D395" t="inlineStr">
        <is>
          <t>STOCKHOLMS LÄN</t>
        </is>
      </c>
      <c r="E395" t="inlineStr">
        <is>
          <t>NORRTÄLJE</t>
        </is>
      </c>
      <c r="G395" t="n">
        <v>3.8</v>
      </c>
      <c r="H395" t="n">
        <v>0</v>
      </c>
      <c r="I395" t="n">
        <v>0</v>
      </c>
      <c r="J395" t="n">
        <v>0</v>
      </c>
      <c r="K395" t="n">
        <v>0</v>
      </c>
      <c r="L395" t="n">
        <v>0</v>
      </c>
      <c r="M395" t="n">
        <v>0</v>
      </c>
      <c r="N395" t="n">
        <v>0</v>
      </c>
      <c r="O395" t="n">
        <v>0</v>
      </c>
      <c r="P395" t="n">
        <v>0</v>
      </c>
      <c r="Q395" t="n">
        <v>0</v>
      </c>
      <c r="R395" s="2" t="inlineStr"/>
    </row>
    <row r="396" ht="15" customHeight="1">
      <c r="A396" t="inlineStr">
        <is>
          <t>A 13860-2023</t>
        </is>
      </c>
      <c r="B396" s="1" t="n">
        <v>45007</v>
      </c>
      <c r="C396" s="1" t="n">
        <v>45988</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6855-2025</t>
        </is>
      </c>
      <c r="B397" s="1" t="n">
        <v>45700</v>
      </c>
      <c r="C397" s="1" t="n">
        <v>45988</v>
      </c>
      <c r="D397" t="inlineStr">
        <is>
          <t>STOCKHOLMS LÄN</t>
        </is>
      </c>
      <c r="E397" t="inlineStr">
        <is>
          <t>NORRTÄLJE</t>
        </is>
      </c>
      <c r="G397" t="n">
        <v>1.2</v>
      </c>
      <c r="H397" t="n">
        <v>0</v>
      </c>
      <c r="I397" t="n">
        <v>0</v>
      </c>
      <c r="J397" t="n">
        <v>0</v>
      </c>
      <c r="K397" t="n">
        <v>0</v>
      </c>
      <c r="L397" t="n">
        <v>0</v>
      </c>
      <c r="M397" t="n">
        <v>0</v>
      </c>
      <c r="N397" t="n">
        <v>0</v>
      </c>
      <c r="O397" t="n">
        <v>0</v>
      </c>
      <c r="P397" t="n">
        <v>0</v>
      </c>
      <c r="Q397" t="n">
        <v>0</v>
      </c>
      <c r="R397" s="2" t="inlineStr"/>
    </row>
    <row r="398" ht="15" customHeight="1">
      <c r="A398" t="inlineStr">
        <is>
          <t>A 13314-2025</t>
        </is>
      </c>
      <c r="B398" s="1" t="n">
        <v>45735.59287037037</v>
      </c>
      <c r="C398" s="1" t="n">
        <v>45988</v>
      </c>
      <c r="D398" t="inlineStr">
        <is>
          <t>STOCKHOLMS LÄN</t>
        </is>
      </c>
      <c r="E398" t="inlineStr">
        <is>
          <t>NORRTÄLJE</t>
        </is>
      </c>
      <c r="G398" t="n">
        <v>2.4</v>
      </c>
      <c r="H398" t="n">
        <v>0</v>
      </c>
      <c r="I398" t="n">
        <v>0</v>
      </c>
      <c r="J398" t="n">
        <v>0</v>
      </c>
      <c r="K398" t="n">
        <v>0</v>
      </c>
      <c r="L398" t="n">
        <v>0</v>
      </c>
      <c r="M398" t="n">
        <v>0</v>
      </c>
      <c r="N398" t="n">
        <v>0</v>
      </c>
      <c r="O398" t="n">
        <v>0</v>
      </c>
      <c r="P398" t="n">
        <v>0</v>
      </c>
      <c r="Q398" t="n">
        <v>0</v>
      </c>
      <c r="R398" s="2" t="inlineStr"/>
    </row>
    <row r="399" ht="15" customHeight="1">
      <c r="A399" t="inlineStr">
        <is>
          <t>A 40230-2025</t>
        </is>
      </c>
      <c r="B399" s="1" t="n">
        <v>45894.71101851852</v>
      </c>
      <c r="C399" s="1" t="n">
        <v>45988</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24638-2025</t>
        </is>
      </c>
      <c r="B400" s="1" t="n">
        <v>45798</v>
      </c>
      <c r="C400" s="1" t="n">
        <v>45988</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40217-2025</t>
        </is>
      </c>
      <c r="B401" s="1" t="n">
        <v>45894.68864583333</v>
      </c>
      <c r="C401" s="1" t="n">
        <v>45988</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34432-2021</t>
        </is>
      </c>
      <c r="B402" s="1" t="n">
        <v>44380.77346064815</v>
      </c>
      <c r="C402" s="1" t="n">
        <v>45988</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40097-2025</t>
        </is>
      </c>
      <c r="B403" s="1" t="n">
        <v>45894.48322916667</v>
      </c>
      <c r="C403" s="1" t="n">
        <v>45988</v>
      </c>
      <c r="D403" t="inlineStr">
        <is>
          <t>STOCKHOLMS LÄN</t>
        </is>
      </c>
      <c r="E403" t="inlineStr">
        <is>
          <t>NORRTÄLJE</t>
        </is>
      </c>
      <c r="G403" t="n">
        <v>3</v>
      </c>
      <c r="H403" t="n">
        <v>0</v>
      </c>
      <c r="I403" t="n">
        <v>0</v>
      </c>
      <c r="J403" t="n">
        <v>0</v>
      </c>
      <c r="K403" t="n">
        <v>0</v>
      </c>
      <c r="L403" t="n">
        <v>0</v>
      </c>
      <c r="M403" t="n">
        <v>0</v>
      </c>
      <c r="N403" t="n">
        <v>0</v>
      </c>
      <c r="O403" t="n">
        <v>0</v>
      </c>
      <c r="P403" t="n">
        <v>0</v>
      </c>
      <c r="Q403" t="n">
        <v>0</v>
      </c>
      <c r="R403" s="2" t="inlineStr"/>
    </row>
    <row r="404" ht="15" customHeight="1">
      <c r="A404" t="inlineStr">
        <is>
          <t>A 40829-2025</t>
        </is>
      </c>
      <c r="B404" s="1" t="n">
        <v>45897.50802083333</v>
      </c>
      <c r="C404" s="1" t="n">
        <v>45988</v>
      </c>
      <c r="D404" t="inlineStr">
        <is>
          <t>STOCKHOLMS LÄN</t>
        </is>
      </c>
      <c r="E404" t="inlineStr">
        <is>
          <t>NORRTÄLJE</t>
        </is>
      </c>
      <c r="G404" t="n">
        <v>0.9</v>
      </c>
      <c r="H404" t="n">
        <v>0</v>
      </c>
      <c r="I404" t="n">
        <v>0</v>
      </c>
      <c r="J404" t="n">
        <v>0</v>
      </c>
      <c r="K404" t="n">
        <v>0</v>
      </c>
      <c r="L404" t="n">
        <v>0</v>
      </c>
      <c r="M404" t="n">
        <v>0</v>
      </c>
      <c r="N404" t="n">
        <v>0</v>
      </c>
      <c r="O404" t="n">
        <v>0</v>
      </c>
      <c r="P404" t="n">
        <v>0</v>
      </c>
      <c r="Q404" t="n">
        <v>0</v>
      </c>
      <c r="R404" s="2" t="inlineStr"/>
    </row>
    <row r="405" ht="15" customHeight="1">
      <c r="A405" t="inlineStr">
        <is>
          <t>A 40837-2025</t>
        </is>
      </c>
      <c r="B405" s="1" t="n">
        <v>45897.51328703704</v>
      </c>
      <c r="C405" s="1" t="n">
        <v>45988</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28603-2024</t>
        </is>
      </c>
      <c r="B406" s="1" t="n">
        <v>45478.42887731481</v>
      </c>
      <c r="C406" s="1" t="n">
        <v>45988</v>
      </c>
      <c r="D406" t="inlineStr">
        <is>
          <t>STOCKHOLMS LÄN</t>
        </is>
      </c>
      <c r="E406" t="inlineStr">
        <is>
          <t>NORRTÄLJE</t>
        </is>
      </c>
      <c r="G406" t="n">
        <v>5.6</v>
      </c>
      <c r="H406" t="n">
        <v>0</v>
      </c>
      <c r="I406" t="n">
        <v>0</v>
      </c>
      <c r="J406" t="n">
        <v>0</v>
      </c>
      <c r="K406" t="n">
        <v>0</v>
      </c>
      <c r="L406" t="n">
        <v>0</v>
      </c>
      <c r="M406" t="n">
        <v>0</v>
      </c>
      <c r="N406" t="n">
        <v>0</v>
      </c>
      <c r="O406" t="n">
        <v>0</v>
      </c>
      <c r="P406" t="n">
        <v>0</v>
      </c>
      <c r="Q406" t="n">
        <v>0</v>
      </c>
      <c r="R406" s="2" t="inlineStr"/>
    </row>
    <row r="407" ht="15" customHeight="1">
      <c r="A407" t="inlineStr">
        <is>
          <t>A 40529-2025</t>
        </is>
      </c>
      <c r="B407" s="1" t="n">
        <v>45896.38466435186</v>
      </c>
      <c r="C407" s="1" t="n">
        <v>45988</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40831-2025</t>
        </is>
      </c>
      <c r="B408" s="1" t="n">
        <v>45897.51077546296</v>
      </c>
      <c r="C408" s="1" t="n">
        <v>45988</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24690-2025</t>
        </is>
      </c>
      <c r="B409" s="1" t="n">
        <v>45798.67082175926</v>
      </c>
      <c r="C409" s="1" t="n">
        <v>45988</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47259-2024</t>
        </is>
      </c>
      <c r="B410" s="1" t="n">
        <v>45586</v>
      </c>
      <c r="C410" s="1" t="n">
        <v>45988</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25702-2025</t>
        </is>
      </c>
      <c r="B411" s="1" t="n">
        <v>45800</v>
      </c>
      <c r="C411" s="1" t="n">
        <v>45988</v>
      </c>
      <c r="D411" t="inlineStr">
        <is>
          <t>STOCKHOLMS LÄN</t>
        </is>
      </c>
      <c r="E411" t="inlineStr">
        <is>
          <t>NORRTÄLJE</t>
        </is>
      </c>
      <c r="G411" t="n">
        <v>5.3</v>
      </c>
      <c r="H411" t="n">
        <v>0</v>
      </c>
      <c r="I411" t="n">
        <v>0</v>
      </c>
      <c r="J411" t="n">
        <v>0</v>
      </c>
      <c r="K411" t="n">
        <v>0</v>
      </c>
      <c r="L411" t="n">
        <v>0</v>
      </c>
      <c r="M411" t="n">
        <v>0</v>
      </c>
      <c r="N411" t="n">
        <v>0</v>
      </c>
      <c r="O411" t="n">
        <v>0</v>
      </c>
      <c r="P411" t="n">
        <v>0</v>
      </c>
      <c r="Q411" t="n">
        <v>0</v>
      </c>
      <c r="R411" s="2" t="inlineStr"/>
    </row>
    <row r="412" ht="15" customHeight="1">
      <c r="A412" t="inlineStr">
        <is>
          <t>A 23149-2024</t>
        </is>
      </c>
      <c r="B412" s="1" t="n">
        <v>45450.64208333333</v>
      </c>
      <c r="C412" s="1" t="n">
        <v>45988</v>
      </c>
      <c r="D412" t="inlineStr">
        <is>
          <t>STOCKHOLMS LÄN</t>
        </is>
      </c>
      <c r="E412" t="inlineStr">
        <is>
          <t>NORRTÄLJE</t>
        </is>
      </c>
      <c r="F412" t="inlineStr">
        <is>
          <t>Kommuner</t>
        </is>
      </c>
      <c r="G412" t="n">
        <v>1.3</v>
      </c>
      <c r="H412" t="n">
        <v>0</v>
      </c>
      <c r="I412" t="n">
        <v>0</v>
      </c>
      <c r="J412" t="n">
        <v>0</v>
      </c>
      <c r="K412" t="n">
        <v>0</v>
      </c>
      <c r="L412" t="n">
        <v>0</v>
      </c>
      <c r="M412" t="n">
        <v>0</v>
      </c>
      <c r="N412" t="n">
        <v>0</v>
      </c>
      <c r="O412" t="n">
        <v>0</v>
      </c>
      <c r="P412" t="n">
        <v>0</v>
      </c>
      <c r="Q412" t="n">
        <v>0</v>
      </c>
      <c r="R412" s="2" t="inlineStr"/>
    </row>
    <row r="413" ht="15" customHeight="1">
      <c r="A413" t="inlineStr">
        <is>
          <t>A 23151-2024</t>
        </is>
      </c>
      <c r="B413" s="1" t="n">
        <v>45450</v>
      </c>
      <c r="C413" s="1" t="n">
        <v>45988</v>
      </c>
      <c r="D413" t="inlineStr">
        <is>
          <t>STOCKHOLMS LÄN</t>
        </is>
      </c>
      <c r="E413" t="inlineStr">
        <is>
          <t>NORRTÄLJE</t>
        </is>
      </c>
      <c r="F413" t="inlineStr">
        <is>
          <t>Kommuner</t>
        </is>
      </c>
      <c r="G413" t="n">
        <v>1.2</v>
      </c>
      <c r="H413" t="n">
        <v>0</v>
      </c>
      <c r="I413" t="n">
        <v>0</v>
      </c>
      <c r="J413" t="n">
        <v>0</v>
      </c>
      <c r="K413" t="n">
        <v>0</v>
      </c>
      <c r="L413" t="n">
        <v>0</v>
      </c>
      <c r="M413" t="n">
        <v>0</v>
      </c>
      <c r="N413" t="n">
        <v>0</v>
      </c>
      <c r="O413" t="n">
        <v>0</v>
      </c>
      <c r="P413" t="n">
        <v>0</v>
      </c>
      <c r="Q413" t="n">
        <v>0</v>
      </c>
      <c r="R413" s="2" t="inlineStr"/>
    </row>
    <row r="414" ht="15" customHeight="1">
      <c r="A414" t="inlineStr">
        <is>
          <t>A 41158-2025</t>
        </is>
      </c>
      <c r="B414" s="1" t="n">
        <v>45898.5315625</v>
      </c>
      <c r="C414" s="1" t="n">
        <v>45988</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25712-2025</t>
        </is>
      </c>
      <c r="B415" s="1" t="n">
        <v>45803.69228009259</v>
      </c>
      <c r="C415" s="1" t="n">
        <v>45988</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25725-2025</t>
        </is>
      </c>
      <c r="B416" s="1" t="n">
        <v>45800</v>
      </c>
      <c r="C416" s="1" t="n">
        <v>45988</v>
      </c>
      <c r="D416" t="inlineStr">
        <is>
          <t>STOCKHOLMS LÄN</t>
        </is>
      </c>
      <c r="E416" t="inlineStr">
        <is>
          <t>NORRTÄLJE</t>
        </is>
      </c>
      <c r="G416" t="n">
        <v>5.2</v>
      </c>
      <c r="H416" t="n">
        <v>0</v>
      </c>
      <c r="I416" t="n">
        <v>0</v>
      </c>
      <c r="J416" t="n">
        <v>0</v>
      </c>
      <c r="K416" t="n">
        <v>0</v>
      </c>
      <c r="L416" t="n">
        <v>0</v>
      </c>
      <c r="M416" t="n">
        <v>0</v>
      </c>
      <c r="N416" t="n">
        <v>0</v>
      </c>
      <c r="O416" t="n">
        <v>0</v>
      </c>
      <c r="P416" t="n">
        <v>0</v>
      </c>
      <c r="Q416" t="n">
        <v>0</v>
      </c>
      <c r="R416" s="2" t="inlineStr"/>
    </row>
    <row r="417" ht="15" customHeight="1">
      <c r="A417" t="inlineStr">
        <is>
          <t>A 15733-2025</t>
        </is>
      </c>
      <c r="B417" s="1" t="n">
        <v>45748</v>
      </c>
      <c r="C417" s="1" t="n">
        <v>45988</v>
      </c>
      <c r="D417" t="inlineStr">
        <is>
          <t>STOCKHOLMS LÄN</t>
        </is>
      </c>
      <c r="E417" t="inlineStr">
        <is>
          <t>NORRTÄLJE</t>
        </is>
      </c>
      <c r="G417" t="n">
        <v>13.3</v>
      </c>
      <c r="H417" t="n">
        <v>0</v>
      </c>
      <c r="I417" t="n">
        <v>0</v>
      </c>
      <c r="J417" t="n">
        <v>0</v>
      </c>
      <c r="K417" t="n">
        <v>0</v>
      </c>
      <c r="L417" t="n">
        <v>0</v>
      </c>
      <c r="M417" t="n">
        <v>0</v>
      </c>
      <c r="N417" t="n">
        <v>0</v>
      </c>
      <c r="O417" t="n">
        <v>0</v>
      </c>
      <c r="P417" t="n">
        <v>0</v>
      </c>
      <c r="Q417" t="n">
        <v>0</v>
      </c>
      <c r="R417" s="2" t="inlineStr"/>
    </row>
    <row r="418" ht="15" customHeight="1">
      <c r="A418" t="inlineStr">
        <is>
          <t>A 25733-2025</t>
        </is>
      </c>
      <c r="B418" s="1" t="n">
        <v>45800</v>
      </c>
      <c r="C418" s="1" t="n">
        <v>45988</v>
      </c>
      <c r="D418" t="inlineStr">
        <is>
          <t>STOCKHOLMS LÄN</t>
        </is>
      </c>
      <c r="E418" t="inlineStr">
        <is>
          <t>NORRTÄLJE</t>
        </is>
      </c>
      <c r="G418" t="n">
        <v>2.2</v>
      </c>
      <c r="H418" t="n">
        <v>0</v>
      </c>
      <c r="I418" t="n">
        <v>0</v>
      </c>
      <c r="J418" t="n">
        <v>0</v>
      </c>
      <c r="K418" t="n">
        <v>0</v>
      </c>
      <c r="L418" t="n">
        <v>0</v>
      </c>
      <c r="M418" t="n">
        <v>0</v>
      </c>
      <c r="N418" t="n">
        <v>0</v>
      </c>
      <c r="O418" t="n">
        <v>0</v>
      </c>
      <c r="P418" t="n">
        <v>0</v>
      </c>
      <c r="Q418" t="n">
        <v>0</v>
      </c>
      <c r="R418" s="2" t="inlineStr"/>
    </row>
    <row r="419" ht="15" customHeight="1">
      <c r="A419" t="inlineStr">
        <is>
          <t>A 19058-2024</t>
        </is>
      </c>
      <c r="B419" s="1" t="n">
        <v>45427.89121527778</v>
      </c>
      <c r="C419" s="1" t="n">
        <v>45988</v>
      </c>
      <c r="D419" t="inlineStr">
        <is>
          <t>STOCKHOLMS LÄN</t>
        </is>
      </c>
      <c r="E419" t="inlineStr">
        <is>
          <t>NORRTÄLJE</t>
        </is>
      </c>
      <c r="G419" t="n">
        <v>1.2</v>
      </c>
      <c r="H419" t="n">
        <v>0</v>
      </c>
      <c r="I419" t="n">
        <v>0</v>
      </c>
      <c r="J419" t="n">
        <v>0</v>
      </c>
      <c r="K419" t="n">
        <v>0</v>
      </c>
      <c r="L419" t="n">
        <v>0</v>
      </c>
      <c r="M419" t="n">
        <v>0</v>
      </c>
      <c r="N419" t="n">
        <v>0</v>
      </c>
      <c r="O419" t="n">
        <v>0</v>
      </c>
      <c r="P419" t="n">
        <v>0</v>
      </c>
      <c r="Q419" t="n">
        <v>0</v>
      </c>
      <c r="R419" s="2" t="inlineStr"/>
    </row>
    <row r="420" ht="15" customHeight="1">
      <c r="A420" t="inlineStr">
        <is>
          <t>A 39238-2024</t>
        </is>
      </c>
      <c r="B420" s="1" t="n">
        <v>45549</v>
      </c>
      <c r="C420" s="1" t="n">
        <v>45988</v>
      </c>
      <c r="D420" t="inlineStr">
        <is>
          <t>STOCKHOLMS LÄN</t>
        </is>
      </c>
      <c r="E420" t="inlineStr">
        <is>
          <t>NORRTÄLJE</t>
        </is>
      </c>
      <c r="G420" t="n">
        <v>3.6</v>
      </c>
      <c r="H420" t="n">
        <v>0</v>
      </c>
      <c r="I420" t="n">
        <v>0</v>
      </c>
      <c r="J420" t="n">
        <v>0</v>
      </c>
      <c r="K420" t="n">
        <v>0</v>
      </c>
      <c r="L420" t="n">
        <v>0</v>
      </c>
      <c r="M420" t="n">
        <v>0</v>
      </c>
      <c r="N420" t="n">
        <v>0</v>
      </c>
      <c r="O420" t="n">
        <v>0</v>
      </c>
      <c r="P420" t="n">
        <v>0</v>
      </c>
      <c r="Q420" t="n">
        <v>0</v>
      </c>
      <c r="R420" s="2" t="inlineStr"/>
    </row>
    <row r="421" ht="15" customHeight="1">
      <c r="A421" t="inlineStr">
        <is>
          <t>A 52001-2023</t>
        </is>
      </c>
      <c r="B421" s="1" t="n">
        <v>45223</v>
      </c>
      <c r="C421" s="1" t="n">
        <v>45988</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25571-2025</t>
        </is>
      </c>
      <c r="B422" s="1" t="n">
        <v>45803.4675</v>
      </c>
      <c r="C422" s="1" t="n">
        <v>45988</v>
      </c>
      <c r="D422" t="inlineStr">
        <is>
          <t>STOCKHOLMS LÄN</t>
        </is>
      </c>
      <c r="E422" t="inlineStr">
        <is>
          <t>NORRTÄLJE</t>
        </is>
      </c>
      <c r="G422" t="n">
        <v>5.4</v>
      </c>
      <c r="H422" t="n">
        <v>0</v>
      </c>
      <c r="I422" t="n">
        <v>0</v>
      </c>
      <c r="J422" t="n">
        <v>0</v>
      </c>
      <c r="K422" t="n">
        <v>0</v>
      </c>
      <c r="L422" t="n">
        <v>0</v>
      </c>
      <c r="M422" t="n">
        <v>0</v>
      </c>
      <c r="N422" t="n">
        <v>0</v>
      </c>
      <c r="O422" t="n">
        <v>0</v>
      </c>
      <c r="P422" t="n">
        <v>0</v>
      </c>
      <c r="Q422" t="n">
        <v>0</v>
      </c>
      <c r="R422" s="2" t="inlineStr"/>
    </row>
    <row r="423" ht="15" customHeight="1">
      <c r="A423" t="inlineStr">
        <is>
          <t>A 41053-2025</t>
        </is>
      </c>
      <c r="B423" s="1" t="n">
        <v>45898.40480324074</v>
      </c>
      <c r="C423" s="1" t="n">
        <v>45988</v>
      </c>
      <c r="D423" t="inlineStr">
        <is>
          <t>STOCKHOLMS LÄN</t>
        </is>
      </c>
      <c r="E423" t="inlineStr">
        <is>
          <t>NORRTÄLJE</t>
        </is>
      </c>
      <c r="F423" t="inlineStr">
        <is>
          <t>Holmen skog AB</t>
        </is>
      </c>
      <c r="G423" t="n">
        <v>2.5</v>
      </c>
      <c r="H423" t="n">
        <v>0</v>
      </c>
      <c r="I423" t="n">
        <v>0</v>
      </c>
      <c r="J423" t="n">
        <v>0</v>
      </c>
      <c r="K423" t="n">
        <v>0</v>
      </c>
      <c r="L423" t="n">
        <v>0</v>
      </c>
      <c r="M423" t="n">
        <v>0</v>
      </c>
      <c r="N423" t="n">
        <v>0</v>
      </c>
      <c r="O423" t="n">
        <v>0</v>
      </c>
      <c r="P423" t="n">
        <v>0</v>
      </c>
      <c r="Q423" t="n">
        <v>0</v>
      </c>
      <c r="R423" s="2" t="inlineStr"/>
    </row>
    <row r="424" ht="15" customHeight="1">
      <c r="A424" t="inlineStr">
        <is>
          <t>A 25721-2025</t>
        </is>
      </c>
      <c r="B424" s="1" t="n">
        <v>45800</v>
      </c>
      <c r="C424" s="1" t="n">
        <v>45988</v>
      </c>
      <c r="D424" t="inlineStr">
        <is>
          <t>STOCKHOLMS LÄN</t>
        </is>
      </c>
      <c r="E424" t="inlineStr">
        <is>
          <t>NORRTÄLJE</t>
        </is>
      </c>
      <c r="G424" t="n">
        <v>6</v>
      </c>
      <c r="H424" t="n">
        <v>0</v>
      </c>
      <c r="I424" t="n">
        <v>0</v>
      </c>
      <c r="J424" t="n">
        <v>0</v>
      </c>
      <c r="K424" t="n">
        <v>0</v>
      </c>
      <c r="L424" t="n">
        <v>0</v>
      </c>
      <c r="M424" t="n">
        <v>0</v>
      </c>
      <c r="N424" t="n">
        <v>0</v>
      </c>
      <c r="O424" t="n">
        <v>0</v>
      </c>
      <c r="P424" t="n">
        <v>0</v>
      </c>
      <c r="Q424" t="n">
        <v>0</v>
      </c>
      <c r="R424" s="2" t="inlineStr"/>
    </row>
    <row r="425" ht="15" customHeight="1">
      <c r="A425" t="inlineStr">
        <is>
          <t>A 41275-2025</t>
        </is>
      </c>
      <c r="B425" s="1" t="n">
        <v>45898.62625</v>
      </c>
      <c r="C425" s="1" t="n">
        <v>45988</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41272-2025</t>
        </is>
      </c>
      <c r="B426" s="1" t="n">
        <v>45898.62373842593</v>
      </c>
      <c r="C426" s="1" t="n">
        <v>45988</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60185-2024</t>
        </is>
      </c>
      <c r="B427" s="1" t="n">
        <v>45642.64634259259</v>
      </c>
      <c r="C427" s="1" t="n">
        <v>45988</v>
      </c>
      <c r="D427" t="inlineStr">
        <is>
          <t>STOCKHOLMS LÄN</t>
        </is>
      </c>
      <c r="E427" t="inlineStr">
        <is>
          <t>NORRTÄLJE</t>
        </is>
      </c>
      <c r="G427" t="n">
        <v>0.3</v>
      </c>
      <c r="H427" t="n">
        <v>0</v>
      </c>
      <c r="I427" t="n">
        <v>0</v>
      </c>
      <c r="J427" t="n">
        <v>0</v>
      </c>
      <c r="K427" t="n">
        <v>0</v>
      </c>
      <c r="L427" t="n">
        <v>0</v>
      </c>
      <c r="M427" t="n">
        <v>0</v>
      </c>
      <c r="N427" t="n">
        <v>0</v>
      </c>
      <c r="O427" t="n">
        <v>0</v>
      </c>
      <c r="P427" t="n">
        <v>0</v>
      </c>
      <c r="Q427" t="n">
        <v>0</v>
      </c>
      <c r="R427" s="2" t="inlineStr"/>
    </row>
    <row r="428" ht="15" customHeight="1">
      <c r="A428" t="inlineStr">
        <is>
          <t>A 25697-2025</t>
        </is>
      </c>
      <c r="B428" s="1" t="n">
        <v>45803.66587962963</v>
      </c>
      <c r="C428" s="1" t="n">
        <v>45988</v>
      </c>
      <c r="D428" t="inlineStr">
        <is>
          <t>STOCKHOLMS LÄN</t>
        </is>
      </c>
      <c r="E428" t="inlineStr">
        <is>
          <t>NORRTÄLJE</t>
        </is>
      </c>
      <c r="G428" t="n">
        <v>2.5</v>
      </c>
      <c r="H428" t="n">
        <v>0</v>
      </c>
      <c r="I428" t="n">
        <v>0</v>
      </c>
      <c r="J428" t="n">
        <v>0</v>
      </c>
      <c r="K428" t="n">
        <v>0</v>
      </c>
      <c r="L428" t="n">
        <v>0</v>
      </c>
      <c r="M428" t="n">
        <v>0</v>
      </c>
      <c r="N428" t="n">
        <v>0</v>
      </c>
      <c r="O428" t="n">
        <v>0</v>
      </c>
      <c r="P428" t="n">
        <v>0</v>
      </c>
      <c r="Q428" t="n">
        <v>0</v>
      </c>
      <c r="R428" s="2" t="inlineStr"/>
    </row>
    <row r="429" ht="15" customHeight="1">
      <c r="A429" t="inlineStr">
        <is>
          <t>A 41218-2024</t>
        </is>
      </c>
      <c r="B429" s="1" t="n">
        <v>45559.54706018518</v>
      </c>
      <c r="C429" s="1" t="n">
        <v>45988</v>
      </c>
      <c r="D429" t="inlineStr">
        <is>
          <t>STOCKHOLMS LÄN</t>
        </is>
      </c>
      <c r="E429" t="inlineStr">
        <is>
          <t>NORRTÄLJE</t>
        </is>
      </c>
      <c r="G429" t="n">
        <v>6</v>
      </c>
      <c r="H429" t="n">
        <v>0</v>
      </c>
      <c r="I429" t="n">
        <v>0</v>
      </c>
      <c r="J429" t="n">
        <v>0</v>
      </c>
      <c r="K429" t="n">
        <v>0</v>
      </c>
      <c r="L429" t="n">
        <v>0</v>
      </c>
      <c r="M429" t="n">
        <v>0</v>
      </c>
      <c r="N429" t="n">
        <v>0</v>
      </c>
      <c r="O429" t="n">
        <v>0</v>
      </c>
      <c r="P429" t="n">
        <v>0</v>
      </c>
      <c r="Q429" t="n">
        <v>0</v>
      </c>
      <c r="R429" s="2" t="inlineStr"/>
    </row>
    <row r="430" ht="15" customHeight="1">
      <c r="A430" t="inlineStr">
        <is>
          <t>A 41301-2025</t>
        </is>
      </c>
      <c r="B430" s="1" t="n">
        <v>45898.68826388889</v>
      </c>
      <c r="C430" s="1" t="n">
        <v>45988</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48686-2023</t>
        </is>
      </c>
      <c r="B431" s="1" t="n">
        <v>45208</v>
      </c>
      <c r="C431" s="1" t="n">
        <v>45988</v>
      </c>
      <c r="D431" t="inlineStr">
        <is>
          <t>STOCKHOLMS LÄN</t>
        </is>
      </c>
      <c r="E431" t="inlineStr">
        <is>
          <t>NORRTÄLJE</t>
        </is>
      </c>
      <c r="G431" t="n">
        <v>6</v>
      </c>
      <c r="H431" t="n">
        <v>0</v>
      </c>
      <c r="I431" t="n">
        <v>0</v>
      </c>
      <c r="J431" t="n">
        <v>0</v>
      </c>
      <c r="K431" t="n">
        <v>0</v>
      </c>
      <c r="L431" t="n">
        <v>0</v>
      </c>
      <c r="M431" t="n">
        <v>0</v>
      </c>
      <c r="N431" t="n">
        <v>0</v>
      </c>
      <c r="O431" t="n">
        <v>0</v>
      </c>
      <c r="P431" t="n">
        <v>0</v>
      </c>
      <c r="Q431" t="n">
        <v>0</v>
      </c>
      <c r="R431" s="2" t="inlineStr"/>
    </row>
    <row r="432" ht="15" customHeight="1">
      <c r="A432" t="inlineStr">
        <is>
          <t>A 48691-2023</t>
        </is>
      </c>
      <c r="B432" s="1" t="n">
        <v>45208</v>
      </c>
      <c r="C432" s="1" t="n">
        <v>45988</v>
      </c>
      <c r="D432" t="inlineStr">
        <is>
          <t>STOCKHOLMS LÄN</t>
        </is>
      </c>
      <c r="E432" t="inlineStr">
        <is>
          <t>NORRTÄLJE</t>
        </is>
      </c>
      <c r="G432" t="n">
        <v>5.8</v>
      </c>
      <c r="H432" t="n">
        <v>0</v>
      </c>
      <c r="I432" t="n">
        <v>0</v>
      </c>
      <c r="J432" t="n">
        <v>0</v>
      </c>
      <c r="K432" t="n">
        <v>0</v>
      </c>
      <c r="L432" t="n">
        <v>0</v>
      </c>
      <c r="M432" t="n">
        <v>0</v>
      </c>
      <c r="N432" t="n">
        <v>0</v>
      </c>
      <c r="O432" t="n">
        <v>0</v>
      </c>
      <c r="P432" t="n">
        <v>0</v>
      </c>
      <c r="Q432" t="n">
        <v>0</v>
      </c>
      <c r="R432" s="2" t="inlineStr"/>
    </row>
    <row r="433" ht="15" customHeight="1">
      <c r="A433" t="inlineStr">
        <is>
          <t>A 25709-2025</t>
        </is>
      </c>
      <c r="B433" s="1" t="n">
        <v>45800</v>
      </c>
      <c r="C433" s="1" t="n">
        <v>45988</v>
      </c>
      <c r="D433" t="inlineStr">
        <is>
          <t>STOCKHOLMS LÄN</t>
        </is>
      </c>
      <c r="E433" t="inlineStr">
        <is>
          <t>NORRTÄLJE</t>
        </is>
      </c>
      <c r="G433" t="n">
        <v>4.6</v>
      </c>
      <c r="H433" t="n">
        <v>0</v>
      </c>
      <c r="I433" t="n">
        <v>0</v>
      </c>
      <c r="J433" t="n">
        <v>0</v>
      </c>
      <c r="K433" t="n">
        <v>0</v>
      </c>
      <c r="L433" t="n">
        <v>0</v>
      </c>
      <c r="M433" t="n">
        <v>0</v>
      </c>
      <c r="N433" t="n">
        <v>0</v>
      </c>
      <c r="O433" t="n">
        <v>0</v>
      </c>
      <c r="P433" t="n">
        <v>0</v>
      </c>
      <c r="Q433" t="n">
        <v>0</v>
      </c>
      <c r="R433" s="2" t="inlineStr"/>
    </row>
    <row r="434" ht="15" customHeight="1">
      <c r="A434" t="inlineStr">
        <is>
          <t>A 38449-2022</t>
        </is>
      </c>
      <c r="B434" s="1" t="n">
        <v>44813</v>
      </c>
      <c r="C434" s="1" t="n">
        <v>45988</v>
      </c>
      <c r="D434" t="inlineStr">
        <is>
          <t>STOCKHOLMS LÄN</t>
        </is>
      </c>
      <c r="E434" t="inlineStr">
        <is>
          <t>NORRTÄLJE</t>
        </is>
      </c>
      <c r="G434" t="n">
        <v>4.2</v>
      </c>
      <c r="H434" t="n">
        <v>0</v>
      </c>
      <c r="I434" t="n">
        <v>0</v>
      </c>
      <c r="J434" t="n">
        <v>0</v>
      </c>
      <c r="K434" t="n">
        <v>0</v>
      </c>
      <c r="L434" t="n">
        <v>0</v>
      </c>
      <c r="M434" t="n">
        <v>0</v>
      </c>
      <c r="N434" t="n">
        <v>0</v>
      </c>
      <c r="O434" t="n">
        <v>0</v>
      </c>
      <c r="P434" t="n">
        <v>0</v>
      </c>
      <c r="Q434" t="n">
        <v>0</v>
      </c>
      <c r="R434" s="2" t="inlineStr"/>
    </row>
    <row r="435" ht="15" customHeight="1">
      <c r="A435" t="inlineStr">
        <is>
          <t>A 41174-2025</t>
        </is>
      </c>
      <c r="B435" s="1" t="n">
        <v>45898.54921296296</v>
      </c>
      <c r="C435" s="1" t="n">
        <v>45988</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41030-2025</t>
        </is>
      </c>
      <c r="B436" s="1" t="n">
        <v>45898.37636574074</v>
      </c>
      <c r="C436" s="1" t="n">
        <v>45988</v>
      </c>
      <c r="D436" t="inlineStr">
        <is>
          <t>STOCKHOLMS LÄN</t>
        </is>
      </c>
      <c r="E436" t="inlineStr">
        <is>
          <t>NORRTÄLJE</t>
        </is>
      </c>
      <c r="F436" t="inlineStr">
        <is>
          <t>Holmen skog AB</t>
        </is>
      </c>
      <c r="G436" t="n">
        <v>2.6</v>
      </c>
      <c r="H436" t="n">
        <v>0</v>
      </c>
      <c r="I436" t="n">
        <v>0</v>
      </c>
      <c r="J436" t="n">
        <v>0</v>
      </c>
      <c r="K436" t="n">
        <v>0</v>
      </c>
      <c r="L436" t="n">
        <v>0</v>
      </c>
      <c r="M436" t="n">
        <v>0</v>
      </c>
      <c r="N436" t="n">
        <v>0</v>
      </c>
      <c r="O436" t="n">
        <v>0</v>
      </c>
      <c r="P436" t="n">
        <v>0</v>
      </c>
      <c r="Q436" t="n">
        <v>0</v>
      </c>
      <c r="R436" s="2" t="inlineStr"/>
    </row>
    <row r="437" ht="15" customHeight="1">
      <c r="A437" t="inlineStr">
        <is>
          <t>A 34478-2025</t>
        </is>
      </c>
      <c r="B437" s="1" t="n">
        <v>45847.37414351852</v>
      </c>
      <c r="C437" s="1" t="n">
        <v>45988</v>
      </c>
      <c r="D437" t="inlineStr">
        <is>
          <t>STOCKHOLMS LÄN</t>
        </is>
      </c>
      <c r="E437" t="inlineStr">
        <is>
          <t>NORRTÄLJE</t>
        </is>
      </c>
      <c r="F437" t="inlineStr">
        <is>
          <t>Övriga Aktiebolag</t>
        </is>
      </c>
      <c r="G437" t="n">
        <v>10.8</v>
      </c>
      <c r="H437" t="n">
        <v>0</v>
      </c>
      <c r="I437" t="n">
        <v>0</v>
      </c>
      <c r="J437" t="n">
        <v>0</v>
      </c>
      <c r="K437" t="n">
        <v>0</v>
      </c>
      <c r="L437" t="n">
        <v>0</v>
      </c>
      <c r="M437" t="n">
        <v>0</v>
      </c>
      <c r="N437" t="n">
        <v>0</v>
      </c>
      <c r="O437" t="n">
        <v>0</v>
      </c>
      <c r="P437" t="n">
        <v>0</v>
      </c>
      <c r="Q437" t="n">
        <v>0</v>
      </c>
      <c r="R437" s="2" t="inlineStr"/>
    </row>
    <row r="438" ht="15" customHeight="1">
      <c r="A438" t="inlineStr">
        <is>
          <t>A 41036-2025</t>
        </is>
      </c>
      <c r="B438" s="1" t="n">
        <v>45898.38552083333</v>
      </c>
      <c r="C438" s="1" t="n">
        <v>45988</v>
      </c>
      <c r="D438" t="inlineStr">
        <is>
          <t>STOCKHOLMS LÄN</t>
        </is>
      </c>
      <c r="E438" t="inlineStr">
        <is>
          <t>NORRTÄLJE</t>
        </is>
      </c>
      <c r="F438" t="inlineStr">
        <is>
          <t>Holmen skog AB</t>
        </is>
      </c>
      <c r="G438" t="n">
        <v>2.7</v>
      </c>
      <c r="H438" t="n">
        <v>0</v>
      </c>
      <c r="I438" t="n">
        <v>0</v>
      </c>
      <c r="J438" t="n">
        <v>0</v>
      </c>
      <c r="K438" t="n">
        <v>0</v>
      </c>
      <c r="L438" t="n">
        <v>0</v>
      </c>
      <c r="M438" t="n">
        <v>0</v>
      </c>
      <c r="N438" t="n">
        <v>0</v>
      </c>
      <c r="O438" t="n">
        <v>0</v>
      </c>
      <c r="P438" t="n">
        <v>0</v>
      </c>
      <c r="Q438" t="n">
        <v>0</v>
      </c>
      <c r="R438" s="2" t="inlineStr"/>
    </row>
    <row r="439" ht="15" customHeight="1">
      <c r="A439" t="inlineStr">
        <is>
          <t>A 41106-2025</t>
        </is>
      </c>
      <c r="B439" s="1" t="n">
        <v>45898.45636574074</v>
      </c>
      <c r="C439" s="1" t="n">
        <v>45988</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41110-2025</t>
        </is>
      </c>
      <c r="B440" s="1" t="n">
        <v>45898.45976851852</v>
      </c>
      <c r="C440" s="1" t="n">
        <v>45988</v>
      </c>
      <c r="D440" t="inlineStr">
        <is>
          <t>STOCKHOLMS LÄN</t>
        </is>
      </c>
      <c r="E440" t="inlineStr">
        <is>
          <t>NORRTÄLJE</t>
        </is>
      </c>
      <c r="F440" t="inlineStr">
        <is>
          <t>Holmen skog AB</t>
        </is>
      </c>
      <c r="G440" t="n">
        <v>6.7</v>
      </c>
      <c r="H440" t="n">
        <v>0</v>
      </c>
      <c r="I440" t="n">
        <v>0</v>
      </c>
      <c r="J440" t="n">
        <v>0</v>
      </c>
      <c r="K440" t="n">
        <v>0</v>
      </c>
      <c r="L440" t="n">
        <v>0</v>
      </c>
      <c r="M440" t="n">
        <v>0</v>
      </c>
      <c r="N440" t="n">
        <v>0</v>
      </c>
      <c r="O440" t="n">
        <v>0</v>
      </c>
      <c r="P440" t="n">
        <v>0</v>
      </c>
      <c r="Q440" t="n">
        <v>0</v>
      </c>
      <c r="R440" s="2" t="inlineStr"/>
    </row>
    <row r="441" ht="15" customHeight="1">
      <c r="A441" t="inlineStr">
        <is>
          <t>A 41259-2025</t>
        </is>
      </c>
      <c r="B441" s="1" t="n">
        <v>45898.61054398148</v>
      </c>
      <c r="C441" s="1" t="n">
        <v>45988</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21726-2022</t>
        </is>
      </c>
      <c r="B442" s="1" t="n">
        <v>44708</v>
      </c>
      <c r="C442" s="1" t="n">
        <v>45988</v>
      </c>
      <c r="D442" t="inlineStr">
        <is>
          <t>STOCKHOLMS LÄN</t>
        </is>
      </c>
      <c r="E442" t="inlineStr">
        <is>
          <t>NORRTÄLJE</t>
        </is>
      </c>
      <c r="G442" t="n">
        <v>0.2</v>
      </c>
      <c r="H442" t="n">
        <v>0</v>
      </c>
      <c r="I442" t="n">
        <v>0</v>
      </c>
      <c r="J442" t="n">
        <v>0</v>
      </c>
      <c r="K442" t="n">
        <v>0</v>
      </c>
      <c r="L442" t="n">
        <v>0</v>
      </c>
      <c r="M442" t="n">
        <v>0</v>
      </c>
      <c r="N442" t="n">
        <v>0</v>
      </c>
      <c r="O442" t="n">
        <v>0</v>
      </c>
      <c r="P442" t="n">
        <v>0</v>
      </c>
      <c r="Q442" t="n">
        <v>0</v>
      </c>
      <c r="R442" s="2" t="inlineStr"/>
    </row>
    <row r="443" ht="15" customHeight="1">
      <c r="A443" t="inlineStr">
        <is>
          <t>A 21739-2022</t>
        </is>
      </c>
      <c r="B443" s="1" t="n">
        <v>44708.36708333333</v>
      </c>
      <c r="C443" s="1" t="n">
        <v>45988</v>
      </c>
      <c r="D443" t="inlineStr">
        <is>
          <t>STOCKHOLMS LÄN</t>
        </is>
      </c>
      <c r="E443" t="inlineStr">
        <is>
          <t>NORRTÄLJE</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10511-2025</t>
        </is>
      </c>
      <c r="B444" s="1" t="n">
        <v>45721.40780092592</v>
      </c>
      <c r="C444" s="1" t="n">
        <v>45988</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35210-2023</t>
        </is>
      </c>
      <c r="B445" s="1" t="n">
        <v>45145.63584490741</v>
      </c>
      <c r="C445" s="1" t="n">
        <v>45988</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59767-2022</t>
        </is>
      </c>
      <c r="B446" s="1" t="n">
        <v>44900</v>
      </c>
      <c r="C446" s="1" t="n">
        <v>45988</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53561-2023</t>
        </is>
      </c>
      <c r="B447" s="1" t="n">
        <v>45224</v>
      </c>
      <c r="C447" s="1" t="n">
        <v>45988</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19057-2024</t>
        </is>
      </c>
      <c r="B448" s="1" t="n">
        <v>45427.88731481481</v>
      </c>
      <c r="C448" s="1" t="n">
        <v>45988</v>
      </c>
      <c r="D448" t="inlineStr">
        <is>
          <t>STOCKHOLMS LÄN</t>
        </is>
      </c>
      <c r="E448" t="inlineStr">
        <is>
          <t>NORRTÄLJE</t>
        </is>
      </c>
      <c r="G448" t="n">
        <v>3</v>
      </c>
      <c r="H448" t="n">
        <v>0</v>
      </c>
      <c r="I448" t="n">
        <v>0</v>
      </c>
      <c r="J448" t="n">
        <v>0</v>
      </c>
      <c r="K448" t="n">
        <v>0</v>
      </c>
      <c r="L448" t="n">
        <v>0</v>
      </c>
      <c r="M448" t="n">
        <v>0</v>
      </c>
      <c r="N448" t="n">
        <v>0</v>
      </c>
      <c r="O448" t="n">
        <v>0</v>
      </c>
      <c r="P448" t="n">
        <v>0</v>
      </c>
      <c r="Q448" t="n">
        <v>0</v>
      </c>
      <c r="R448" s="2" t="inlineStr"/>
    </row>
    <row r="449" ht="15" customHeight="1">
      <c r="A449" t="inlineStr">
        <is>
          <t>A 5823-2023</t>
        </is>
      </c>
      <c r="B449" s="1" t="n">
        <v>44963</v>
      </c>
      <c r="C449" s="1" t="n">
        <v>45988</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19915-2024</t>
        </is>
      </c>
      <c r="B450" s="1" t="n">
        <v>45433.58431712963</v>
      </c>
      <c r="C450" s="1" t="n">
        <v>45988</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15217-2023</t>
        </is>
      </c>
      <c r="B451" s="1" t="n">
        <v>45019.28847222222</v>
      </c>
      <c r="C451" s="1" t="n">
        <v>45988</v>
      </c>
      <c r="D451" t="inlineStr">
        <is>
          <t>STOCKHOLMS LÄN</t>
        </is>
      </c>
      <c r="E451" t="inlineStr">
        <is>
          <t>NORRTÄLJE</t>
        </is>
      </c>
      <c r="G451" t="n">
        <v>3.6</v>
      </c>
      <c r="H451" t="n">
        <v>0</v>
      </c>
      <c r="I451" t="n">
        <v>0</v>
      </c>
      <c r="J451" t="n">
        <v>0</v>
      </c>
      <c r="K451" t="n">
        <v>0</v>
      </c>
      <c r="L451" t="n">
        <v>0</v>
      </c>
      <c r="M451" t="n">
        <v>0</v>
      </c>
      <c r="N451" t="n">
        <v>0</v>
      </c>
      <c r="O451" t="n">
        <v>0</v>
      </c>
      <c r="P451" t="n">
        <v>0</v>
      </c>
      <c r="Q451" t="n">
        <v>0</v>
      </c>
      <c r="R451" s="2" t="inlineStr"/>
    </row>
    <row r="452" ht="15" customHeight="1">
      <c r="A452" t="inlineStr">
        <is>
          <t>A 41966-2025</t>
        </is>
      </c>
      <c r="B452" s="1" t="n">
        <v>45903.47456018518</v>
      </c>
      <c r="C452" s="1" t="n">
        <v>45988</v>
      </c>
      <c r="D452" t="inlineStr">
        <is>
          <t>STOCKHOLMS LÄN</t>
        </is>
      </c>
      <c r="E452" t="inlineStr">
        <is>
          <t>NORRTÄLJE</t>
        </is>
      </c>
      <c r="F452" t="inlineStr">
        <is>
          <t>Sveaskog</t>
        </is>
      </c>
      <c r="G452" t="n">
        <v>3.7</v>
      </c>
      <c r="H452" t="n">
        <v>0</v>
      </c>
      <c r="I452" t="n">
        <v>0</v>
      </c>
      <c r="J452" t="n">
        <v>0</v>
      </c>
      <c r="K452" t="n">
        <v>0</v>
      </c>
      <c r="L452" t="n">
        <v>0</v>
      </c>
      <c r="M452" t="n">
        <v>0</v>
      </c>
      <c r="N452" t="n">
        <v>0</v>
      </c>
      <c r="O452" t="n">
        <v>0</v>
      </c>
      <c r="P452" t="n">
        <v>0</v>
      </c>
      <c r="Q452" t="n">
        <v>0</v>
      </c>
      <c r="R452" s="2" t="inlineStr"/>
    </row>
    <row r="453" ht="15" customHeight="1">
      <c r="A453" t="inlineStr">
        <is>
          <t>A 42038-2025</t>
        </is>
      </c>
      <c r="B453" s="1" t="n">
        <v>45903.61431712963</v>
      </c>
      <c r="C453" s="1" t="n">
        <v>45988</v>
      </c>
      <c r="D453" t="inlineStr">
        <is>
          <t>STOCKHOLMS LÄN</t>
        </is>
      </c>
      <c r="E453" t="inlineStr">
        <is>
          <t>NORRTÄLJE</t>
        </is>
      </c>
      <c r="F453" t="inlineStr">
        <is>
          <t>Sveaskog</t>
        </is>
      </c>
      <c r="G453" t="n">
        <v>6.4</v>
      </c>
      <c r="H453" t="n">
        <v>0</v>
      </c>
      <c r="I453" t="n">
        <v>0</v>
      </c>
      <c r="J453" t="n">
        <v>0</v>
      </c>
      <c r="K453" t="n">
        <v>0</v>
      </c>
      <c r="L453" t="n">
        <v>0</v>
      </c>
      <c r="M453" t="n">
        <v>0</v>
      </c>
      <c r="N453" t="n">
        <v>0</v>
      </c>
      <c r="O453" t="n">
        <v>0</v>
      </c>
      <c r="P453" t="n">
        <v>0</v>
      </c>
      <c r="Q453" t="n">
        <v>0</v>
      </c>
      <c r="R453" s="2" t="inlineStr"/>
    </row>
    <row r="454" ht="15" customHeight="1">
      <c r="A454" t="inlineStr">
        <is>
          <t>A 50143-2023</t>
        </is>
      </c>
      <c r="B454" s="1" t="n">
        <v>45215</v>
      </c>
      <c r="C454" s="1" t="n">
        <v>45988</v>
      </c>
      <c r="D454" t="inlineStr">
        <is>
          <t>STOCKHOLMS LÄN</t>
        </is>
      </c>
      <c r="E454" t="inlineStr">
        <is>
          <t>NORRTÄLJE</t>
        </is>
      </c>
      <c r="G454" t="n">
        <v>10.3</v>
      </c>
      <c r="H454" t="n">
        <v>0</v>
      </c>
      <c r="I454" t="n">
        <v>0</v>
      </c>
      <c r="J454" t="n">
        <v>0</v>
      </c>
      <c r="K454" t="n">
        <v>0</v>
      </c>
      <c r="L454" t="n">
        <v>0</v>
      </c>
      <c r="M454" t="n">
        <v>0</v>
      </c>
      <c r="N454" t="n">
        <v>0</v>
      </c>
      <c r="O454" t="n">
        <v>0</v>
      </c>
      <c r="P454" t="n">
        <v>0</v>
      </c>
      <c r="Q454" t="n">
        <v>0</v>
      </c>
      <c r="R454" s="2" t="inlineStr"/>
    </row>
    <row r="455" ht="15" customHeight="1">
      <c r="A455" t="inlineStr">
        <is>
          <t>A 29176-2024</t>
        </is>
      </c>
      <c r="B455" s="1" t="n">
        <v>45482.53388888889</v>
      </c>
      <c r="C455" s="1" t="n">
        <v>45988</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36430-2024</t>
        </is>
      </c>
      <c r="B456" s="1" t="n">
        <v>45536</v>
      </c>
      <c r="C456" s="1" t="n">
        <v>45988</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26051-2025</t>
        </is>
      </c>
      <c r="B457" s="1" t="n">
        <v>45804.74479166666</v>
      </c>
      <c r="C457" s="1" t="n">
        <v>45988</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51312-2023</t>
        </is>
      </c>
      <c r="B458" s="1" t="n">
        <v>45219.56697916667</v>
      </c>
      <c r="C458" s="1" t="n">
        <v>45988</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35640-2024</t>
        </is>
      </c>
      <c r="B459" s="1" t="n">
        <v>45531</v>
      </c>
      <c r="C459" s="1" t="n">
        <v>45988</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41964-2025</t>
        </is>
      </c>
      <c r="B460" s="1" t="n">
        <v>45903.47270833333</v>
      </c>
      <c r="C460" s="1" t="n">
        <v>45988</v>
      </c>
      <c r="D460" t="inlineStr">
        <is>
          <t>STOCKHOLMS LÄN</t>
        </is>
      </c>
      <c r="E460" t="inlineStr">
        <is>
          <t>NORRTÄLJE</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51241-2025</t>
        </is>
      </c>
      <c r="B461" s="1" t="n">
        <v>45947.71726851852</v>
      </c>
      <c r="C461" s="1" t="n">
        <v>45988</v>
      </c>
      <c r="D461" t="inlineStr">
        <is>
          <t>STOCKHOLMS LÄN</t>
        </is>
      </c>
      <c r="E461" t="inlineStr">
        <is>
          <t>NORRTÄLJE</t>
        </is>
      </c>
      <c r="F461" t="inlineStr">
        <is>
          <t>Naturvårdsverket</t>
        </is>
      </c>
      <c r="G461" t="n">
        <v>6.4</v>
      </c>
      <c r="H461" t="n">
        <v>0</v>
      </c>
      <c r="I461" t="n">
        <v>0</v>
      </c>
      <c r="J461" t="n">
        <v>0</v>
      </c>
      <c r="K461" t="n">
        <v>0</v>
      </c>
      <c r="L461" t="n">
        <v>0</v>
      </c>
      <c r="M461" t="n">
        <v>0</v>
      </c>
      <c r="N461" t="n">
        <v>0</v>
      </c>
      <c r="O461" t="n">
        <v>0</v>
      </c>
      <c r="P461" t="n">
        <v>0</v>
      </c>
      <c r="Q461" t="n">
        <v>0</v>
      </c>
      <c r="R461" s="2" t="inlineStr"/>
    </row>
    <row r="462" ht="15" customHeight="1">
      <c r="A462" t="inlineStr">
        <is>
          <t>A 51121-2025</t>
        </is>
      </c>
      <c r="B462" s="1" t="n">
        <v>45947.53293981482</v>
      </c>
      <c r="C462" s="1" t="n">
        <v>45988</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43212-2022</t>
        </is>
      </c>
      <c r="B463" s="1" t="n">
        <v>44834.38636574074</v>
      </c>
      <c r="C463" s="1" t="n">
        <v>45988</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51653-2022</t>
        </is>
      </c>
      <c r="B464" s="1" t="n">
        <v>44867</v>
      </c>
      <c r="C464" s="1" t="n">
        <v>45988</v>
      </c>
      <c r="D464" t="inlineStr">
        <is>
          <t>STOCKHOLMS LÄN</t>
        </is>
      </c>
      <c r="E464" t="inlineStr">
        <is>
          <t>NORRTÄLJE</t>
        </is>
      </c>
      <c r="G464" t="n">
        <v>6.6</v>
      </c>
      <c r="H464" t="n">
        <v>0</v>
      </c>
      <c r="I464" t="n">
        <v>0</v>
      </c>
      <c r="J464" t="n">
        <v>0</v>
      </c>
      <c r="K464" t="n">
        <v>0</v>
      </c>
      <c r="L464" t="n">
        <v>0</v>
      </c>
      <c r="M464" t="n">
        <v>0</v>
      </c>
      <c r="N464" t="n">
        <v>0</v>
      </c>
      <c r="O464" t="n">
        <v>0</v>
      </c>
      <c r="P464" t="n">
        <v>0</v>
      </c>
      <c r="Q464" t="n">
        <v>0</v>
      </c>
      <c r="R464" s="2" t="inlineStr"/>
    </row>
    <row r="465" ht="15" customHeight="1">
      <c r="A465" t="inlineStr">
        <is>
          <t>A 51233-2025</t>
        </is>
      </c>
      <c r="B465" s="1" t="n">
        <v>45947.68232638889</v>
      </c>
      <c r="C465" s="1" t="n">
        <v>45988</v>
      </c>
      <c r="D465" t="inlineStr">
        <is>
          <t>STOCKHOLMS LÄN</t>
        </is>
      </c>
      <c r="E465" t="inlineStr">
        <is>
          <t>NORRTÄLJE</t>
        </is>
      </c>
      <c r="F465" t="inlineStr">
        <is>
          <t>Naturvårdsverket</t>
        </is>
      </c>
      <c r="G465" t="n">
        <v>8.1</v>
      </c>
      <c r="H465" t="n">
        <v>0</v>
      </c>
      <c r="I465" t="n">
        <v>0</v>
      </c>
      <c r="J465" t="n">
        <v>0</v>
      </c>
      <c r="K465" t="n">
        <v>0</v>
      </c>
      <c r="L465" t="n">
        <v>0</v>
      </c>
      <c r="M465" t="n">
        <v>0</v>
      </c>
      <c r="N465" t="n">
        <v>0</v>
      </c>
      <c r="O465" t="n">
        <v>0</v>
      </c>
      <c r="P465" t="n">
        <v>0</v>
      </c>
      <c r="Q465" t="n">
        <v>0</v>
      </c>
      <c r="R465" s="2" t="inlineStr"/>
    </row>
    <row r="466" ht="15" customHeight="1">
      <c r="A466" t="inlineStr">
        <is>
          <t>A 51236-2025</t>
        </is>
      </c>
      <c r="B466" s="1" t="n">
        <v>45947.69078703703</v>
      </c>
      <c r="C466" s="1" t="n">
        <v>45988</v>
      </c>
      <c r="D466" t="inlineStr">
        <is>
          <t>STOCKHOLMS LÄN</t>
        </is>
      </c>
      <c r="E466" t="inlineStr">
        <is>
          <t>NORRTÄLJE</t>
        </is>
      </c>
      <c r="F466" t="inlineStr">
        <is>
          <t>Naturvårdsverket</t>
        </is>
      </c>
      <c r="G466" t="n">
        <v>6.3</v>
      </c>
      <c r="H466" t="n">
        <v>0</v>
      </c>
      <c r="I466" t="n">
        <v>0</v>
      </c>
      <c r="J466" t="n">
        <v>0</v>
      </c>
      <c r="K466" t="n">
        <v>0</v>
      </c>
      <c r="L466" t="n">
        <v>0</v>
      </c>
      <c r="M466" t="n">
        <v>0</v>
      </c>
      <c r="N466" t="n">
        <v>0</v>
      </c>
      <c r="O466" t="n">
        <v>0</v>
      </c>
      <c r="P466" t="n">
        <v>0</v>
      </c>
      <c r="Q466" t="n">
        <v>0</v>
      </c>
      <c r="R466" s="2" t="inlineStr"/>
    </row>
    <row r="467" ht="15" customHeight="1">
      <c r="A467" t="inlineStr">
        <is>
          <t>A 51240-2025</t>
        </is>
      </c>
      <c r="B467" s="1" t="n">
        <v>45947.70420138889</v>
      </c>
      <c r="C467" s="1" t="n">
        <v>45988</v>
      </c>
      <c r="D467" t="inlineStr">
        <is>
          <t>STOCKHOLMS LÄN</t>
        </is>
      </c>
      <c r="E467" t="inlineStr">
        <is>
          <t>NORRTÄLJE</t>
        </is>
      </c>
      <c r="F467" t="inlineStr">
        <is>
          <t>Naturvårdsverket</t>
        </is>
      </c>
      <c r="G467" t="n">
        <v>3</v>
      </c>
      <c r="H467" t="n">
        <v>0</v>
      </c>
      <c r="I467" t="n">
        <v>0</v>
      </c>
      <c r="J467" t="n">
        <v>0</v>
      </c>
      <c r="K467" t="n">
        <v>0</v>
      </c>
      <c r="L467" t="n">
        <v>0</v>
      </c>
      <c r="M467" t="n">
        <v>0</v>
      </c>
      <c r="N467" t="n">
        <v>0</v>
      </c>
      <c r="O467" t="n">
        <v>0</v>
      </c>
      <c r="P467" t="n">
        <v>0</v>
      </c>
      <c r="Q467" t="n">
        <v>0</v>
      </c>
      <c r="R467" s="2" t="inlineStr"/>
    </row>
    <row r="468" ht="15" customHeight="1">
      <c r="A468" t="inlineStr">
        <is>
          <t>A 51122-2025</t>
        </is>
      </c>
      <c r="B468" s="1" t="n">
        <v>45947.53693287037</v>
      </c>
      <c r="C468" s="1" t="n">
        <v>45988</v>
      </c>
      <c r="D468" t="inlineStr">
        <is>
          <t>STOCKHOLMS LÄN</t>
        </is>
      </c>
      <c r="E468" t="inlineStr">
        <is>
          <t>NORRTÄLJE</t>
        </is>
      </c>
      <c r="G468" t="n">
        <v>3.8</v>
      </c>
      <c r="H468" t="n">
        <v>0</v>
      </c>
      <c r="I468" t="n">
        <v>0</v>
      </c>
      <c r="J468" t="n">
        <v>0</v>
      </c>
      <c r="K468" t="n">
        <v>0</v>
      </c>
      <c r="L468" t="n">
        <v>0</v>
      </c>
      <c r="M468" t="n">
        <v>0</v>
      </c>
      <c r="N468" t="n">
        <v>0</v>
      </c>
      <c r="O468" t="n">
        <v>0</v>
      </c>
      <c r="P468" t="n">
        <v>0</v>
      </c>
      <c r="Q468" t="n">
        <v>0</v>
      </c>
      <c r="R468" s="2" t="inlineStr"/>
    </row>
    <row r="469" ht="15" customHeight="1">
      <c r="A469" t="inlineStr">
        <is>
          <t>A 26708-2025</t>
        </is>
      </c>
      <c r="B469" s="1" t="n">
        <v>45810.45633101852</v>
      </c>
      <c r="C469" s="1" t="n">
        <v>45988</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4322-2023</t>
        </is>
      </c>
      <c r="B470" s="1" t="n">
        <v>44953.69298611111</v>
      </c>
      <c r="C470" s="1" t="n">
        <v>45988</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26702-2025</t>
        </is>
      </c>
      <c r="B471" s="1" t="n">
        <v>45810.45236111111</v>
      </c>
      <c r="C471" s="1" t="n">
        <v>45988</v>
      </c>
      <c r="D471" t="inlineStr">
        <is>
          <t>STOCKHOLMS LÄN</t>
        </is>
      </c>
      <c r="E471" t="inlineStr">
        <is>
          <t>NORRTÄLJE</t>
        </is>
      </c>
      <c r="G471" t="n">
        <v>7.3</v>
      </c>
      <c r="H471" t="n">
        <v>0</v>
      </c>
      <c r="I471" t="n">
        <v>0</v>
      </c>
      <c r="J471" t="n">
        <v>0</v>
      </c>
      <c r="K471" t="n">
        <v>0</v>
      </c>
      <c r="L471" t="n">
        <v>0</v>
      </c>
      <c r="M471" t="n">
        <v>0</v>
      </c>
      <c r="N471" t="n">
        <v>0</v>
      </c>
      <c r="O471" t="n">
        <v>0</v>
      </c>
      <c r="P471" t="n">
        <v>0</v>
      </c>
      <c r="Q471" t="n">
        <v>0</v>
      </c>
      <c r="R471" s="2" t="inlineStr"/>
    </row>
    <row r="472" ht="15" customHeight="1">
      <c r="A472" t="inlineStr">
        <is>
          <t>A 30699-2025</t>
        </is>
      </c>
      <c r="B472" s="1" t="n">
        <v>45831.54618055555</v>
      </c>
      <c r="C472" s="1" t="n">
        <v>45988</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23061-2025</t>
        </is>
      </c>
      <c r="B473" s="1" t="n">
        <v>45790.81410879629</v>
      </c>
      <c r="C473" s="1" t="n">
        <v>45988</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38990-2022</t>
        </is>
      </c>
      <c r="B474" s="1" t="n">
        <v>44816</v>
      </c>
      <c r="C474" s="1" t="n">
        <v>45988</v>
      </c>
      <c r="D474" t="inlineStr">
        <is>
          <t>STOCKHOLMS LÄN</t>
        </is>
      </c>
      <c r="E474" t="inlineStr">
        <is>
          <t>NORRTÄLJE</t>
        </is>
      </c>
      <c r="G474" t="n">
        <v>5.7</v>
      </c>
      <c r="H474" t="n">
        <v>0</v>
      </c>
      <c r="I474" t="n">
        <v>0</v>
      </c>
      <c r="J474" t="n">
        <v>0</v>
      </c>
      <c r="K474" t="n">
        <v>0</v>
      </c>
      <c r="L474" t="n">
        <v>0</v>
      </c>
      <c r="M474" t="n">
        <v>0</v>
      </c>
      <c r="N474" t="n">
        <v>0</v>
      </c>
      <c r="O474" t="n">
        <v>0</v>
      </c>
      <c r="P474" t="n">
        <v>0</v>
      </c>
      <c r="Q474" t="n">
        <v>0</v>
      </c>
      <c r="R474" s="2" t="inlineStr"/>
    </row>
    <row r="475" ht="15" customHeight="1">
      <c r="A475" t="inlineStr">
        <is>
          <t>A 27040-2025</t>
        </is>
      </c>
      <c r="B475" s="1" t="n">
        <v>45811.60451388889</v>
      </c>
      <c r="C475" s="1" t="n">
        <v>45988</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17956-2025</t>
        </is>
      </c>
      <c r="B476" s="1" t="n">
        <v>45760.91174768518</v>
      </c>
      <c r="C476" s="1" t="n">
        <v>45988</v>
      </c>
      <c r="D476" t="inlineStr">
        <is>
          <t>STOCKHOLMS LÄN</t>
        </is>
      </c>
      <c r="E476" t="inlineStr">
        <is>
          <t>NORRTÄLJE</t>
        </is>
      </c>
      <c r="G476" t="n">
        <v>4.3</v>
      </c>
      <c r="H476" t="n">
        <v>0</v>
      </c>
      <c r="I476" t="n">
        <v>0</v>
      </c>
      <c r="J476" t="n">
        <v>0</v>
      </c>
      <c r="K476" t="n">
        <v>0</v>
      </c>
      <c r="L476" t="n">
        <v>0</v>
      </c>
      <c r="M476" t="n">
        <v>0</v>
      </c>
      <c r="N476" t="n">
        <v>0</v>
      </c>
      <c r="O476" t="n">
        <v>0</v>
      </c>
      <c r="P476" t="n">
        <v>0</v>
      </c>
      <c r="Q476" t="n">
        <v>0</v>
      </c>
      <c r="R476" s="2" t="inlineStr"/>
    </row>
    <row r="477" ht="15" customHeight="1">
      <c r="A477" t="inlineStr">
        <is>
          <t>A 26747-2025</t>
        </is>
      </c>
      <c r="B477" s="1" t="n">
        <v>45810.5333912037</v>
      </c>
      <c r="C477" s="1" t="n">
        <v>45988</v>
      </c>
      <c r="D477" t="inlineStr">
        <is>
          <t>STOCKHOLMS LÄN</t>
        </is>
      </c>
      <c r="E477" t="inlineStr">
        <is>
          <t>NORRTÄLJE</t>
        </is>
      </c>
      <c r="G477" t="n">
        <v>1.9</v>
      </c>
      <c r="H477" t="n">
        <v>0</v>
      </c>
      <c r="I477" t="n">
        <v>0</v>
      </c>
      <c r="J477" t="n">
        <v>0</v>
      </c>
      <c r="K477" t="n">
        <v>0</v>
      </c>
      <c r="L477" t="n">
        <v>0</v>
      </c>
      <c r="M477" t="n">
        <v>0</v>
      </c>
      <c r="N477" t="n">
        <v>0</v>
      </c>
      <c r="O477" t="n">
        <v>0</v>
      </c>
      <c r="P477" t="n">
        <v>0</v>
      </c>
      <c r="Q477" t="n">
        <v>0</v>
      </c>
      <c r="R477" s="2" t="inlineStr"/>
    </row>
    <row r="478" ht="15" customHeight="1">
      <c r="A478" t="inlineStr">
        <is>
          <t>A 875-2023</t>
        </is>
      </c>
      <c r="B478" s="1" t="n">
        <v>44931.65626157408</v>
      </c>
      <c r="C478" s="1" t="n">
        <v>45988</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31236-2022</t>
        </is>
      </c>
      <c r="B479" s="1" t="n">
        <v>44771</v>
      </c>
      <c r="C479" s="1" t="n">
        <v>45988</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8315-2025</t>
        </is>
      </c>
      <c r="B480" s="1" t="n">
        <v>45708.61761574074</v>
      </c>
      <c r="C480" s="1" t="n">
        <v>45988</v>
      </c>
      <c r="D480" t="inlineStr">
        <is>
          <t>STOCKHOLMS LÄN</t>
        </is>
      </c>
      <c r="E480" t="inlineStr">
        <is>
          <t>NORRTÄLJE</t>
        </is>
      </c>
      <c r="G480" t="n">
        <v>3.9</v>
      </c>
      <c r="H480" t="n">
        <v>0</v>
      </c>
      <c r="I480" t="n">
        <v>0</v>
      </c>
      <c r="J480" t="n">
        <v>0</v>
      </c>
      <c r="K480" t="n">
        <v>0</v>
      </c>
      <c r="L480" t="n">
        <v>0</v>
      </c>
      <c r="M480" t="n">
        <v>0</v>
      </c>
      <c r="N480" t="n">
        <v>0</v>
      </c>
      <c r="O480" t="n">
        <v>0</v>
      </c>
      <c r="P480" t="n">
        <v>0</v>
      </c>
      <c r="Q480" t="n">
        <v>0</v>
      </c>
      <c r="R480" s="2" t="inlineStr"/>
    </row>
    <row r="481" ht="15" customHeight="1">
      <c r="A481" t="inlineStr">
        <is>
          <t>A 31281-2022</t>
        </is>
      </c>
      <c r="B481" s="1" t="n">
        <v>44771</v>
      </c>
      <c r="C481" s="1" t="n">
        <v>45988</v>
      </c>
      <c r="D481" t="inlineStr">
        <is>
          <t>STOCKHOLMS LÄN</t>
        </is>
      </c>
      <c r="E481" t="inlineStr">
        <is>
          <t>NORRTÄLJE</t>
        </is>
      </c>
      <c r="F481" t="inlineStr">
        <is>
          <t>Holmen skog AB</t>
        </is>
      </c>
      <c r="G481" t="n">
        <v>5.2</v>
      </c>
      <c r="H481" t="n">
        <v>0</v>
      </c>
      <c r="I481" t="n">
        <v>0</v>
      </c>
      <c r="J481" t="n">
        <v>0</v>
      </c>
      <c r="K481" t="n">
        <v>0</v>
      </c>
      <c r="L481" t="n">
        <v>0</v>
      </c>
      <c r="M481" t="n">
        <v>0</v>
      </c>
      <c r="N481" t="n">
        <v>0</v>
      </c>
      <c r="O481" t="n">
        <v>0</v>
      </c>
      <c r="P481" t="n">
        <v>0</v>
      </c>
      <c r="Q481" t="n">
        <v>0</v>
      </c>
      <c r="R481" s="2" t="inlineStr"/>
    </row>
    <row r="482" ht="15" customHeight="1">
      <c r="A482" t="inlineStr">
        <is>
          <t>A 26675-2025</t>
        </is>
      </c>
      <c r="B482" s="1" t="n">
        <v>45810.42393518519</v>
      </c>
      <c r="C482" s="1" t="n">
        <v>45988</v>
      </c>
      <c r="D482" t="inlineStr">
        <is>
          <t>STOCKHOLMS LÄN</t>
        </is>
      </c>
      <c r="E482" t="inlineStr">
        <is>
          <t>NORRTÄLJE</t>
        </is>
      </c>
      <c r="G482" t="n">
        <v>2.7</v>
      </c>
      <c r="H482" t="n">
        <v>0</v>
      </c>
      <c r="I482" t="n">
        <v>0</v>
      </c>
      <c r="J482" t="n">
        <v>0</v>
      </c>
      <c r="K482" t="n">
        <v>0</v>
      </c>
      <c r="L482" t="n">
        <v>0</v>
      </c>
      <c r="M482" t="n">
        <v>0</v>
      </c>
      <c r="N482" t="n">
        <v>0</v>
      </c>
      <c r="O482" t="n">
        <v>0</v>
      </c>
      <c r="P482" t="n">
        <v>0</v>
      </c>
      <c r="Q482" t="n">
        <v>0</v>
      </c>
      <c r="R482" s="2" t="inlineStr"/>
    </row>
    <row r="483" ht="15" customHeight="1">
      <c r="A483" t="inlineStr">
        <is>
          <t>A 18665-2022</t>
        </is>
      </c>
      <c r="B483" s="1" t="n">
        <v>44687</v>
      </c>
      <c r="C483" s="1" t="n">
        <v>45988</v>
      </c>
      <c r="D483" t="inlineStr">
        <is>
          <t>STOCKHOLMS LÄN</t>
        </is>
      </c>
      <c r="E483" t="inlineStr">
        <is>
          <t>NORRTÄLJE</t>
        </is>
      </c>
      <c r="F483" t="inlineStr">
        <is>
          <t>Kyrkan</t>
        </is>
      </c>
      <c r="G483" t="n">
        <v>1.1</v>
      </c>
      <c r="H483" t="n">
        <v>0</v>
      </c>
      <c r="I483" t="n">
        <v>0</v>
      </c>
      <c r="J483" t="n">
        <v>0</v>
      </c>
      <c r="K483" t="n">
        <v>0</v>
      </c>
      <c r="L483" t="n">
        <v>0</v>
      </c>
      <c r="M483" t="n">
        <v>0</v>
      </c>
      <c r="N483" t="n">
        <v>0</v>
      </c>
      <c r="O483" t="n">
        <v>0</v>
      </c>
      <c r="P483" t="n">
        <v>0</v>
      </c>
      <c r="Q483" t="n">
        <v>0</v>
      </c>
      <c r="R483" s="2" t="inlineStr"/>
    </row>
    <row r="484" ht="15" customHeight="1">
      <c r="A484" t="inlineStr">
        <is>
          <t>A 27554-2025</t>
        </is>
      </c>
      <c r="B484" s="1" t="n">
        <v>45813.4709375</v>
      </c>
      <c r="C484" s="1" t="n">
        <v>45988</v>
      </c>
      <c r="D484" t="inlineStr">
        <is>
          <t>STOCKHOLMS LÄN</t>
        </is>
      </c>
      <c r="E484" t="inlineStr">
        <is>
          <t>NORRTÄLJE</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20011-2025</t>
        </is>
      </c>
      <c r="B485" s="1" t="n">
        <v>45772.29622685185</v>
      </c>
      <c r="C485" s="1" t="n">
        <v>45988</v>
      </c>
      <c r="D485" t="inlineStr">
        <is>
          <t>STOCKHOLMS LÄN</t>
        </is>
      </c>
      <c r="E485" t="inlineStr">
        <is>
          <t>NORRTÄLJE</t>
        </is>
      </c>
      <c r="G485" t="n">
        <v>3.5</v>
      </c>
      <c r="H485" t="n">
        <v>0</v>
      </c>
      <c r="I485" t="n">
        <v>0</v>
      </c>
      <c r="J485" t="n">
        <v>0</v>
      </c>
      <c r="K485" t="n">
        <v>0</v>
      </c>
      <c r="L485" t="n">
        <v>0</v>
      </c>
      <c r="M485" t="n">
        <v>0</v>
      </c>
      <c r="N485" t="n">
        <v>0</v>
      </c>
      <c r="O485" t="n">
        <v>0</v>
      </c>
      <c r="P485" t="n">
        <v>0</v>
      </c>
      <c r="Q485" t="n">
        <v>0</v>
      </c>
      <c r="R485" s="2" t="inlineStr"/>
    </row>
    <row r="486" ht="15" customHeight="1">
      <c r="A486" t="inlineStr">
        <is>
          <t>A 42856-2025</t>
        </is>
      </c>
      <c r="B486" s="1" t="n">
        <v>45908</v>
      </c>
      <c r="C486" s="1" t="n">
        <v>45988</v>
      </c>
      <c r="D486" t="inlineStr">
        <is>
          <t>STOCKHOLMS LÄN</t>
        </is>
      </c>
      <c r="E486" t="inlineStr">
        <is>
          <t>NORRTÄLJE</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58302-2022</t>
        </is>
      </c>
      <c r="B487" s="1" t="n">
        <v>44901</v>
      </c>
      <c r="C487" s="1" t="n">
        <v>45988</v>
      </c>
      <c r="D487" t="inlineStr">
        <is>
          <t>STOCKHOLMS LÄN</t>
        </is>
      </c>
      <c r="E487" t="inlineStr">
        <is>
          <t>NORRTÄLJE</t>
        </is>
      </c>
      <c r="G487" t="n">
        <v>3.9</v>
      </c>
      <c r="H487" t="n">
        <v>0</v>
      </c>
      <c r="I487" t="n">
        <v>0</v>
      </c>
      <c r="J487" t="n">
        <v>0</v>
      </c>
      <c r="K487" t="n">
        <v>0</v>
      </c>
      <c r="L487" t="n">
        <v>0</v>
      </c>
      <c r="M487" t="n">
        <v>0</v>
      </c>
      <c r="N487" t="n">
        <v>0</v>
      </c>
      <c r="O487" t="n">
        <v>0</v>
      </c>
      <c r="P487" t="n">
        <v>0</v>
      </c>
      <c r="Q487" t="n">
        <v>0</v>
      </c>
      <c r="R487" s="2" t="inlineStr"/>
    </row>
    <row r="488" ht="15" customHeight="1">
      <c r="A488" t="inlineStr">
        <is>
          <t>A 27700-2025</t>
        </is>
      </c>
      <c r="B488" s="1" t="n">
        <v>45813.6799537037</v>
      </c>
      <c r="C488" s="1" t="n">
        <v>45988</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27697-2025</t>
        </is>
      </c>
      <c r="B489" s="1" t="n">
        <v>45813.66961805556</v>
      </c>
      <c r="C489" s="1" t="n">
        <v>45988</v>
      </c>
      <c r="D489" t="inlineStr">
        <is>
          <t>STOCKHOLMS LÄN</t>
        </is>
      </c>
      <c r="E489" t="inlineStr">
        <is>
          <t>NORRTÄLJE</t>
        </is>
      </c>
      <c r="G489" t="n">
        <v>6.2</v>
      </c>
      <c r="H489" t="n">
        <v>0</v>
      </c>
      <c r="I489" t="n">
        <v>0</v>
      </c>
      <c r="J489" t="n">
        <v>0</v>
      </c>
      <c r="K489" t="n">
        <v>0</v>
      </c>
      <c r="L489" t="n">
        <v>0</v>
      </c>
      <c r="M489" t="n">
        <v>0</v>
      </c>
      <c r="N489" t="n">
        <v>0</v>
      </c>
      <c r="O489" t="n">
        <v>0</v>
      </c>
      <c r="P489" t="n">
        <v>0</v>
      </c>
      <c r="Q489" t="n">
        <v>0</v>
      </c>
      <c r="R489" s="2" t="inlineStr"/>
    </row>
    <row r="490" ht="15" customHeight="1">
      <c r="A490" t="inlineStr">
        <is>
          <t>A 38591-2023</t>
        </is>
      </c>
      <c r="B490" s="1" t="n">
        <v>45162</v>
      </c>
      <c r="C490" s="1" t="n">
        <v>45988</v>
      </c>
      <c r="D490" t="inlineStr">
        <is>
          <t>STOCKHOLMS LÄN</t>
        </is>
      </c>
      <c r="E490" t="inlineStr">
        <is>
          <t>NORRTÄLJE</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30338-2022</t>
        </is>
      </c>
      <c r="B491" s="1" t="n">
        <v>44760</v>
      </c>
      <c r="C491" s="1" t="n">
        <v>45988</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27802-2025</t>
        </is>
      </c>
      <c r="B492" s="1" t="n">
        <v>45817.2565625</v>
      </c>
      <c r="C492" s="1" t="n">
        <v>45988</v>
      </c>
      <c r="D492" t="inlineStr">
        <is>
          <t>STOCKHOLMS LÄN</t>
        </is>
      </c>
      <c r="E492" t="inlineStr">
        <is>
          <t>NORRTÄLJE</t>
        </is>
      </c>
      <c r="G492" t="n">
        <v>3</v>
      </c>
      <c r="H492" t="n">
        <v>0</v>
      </c>
      <c r="I492" t="n">
        <v>0</v>
      </c>
      <c r="J492" t="n">
        <v>0</v>
      </c>
      <c r="K492" t="n">
        <v>0</v>
      </c>
      <c r="L492" t="n">
        <v>0</v>
      </c>
      <c r="M492" t="n">
        <v>0</v>
      </c>
      <c r="N492" t="n">
        <v>0</v>
      </c>
      <c r="O492" t="n">
        <v>0</v>
      </c>
      <c r="P492" t="n">
        <v>0</v>
      </c>
      <c r="Q492" t="n">
        <v>0</v>
      </c>
      <c r="R492" s="2" t="inlineStr"/>
    </row>
    <row r="493" ht="15" customHeight="1">
      <c r="A493" t="inlineStr">
        <is>
          <t>A 27806-2025</t>
        </is>
      </c>
      <c r="B493" s="1" t="n">
        <v>45817.30329861111</v>
      </c>
      <c r="C493" s="1" t="n">
        <v>45988</v>
      </c>
      <c r="D493" t="inlineStr">
        <is>
          <t>STOCKHOLMS LÄN</t>
        </is>
      </c>
      <c r="E493" t="inlineStr">
        <is>
          <t>NORRTÄLJE</t>
        </is>
      </c>
      <c r="G493" t="n">
        <v>3</v>
      </c>
      <c r="H493" t="n">
        <v>0</v>
      </c>
      <c r="I493" t="n">
        <v>0</v>
      </c>
      <c r="J493" t="n">
        <v>0</v>
      </c>
      <c r="K493" t="n">
        <v>0</v>
      </c>
      <c r="L493" t="n">
        <v>0</v>
      </c>
      <c r="M493" t="n">
        <v>0</v>
      </c>
      <c r="N493" t="n">
        <v>0</v>
      </c>
      <c r="O493" t="n">
        <v>0</v>
      </c>
      <c r="P493" t="n">
        <v>0</v>
      </c>
      <c r="Q493" t="n">
        <v>0</v>
      </c>
      <c r="R493" s="2" t="inlineStr"/>
    </row>
    <row r="494" ht="15" customHeight="1">
      <c r="A494" t="inlineStr">
        <is>
          <t>A 27808-2025</t>
        </is>
      </c>
      <c r="B494" s="1" t="n">
        <v>45817.31085648148</v>
      </c>
      <c r="C494" s="1" t="n">
        <v>45988</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27810-2025</t>
        </is>
      </c>
      <c r="B495" s="1" t="n">
        <v>45817.31708333334</v>
      </c>
      <c r="C495" s="1" t="n">
        <v>45988</v>
      </c>
      <c r="D495" t="inlineStr">
        <is>
          <t>STOCKHOLMS LÄN</t>
        </is>
      </c>
      <c r="E495" t="inlineStr">
        <is>
          <t>NORRTÄLJE</t>
        </is>
      </c>
      <c r="G495" t="n">
        <v>3.9</v>
      </c>
      <c r="H495" t="n">
        <v>0</v>
      </c>
      <c r="I495" t="n">
        <v>0</v>
      </c>
      <c r="J495" t="n">
        <v>0</v>
      </c>
      <c r="K495" t="n">
        <v>0</v>
      </c>
      <c r="L495" t="n">
        <v>0</v>
      </c>
      <c r="M495" t="n">
        <v>0</v>
      </c>
      <c r="N495" t="n">
        <v>0</v>
      </c>
      <c r="O495" t="n">
        <v>0</v>
      </c>
      <c r="P495" t="n">
        <v>0</v>
      </c>
      <c r="Q495" t="n">
        <v>0</v>
      </c>
      <c r="R495" s="2" t="inlineStr"/>
    </row>
    <row r="496" ht="15" customHeight="1">
      <c r="A496" t="inlineStr">
        <is>
          <t>A 27811-2025</t>
        </is>
      </c>
      <c r="B496" s="1" t="n">
        <v>45817.31986111111</v>
      </c>
      <c r="C496" s="1" t="n">
        <v>45988</v>
      </c>
      <c r="D496" t="inlineStr">
        <is>
          <t>STOCKHOLMS LÄN</t>
        </is>
      </c>
      <c r="E496" t="inlineStr">
        <is>
          <t>NORRTÄLJE</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27818-2025</t>
        </is>
      </c>
      <c r="B497" s="1" t="n">
        <v>45817.33503472222</v>
      </c>
      <c r="C497" s="1" t="n">
        <v>45988</v>
      </c>
      <c r="D497" t="inlineStr">
        <is>
          <t>STOCKHOLMS LÄN</t>
        </is>
      </c>
      <c r="E497" t="inlineStr">
        <is>
          <t>NORRTÄLJE</t>
        </is>
      </c>
      <c r="F497" t="inlineStr">
        <is>
          <t>Sveaskog</t>
        </is>
      </c>
      <c r="G497" t="n">
        <v>0.3</v>
      </c>
      <c r="H497" t="n">
        <v>0</v>
      </c>
      <c r="I497" t="n">
        <v>0</v>
      </c>
      <c r="J497" t="n">
        <v>0</v>
      </c>
      <c r="K497" t="n">
        <v>0</v>
      </c>
      <c r="L497" t="n">
        <v>0</v>
      </c>
      <c r="M497" t="n">
        <v>0</v>
      </c>
      <c r="N497" t="n">
        <v>0</v>
      </c>
      <c r="O497" t="n">
        <v>0</v>
      </c>
      <c r="P497" t="n">
        <v>0</v>
      </c>
      <c r="Q497" t="n">
        <v>0</v>
      </c>
      <c r="R497" s="2" t="inlineStr"/>
    </row>
    <row r="498" ht="15" customHeight="1">
      <c r="A498" t="inlineStr">
        <is>
          <t>A 2888-2022</t>
        </is>
      </c>
      <c r="B498" s="1" t="n">
        <v>44581</v>
      </c>
      <c r="C498" s="1" t="n">
        <v>45988</v>
      </c>
      <c r="D498" t="inlineStr">
        <is>
          <t>STOCKHOLMS LÄN</t>
        </is>
      </c>
      <c r="E498" t="inlineStr">
        <is>
          <t>NORRTÄLJE</t>
        </is>
      </c>
      <c r="G498" t="n">
        <v>2.4</v>
      </c>
      <c r="H498" t="n">
        <v>0</v>
      </c>
      <c r="I498" t="n">
        <v>0</v>
      </c>
      <c r="J498" t="n">
        <v>0</v>
      </c>
      <c r="K498" t="n">
        <v>0</v>
      </c>
      <c r="L498" t="n">
        <v>0</v>
      </c>
      <c r="M498" t="n">
        <v>0</v>
      </c>
      <c r="N498" t="n">
        <v>0</v>
      </c>
      <c r="O498" t="n">
        <v>0</v>
      </c>
      <c r="P498" t="n">
        <v>0</v>
      </c>
      <c r="Q498" t="n">
        <v>0</v>
      </c>
      <c r="R498" s="2" t="inlineStr"/>
    </row>
    <row r="499" ht="15" customHeight="1">
      <c r="A499" t="inlineStr">
        <is>
          <t>A 52686-2024</t>
        </is>
      </c>
      <c r="B499" s="1" t="n">
        <v>45610.39271990741</v>
      </c>
      <c r="C499" s="1" t="n">
        <v>45988</v>
      </c>
      <c r="D499" t="inlineStr">
        <is>
          <t>STOCKHOLMS LÄN</t>
        </is>
      </c>
      <c r="E499" t="inlineStr">
        <is>
          <t>NORRTÄLJE</t>
        </is>
      </c>
      <c r="G499" t="n">
        <v>5.7</v>
      </c>
      <c r="H499" t="n">
        <v>0</v>
      </c>
      <c r="I499" t="n">
        <v>0</v>
      </c>
      <c r="J499" t="n">
        <v>0</v>
      </c>
      <c r="K499" t="n">
        <v>0</v>
      </c>
      <c r="L499" t="n">
        <v>0</v>
      </c>
      <c r="M499" t="n">
        <v>0</v>
      </c>
      <c r="N499" t="n">
        <v>0</v>
      </c>
      <c r="O499" t="n">
        <v>0</v>
      </c>
      <c r="P499" t="n">
        <v>0</v>
      </c>
      <c r="Q499" t="n">
        <v>0</v>
      </c>
      <c r="R499" s="2" t="inlineStr"/>
    </row>
    <row r="500" ht="15" customHeight="1">
      <c r="A500" t="inlineStr">
        <is>
          <t>A 51532-2025</t>
        </is>
      </c>
      <c r="B500" s="1" t="n">
        <v>45950.68297453703</v>
      </c>
      <c r="C500" s="1" t="n">
        <v>45988</v>
      </c>
      <c r="D500" t="inlineStr">
        <is>
          <t>STOCKHOLMS LÄN</t>
        </is>
      </c>
      <c r="E500" t="inlineStr">
        <is>
          <t>NORRTÄLJE</t>
        </is>
      </c>
      <c r="F500" t="inlineStr">
        <is>
          <t>Naturvårdsverket</t>
        </is>
      </c>
      <c r="G500" t="n">
        <v>17.3</v>
      </c>
      <c r="H500" t="n">
        <v>0</v>
      </c>
      <c r="I500" t="n">
        <v>0</v>
      </c>
      <c r="J500" t="n">
        <v>0</v>
      </c>
      <c r="K500" t="n">
        <v>0</v>
      </c>
      <c r="L500" t="n">
        <v>0</v>
      </c>
      <c r="M500" t="n">
        <v>0</v>
      </c>
      <c r="N500" t="n">
        <v>0</v>
      </c>
      <c r="O500" t="n">
        <v>0</v>
      </c>
      <c r="P500" t="n">
        <v>0</v>
      </c>
      <c r="Q500" t="n">
        <v>0</v>
      </c>
      <c r="R500" s="2" t="inlineStr"/>
    </row>
    <row r="501" ht="15" customHeight="1">
      <c r="A501" t="inlineStr">
        <is>
          <t>A 20343-2024</t>
        </is>
      </c>
      <c r="B501" s="1" t="n">
        <v>45435.43466435185</v>
      </c>
      <c r="C501" s="1" t="n">
        <v>45988</v>
      </c>
      <c r="D501" t="inlineStr">
        <is>
          <t>STOCKHOLMS LÄN</t>
        </is>
      </c>
      <c r="E501" t="inlineStr">
        <is>
          <t>NORRTÄLJE</t>
        </is>
      </c>
      <c r="G501" t="n">
        <v>2.8</v>
      </c>
      <c r="H501" t="n">
        <v>0</v>
      </c>
      <c r="I501" t="n">
        <v>0</v>
      </c>
      <c r="J501" t="n">
        <v>0</v>
      </c>
      <c r="K501" t="n">
        <v>0</v>
      </c>
      <c r="L501" t="n">
        <v>0</v>
      </c>
      <c r="M501" t="n">
        <v>0</v>
      </c>
      <c r="N501" t="n">
        <v>0</v>
      </c>
      <c r="O501" t="n">
        <v>0</v>
      </c>
      <c r="P501" t="n">
        <v>0</v>
      </c>
      <c r="Q501" t="n">
        <v>0</v>
      </c>
      <c r="R501" s="2" t="inlineStr"/>
    </row>
    <row r="502" ht="15" customHeight="1">
      <c r="A502" t="inlineStr">
        <is>
          <t>A 20345-2024</t>
        </is>
      </c>
      <c r="B502" s="1" t="n">
        <v>45435.43820601852</v>
      </c>
      <c r="C502" s="1" t="n">
        <v>45988</v>
      </c>
      <c r="D502" t="inlineStr">
        <is>
          <t>STOCKHOLMS LÄN</t>
        </is>
      </c>
      <c r="E502" t="inlineStr">
        <is>
          <t>NORRTÄLJE</t>
        </is>
      </c>
      <c r="G502" t="n">
        <v>3.8</v>
      </c>
      <c r="H502" t="n">
        <v>0</v>
      </c>
      <c r="I502" t="n">
        <v>0</v>
      </c>
      <c r="J502" t="n">
        <v>0</v>
      </c>
      <c r="K502" t="n">
        <v>0</v>
      </c>
      <c r="L502" t="n">
        <v>0</v>
      </c>
      <c r="M502" t="n">
        <v>0</v>
      </c>
      <c r="N502" t="n">
        <v>0</v>
      </c>
      <c r="O502" t="n">
        <v>0</v>
      </c>
      <c r="P502" t="n">
        <v>0</v>
      </c>
      <c r="Q502" t="n">
        <v>0</v>
      </c>
      <c r="R502" s="2" t="inlineStr"/>
    </row>
    <row r="503" ht="15" customHeight="1">
      <c r="A503" t="inlineStr">
        <is>
          <t>A 9765-2024</t>
        </is>
      </c>
      <c r="B503" s="1" t="n">
        <v>45362.62811342593</v>
      </c>
      <c r="C503" s="1" t="n">
        <v>45988</v>
      </c>
      <c r="D503" t="inlineStr">
        <is>
          <t>STOCKHOLMS LÄN</t>
        </is>
      </c>
      <c r="E503" t="inlineStr">
        <is>
          <t>NORRTÄLJE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27801-2025</t>
        </is>
      </c>
      <c r="B504" s="1" t="n">
        <v>45817.25471064815</v>
      </c>
      <c r="C504" s="1" t="n">
        <v>45988</v>
      </c>
      <c r="D504" t="inlineStr">
        <is>
          <t>STOCKHOLMS LÄN</t>
        </is>
      </c>
      <c r="E504" t="inlineStr">
        <is>
          <t>NORRTÄLJE</t>
        </is>
      </c>
      <c r="G504" t="n">
        <v>2</v>
      </c>
      <c r="H504" t="n">
        <v>0</v>
      </c>
      <c r="I504" t="n">
        <v>0</v>
      </c>
      <c r="J504" t="n">
        <v>0</v>
      </c>
      <c r="K504" t="n">
        <v>0</v>
      </c>
      <c r="L504" t="n">
        <v>0</v>
      </c>
      <c r="M504" t="n">
        <v>0</v>
      </c>
      <c r="N504" t="n">
        <v>0</v>
      </c>
      <c r="O504" t="n">
        <v>0</v>
      </c>
      <c r="P504" t="n">
        <v>0</v>
      </c>
      <c r="Q504" t="n">
        <v>0</v>
      </c>
      <c r="R504" s="2" t="inlineStr"/>
    </row>
    <row r="505" ht="15" customHeight="1">
      <c r="A505" t="inlineStr">
        <is>
          <t>A 59875-2024</t>
        </is>
      </c>
      <c r="B505" s="1" t="n">
        <v>45640.58716435185</v>
      </c>
      <c r="C505" s="1" t="n">
        <v>45988</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27803-2025</t>
        </is>
      </c>
      <c r="B506" s="1" t="n">
        <v>45817.291875</v>
      </c>
      <c r="C506" s="1" t="n">
        <v>45988</v>
      </c>
      <c r="D506" t="inlineStr">
        <is>
          <t>STOCKHOLMS LÄN</t>
        </is>
      </c>
      <c r="E506" t="inlineStr">
        <is>
          <t>NORRTÄLJE</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27813-2025</t>
        </is>
      </c>
      <c r="B507" s="1" t="n">
        <v>45817.32538194444</v>
      </c>
      <c r="C507" s="1" t="n">
        <v>45988</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11-2024</t>
        </is>
      </c>
      <c r="B508" s="1" t="n">
        <v>45293</v>
      </c>
      <c r="C508" s="1" t="n">
        <v>45988</v>
      </c>
      <c r="D508" t="inlineStr">
        <is>
          <t>STOCKHOLMS LÄN</t>
        </is>
      </c>
      <c r="E508" t="inlineStr">
        <is>
          <t>NORRTÄLJE</t>
        </is>
      </c>
      <c r="F508" t="inlineStr">
        <is>
          <t>Sveaskog</t>
        </is>
      </c>
      <c r="G508" t="n">
        <v>3.2</v>
      </c>
      <c r="H508" t="n">
        <v>0</v>
      </c>
      <c r="I508" t="n">
        <v>0</v>
      </c>
      <c r="J508" t="n">
        <v>0</v>
      </c>
      <c r="K508" t="n">
        <v>0</v>
      </c>
      <c r="L508" t="n">
        <v>0</v>
      </c>
      <c r="M508" t="n">
        <v>0</v>
      </c>
      <c r="N508" t="n">
        <v>0</v>
      </c>
      <c r="O508" t="n">
        <v>0</v>
      </c>
      <c r="P508" t="n">
        <v>0</v>
      </c>
      <c r="Q508" t="n">
        <v>0</v>
      </c>
      <c r="R508" s="2" t="inlineStr"/>
    </row>
    <row r="509" ht="15" customHeight="1">
      <c r="A509" t="inlineStr">
        <is>
          <t>A 14559-2024</t>
        </is>
      </c>
      <c r="B509" s="1" t="n">
        <v>45394.72869212963</v>
      </c>
      <c r="C509" s="1" t="n">
        <v>45988</v>
      </c>
      <c r="D509" t="inlineStr">
        <is>
          <t>STOCKHOLMS LÄN</t>
        </is>
      </c>
      <c r="E509" t="inlineStr">
        <is>
          <t>NORRTÄLJE</t>
        </is>
      </c>
      <c r="G509" t="n">
        <v>4.2</v>
      </c>
      <c r="H509" t="n">
        <v>0</v>
      </c>
      <c r="I509" t="n">
        <v>0</v>
      </c>
      <c r="J509" t="n">
        <v>0</v>
      </c>
      <c r="K509" t="n">
        <v>0</v>
      </c>
      <c r="L509" t="n">
        <v>0</v>
      </c>
      <c r="M509" t="n">
        <v>0</v>
      </c>
      <c r="N509" t="n">
        <v>0</v>
      </c>
      <c r="O509" t="n">
        <v>0</v>
      </c>
      <c r="P509" t="n">
        <v>0</v>
      </c>
      <c r="Q509" t="n">
        <v>0</v>
      </c>
      <c r="R509" s="2" t="inlineStr"/>
    </row>
    <row r="510" ht="15" customHeight="1">
      <c r="A510" t="inlineStr">
        <is>
          <t>A 27821-2025</t>
        </is>
      </c>
      <c r="B510" s="1" t="n">
        <v>45817.34083333334</v>
      </c>
      <c r="C510" s="1" t="n">
        <v>45988</v>
      </c>
      <c r="D510" t="inlineStr">
        <is>
          <t>STOCKHOLMS LÄN</t>
        </is>
      </c>
      <c r="E510" t="inlineStr">
        <is>
          <t>NORRTÄLJE</t>
        </is>
      </c>
      <c r="G510" t="n">
        <v>3.2</v>
      </c>
      <c r="H510" t="n">
        <v>0</v>
      </c>
      <c r="I510" t="n">
        <v>0</v>
      </c>
      <c r="J510" t="n">
        <v>0</v>
      </c>
      <c r="K510" t="n">
        <v>0</v>
      </c>
      <c r="L510" t="n">
        <v>0</v>
      </c>
      <c r="M510" t="n">
        <v>0</v>
      </c>
      <c r="N510" t="n">
        <v>0</v>
      </c>
      <c r="O510" t="n">
        <v>0</v>
      </c>
      <c r="P510" t="n">
        <v>0</v>
      </c>
      <c r="Q510" t="n">
        <v>0</v>
      </c>
      <c r="R510" s="2" t="inlineStr"/>
    </row>
    <row r="511" ht="15" customHeight="1">
      <c r="A511" t="inlineStr">
        <is>
          <t>A 8433-2022</t>
        </is>
      </c>
      <c r="B511" s="1" t="n">
        <v>44611</v>
      </c>
      <c r="C511" s="1" t="n">
        <v>45988</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51789-2025</t>
        </is>
      </c>
      <c r="B512" s="1" t="n">
        <v>45951.68046296296</v>
      </c>
      <c r="C512" s="1" t="n">
        <v>45988</v>
      </c>
      <c r="D512" t="inlineStr">
        <is>
          <t>STOCKHOLMS LÄN</t>
        </is>
      </c>
      <c r="E512" t="inlineStr">
        <is>
          <t>NORRTÄLJE</t>
        </is>
      </c>
      <c r="F512" t="inlineStr">
        <is>
          <t>Naturvårdsverket</t>
        </is>
      </c>
      <c r="G512" t="n">
        <v>8.9</v>
      </c>
      <c r="H512" t="n">
        <v>0</v>
      </c>
      <c r="I512" t="n">
        <v>0</v>
      </c>
      <c r="J512" t="n">
        <v>0</v>
      </c>
      <c r="K512" t="n">
        <v>0</v>
      </c>
      <c r="L512" t="n">
        <v>0</v>
      </c>
      <c r="M512" t="n">
        <v>0</v>
      </c>
      <c r="N512" t="n">
        <v>0</v>
      </c>
      <c r="O512" t="n">
        <v>0</v>
      </c>
      <c r="P512" t="n">
        <v>0</v>
      </c>
      <c r="Q512" t="n">
        <v>0</v>
      </c>
      <c r="R512" s="2" t="inlineStr"/>
    </row>
    <row r="513" ht="15" customHeight="1">
      <c r="A513" t="inlineStr">
        <is>
          <t>A 25525-2022</t>
        </is>
      </c>
      <c r="B513" s="1" t="n">
        <v>44732</v>
      </c>
      <c r="C513" s="1" t="n">
        <v>45988</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12302-2025</t>
        </is>
      </c>
      <c r="B514" s="1" t="n">
        <v>45729.72851851852</v>
      </c>
      <c r="C514" s="1" t="n">
        <v>45988</v>
      </c>
      <c r="D514" t="inlineStr">
        <is>
          <t>STOCKHOLMS LÄN</t>
        </is>
      </c>
      <c r="E514" t="inlineStr">
        <is>
          <t>NORRTÄLJE</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15528-2025</t>
        </is>
      </c>
      <c r="B515" s="1" t="n">
        <v>45747.63471064815</v>
      </c>
      <c r="C515" s="1" t="n">
        <v>45988</v>
      </c>
      <c r="D515" t="inlineStr">
        <is>
          <t>STOCKHOLMS LÄN</t>
        </is>
      </c>
      <c r="E515" t="inlineStr">
        <is>
          <t>NORRTÄLJE</t>
        </is>
      </c>
      <c r="G515" t="n">
        <v>10</v>
      </c>
      <c r="H515" t="n">
        <v>0</v>
      </c>
      <c r="I515" t="n">
        <v>0</v>
      </c>
      <c r="J515" t="n">
        <v>0</v>
      </c>
      <c r="K515" t="n">
        <v>0</v>
      </c>
      <c r="L515" t="n">
        <v>0</v>
      </c>
      <c r="M515" t="n">
        <v>0</v>
      </c>
      <c r="N515" t="n">
        <v>0</v>
      </c>
      <c r="O515" t="n">
        <v>0</v>
      </c>
      <c r="P515" t="n">
        <v>0</v>
      </c>
      <c r="Q515" t="n">
        <v>0</v>
      </c>
      <c r="R515" s="2" t="inlineStr"/>
    </row>
    <row r="516" ht="15" customHeight="1">
      <c r="A516" t="inlineStr">
        <is>
          <t>A 11901-2024</t>
        </is>
      </c>
      <c r="B516" s="1" t="n">
        <v>45376.55638888889</v>
      </c>
      <c r="C516" s="1" t="n">
        <v>45988</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38889-2024</t>
        </is>
      </c>
      <c r="B517" s="1" t="n">
        <v>45547</v>
      </c>
      <c r="C517" s="1" t="n">
        <v>45988</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45451-2024</t>
        </is>
      </c>
      <c r="B518" s="1" t="n">
        <v>45576</v>
      </c>
      <c r="C518" s="1" t="n">
        <v>45988</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52061-2025</t>
        </is>
      </c>
      <c r="B519" s="1" t="n">
        <v>45952.63679398148</v>
      </c>
      <c r="C519" s="1" t="n">
        <v>45988</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52251-2025</t>
        </is>
      </c>
      <c r="B520" s="1" t="n">
        <v>45953.49185185185</v>
      </c>
      <c r="C520" s="1" t="n">
        <v>45988</v>
      </c>
      <c r="D520" t="inlineStr">
        <is>
          <t>STOCKHOLMS LÄN</t>
        </is>
      </c>
      <c r="E520" t="inlineStr">
        <is>
          <t>NORRTÄLJE</t>
        </is>
      </c>
      <c r="G520" t="n">
        <v>6.2</v>
      </c>
      <c r="H520" t="n">
        <v>0</v>
      </c>
      <c r="I520" t="n">
        <v>0</v>
      </c>
      <c r="J520" t="n">
        <v>0</v>
      </c>
      <c r="K520" t="n">
        <v>0</v>
      </c>
      <c r="L520" t="n">
        <v>0</v>
      </c>
      <c r="M520" t="n">
        <v>0</v>
      </c>
      <c r="N520" t="n">
        <v>0</v>
      </c>
      <c r="O520" t="n">
        <v>0</v>
      </c>
      <c r="P520" t="n">
        <v>0</v>
      </c>
      <c r="Q520" t="n">
        <v>0</v>
      </c>
      <c r="R520" s="2" t="inlineStr"/>
    </row>
    <row r="521" ht="15" customHeight="1">
      <c r="A521" t="inlineStr">
        <is>
          <t>A 24835-2025</t>
        </is>
      </c>
      <c r="B521" s="1" t="n">
        <v>45799</v>
      </c>
      <c r="C521" s="1" t="n">
        <v>45988</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52254-2025</t>
        </is>
      </c>
      <c r="B522" s="1" t="n">
        <v>45953.49519675926</v>
      </c>
      <c r="C522" s="1" t="n">
        <v>45988</v>
      </c>
      <c r="D522" t="inlineStr">
        <is>
          <t>STOCKHOLMS LÄN</t>
        </is>
      </c>
      <c r="E522" t="inlineStr">
        <is>
          <t>NORRTÄLJE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44075-2023</t>
        </is>
      </c>
      <c r="B523" s="1" t="n">
        <v>45188.41637731482</v>
      </c>
      <c r="C523" s="1" t="n">
        <v>45988</v>
      </c>
      <c r="D523" t="inlineStr">
        <is>
          <t>STOCKHOLMS LÄN</t>
        </is>
      </c>
      <c r="E523" t="inlineStr">
        <is>
          <t>NORRTÄLJE</t>
        </is>
      </c>
      <c r="F523" t="inlineStr">
        <is>
          <t>Holmen skog AB</t>
        </is>
      </c>
      <c r="G523" t="n">
        <v>2.4</v>
      </c>
      <c r="H523" t="n">
        <v>0</v>
      </c>
      <c r="I523" t="n">
        <v>0</v>
      </c>
      <c r="J523" t="n">
        <v>0</v>
      </c>
      <c r="K523" t="n">
        <v>0</v>
      </c>
      <c r="L523" t="n">
        <v>0</v>
      </c>
      <c r="M523" t="n">
        <v>0</v>
      </c>
      <c r="N523" t="n">
        <v>0</v>
      </c>
      <c r="O523" t="n">
        <v>0</v>
      </c>
      <c r="P523" t="n">
        <v>0</v>
      </c>
      <c r="Q523" t="n">
        <v>0</v>
      </c>
      <c r="R523" s="2" t="inlineStr"/>
    </row>
    <row r="524" ht="15" customHeight="1">
      <c r="A524" t="inlineStr">
        <is>
          <t>A 26644-2024</t>
        </is>
      </c>
      <c r="B524" s="1" t="n">
        <v>45469</v>
      </c>
      <c r="C524" s="1" t="n">
        <v>45988</v>
      </c>
      <c r="D524" t="inlineStr">
        <is>
          <t>STOCKHOLMS LÄN</t>
        </is>
      </c>
      <c r="E524" t="inlineStr">
        <is>
          <t>NORRTÄLJE</t>
        </is>
      </c>
      <c r="G524" t="n">
        <v>4.3</v>
      </c>
      <c r="H524" t="n">
        <v>0</v>
      </c>
      <c r="I524" t="n">
        <v>0</v>
      </c>
      <c r="J524" t="n">
        <v>0</v>
      </c>
      <c r="K524" t="n">
        <v>0</v>
      </c>
      <c r="L524" t="n">
        <v>0</v>
      </c>
      <c r="M524" t="n">
        <v>0</v>
      </c>
      <c r="N524" t="n">
        <v>0</v>
      </c>
      <c r="O524" t="n">
        <v>0</v>
      </c>
      <c r="P524" t="n">
        <v>0</v>
      </c>
      <c r="Q524" t="n">
        <v>0</v>
      </c>
      <c r="R524" s="2" t="inlineStr"/>
    </row>
    <row r="525" ht="15" customHeight="1">
      <c r="A525" t="inlineStr">
        <is>
          <t>A 43169-2025</t>
        </is>
      </c>
      <c r="B525" s="1" t="n">
        <v>45910</v>
      </c>
      <c r="C525" s="1" t="n">
        <v>45988</v>
      </c>
      <c r="D525" t="inlineStr">
        <is>
          <t>STOCKHOLMS LÄN</t>
        </is>
      </c>
      <c r="E525" t="inlineStr">
        <is>
          <t>NORRTÄLJE</t>
        </is>
      </c>
      <c r="G525" t="n">
        <v>6.9</v>
      </c>
      <c r="H525" t="n">
        <v>0</v>
      </c>
      <c r="I525" t="n">
        <v>0</v>
      </c>
      <c r="J525" t="n">
        <v>0</v>
      </c>
      <c r="K525" t="n">
        <v>0</v>
      </c>
      <c r="L525" t="n">
        <v>0</v>
      </c>
      <c r="M525" t="n">
        <v>0</v>
      </c>
      <c r="N525" t="n">
        <v>0</v>
      </c>
      <c r="O525" t="n">
        <v>0</v>
      </c>
      <c r="P525" t="n">
        <v>0</v>
      </c>
      <c r="Q525" t="n">
        <v>0</v>
      </c>
      <c r="R525" s="2" t="inlineStr"/>
    </row>
    <row r="526" ht="15" customHeight="1">
      <c r="A526" t="inlineStr">
        <is>
          <t>A 51960-2025</t>
        </is>
      </c>
      <c r="B526" s="1" t="n">
        <v>45952.54755787037</v>
      </c>
      <c r="C526" s="1" t="n">
        <v>45988</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2982-2023</t>
        </is>
      </c>
      <c r="B527" s="1" t="n">
        <v>44945.67409722223</v>
      </c>
      <c r="C527" s="1" t="n">
        <v>45988</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12535-2025</t>
        </is>
      </c>
      <c r="B528" s="1" t="n">
        <v>45730.69502314815</v>
      </c>
      <c r="C528" s="1" t="n">
        <v>45988</v>
      </c>
      <c r="D528" t="inlineStr">
        <is>
          <t>STOCKHOLMS LÄN</t>
        </is>
      </c>
      <c r="E528" t="inlineStr">
        <is>
          <t>NORRTÄLJE</t>
        </is>
      </c>
      <c r="G528" t="n">
        <v>7.1</v>
      </c>
      <c r="H528" t="n">
        <v>0</v>
      </c>
      <c r="I528" t="n">
        <v>0</v>
      </c>
      <c r="J528" t="n">
        <v>0</v>
      </c>
      <c r="K528" t="n">
        <v>0</v>
      </c>
      <c r="L528" t="n">
        <v>0</v>
      </c>
      <c r="M528" t="n">
        <v>0</v>
      </c>
      <c r="N528" t="n">
        <v>0</v>
      </c>
      <c r="O528" t="n">
        <v>0</v>
      </c>
      <c r="P528" t="n">
        <v>0</v>
      </c>
      <c r="Q528" t="n">
        <v>0</v>
      </c>
      <c r="R528" s="2" t="inlineStr"/>
    </row>
    <row r="529" ht="15" customHeight="1">
      <c r="A529" t="inlineStr">
        <is>
          <t>A 51941-2025</t>
        </is>
      </c>
      <c r="B529" s="1" t="n">
        <v>45952.52261574074</v>
      </c>
      <c r="C529" s="1" t="n">
        <v>45988</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51945-2025</t>
        </is>
      </c>
      <c r="B530" s="1" t="n">
        <v>45952.52679398148</v>
      </c>
      <c r="C530" s="1" t="n">
        <v>45988</v>
      </c>
      <c r="D530" t="inlineStr">
        <is>
          <t>STOCKHOLMS LÄN</t>
        </is>
      </c>
      <c r="E530" t="inlineStr">
        <is>
          <t>NORRTÄLJE</t>
        </is>
      </c>
      <c r="G530" t="n">
        <v>7</v>
      </c>
      <c r="H530" t="n">
        <v>0</v>
      </c>
      <c r="I530" t="n">
        <v>0</v>
      </c>
      <c r="J530" t="n">
        <v>0</v>
      </c>
      <c r="K530" t="n">
        <v>0</v>
      </c>
      <c r="L530" t="n">
        <v>0</v>
      </c>
      <c r="M530" t="n">
        <v>0</v>
      </c>
      <c r="N530" t="n">
        <v>0</v>
      </c>
      <c r="O530" t="n">
        <v>0</v>
      </c>
      <c r="P530" t="n">
        <v>0</v>
      </c>
      <c r="Q530" t="n">
        <v>0</v>
      </c>
      <c r="R530" s="2" t="inlineStr"/>
    </row>
    <row r="531" ht="15" customHeight="1">
      <c r="A531" t="inlineStr">
        <is>
          <t>A 37136-2023</t>
        </is>
      </c>
      <c r="B531" s="1" t="n">
        <v>45155</v>
      </c>
      <c r="C531" s="1" t="n">
        <v>45988</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29250-2025</t>
        </is>
      </c>
      <c r="B532" s="1" t="n">
        <v>45824.37275462963</v>
      </c>
      <c r="C532" s="1" t="n">
        <v>45988</v>
      </c>
      <c r="D532" t="inlineStr">
        <is>
          <t>STOCKHOLMS LÄN</t>
        </is>
      </c>
      <c r="E532" t="inlineStr">
        <is>
          <t>NORRTÄLJE</t>
        </is>
      </c>
      <c r="F532" t="inlineStr">
        <is>
          <t>Sveaskog</t>
        </is>
      </c>
      <c r="G532" t="n">
        <v>6.4</v>
      </c>
      <c r="H532" t="n">
        <v>0</v>
      </c>
      <c r="I532" t="n">
        <v>0</v>
      </c>
      <c r="J532" t="n">
        <v>0</v>
      </c>
      <c r="K532" t="n">
        <v>0</v>
      </c>
      <c r="L532" t="n">
        <v>0</v>
      </c>
      <c r="M532" t="n">
        <v>0</v>
      </c>
      <c r="N532" t="n">
        <v>0</v>
      </c>
      <c r="O532" t="n">
        <v>0</v>
      </c>
      <c r="P532" t="n">
        <v>0</v>
      </c>
      <c r="Q532" t="n">
        <v>0</v>
      </c>
      <c r="R532" s="2" t="inlineStr"/>
    </row>
    <row r="533" ht="15" customHeight="1">
      <c r="A533" t="inlineStr">
        <is>
          <t>A 18787-2022</t>
        </is>
      </c>
      <c r="B533" s="1" t="n">
        <v>44687</v>
      </c>
      <c r="C533" s="1" t="n">
        <v>45988</v>
      </c>
      <c r="D533" t="inlineStr">
        <is>
          <t>STOCKHOLMS LÄN</t>
        </is>
      </c>
      <c r="E533" t="inlineStr">
        <is>
          <t>NORRTÄLJE</t>
        </is>
      </c>
      <c r="G533" t="n">
        <v>2</v>
      </c>
      <c r="H533" t="n">
        <v>0</v>
      </c>
      <c r="I533" t="n">
        <v>0</v>
      </c>
      <c r="J533" t="n">
        <v>0</v>
      </c>
      <c r="K533" t="n">
        <v>0</v>
      </c>
      <c r="L533" t="n">
        <v>0</v>
      </c>
      <c r="M533" t="n">
        <v>0</v>
      </c>
      <c r="N533" t="n">
        <v>0</v>
      </c>
      <c r="O533" t="n">
        <v>0</v>
      </c>
      <c r="P533" t="n">
        <v>0</v>
      </c>
      <c r="Q533" t="n">
        <v>0</v>
      </c>
      <c r="R533" s="2" t="inlineStr"/>
    </row>
    <row r="534" ht="15" customHeight="1">
      <c r="A534" t="inlineStr">
        <is>
          <t>A 13718-2022</t>
        </is>
      </c>
      <c r="B534" s="1" t="n">
        <v>44649</v>
      </c>
      <c r="C534" s="1" t="n">
        <v>45988</v>
      </c>
      <c r="D534" t="inlineStr">
        <is>
          <t>STOCKHOLMS LÄN</t>
        </is>
      </c>
      <c r="E534" t="inlineStr">
        <is>
          <t>NORRTÄLJE</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25621-2022</t>
        </is>
      </c>
      <c r="B535" s="1" t="n">
        <v>44732</v>
      </c>
      <c r="C535" s="1" t="n">
        <v>45988</v>
      </c>
      <c r="D535" t="inlineStr">
        <is>
          <t>STOCKHOLMS LÄN</t>
        </is>
      </c>
      <c r="E535" t="inlineStr">
        <is>
          <t>NORRTÄLJE</t>
        </is>
      </c>
      <c r="G535" t="n">
        <v>3.1</v>
      </c>
      <c r="H535" t="n">
        <v>0</v>
      </c>
      <c r="I535" t="n">
        <v>0</v>
      </c>
      <c r="J535" t="n">
        <v>0</v>
      </c>
      <c r="K535" t="n">
        <v>0</v>
      </c>
      <c r="L535" t="n">
        <v>0</v>
      </c>
      <c r="M535" t="n">
        <v>0</v>
      </c>
      <c r="N535" t="n">
        <v>0</v>
      </c>
      <c r="O535" t="n">
        <v>0</v>
      </c>
      <c r="P535" t="n">
        <v>0</v>
      </c>
      <c r="Q535" t="n">
        <v>0</v>
      </c>
      <c r="R535" s="2" t="inlineStr"/>
    </row>
    <row r="536" ht="15" customHeight="1">
      <c r="A536" t="inlineStr">
        <is>
          <t>A 30719-2025</t>
        </is>
      </c>
      <c r="B536" s="1" t="n">
        <v>45831</v>
      </c>
      <c r="C536" s="1" t="n">
        <v>45988</v>
      </c>
      <c r="D536" t="inlineStr">
        <is>
          <t>STOCKHOLMS LÄN</t>
        </is>
      </c>
      <c r="E536" t="inlineStr">
        <is>
          <t>NORRTÄLJE</t>
        </is>
      </c>
      <c r="G536" t="n">
        <v>0.5</v>
      </c>
      <c r="H536" t="n">
        <v>0</v>
      </c>
      <c r="I536" t="n">
        <v>0</v>
      </c>
      <c r="J536" t="n">
        <v>0</v>
      </c>
      <c r="K536" t="n">
        <v>0</v>
      </c>
      <c r="L536" t="n">
        <v>0</v>
      </c>
      <c r="M536" t="n">
        <v>0</v>
      </c>
      <c r="N536" t="n">
        <v>0</v>
      </c>
      <c r="O536" t="n">
        <v>0</v>
      </c>
      <c r="P536" t="n">
        <v>0</v>
      </c>
      <c r="Q536" t="n">
        <v>0</v>
      </c>
      <c r="R536" s="2" t="inlineStr"/>
    </row>
    <row r="537" ht="15" customHeight="1">
      <c r="A537" t="inlineStr">
        <is>
          <t>A 36269-2022</t>
        </is>
      </c>
      <c r="B537" s="1" t="n">
        <v>44803</v>
      </c>
      <c r="C537" s="1" t="n">
        <v>45988</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36308-2022</t>
        </is>
      </c>
      <c r="B538" s="1" t="n">
        <v>44803</v>
      </c>
      <c r="C538" s="1" t="n">
        <v>45988</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43269-2025</t>
        </is>
      </c>
      <c r="B539" s="1" t="n">
        <v>45910.5819212963</v>
      </c>
      <c r="C539" s="1" t="n">
        <v>45988</v>
      </c>
      <c r="D539" t="inlineStr">
        <is>
          <t>STOCKHOLMS LÄN</t>
        </is>
      </c>
      <c r="E539" t="inlineStr">
        <is>
          <t>NORRTÄLJE</t>
        </is>
      </c>
      <c r="G539" t="n">
        <v>3.7</v>
      </c>
      <c r="H539" t="n">
        <v>0</v>
      </c>
      <c r="I539" t="n">
        <v>0</v>
      </c>
      <c r="J539" t="n">
        <v>0</v>
      </c>
      <c r="K539" t="n">
        <v>0</v>
      </c>
      <c r="L539" t="n">
        <v>0</v>
      </c>
      <c r="M539" t="n">
        <v>0</v>
      </c>
      <c r="N539" t="n">
        <v>0</v>
      </c>
      <c r="O539" t="n">
        <v>0</v>
      </c>
      <c r="P539" t="n">
        <v>0</v>
      </c>
      <c r="Q539" t="n">
        <v>0</v>
      </c>
      <c r="R539" s="2" t="inlineStr"/>
    </row>
    <row r="540" ht="15" customHeight="1">
      <c r="A540" t="inlineStr">
        <is>
          <t>A 52703-2025</t>
        </is>
      </c>
      <c r="B540" s="1" t="n">
        <v>45956.88643518519</v>
      </c>
      <c r="C540" s="1" t="n">
        <v>45988</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52704-2025</t>
        </is>
      </c>
      <c r="B541" s="1" t="n">
        <v>45956.89097222222</v>
      </c>
      <c r="C541" s="1" t="n">
        <v>45988</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52773-2025</t>
        </is>
      </c>
      <c r="B542" s="1" t="n">
        <v>45957.41457175926</v>
      </c>
      <c r="C542" s="1" t="n">
        <v>45988</v>
      </c>
      <c r="D542" t="inlineStr">
        <is>
          <t>STOCKHOLMS LÄN</t>
        </is>
      </c>
      <c r="E542" t="inlineStr">
        <is>
          <t>NORRTÄLJE</t>
        </is>
      </c>
      <c r="F542" t="inlineStr">
        <is>
          <t>Sveaskog</t>
        </is>
      </c>
      <c r="G542" t="n">
        <v>10.5</v>
      </c>
      <c r="H542" t="n">
        <v>0</v>
      </c>
      <c r="I542" t="n">
        <v>0</v>
      </c>
      <c r="J542" t="n">
        <v>0</v>
      </c>
      <c r="K542" t="n">
        <v>0</v>
      </c>
      <c r="L542" t="n">
        <v>0</v>
      </c>
      <c r="M542" t="n">
        <v>0</v>
      </c>
      <c r="N542" t="n">
        <v>0</v>
      </c>
      <c r="O542" t="n">
        <v>0</v>
      </c>
      <c r="P542" t="n">
        <v>0</v>
      </c>
      <c r="Q542" t="n">
        <v>0</v>
      </c>
      <c r="R542" s="2" t="inlineStr"/>
    </row>
    <row r="543" ht="15" customHeight="1">
      <c r="A543" t="inlineStr">
        <is>
          <t>A 6919-2025</t>
        </is>
      </c>
      <c r="B543" s="1" t="n">
        <v>45701.44372685185</v>
      </c>
      <c r="C543" s="1" t="n">
        <v>45988</v>
      </c>
      <c r="D543" t="inlineStr">
        <is>
          <t>STOCKHOLMS LÄN</t>
        </is>
      </c>
      <c r="E543" t="inlineStr">
        <is>
          <t>NORRTÄLJE</t>
        </is>
      </c>
      <c r="G543" t="n">
        <v>3.5</v>
      </c>
      <c r="H543" t="n">
        <v>0</v>
      </c>
      <c r="I543" t="n">
        <v>0</v>
      </c>
      <c r="J543" t="n">
        <v>0</v>
      </c>
      <c r="K543" t="n">
        <v>0</v>
      </c>
      <c r="L543" t="n">
        <v>0</v>
      </c>
      <c r="M543" t="n">
        <v>0</v>
      </c>
      <c r="N543" t="n">
        <v>0</v>
      </c>
      <c r="O543" t="n">
        <v>0</v>
      </c>
      <c r="P543" t="n">
        <v>0</v>
      </c>
      <c r="Q543" t="n">
        <v>0</v>
      </c>
      <c r="R543" s="2" t="inlineStr"/>
    </row>
    <row r="544" ht="15" customHeight="1">
      <c r="A544" t="inlineStr">
        <is>
          <t>A 32100-2022</t>
        </is>
      </c>
      <c r="B544" s="1" t="n">
        <v>44778</v>
      </c>
      <c r="C544" s="1" t="n">
        <v>45988</v>
      </c>
      <c r="D544" t="inlineStr">
        <is>
          <t>STOCKHOLMS LÄN</t>
        </is>
      </c>
      <c r="E544" t="inlineStr">
        <is>
          <t>NORRTÄLJE</t>
        </is>
      </c>
      <c r="G544" t="n">
        <v>3.3</v>
      </c>
      <c r="H544" t="n">
        <v>0</v>
      </c>
      <c r="I544" t="n">
        <v>0</v>
      </c>
      <c r="J544" t="n">
        <v>0</v>
      </c>
      <c r="K544" t="n">
        <v>0</v>
      </c>
      <c r="L544" t="n">
        <v>0</v>
      </c>
      <c r="M544" t="n">
        <v>0</v>
      </c>
      <c r="N544" t="n">
        <v>0</v>
      </c>
      <c r="O544" t="n">
        <v>0</v>
      </c>
      <c r="P544" t="n">
        <v>0</v>
      </c>
      <c r="Q544" t="n">
        <v>0</v>
      </c>
      <c r="R544" s="2" t="inlineStr"/>
    </row>
    <row r="545" ht="15" customHeight="1">
      <c r="A545" t="inlineStr">
        <is>
          <t>A 11332-2025</t>
        </is>
      </c>
      <c r="B545" s="1" t="n">
        <v>45726.48152777777</v>
      </c>
      <c r="C545" s="1" t="n">
        <v>45988</v>
      </c>
      <c r="D545" t="inlineStr">
        <is>
          <t>STOCKHOLMS LÄN</t>
        </is>
      </c>
      <c r="E545" t="inlineStr">
        <is>
          <t>NORRTÄLJE</t>
        </is>
      </c>
      <c r="G545" t="n">
        <v>4.6</v>
      </c>
      <c r="H545" t="n">
        <v>0</v>
      </c>
      <c r="I545" t="n">
        <v>0</v>
      </c>
      <c r="J545" t="n">
        <v>0</v>
      </c>
      <c r="K545" t="n">
        <v>0</v>
      </c>
      <c r="L545" t="n">
        <v>0</v>
      </c>
      <c r="M545" t="n">
        <v>0</v>
      </c>
      <c r="N545" t="n">
        <v>0</v>
      </c>
      <c r="O545" t="n">
        <v>0</v>
      </c>
      <c r="P545" t="n">
        <v>0</v>
      </c>
      <c r="Q545" t="n">
        <v>0</v>
      </c>
      <c r="R545" s="2" t="inlineStr"/>
    </row>
    <row r="546" ht="15" customHeight="1">
      <c r="A546" t="inlineStr">
        <is>
          <t>A 37444-2021</t>
        </is>
      </c>
      <c r="B546" s="1" t="n">
        <v>44398</v>
      </c>
      <c r="C546" s="1" t="n">
        <v>45988</v>
      </c>
      <c r="D546" t="inlineStr">
        <is>
          <t>STOCKHOLMS LÄN</t>
        </is>
      </c>
      <c r="E546" t="inlineStr">
        <is>
          <t>NORRTÄLJE</t>
        </is>
      </c>
      <c r="F546" t="inlineStr">
        <is>
          <t>Holmen skog AB</t>
        </is>
      </c>
      <c r="G546" t="n">
        <v>3.2</v>
      </c>
      <c r="H546" t="n">
        <v>0</v>
      </c>
      <c r="I546" t="n">
        <v>0</v>
      </c>
      <c r="J546" t="n">
        <v>0</v>
      </c>
      <c r="K546" t="n">
        <v>0</v>
      </c>
      <c r="L546" t="n">
        <v>0</v>
      </c>
      <c r="M546" t="n">
        <v>0</v>
      </c>
      <c r="N546" t="n">
        <v>0</v>
      </c>
      <c r="O546" t="n">
        <v>0</v>
      </c>
      <c r="P546" t="n">
        <v>0</v>
      </c>
      <c r="Q546" t="n">
        <v>0</v>
      </c>
      <c r="R546" s="2" t="inlineStr"/>
    </row>
    <row r="547" ht="15" customHeight="1">
      <c r="A547" t="inlineStr">
        <is>
          <t>A 30886-2022</t>
        </is>
      </c>
      <c r="B547" s="1" t="n">
        <v>44767.60601851852</v>
      </c>
      <c r="C547" s="1" t="n">
        <v>45988</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52553-2025</t>
        </is>
      </c>
      <c r="B548" s="1" t="n">
        <v>45954.5624537037</v>
      </c>
      <c r="C548" s="1" t="n">
        <v>45988</v>
      </c>
      <c r="D548" t="inlineStr">
        <is>
          <t>STOCKHOLMS LÄN</t>
        </is>
      </c>
      <c r="E548" t="inlineStr">
        <is>
          <t>NORRTÄLJE</t>
        </is>
      </c>
      <c r="G548" t="n">
        <v>4.4</v>
      </c>
      <c r="H548" t="n">
        <v>0</v>
      </c>
      <c r="I548" t="n">
        <v>0</v>
      </c>
      <c r="J548" t="n">
        <v>0</v>
      </c>
      <c r="K548" t="n">
        <v>0</v>
      </c>
      <c r="L548" t="n">
        <v>0</v>
      </c>
      <c r="M548" t="n">
        <v>0</v>
      </c>
      <c r="N548" t="n">
        <v>0</v>
      </c>
      <c r="O548" t="n">
        <v>0</v>
      </c>
      <c r="P548" t="n">
        <v>0</v>
      </c>
      <c r="Q548" t="n">
        <v>0</v>
      </c>
      <c r="R548" s="2" t="inlineStr"/>
    </row>
    <row r="549" ht="15" customHeight="1">
      <c r="A549" t="inlineStr">
        <is>
          <t>A 52526-2025</t>
        </is>
      </c>
      <c r="B549" s="1" t="n">
        <v>45954.53061342592</v>
      </c>
      <c r="C549" s="1" t="n">
        <v>45988</v>
      </c>
      <c r="D549" t="inlineStr">
        <is>
          <t>STOCKHOLMS LÄN</t>
        </is>
      </c>
      <c r="E549" t="inlineStr">
        <is>
          <t>NORRTÄLJE</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52734-2025</t>
        </is>
      </c>
      <c r="B550" s="1" t="n">
        <v>45957.3710300926</v>
      </c>
      <c r="C550" s="1" t="n">
        <v>45988</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9654-2022</t>
        </is>
      </c>
      <c r="B551" s="1" t="n">
        <v>44617</v>
      </c>
      <c r="C551" s="1" t="n">
        <v>45988</v>
      </c>
      <c r="D551" t="inlineStr">
        <is>
          <t>STOCKHOLMS LÄN</t>
        </is>
      </c>
      <c r="E551" t="inlineStr">
        <is>
          <t>NORRTÄLJE</t>
        </is>
      </c>
      <c r="G551" t="n">
        <v>6.4</v>
      </c>
      <c r="H551" t="n">
        <v>0</v>
      </c>
      <c r="I551" t="n">
        <v>0</v>
      </c>
      <c r="J551" t="n">
        <v>0</v>
      </c>
      <c r="K551" t="n">
        <v>0</v>
      </c>
      <c r="L551" t="n">
        <v>0</v>
      </c>
      <c r="M551" t="n">
        <v>0</v>
      </c>
      <c r="N551" t="n">
        <v>0</v>
      </c>
      <c r="O551" t="n">
        <v>0</v>
      </c>
      <c r="P551" t="n">
        <v>0</v>
      </c>
      <c r="Q551" t="n">
        <v>0</v>
      </c>
      <c r="R551" s="2" t="inlineStr"/>
    </row>
    <row r="552" ht="15" customHeight="1">
      <c r="A552" t="inlineStr">
        <is>
          <t>A 52729-2025</t>
        </is>
      </c>
      <c r="B552" s="1" t="n">
        <v>45957.3636574074</v>
      </c>
      <c r="C552" s="1" t="n">
        <v>45988</v>
      </c>
      <c r="D552" t="inlineStr">
        <is>
          <t>STOCKHOLMS LÄN</t>
        </is>
      </c>
      <c r="E552" t="inlineStr">
        <is>
          <t>NORRTÄLJE</t>
        </is>
      </c>
      <c r="F552" t="inlineStr">
        <is>
          <t>Sveaskog</t>
        </is>
      </c>
      <c r="G552" t="n">
        <v>2</v>
      </c>
      <c r="H552" t="n">
        <v>0</v>
      </c>
      <c r="I552" t="n">
        <v>0</v>
      </c>
      <c r="J552" t="n">
        <v>0</v>
      </c>
      <c r="K552" t="n">
        <v>0</v>
      </c>
      <c r="L552" t="n">
        <v>0</v>
      </c>
      <c r="M552" t="n">
        <v>0</v>
      </c>
      <c r="N552" t="n">
        <v>0</v>
      </c>
      <c r="O552" t="n">
        <v>0</v>
      </c>
      <c r="P552" t="n">
        <v>0</v>
      </c>
      <c r="Q552" t="n">
        <v>0</v>
      </c>
      <c r="R552" s="2" t="inlineStr"/>
    </row>
    <row r="553" ht="15" customHeight="1">
      <c r="A553" t="inlineStr">
        <is>
          <t>A 53000-2025</t>
        </is>
      </c>
      <c r="B553" s="1" t="n">
        <v>45957.74357638889</v>
      </c>
      <c r="C553" s="1" t="n">
        <v>45988</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1453-2025</t>
        </is>
      </c>
      <c r="B554" s="1" t="n">
        <v>45670.3079050926</v>
      </c>
      <c r="C554" s="1" t="n">
        <v>45988</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5804-2025</t>
        </is>
      </c>
      <c r="B555" s="1" t="n">
        <v>45694.68207175926</v>
      </c>
      <c r="C555" s="1" t="n">
        <v>45988</v>
      </c>
      <c r="D555" t="inlineStr">
        <is>
          <t>STOCKHOLMS LÄN</t>
        </is>
      </c>
      <c r="E555" t="inlineStr">
        <is>
          <t>NORRTÄLJE</t>
        </is>
      </c>
      <c r="F555" t="inlineStr">
        <is>
          <t>Holmen skog AB</t>
        </is>
      </c>
      <c r="G555" t="n">
        <v>2.6</v>
      </c>
      <c r="H555" t="n">
        <v>0</v>
      </c>
      <c r="I555" t="n">
        <v>0</v>
      </c>
      <c r="J555" t="n">
        <v>0</v>
      </c>
      <c r="K555" t="n">
        <v>0</v>
      </c>
      <c r="L555" t="n">
        <v>0</v>
      </c>
      <c r="M555" t="n">
        <v>0</v>
      </c>
      <c r="N555" t="n">
        <v>0</v>
      </c>
      <c r="O555" t="n">
        <v>0</v>
      </c>
      <c r="P555" t="n">
        <v>0</v>
      </c>
      <c r="Q555" t="n">
        <v>0</v>
      </c>
      <c r="R555" s="2" t="inlineStr"/>
    </row>
    <row r="556" ht="15" customHeight="1">
      <c r="A556" t="inlineStr">
        <is>
          <t>A 50907-2022</t>
        </is>
      </c>
      <c r="B556" s="1" t="n">
        <v>44867.62090277778</v>
      </c>
      <c r="C556" s="1" t="n">
        <v>45988</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29003-2023</t>
        </is>
      </c>
      <c r="B557" s="1" t="n">
        <v>45104</v>
      </c>
      <c r="C557" s="1" t="n">
        <v>45988</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43916-2025</t>
        </is>
      </c>
      <c r="B558" s="1" t="n">
        <v>45914.78884259259</v>
      </c>
      <c r="C558" s="1" t="n">
        <v>45988</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33295-2023</t>
        </is>
      </c>
      <c r="B559" s="1" t="n">
        <v>45127.69371527778</v>
      </c>
      <c r="C559" s="1" t="n">
        <v>45988</v>
      </c>
      <c r="D559" t="inlineStr">
        <is>
          <t>STOCKHOLMS LÄN</t>
        </is>
      </c>
      <c r="E559" t="inlineStr">
        <is>
          <t>NORRTÄLJE</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14127-2025</t>
        </is>
      </c>
      <c r="B560" s="1" t="n">
        <v>45740.47055555556</v>
      </c>
      <c r="C560" s="1" t="n">
        <v>45988</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16980-2023</t>
        </is>
      </c>
      <c r="B561" s="1" t="n">
        <v>45033</v>
      </c>
      <c r="C561" s="1" t="n">
        <v>45988</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32595-2023</t>
        </is>
      </c>
      <c r="B562" s="1" t="n">
        <v>45121</v>
      </c>
      <c r="C562" s="1" t="n">
        <v>45988</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30639-2025</t>
        </is>
      </c>
      <c r="B563" s="1" t="n">
        <v>45831.4844212963</v>
      </c>
      <c r="C563" s="1" t="n">
        <v>45988</v>
      </c>
      <c r="D563" t="inlineStr">
        <is>
          <t>STOCKHOLMS LÄN</t>
        </is>
      </c>
      <c r="E563" t="inlineStr">
        <is>
          <t>NORRTÄLJE</t>
        </is>
      </c>
      <c r="G563" t="n">
        <v>2</v>
      </c>
      <c r="H563" t="n">
        <v>0</v>
      </c>
      <c r="I563" t="n">
        <v>0</v>
      </c>
      <c r="J563" t="n">
        <v>0</v>
      </c>
      <c r="K563" t="n">
        <v>0</v>
      </c>
      <c r="L563" t="n">
        <v>0</v>
      </c>
      <c r="M563" t="n">
        <v>0</v>
      </c>
      <c r="N563" t="n">
        <v>0</v>
      </c>
      <c r="O563" t="n">
        <v>0</v>
      </c>
      <c r="P563" t="n">
        <v>0</v>
      </c>
      <c r="Q563" t="n">
        <v>0</v>
      </c>
      <c r="R563" s="2" t="inlineStr"/>
    </row>
    <row r="564" ht="15" customHeight="1">
      <c r="A564" t="inlineStr">
        <is>
          <t>A 30668-2025</t>
        </is>
      </c>
      <c r="B564" s="1" t="n">
        <v>45831.51659722222</v>
      </c>
      <c r="C564" s="1" t="n">
        <v>45988</v>
      </c>
      <c r="D564" t="inlineStr">
        <is>
          <t>STOCKHOLMS LÄN</t>
        </is>
      </c>
      <c r="E564" t="inlineStr">
        <is>
          <t>NORRTÄLJE</t>
        </is>
      </c>
      <c r="G564" t="n">
        <v>4.9</v>
      </c>
      <c r="H564" t="n">
        <v>0</v>
      </c>
      <c r="I564" t="n">
        <v>0</v>
      </c>
      <c r="J564" t="n">
        <v>0</v>
      </c>
      <c r="K564" t="n">
        <v>0</v>
      </c>
      <c r="L564" t="n">
        <v>0</v>
      </c>
      <c r="M564" t="n">
        <v>0</v>
      </c>
      <c r="N564" t="n">
        <v>0</v>
      </c>
      <c r="O564" t="n">
        <v>0</v>
      </c>
      <c r="P564" t="n">
        <v>0</v>
      </c>
      <c r="Q564" t="n">
        <v>0</v>
      </c>
      <c r="R564" s="2" t="inlineStr"/>
    </row>
    <row r="565" ht="15" customHeight="1">
      <c r="A565" t="inlineStr">
        <is>
          <t>A 37550-2022</t>
        </is>
      </c>
      <c r="B565" s="1" t="n">
        <v>44809</v>
      </c>
      <c r="C565" s="1" t="n">
        <v>45988</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52529-2025</t>
        </is>
      </c>
      <c r="B566" s="1" t="n">
        <v>45954.53229166667</v>
      </c>
      <c r="C566" s="1" t="n">
        <v>45988</v>
      </c>
      <c r="D566" t="inlineStr">
        <is>
          <t>STOCKHOLMS LÄN</t>
        </is>
      </c>
      <c r="E566" t="inlineStr">
        <is>
          <t>NORRTÄLJE</t>
        </is>
      </c>
      <c r="F566" t="inlineStr">
        <is>
          <t>Sveaskog</t>
        </is>
      </c>
      <c r="G566" t="n">
        <v>7.8</v>
      </c>
      <c r="H566" t="n">
        <v>0</v>
      </c>
      <c r="I566" t="n">
        <v>0</v>
      </c>
      <c r="J566" t="n">
        <v>0</v>
      </c>
      <c r="K566" t="n">
        <v>0</v>
      </c>
      <c r="L566" t="n">
        <v>0</v>
      </c>
      <c r="M566" t="n">
        <v>0</v>
      </c>
      <c r="N566" t="n">
        <v>0</v>
      </c>
      <c r="O566" t="n">
        <v>0</v>
      </c>
      <c r="P566" t="n">
        <v>0</v>
      </c>
      <c r="Q566" t="n">
        <v>0</v>
      </c>
      <c r="R566" s="2" t="inlineStr"/>
    </row>
    <row r="567" ht="15" customHeight="1">
      <c r="A567" t="inlineStr">
        <is>
          <t>A 52776-2025</t>
        </is>
      </c>
      <c r="B567" s="1" t="n">
        <v>45957.41724537037</v>
      </c>
      <c r="C567" s="1" t="n">
        <v>45988</v>
      </c>
      <c r="D567" t="inlineStr">
        <is>
          <t>STOCKHOLMS LÄN</t>
        </is>
      </c>
      <c r="E567" t="inlineStr">
        <is>
          <t>NORRTÄLJE</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52777-2025</t>
        </is>
      </c>
      <c r="B568" s="1" t="n">
        <v>45957.41832175926</v>
      </c>
      <c r="C568" s="1" t="n">
        <v>45988</v>
      </c>
      <c r="D568" t="inlineStr">
        <is>
          <t>STOCKHOLMS LÄN</t>
        </is>
      </c>
      <c r="E568" t="inlineStr">
        <is>
          <t>NORRTÄLJE</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31170-2025</t>
        </is>
      </c>
      <c r="B569" s="1" t="n">
        <v>45832.66385416667</v>
      </c>
      <c r="C569" s="1" t="n">
        <v>45988</v>
      </c>
      <c r="D569" t="inlineStr">
        <is>
          <t>STOCKHOLMS LÄN</t>
        </is>
      </c>
      <c r="E569" t="inlineStr">
        <is>
          <t>NORRTÄLJE</t>
        </is>
      </c>
      <c r="G569" t="n">
        <v>2.7</v>
      </c>
      <c r="H569" t="n">
        <v>0</v>
      </c>
      <c r="I569" t="n">
        <v>0</v>
      </c>
      <c r="J569" t="n">
        <v>0</v>
      </c>
      <c r="K569" t="n">
        <v>0</v>
      </c>
      <c r="L569" t="n">
        <v>0</v>
      </c>
      <c r="M569" t="n">
        <v>0</v>
      </c>
      <c r="N569" t="n">
        <v>0</v>
      </c>
      <c r="O569" t="n">
        <v>0</v>
      </c>
      <c r="P569" t="n">
        <v>0</v>
      </c>
      <c r="Q569" t="n">
        <v>0</v>
      </c>
      <c r="R569" s="2" t="inlineStr"/>
    </row>
    <row r="570" ht="15" customHeight="1">
      <c r="A570" t="inlineStr">
        <is>
          <t>A 44354-2025</t>
        </is>
      </c>
      <c r="B570" s="1" t="n">
        <v>45916.44655092592</v>
      </c>
      <c r="C570" s="1" t="n">
        <v>45988</v>
      </c>
      <c r="D570" t="inlineStr">
        <is>
          <t>STOCKHOLMS LÄN</t>
        </is>
      </c>
      <c r="E570" t="inlineStr">
        <is>
          <t>NORRTÄLJE</t>
        </is>
      </c>
      <c r="G570" t="n">
        <v>2.3</v>
      </c>
      <c r="H570" t="n">
        <v>0</v>
      </c>
      <c r="I570" t="n">
        <v>0</v>
      </c>
      <c r="J570" t="n">
        <v>0</v>
      </c>
      <c r="K570" t="n">
        <v>0</v>
      </c>
      <c r="L570" t="n">
        <v>0</v>
      </c>
      <c r="M570" t="n">
        <v>0</v>
      </c>
      <c r="N570" t="n">
        <v>0</v>
      </c>
      <c r="O570" t="n">
        <v>0</v>
      </c>
      <c r="P570" t="n">
        <v>0</v>
      </c>
      <c r="Q570" t="n">
        <v>0</v>
      </c>
      <c r="R570" s="2" t="inlineStr"/>
    </row>
    <row r="571" ht="15" customHeight="1">
      <c r="A571" t="inlineStr">
        <is>
          <t>A 48161-2022</t>
        </is>
      </c>
      <c r="B571" s="1" t="n">
        <v>44858</v>
      </c>
      <c r="C571" s="1" t="n">
        <v>45988</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48798-2021</t>
        </is>
      </c>
      <c r="B572" s="1" t="n">
        <v>44452</v>
      </c>
      <c r="C572" s="1" t="n">
        <v>45988</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31880-2025</t>
        </is>
      </c>
      <c r="B573" s="1" t="n">
        <v>45834.65538194445</v>
      </c>
      <c r="C573" s="1" t="n">
        <v>45988</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32122-2025</t>
        </is>
      </c>
      <c r="B574" s="1" t="n">
        <v>45835.4928125</v>
      </c>
      <c r="C574" s="1" t="n">
        <v>45988</v>
      </c>
      <c r="D574" t="inlineStr">
        <is>
          <t>STOCKHOLMS LÄN</t>
        </is>
      </c>
      <c r="E574" t="inlineStr">
        <is>
          <t>NORRTÄLJE</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12111-2021</t>
        </is>
      </c>
      <c r="B575" s="1" t="n">
        <v>44266</v>
      </c>
      <c r="C575" s="1" t="n">
        <v>45988</v>
      </c>
      <c r="D575" t="inlineStr">
        <is>
          <t>STOCKHOLMS LÄN</t>
        </is>
      </c>
      <c r="E575" t="inlineStr">
        <is>
          <t>NORRTÄLJE</t>
        </is>
      </c>
      <c r="G575" t="n">
        <v>5.5</v>
      </c>
      <c r="H575" t="n">
        <v>0</v>
      </c>
      <c r="I575" t="n">
        <v>0</v>
      </c>
      <c r="J575" t="n">
        <v>0</v>
      </c>
      <c r="K575" t="n">
        <v>0</v>
      </c>
      <c r="L575" t="n">
        <v>0</v>
      </c>
      <c r="M575" t="n">
        <v>0</v>
      </c>
      <c r="N575" t="n">
        <v>0</v>
      </c>
      <c r="O575" t="n">
        <v>0</v>
      </c>
      <c r="P575" t="n">
        <v>0</v>
      </c>
      <c r="Q575" t="n">
        <v>0</v>
      </c>
      <c r="R575" s="2" t="inlineStr"/>
    </row>
    <row r="576" ht="15" customHeight="1">
      <c r="A576" t="inlineStr">
        <is>
          <t>A 31868-2025</t>
        </is>
      </c>
      <c r="B576" s="1" t="n">
        <v>45834.6447337963</v>
      </c>
      <c r="C576" s="1" t="n">
        <v>45988</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6413-2025</t>
        </is>
      </c>
      <c r="B577" s="1" t="n">
        <v>45699.46283564815</v>
      </c>
      <c r="C577" s="1" t="n">
        <v>45988</v>
      </c>
      <c r="D577" t="inlineStr">
        <is>
          <t>STOCKHOLMS LÄN</t>
        </is>
      </c>
      <c r="E577" t="inlineStr">
        <is>
          <t>NORRTÄLJE</t>
        </is>
      </c>
      <c r="G577" t="n">
        <v>3.6</v>
      </c>
      <c r="H577" t="n">
        <v>0</v>
      </c>
      <c r="I577" t="n">
        <v>0</v>
      </c>
      <c r="J577" t="n">
        <v>0</v>
      </c>
      <c r="K577" t="n">
        <v>0</v>
      </c>
      <c r="L577" t="n">
        <v>0</v>
      </c>
      <c r="M577" t="n">
        <v>0</v>
      </c>
      <c r="N577" t="n">
        <v>0</v>
      </c>
      <c r="O577" t="n">
        <v>0</v>
      </c>
      <c r="P577" t="n">
        <v>0</v>
      </c>
      <c r="Q577" t="n">
        <v>0</v>
      </c>
      <c r="R577" s="2" t="inlineStr"/>
    </row>
    <row r="578" ht="15" customHeight="1">
      <c r="A578" t="inlineStr">
        <is>
          <t>A 54776-2023</t>
        </is>
      </c>
      <c r="B578" s="1" t="n">
        <v>45236.46369212963</v>
      </c>
      <c r="C578" s="1" t="n">
        <v>45988</v>
      </c>
      <c r="D578" t="inlineStr">
        <is>
          <t>STOCKHOLMS LÄN</t>
        </is>
      </c>
      <c r="E578" t="inlineStr">
        <is>
          <t>NORRTÄLJE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57442-2021</t>
        </is>
      </c>
      <c r="B579" s="1" t="n">
        <v>44483</v>
      </c>
      <c r="C579" s="1" t="n">
        <v>45988</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32016-2025</t>
        </is>
      </c>
      <c r="B580" s="1" t="n">
        <v>45835</v>
      </c>
      <c r="C580" s="1" t="n">
        <v>45988</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32283-2025</t>
        </is>
      </c>
      <c r="B581" s="1" t="n">
        <v>45835.68076388889</v>
      </c>
      <c r="C581" s="1" t="n">
        <v>45988</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44306-2025</t>
        </is>
      </c>
      <c r="B582" s="1" t="n">
        <v>45916.37736111111</v>
      </c>
      <c r="C582" s="1" t="n">
        <v>45988</v>
      </c>
      <c r="D582" t="inlineStr">
        <is>
          <t>STOCKHOLMS LÄN</t>
        </is>
      </c>
      <c r="E582" t="inlineStr">
        <is>
          <t>NORRTÄLJE</t>
        </is>
      </c>
      <c r="G582" t="n">
        <v>2.8</v>
      </c>
      <c r="H582" t="n">
        <v>0</v>
      </c>
      <c r="I582" t="n">
        <v>0</v>
      </c>
      <c r="J582" t="n">
        <v>0</v>
      </c>
      <c r="K582" t="n">
        <v>0</v>
      </c>
      <c r="L582" t="n">
        <v>0</v>
      </c>
      <c r="M582" t="n">
        <v>0</v>
      </c>
      <c r="N582" t="n">
        <v>0</v>
      </c>
      <c r="O582" t="n">
        <v>0</v>
      </c>
      <c r="P582" t="n">
        <v>0</v>
      </c>
      <c r="Q582" t="n">
        <v>0</v>
      </c>
      <c r="R582" s="2" t="inlineStr"/>
    </row>
    <row r="583" ht="15" customHeight="1">
      <c r="A583" t="inlineStr">
        <is>
          <t>A 44343-2025</t>
        </is>
      </c>
      <c r="B583" s="1" t="n">
        <v>45916.43378472222</v>
      </c>
      <c r="C583" s="1" t="n">
        <v>45988</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44349-2025</t>
        </is>
      </c>
      <c r="B584" s="1" t="n">
        <v>45916.43929398148</v>
      </c>
      <c r="C584" s="1" t="n">
        <v>45988</v>
      </c>
      <c r="D584" t="inlineStr">
        <is>
          <t>STOCKHOLMS LÄN</t>
        </is>
      </c>
      <c r="E584" t="inlineStr">
        <is>
          <t>NORRTÄLJE</t>
        </is>
      </c>
      <c r="G584" t="n">
        <v>3.5</v>
      </c>
      <c r="H584" t="n">
        <v>0</v>
      </c>
      <c r="I584" t="n">
        <v>0</v>
      </c>
      <c r="J584" t="n">
        <v>0</v>
      </c>
      <c r="K584" t="n">
        <v>0</v>
      </c>
      <c r="L584" t="n">
        <v>0</v>
      </c>
      <c r="M584" t="n">
        <v>0</v>
      </c>
      <c r="N584" t="n">
        <v>0</v>
      </c>
      <c r="O584" t="n">
        <v>0</v>
      </c>
      <c r="P584" t="n">
        <v>0</v>
      </c>
      <c r="Q584" t="n">
        <v>0</v>
      </c>
      <c r="R584" s="2" t="inlineStr"/>
    </row>
    <row r="585" ht="15" customHeight="1">
      <c r="A585" t="inlineStr">
        <is>
          <t>A 31874-2025</t>
        </is>
      </c>
      <c r="B585" s="1" t="n">
        <v>45834</v>
      </c>
      <c r="C585" s="1" t="n">
        <v>45988</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55952-2024</t>
        </is>
      </c>
      <c r="B586" s="1" t="n">
        <v>45623.62563657408</v>
      </c>
      <c r="C586" s="1" t="n">
        <v>45988</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32094-2025</t>
        </is>
      </c>
      <c r="B587" s="1" t="n">
        <v>45835.46034722222</v>
      </c>
      <c r="C587" s="1" t="n">
        <v>45988</v>
      </c>
      <c r="D587" t="inlineStr">
        <is>
          <t>STOCKHOLMS LÄN</t>
        </is>
      </c>
      <c r="E587" t="inlineStr">
        <is>
          <t>NORRTÄLJE</t>
        </is>
      </c>
      <c r="F587" t="inlineStr">
        <is>
          <t>Holmen skog AB</t>
        </is>
      </c>
      <c r="G587" t="n">
        <v>2.9</v>
      </c>
      <c r="H587" t="n">
        <v>0</v>
      </c>
      <c r="I587" t="n">
        <v>0</v>
      </c>
      <c r="J587" t="n">
        <v>0</v>
      </c>
      <c r="K587" t="n">
        <v>0</v>
      </c>
      <c r="L587" t="n">
        <v>0</v>
      </c>
      <c r="M587" t="n">
        <v>0</v>
      </c>
      <c r="N587" t="n">
        <v>0</v>
      </c>
      <c r="O587" t="n">
        <v>0</v>
      </c>
      <c r="P587" t="n">
        <v>0</v>
      </c>
      <c r="Q587" t="n">
        <v>0</v>
      </c>
      <c r="R587" s="2" t="inlineStr"/>
    </row>
    <row r="588" ht="15" customHeight="1">
      <c r="A588" t="inlineStr">
        <is>
          <t>A 8135-2025</t>
        </is>
      </c>
      <c r="B588" s="1" t="n">
        <v>45707.84997685185</v>
      </c>
      <c r="C588" s="1" t="n">
        <v>45988</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3383-2023</t>
        </is>
      </c>
      <c r="B589" s="1" t="n">
        <v>44949</v>
      </c>
      <c r="C589" s="1" t="n">
        <v>45988</v>
      </c>
      <c r="D589" t="inlineStr">
        <is>
          <t>STOCKHOLMS LÄN</t>
        </is>
      </c>
      <c r="E589" t="inlineStr">
        <is>
          <t>NORRTÄLJE</t>
        </is>
      </c>
      <c r="G589" t="n">
        <v>14.6</v>
      </c>
      <c r="H589" t="n">
        <v>0</v>
      </c>
      <c r="I589" t="n">
        <v>0</v>
      </c>
      <c r="J589" t="n">
        <v>0</v>
      </c>
      <c r="K589" t="n">
        <v>0</v>
      </c>
      <c r="L589" t="n">
        <v>0</v>
      </c>
      <c r="M589" t="n">
        <v>0</v>
      </c>
      <c r="N589" t="n">
        <v>0</v>
      </c>
      <c r="O589" t="n">
        <v>0</v>
      </c>
      <c r="P589" t="n">
        <v>0</v>
      </c>
      <c r="Q589" t="n">
        <v>0</v>
      </c>
      <c r="R589" s="2" t="inlineStr"/>
    </row>
    <row r="590" ht="15" customHeight="1">
      <c r="A590" t="inlineStr">
        <is>
          <t>A 44311-2025</t>
        </is>
      </c>
      <c r="B590" s="1" t="n">
        <v>45916.38394675926</v>
      </c>
      <c r="C590" s="1" t="n">
        <v>45988</v>
      </c>
      <c r="D590" t="inlineStr">
        <is>
          <t>STOCKHOLMS LÄN</t>
        </is>
      </c>
      <c r="E590" t="inlineStr">
        <is>
          <t>NORRTÄLJE</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13148-2021</t>
        </is>
      </c>
      <c r="B591" s="1" t="n">
        <v>44272</v>
      </c>
      <c r="C591" s="1" t="n">
        <v>45988</v>
      </c>
      <c r="D591" t="inlineStr">
        <is>
          <t>STOCKHOLMS LÄN</t>
        </is>
      </c>
      <c r="E591" t="inlineStr">
        <is>
          <t>NORRTÄLJE</t>
        </is>
      </c>
      <c r="G591" t="n">
        <v>12.4</v>
      </c>
      <c r="H591" t="n">
        <v>0</v>
      </c>
      <c r="I591" t="n">
        <v>0</v>
      </c>
      <c r="J591" t="n">
        <v>0</v>
      </c>
      <c r="K591" t="n">
        <v>0</v>
      </c>
      <c r="L591" t="n">
        <v>0</v>
      </c>
      <c r="M591" t="n">
        <v>0</v>
      </c>
      <c r="N591" t="n">
        <v>0</v>
      </c>
      <c r="O591" t="n">
        <v>0</v>
      </c>
      <c r="P591" t="n">
        <v>0</v>
      </c>
      <c r="Q591" t="n">
        <v>0</v>
      </c>
      <c r="R591" s="2" t="inlineStr"/>
    </row>
    <row r="592" ht="15" customHeight="1">
      <c r="A592" t="inlineStr">
        <is>
          <t>A 53299-2025</t>
        </is>
      </c>
      <c r="B592" s="1" t="n">
        <v>45959.31901620371</v>
      </c>
      <c r="C592" s="1" t="n">
        <v>45988</v>
      </c>
      <c r="D592" t="inlineStr">
        <is>
          <t>STOCKHOLMS LÄN</t>
        </is>
      </c>
      <c r="E592" t="inlineStr">
        <is>
          <t>NORRTÄLJE</t>
        </is>
      </c>
      <c r="G592" t="n">
        <v>4.8</v>
      </c>
      <c r="H592" t="n">
        <v>0</v>
      </c>
      <c r="I592" t="n">
        <v>0</v>
      </c>
      <c r="J592" t="n">
        <v>0</v>
      </c>
      <c r="K592" t="n">
        <v>0</v>
      </c>
      <c r="L592" t="n">
        <v>0</v>
      </c>
      <c r="M592" t="n">
        <v>0</v>
      </c>
      <c r="N592" t="n">
        <v>0</v>
      </c>
      <c r="O592" t="n">
        <v>0</v>
      </c>
      <c r="P592" t="n">
        <v>0</v>
      </c>
      <c r="Q592" t="n">
        <v>0</v>
      </c>
      <c r="R592" s="2" t="inlineStr"/>
    </row>
    <row r="593" ht="15" customHeight="1">
      <c r="A593" t="inlineStr">
        <is>
          <t>A 44333-2025</t>
        </is>
      </c>
      <c r="B593" s="1" t="n">
        <v>45916.42293981482</v>
      </c>
      <c r="C593" s="1" t="n">
        <v>45988</v>
      </c>
      <c r="D593" t="inlineStr">
        <is>
          <t>STOCKHOLMS LÄN</t>
        </is>
      </c>
      <c r="E593" t="inlineStr">
        <is>
          <t>NORRTÄLJE</t>
        </is>
      </c>
      <c r="G593" t="n">
        <v>1.5</v>
      </c>
      <c r="H593" t="n">
        <v>0</v>
      </c>
      <c r="I593" t="n">
        <v>0</v>
      </c>
      <c r="J593" t="n">
        <v>0</v>
      </c>
      <c r="K593" t="n">
        <v>0</v>
      </c>
      <c r="L593" t="n">
        <v>0</v>
      </c>
      <c r="M593" t="n">
        <v>0</v>
      </c>
      <c r="N593" t="n">
        <v>0</v>
      </c>
      <c r="O593" t="n">
        <v>0</v>
      </c>
      <c r="P593" t="n">
        <v>0</v>
      </c>
      <c r="Q593" t="n">
        <v>0</v>
      </c>
      <c r="R593" s="2" t="inlineStr"/>
    </row>
    <row r="594" ht="15" customHeight="1">
      <c r="A594" t="inlineStr">
        <is>
          <t>A 21732-2023</t>
        </is>
      </c>
      <c r="B594" s="1" t="n">
        <v>45063</v>
      </c>
      <c r="C594" s="1" t="n">
        <v>45988</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23307-2024</t>
        </is>
      </c>
      <c r="B595" s="1" t="n">
        <v>45453</v>
      </c>
      <c r="C595" s="1" t="n">
        <v>45988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32480-2025</t>
        </is>
      </c>
      <c r="B596" s="1" t="n">
        <v>45838.43261574074</v>
      </c>
      <c r="C596" s="1" t="n">
        <v>45988</v>
      </c>
      <c r="D596" t="inlineStr">
        <is>
          <t>STOCKHOLMS LÄN</t>
        </is>
      </c>
      <c r="E596" t="inlineStr">
        <is>
          <t>NORRTÄLJE</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32872-2025</t>
        </is>
      </c>
      <c r="B597" s="1" t="n">
        <v>45839</v>
      </c>
      <c r="C597" s="1" t="n">
        <v>45988</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32903-2025</t>
        </is>
      </c>
      <c r="B598" s="1" t="n">
        <v>45839.62398148148</v>
      </c>
      <c r="C598" s="1" t="n">
        <v>45988</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53087-2025</t>
        </is>
      </c>
      <c r="B599" s="1" t="n">
        <v>45958.41065972222</v>
      </c>
      <c r="C599" s="1" t="n">
        <v>45988</v>
      </c>
      <c r="D599" t="inlineStr">
        <is>
          <t>STOCKHOLMS LÄN</t>
        </is>
      </c>
      <c r="E599" t="inlineStr">
        <is>
          <t>NORRTÄLJE</t>
        </is>
      </c>
      <c r="G599" t="n">
        <v>1.1</v>
      </c>
      <c r="H599" t="n">
        <v>0</v>
      </c>
      <c r="I599" t="n">
        <v>0</v>
      </c>
      <c r="J599" t="n">
        <v>0</v>
      </c>
      <c r="K599" t="n">
        <v>0</v>
      </c>
      <c r="L599" t="n">
        <v>0</v>
      </c>
      <c r="M599" t="n">
        <v>0</v>
      </c>
      <c r="N599" t="n">
        <v>0</v>
      </c>
      <c r="O599" t="n">
        <v>0</v>
      </c>
      <c r="P599" t="n">
        <v>0</v>
      </c>
      <c r="Q599" t="n">
        <v>0</v>
      </c>
      <c r="R599" s="2" t="inlineStr"/>
    </row>
    <row r="600" ht="15" customHeight="1">
      <c r="A600" t="inlineStr">
        <is>
          <t>A 53115-2025</t>
        </is>
      </c>
      <c r="B600" s="1" t="n">
        <v>45958.44614583333</v>
      </c>
      <c r="C600" s="1" t="n">
        <v>45988</v>
      </c>
      <c r="D600" t="inlineStr">
        <is>
          <t>STOCKHOLMS LÄN</t>
        </is>
      </c>
      <c r="E600" t="inlineStr">
        <is>
          <t>NORRTÄLJE</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32395-2025</t>
        </is>
      </c>
      <c r="B601" s="1" t="n">
        <v>45837.93730324074</v>
      </c>
      <c r="C601" s="1" t="n">
        <v>45988</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32396-2025</t>
        </is>
      </c>
      <c r="B602" s="1" t="n">
        <v>45837</v>
      </c>
      <c r="C602" s="1" t="n">
        <v>45988</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32397-2025</t>
        </is>
      </c>
      <c r="B603" s="1" t="n">
        <v>45837.94081018519</v>
      </c>
      <c r="C603" s="1" t="n">
        <v>45988</v>
      </c>
      <c r="D603" t="inlineStr">
        <is>
          <t>STOCKHOLMS LÄN</t>
        </is>
      </c>
      <c r="E603" t="inlineStr">
        <is>
          <t>NORRTÄLJE</t>
        </is>
      </c>
      <c r="G603" t="n">
        <v>5.9</v>
      </c>
      <c r="H603" t="n">
        <v>0</v>
      </c>
      <c r="I603" t="n">
        <v>0</v>
      </c>
      <c r="J603" t="n">
        <v>0</v>
      </c>
      <c r="K603" t="n">
        <v>0</v>
      </c>
      <c r="L603" t="n">
        <v>0</v>
      </c>
      <c r="M603" t="n">
        <v>0</v>
      </c>
      <c r="N603" t="n">
        <v>0</v>
      </c>
      <c r="O603" t="n">
        <v>0</v>
      </c>
      <c r="P603" t="n">
        <v>0</v>
      </c>
      <c r="Q603" t="n">
        <v>0</v>
      </c>
      <c r="R603" s="2" t="inlineStr"/>
    </row>
    <row r="604" ht="15" customHeight="1">
      <c r="A604" t="inlineStr">
        <is>
          <t>A 3386-2021</t>
        </is>
      </c>
      <c r="B604" s="1" t="n">
        <v>44218</v>
      </c>
      <c r="C604" s="1" t="n">
        <v>45988</v>
      </c>
      <c r="D604" t="inlineStr">
        <is>
          <t>STOCKHOLMS LÄN</t>
        </is>
      </c>
      <c r="E604" t="inlineStr">
        <is>
          <t>NORRTÄLJE</t>
        </is>
      </c>
      <c r="G604" t="n">
        <v>8</v>
      </c>
      <c r="H604" t="n">
        <v>0</v>
      </c>
      <c r="I604" t="n">
        <v>0</v>
      </c>
      <c r="J604" t="n">
        <v>0</v>
      </c>
      <c r="K604" t="n">
        <v>0</v>
      </c>
      <c r="L604" t="n">
        <v>0</v>
      </c>
      <c r="M604" t="n">
        <v>0</v>
      </c>
      <c r="N604" t="n">
        <v>0</v>
      </c>
      <c r="O604" t="n">
        <v>0</v>
      </c>
      <c r="P604" t="n">
        <v>0</v>
      </c>
      <c r="Q604" t="n">
        <v>0</v>
      </c>
      <c r="R604" s="2" t="inlineStr"/>
    </row>
    <row r="605" ht="15" customHeight="1">
      <c r="A605" t="inlineStr">
        <is>
          <t>A 37085-2021</t>
        </is>
      </c>
      <c r="B605" s="1" t="n">
        <v>44395</v>
      </c>
      <c r="C605" s="1" t="n">
        <v>45988</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56428-2023</t>
        </is>
      </c>
      <c r="B606" s="1" t="n">
        <v>45243.45289351852</v>
      </c>
      <c r="C606" s="1" t="n">
        <v>45988</v>
      </c>
      <c r="D606" t="inlineStr">
        <is>
          <t>STOCKHOLMS LÄN</t>
        </is>
      </c>
      <c r="E606" t="inlineStr">
        <is>
          <t>NORRTÄLJE</t>
        </is>
      </c>
      <c r="F606" t="inlineStr">
        <is>
          <t>Kyrkan</t>
        </is>
      </c>
      <c r="G606" t="n">
        <v>1.3</v>
      </c>
      <c r="H606" t="n">
        <v>0</v>
      </c>
      <c r="I606" t="n">
        <v>0</v>
      </c>
      <c r="J606" t="n">
        <v>0</v>
      </c>
      <c r="K606" t="n">
        <v>0</v>
      </c>
      <c r="L606" t="n">
        <v>0</v>
      </c>
      <c r="M606" t="n">
        <v>0</v>
      </c>
      <c r="N606" t="n">
        <v>0</v>
      </c>
      <c r="O606" t="n">
        <v>0</v>
      </c>
      <c r="P606" t="n">
        <v>0</v>
      </c>
      <c r="Q606" t="n">
        <v>0</v>
      </c>
      <c r="R606" s="2" t="inlineStr"/>
    </row>
    <row r="607" ht="15" customHeight="1">
      <c r="A607" t="inlineStr">
        <is>
          <t>A 53747-2025</t>
        </is>
      </c>
      <c r="B607" s="1" t="n">
        <v>45960.65415509259</v>
      </c>
      <c r="C607" s="1" t="n">
        <v>45988</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17556-2025</t>
        </is>
      </c>
      <c r="B608" s="1" t="n">
        <v>45757.62482638889</v>
      </c>
      <c r="C608" s="1" t="n">
        <v>45988</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53499-2025</t>
        </is>
      </c>
      <c r="B609" s="1" t="n">
        <v>45960</v>
      </c>
      <c r="C609" s="1" t="n">
        <v>45988</v>
      </c>
      <c r="D609" t="inlineStr">
        <is>
          <t>STOCKHOLMS LÄN</t>
        </is>
      </c>
      <c r="E609" t="inlineStr">
        <is>
          <t>NORRTÄLJE</t>
        </is>
      </c>
      <c r="G609" t="n">
        <v>23.8</v>
      </c>
      <c r="H609" t="n">
        <v>0</v>
      </c>
      <c r="I609" t="n">
        <v>0</v>
      </c>
      <c r="J609" t="n">
        <v>0</v>
      </c>
      <c r="K609" t="n">
        <v>0</v>
      </c>
      <c r="L609" t="n">
        <v>0</v>
      </c>
      <c r="M609" t="n">
        <v>0</v>
      </c>
      <c r="N609" t="n">
        <v>0</v>
      </c>
      <c r="O609" t="n">
        <v>0</v>
      </c>
      <c r="P609" t="n">
        <v>0</v>
      </c>
      <c r="Q609" t="n">
        <v>0</v>
      </c>
      <c r="R609" s="2" t="inlineStr"/>
    </row>
    <row r="610" ht="15" customHeight="1">
      <c r="A610" t="inlineStr">
        <is>
          <t>A 53629-2025</t>
        </is>
      </c>
      <c r="B610" s="1" t="n">
        <v>45960.49570601852</v>
      </c>
      <c r="C610" s="1" t="n">
        <v>45988</v>
      </c>
      <c r="D610" t="inlineStr">
        <is>
          <t>STOCKHOLMS LÄN</t>
        </is>
      </c>
      <c r="E610" t="inlineStr">
        <is>
          <t>NORRTÄLJE</t>
        </is>
      </c>
      <c r="F610" t="inlineStr">
        <is>
          <t>Naturvårdsverket</t>
        </is>
      </c>
      <c r="G610" t="n">
        <v>7.9</v>
      </c>
      <c r="H610" t="n">
        <v>0</v>
      </c>
      <c r="I610" t="n">
        <v>0</v>
      </c>
      <c r="J610" t="n">
        <v>0</v>
      </c>
      <c r="K610" t="n">
        <v>0</v>
      </c>
      <c r="L610" t="n">
        <v>0</v>
      </c>
      <c r="M610" t="n">
        <v>0</v>
      </c>
      <c r="N610" t="n">
        <v>0</v>
      </c>
      <c r="O610" t="n">
        <v>0</v>
      </c>
      <c r="P610" t="n">
        <v>0</v>
      </c>
      <c r="Q610" t="n">
        <v>0</v>
      </c>
      <c r="R610" s="2" t="inlineStr"/>
    </row>
    <row r="611" ht="15" customHeight="1">
      <c r="A611" t="inlineStr">
        <is>
          <t>A 44937-2025</t>
        </is>
      </c>
      <c r="B611" s="1" t="n">
        <v>45918</v>
      </c>
      <c r="C611" s="1" t="n">
        <v>45988</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33702-2025</t>
        </is>
      </c>
      <c r="B612" s="1" t="n">
        <v>45841.74596064815</v>
      </c>
      <c r="C612" s="1" t="n">
        <v>45988</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33211-2025</t>
        </is>
      </c>
      <c r="B613" s="1" t="n">
        <v>45840.62755787037</v>
      </c>
      <c r="C613" s="1" t="n">
        <v>45988</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42094-2023</t>
        </is>
      </c>
      <c r="B614" s="1" t="n">
        <v>45177.61498842593</v>
      </c>
      <c r="C614" s="1" t="n">
        <v>45988</v>
      </c>
      <c r="D614" t="inlineStr">
        <is>
          <t>STOCKHOLMS LÄN</t>
        </is>
      </c>
      <c r="E614" t="inlineStr">
        <is>
          <t>NORRTÄLJE</t>
        </is>
      </c>
      <c r="G614" t="n">
        <v>0.3</v>
      </c>
      <c r="H614" t="n">
        <v>0</v>
      </c>
      <c r="I614" t="n">
        <v>0</v>
      </c>
      <c r="J614" t="n">
        <v>0</v>
      </c>
      <c r="K614" t="n">
        <v>0</v>
      </c>
      <c r="L614" t="n">
        <v>0</v>
      </c>
      <c r="M614" t="n">
        <v>0</v>
      </c>
      <c r="N614" t="n">
        <v>0</v>
      </c>
      <c r="O614" t="n">
        <v>0</v>
      </c>
      <c r="P614" t="n">
        <v>0</v>
      </c>
      <c r="Q614" t="n">
        <v>0</v>
      </c>
      <c r="R614" s="2" t="inlineStr"/>
    </row>
    <row r="615" ht="15" customHeight="1">
      <c r="A615" t="inlineStr">
        <is>
          <t>A 33265-2025</t>
        </is>
      </c>
      <c r="B615" s="1" t="n">
        <v>45840.67829861111</v>
      </c>
      <c r="C615" s="1" t="n">
        <v>45988</v>
      </c>
      <c r="D615" t="inlineStr">
        <is>
          <t>STOCKHOLMS LÄN</t>
        </is>
      </c>
      <c r="E615" t="inlineStr">
        <is>
          <t>NORRTÄLJE</t>
        </is>
      </c>
      <c r="G615" t="n">
        <v>5.5</v>
      </c>
      <c r="H615" t="n">
        <v>0</v>
      </c>
      <c r="I615" t="n">
        <v>0</v>
      </c>
      <c r="J615" t="n">
        <v>0</v>
      </c>
      <c r="K615" t="n">
        <v>0</v>
      </c>
      <c r="L615" t="n">
        <v>0</v>
      </c>
      <c r="M615" t="n">
        <v>0</v>
      </c>
      <c r="N615" t="n">
        <v>0</v>
      </c>
      <c r="O615" t="n">
        <v>0</v>
      </c>
      <c r="P615" t="n">
        <v>0</v>
      </c>
      <c r="Q615" t="n">
        <v>0</v>
      </c>
      <c r="R615" s="2" t="inlineStr"/>
    </row>
    <row r="616" ht="15" customHeight="1">
      <c r="A616" t="inlineStr">
        <is>
          <t>A 33552-2025</t>
        </is>
      </c>
      <c r="B616" s="1" t="n">
        <v>45841.5737962963</v>
      </c>
      <c r="C616" s="1" t="n">
        <v>45988</v>
      </c>
      <c r="D616" t="inlineStr">
        <is>
          <t>STOCKHOLMS LÄN</t>
        </is>
      </c>
      <c r="E616" t="inlineStr">
        <is>
          <t>NORRTÄLJE</t>
        </is>
      </c>
      <c r="G616" t="n">
        <v>8.9</v>
      </c>
      <c r="H616" t="n">
        <v>0</v>
      </c>
      <c r="I616" t="n">
        <v>0</v>
      </c>
      <c r="J616" t="n">
        <v>0</v>
      </c>
      <c r="K616" t="n">
        <v>0</v>
      </c>
      <c r="L616" t="n">
        <v>0</v>
      </c>
      <c r="M616" t="n">
        <v>0</v>
      </c>
      <c r="N616" t="n">
        <v>0</v>
      </c>
      <c r="O616" t="n">
        <v>0</v>
      </c>
      <c r="P616" t="n">
        <v>0</v>
      </c>
      <c r="Q616" t="n">
        <v>0</v>
      </c>
      <c r="R616" s="2" t="inlineStr"/>
    </row>
    <row r="617" ht="15" customHeight="1">
      <c r="A617" t="inlineStr">
        <is>
          <t>A 33336-2025</t>
        </is>
      </c>
      <c r="B617" s="1" t="n">
        <v>45841.35611111111</v>
      </c>
      <c r="C617" s="1" t="n">
        <v>45988</v>
      </c>
      <c r="D617" t="inlineStr">
        <is>
          <t>STOCKHOLMS LÄN</t>
        </is>
      </c>
      <c r="E617" t="inlineStr">
        <is>
          <t>NORRTÄLJE</t>
        </is>
      </c>
      <c r="G617" t="n">
        <v>2.4</v>
      </c>
      <c r="H617" t="n">
        <v>0</v>
      </c>
      <c r="I617" t="n">
        <v>0</v>
      </c>
      <c r="J617" t="n">
        <v>0</v>
      </c>
      <c r="K617" t="n">
        <v>0</v>
      </c>
      <c r="L617" t="n">
        <v>0</v>
      </c>
      <c r="M617" t="n">
        <v>0</v>
      </c>
      <c r="N617" t="n">
        <v>0</v>
      </c>
      <c r="O617" t="n">
        <v>0</v>
      </c>
      <c r="P617" t="n">
        <v>0</v>
      </c>
      <c r="Q617" t="n">
        <v>0</v>
      </c>
      <c r="R617" s="2" t="inlineStr"/>
    </row>
    <row r="618" ht="15" customHeight="1">
      <c r="A618" t="inlineStr">
        <is>
          <t>A 33824-2025</t>
        </is>
      </c>
      <c r="B618" s="1" t="n">
        <v>45842.46885416667</v>
      </c>
      <c r="C618" s="1" t="n">
        <v>45988</v>
      </c>
      <c r="D618" t="inlineStr">
        <is>
          <t>STOCKHOLMS LÄN</t>
        </is>
      </c>
      <c r="E618" t="inlineStr">
        <is>
          <t>NORRTÄLJE</t>
        </is>
      </c>
      <c r="G618" t="n">
        <v>1.9</v>
      </c>
      <c r="H618" t="n">
        <v>0</v>
      </c>
      <c r="I618" t="n">
        <v>0</v>
      </c>
      <c r="J618" t="n">
        <v>0</v>
      </c>
      <c r="K618" t="n">
        <v>0</v>
      </c>
      <c r="L618" t="n">
        <v>0</v>
      </c>
      <c r="M618" t="n">
        <v>0</v>
      </c>
      <c r="N618" t="n">
        <v>0</v>
      </c>
      <c r="O618" t="n">
        <v>0</v>
      </c>
      <c r="P618" t="n">
        <v>0</v>
      </c>
      <c r="Q618" t="n">
        <v>0</v>
      </c>
      <c r="R618" s="2" t="inlineStr"/>
    </row>
    <row r="619" ht="15" customHeight="1">
      <c r="A619" t="inlineStr">
        <is>
          <t>A 8370-2025</t>
        </is>
      </c>
      <c r="B619" s="1" t="n">
        <v>45708</v>
      </c>
      <c r="C619" s="1" t="n">
        <v>45988</v>
      </c>
      <c r="D619" t="inlineStr">
        <is>
          <t>STOCKHOLMS LÄN</t>
        </is>
      </c>
      <c r="E619" t="inlineStr">
        <is>
          <t>NORRTÄLJE</t>
        </is>
      </c>
      <c r="F619" t="inlineStr">
        <is>
          <t>Övriga Aktiebolag</t>
        </is>
      </c>
      <c r="G619" t="n">
        <v>5.6</v>
      </c>
      <c r="H619" t="n">
        <v>0</v>
      </c>
      <c r="I619" t="n">
        <v>0</v>
      </c>
      <c r="J619" t="n">
        <v>0</v>
      </c>
      <c r="K619" t="n">
        <v>0</v>
      </c>
      <c r="L619" t="n">
        <v>0</v>
      </c>
      <c r="M619" t="n">
        <v>0</v>
      </c>
      <c r="N619" t="n">
        <v>0</v>
      </c>
      <c r="O619" t="n">
        <v>0</v>
      </c>
      <c r="P619" t="n">
        <v>0</v>
      </c>
      <c r="Q619" t="n">
        <v>0</v>
      </c>
      <c r="R619" s="2" t="inlineStr"/>
    </row>
    <row r="620" ht="15" customHeight="1">
      <c r="A620" t="inlineStr">
        <is>
          <t>A 3299-2022</t>
        </is>
      </c>
      <c r="B620" s="1" t="n">
        <v>44584.91001157407</v>
      </c>
      <c r="C620" s="1" t="n">
        <v>45988</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34006-2025</t>
        </is>
      </c>
      <c r="B621" s="1" t="n">
        <v>45844.62609953704</v>
      </c>
      <c r="C621" s="1" t="n">
        <v>45988</v>
      </c>
      <c r="D621" t="inlineStr">
        <is>
          <t>STOCKHOLMS LÄN</t>
        </is>
      </c>
      <c r="E621" t="inlineStr">
        <is>
          <t>NORRTÄLJE</t>
        </is>
      </c>
      <c r="G621" t="n">
        <v>2.3</v>
      </c>
      <c r="H621" t="n">
        <v>0</v>
      </c>
      <c r="I621" t="n">
        <v>0</v>
      </c>
      <c r="J621" t="n">
        <v>0</v>
      </c>
      <c r="K621" t="n">
        <v>0</v>
      </c>
      <c r="L621" t="n">
        <v>0</v>
      </c>
      <c r="M621" t="n">
        <v>0</v>
      </c>
      <c r="N621" t="n">
        <v>0</v>
      </c>
      <c r="O621" t="n">
        <v>0</v>
      </c>
      <c r="P621" t="n">
        <v>0</v>
      </c>
      <c r="Q621" t="n">
        <v>0</v>
      </c>
      <c r="R621" s="2" t="inlineStr"/>
    </row>
    <row r="622" ht="15" customHeight="1">
      <c r="A622" t="inlineStr">
        <is>
          <t>A 34139-2025</t>
        </is>
      </c>
      <c r="B622" s="1" t="n">
        <v>45845</v>
      </c>
      <c r="C622" s="1" t="n">
        <v>45988</v>
      </c>
      <c r="D622" t="inlineStr">
        <is>
          <t>STOCKHOLMS LÄN</t>
        </is>
      </c>
      <c r="E622" t="inlineStr">
        <is>
          <t>NORRTÄLJE</t>
        </is>
      </c>
      <c r="G622" t="n">
        <v>5.5</v>
      </c>
      <c r="H622" t="n">
        <v>0</v>
      </c>
      <c r="I622" t="n">
        <v>0</v>
      </c>
      <c r="J622" t="n">
        <v>0</v>
      </c>
      <c r="K622" t="n">
        <v>0</v>
      </c>
      <c r="L622" t="n">
        <v>0</v>
      </c>
      <c r="M622" t="n">
        <v>0</v>
      </c>
      <c r="N622" t="n">
        <v>0</v>
      </c>
      <c r="O622" t="n">
        <v>0</v>
      </c>
      <c r="P622" t="n">
        <v>0</v>
      </c>
      <c r="Q622" t="n">
        <v>0</v>
      </c>
      <c r="R622" s="2" t="inlineStr"/>
    </row>
    <row r="623" ht="15" customHeight="1">
      <c r="A623" t="inlineStr">
        <is>
          <t>A 34010-2025</t>
        </is>
      </c>
      <c r="B623" s="1" t="n">
        <v>45844.91234953704</v>
      </c>
      <c r="C623" s="1" t="n">
        <v>45988</v>
      </c>
      <c r="D623" t="inlineStr">
        <is>
          <t>STOCKHOLMS LÄN</t>
        </is>
      </c>
      <c r="E623" t="inlineStr">
        <is>
          <t>NORRTÄLJE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36689-2023</t>
        </is>
      </c>
      <c r="B624" s="1" t="n">
        <v>45152</v>
      </c>
      <c r="C624" s="1" t="n">
        <v>45988</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12348-2025</t>
        </is>
      </c>
      <c r="B625" s="1" t="n">
        <v>45730.35026620371</v>
      </c>
      <c r="C625" s="1" t="n">
        <v>45988</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46073-2024</t>
        </is>
      </c>
      <c r="B626" s="1" t="n">
        <v>45581</v>
      </c>
      <c r="C626" s="1" t="n">
        <v>45988</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22359-2025</t>
        </is>
      </c>
      <c r="B627" s="1" t="n">
        <v>45786</v>
      </c>
      <c r="C627" s="1" t="n">
        <v>45988</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17545-2025</t>
        </is>
      </c>
      <c r="B628" s="1" t="n">
        <v>45757.60658564815</v>
      </c>
      <c r="C628" s="1" t="n">
        <v>45988</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25094-2023</t>
        </is>
      </c>
      <c r="B629" s="1" t="n">
        <v>45086.3629050926</v>
      </c>
      <c r="C629" s="1" t="n">
        <v>45988</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36157-2024</t>
        </is>
      </c>
      <c r="B630" s="1" t="n">
        <v>45534.38240740741</v>
      </c>
      <c r="C630" s="1" t="n">
        <v>45988</v>
      </c>
      <c r="D630" t="inlineStr">
        <is>
          <t>STOCKHOLMS LÄN</t>
        </is>
      </c>
      <c r="E630" t="inlineStr">
        <is>
          <t>NORRTÄLJE</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47694-2023</t>
        </is>
      </c>
      <c r="B631" s="1" t="n">
        <v>45203.63303240741</v>
      </c>
      <c r="C631" s="1" t="n">
        <v>45988</v>
      </c>
      <c r="D631" t="inlineStr">
        <is>
          <t>STOCKHOLMS LÄN</t>
        </is>
      </c>
      <c r="E631" t="inlineStr">
        <is>
          <t>NORRTÄLJE</t>
        </is>
      </c>
      <c r="G631" t="n">
        <v>5.2</v>
      </c>
      <c r="H631" t="n">
        <v>0</v>
      </c>
      <c r="I631" t="n">
        <v>0</v>
      </c>
      <c r="J631" t="n">
        <v>0</v>
      </c>
      <c r="K631" t="n">
        <v>0</v>
      </c>
      <c r="L631" t="n">
        <v>0</v>
      </c>
      <c r="M631" t="n">
        <v>0</v>
      </c>
      <c r="N631" t="n">
        <v>0</v>
      </c>
      <c r="O631" t="n">
        <v>0</v>
      </c>
      <c r="P631" t="n">
        <v>0</v>
      </c>
      <c r="Q631" t="n">
        <v>0</v>
      </c>
      <c r="R631" s="2" t="inlineStr"/>
    </row>
    <row r="632" ht="15" customHeight="1">
      <c r="A632" t="inlineStr">
        <is>
          <t>A 35532-2024</t>
        </is>
      </c>
      <c r="B632" s="1" t="n">
        <v>45531</v>
      </c>
      <c r="C632" s="1" t="n">
        <v>45988</v>
      </c>
      <c r="D632" t="inlineStr">
        <is>
          <t>STOCKHOLMS LÄN</t>
        </is>
      </c>
      <c r="E632" t="inlineStr">
        <is>
          <t>NORRTÄLJE</t>
        </is>
      </c>
      <c r="G632" t="n">
        <v>2.3</v>
      </c>
      <c r="H632" t="n">
        <v>0</v>
      </c>
      <c r="I632" t="n">
        <v>0</v>
      </c>
      <c r="J632" t="n">
        <v>0</v>
      </c>
      <c r="K632" t="n">
        <v>0</v>
      </c>
      <c r="L632" t="n">
        <v>0</v>
      </c>
      <c r="M632" t="n">
        <v>0</v>
      </c>
      <c r="N632" t="n">
        <v>0</v>
      </c>
      <c r="O632" t="n">
        <v>0</v>
      </c>
      <c r="P632" t="n">
        <v>0</v>
      </c>
      <c r="Q632" t="n">
        <v>0</v>
      </c>
      <c r="R632" s="2" t="inlineStr"/>
    </row>
    <row r="633" ht="15" customHeight="1">
      <c r="A633" t="inlineStr">
        <is>
          <t>A 1654-2025</t>
        </is>
      </c>
      <c r="B633" s="1" t="n">
        <v>45670.65921296296</v>
      </c>
      <c r="C633" s="1" t="n">
        <v>45988</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62644-2023</t>
        </is>
      </c>
      <c r="B634" s="1" t="n">
        <v>45271</v>
      </c>
      <c r="C634" s="1" t="n">
        <v>45988</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39610-2025</t>
        </is>
      </c>
      <c r="B635" s="1" t="n">
        <v>45890.56001157407</v>
      </c>
      <c r="C635" s="1" t="n">
        <v>45988</v>
      </c>
      <c r="D635" t="inlineStr">
        <is>
          <t>STOCKHOLMS LÄN</t>
        </is>
      </c>
      <c r="E635" t="inlineStr">
        <is>
          <t>NORRTÄLJE</t>
        </is>
      </c>
      <c r="G635" t="n">
        <v>28.6</v>
      </c>
      <c r="H635" t="n">
        <v>0</v>
      </c>
      <c r="I635" t="n">
        <v>0</v>
      </c>
      <c r="J635" t="n">
        <v>0</v>
      </c>
      <c r="K635" t="n">
        <v>0</v>
      </c>
      <c r="L635" t="n">
        <v>0</v>
      </c>
      <c r="M635" t="n">
        <v>0</v>
      </c>
      <c r="N635" t="n">
        <v>0</v>
      </c>
      <c r="O635" t="n">
        <v>0</v>
      </c>
      <c r="P635" t="n">
        <v>0</v>
      </c>
      <c r="Q635" t="n">
        <v>0</v>
      </c>
      <c r="R635" s="2" t="inlineStr"/>
    </row>
    <row r="636" ht="15" customHeight="1">
      <c r="A636" t="inlineStr">
        <is>
          <t>A 45697-2025</t>
        </is>
      </c>
      <c r="B636" s="1" t="n">
        <v>45923.39877314815</v>
      </c>
      <c r="C636" s="1" t="n">
        <v>45988</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11229-2022</t>
        </is>
      </c>
      <c r="B637" s="1" t="n">
        <v>44629</v>
      </c>
      <c r="C637" s="1" t="n">
        <v>45988</v>
      </c>
      <c r="D637" t="inlineStr">
        <is>
          <t>STOCKHOLMS LÄN</t>
        </is>
      </c>
      <c r="E637" t="inlineStr">
        <is>
          <t>NORRTÄLJE</t>
        </is>
      </c>
      <c r="F637" t="inlineStr">
        <is>
          <t>Övriga Aktiebolag</t>
        </is>
      </c>
      <c r="G637" t="n">
        <v>4.1</v>
      </c>
      <c r="H637" t="n">
        <v>0</v>
      </c>
      <c r="I637" t="n">
        <v>0</v>
      </c>
      <c r="J637" t="n">
        <v>0</v>
      </c>
      <c r="K637" t="n">
        <v>0</v>
      </c>
      <c r="L637" t="n">
        <v>0</v>
      </c>
      <c r="M637" t="n">
        <v>0</v>
      </c>
      <c r="N637" t="n">
        <v>0</v>
      </c>
      <c r="O637" t="n">
        <v>0</v>
      </c>
      <c r="P637" t="n">
        <v>0</v>
      </c>
      <c r="Q637" t="n">
        <v>0</v>
      </c>
      <c r="R637" s="2" t="inlineStr"/>
    </row>
    <row r="638" ht="15" customHeight="1">
      <c r="A638" t="inlineStr">
        <is>
          <t>A 35110-2025</t>
        </is>
      </c>
      <c r="B638" s="1" t="n">
        <v>45852.58030092593</v>
      </c>
      <c r="C638" s="1" t="n">
        <v>45988</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57353-2024</t>
        </is>
      </c>
      <c r="B639" s="1" t="n">
        <v>45629.65143518519</v>
      </c>
      <c r="C639" s="1" t="n">
        <v>45988</v>
      </c>
      <c r="D639" t="inlineStr">
        <is>
          <t>STOCKHOLMS LÄN</t>
        </is>
      </c>
      <c r="E639" t="inlineStr">
        <is>
          <t>NORRTÄLJE</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48587-2023</t>
        </is>
      </c>
      <c r="B640" s="1" t="n">
        <v>45208</v>
      </c>
      <c r="C640" s="1" t="n">
        <v>45988</v>
      </c>
      <c r="D640" t="inlineStr">
        <is>
          <t>STOCKHOLMS LÄN</t>
        </is>
      </c>
      <c r="E640" t="inlineStr">
        <is>
          <t>NORRTÄLJE</t>
        </is>
      </c>
      <c r="G640" t="n">
        <v>7</v>
      </c>
      <c r="H640" t="n">
        <v>0</v>
      </c>
      <c r="I640" t="n">
        <v>0</v>
      </c>
      <c r="J640" t="n">
        <v>0</v>
      </c>
      <c r="K640" t="n">
        <v>0</v>
      </c>
      <c r="L640" t="n">
        <v>0</v>
      </c>
      <c r="M640" t="n">
        <v>0</v>
      </c>
      <c r="N640" t="n">
        <v>0</v>
      </c>
      <c r="O640" t="n">
        <v>0</v>
      </c>
      <c r="P640" t="n">
        <v>0</v>
      </c>
      <c r="Q640" t="n">
        <v>0</v>
      </c>
      <c r="R640" s="2" t="inlineStr"/>
    </row>
    <row r="641" ht="15" customHeight="1">
      <c r="A641" t="inlineStr">
        <is>
          <t>A 13291-2025</t>
        </is>
      </c>
      <c r="B641" s="1" t="n">
        <v>45735</v>
      </c>
      <c r="C641" s="1" t="n">
        <v>45988</v>
      </c>
      <c r="D641" t="inlineStr">
        <is>
          <t>STOCKHOLMS LÄN</t>
        </is>
      </c>
      <c r="E641" t="inlineStr">
        <is>
          <t>NORRTÄLJE</t>
        </is>
      </c>
      <c r="G641" t="n">
        <v>3.8</v>
      </c>
      <c r="H641" t="n">
        <v>0</v>
      </c>
      <c r="I641" t="n">
        <v>0</v>
      </c>
      <c r="J641" t="n">
        <v>0</v>
      </c>
      <c r="K641" t="n">
        <v>0</v>
      </c>
      <c r="L641" t="n">
        <v>0</v>
      </c>
      <c r="M641" t="n">
        <v>0</v>
      </c>
      <c r="N641" t="n">
        <v>0</v>
      </c>
      <c r="O641" t="n">
        <v>0</v>
      </c>
      <c r="P641" t="n">
        <v>0</v>
      </c>
      <c r="Q641" t="n">
        <v>0</v>
      </c>
      <c r="R641" s="2" t="inlineStr"/>
    </row>
    <row r="642" ht="15" customHeight="1">
      <c r="A642" t="inlineStr">
        <is>
          <t>A 35254-2025</t>
        </is>
      </c>
      <c r="B642" s="1" t="n">
        <v>45853</v>
      </c>
      <c r="C642" s="1" t="n">
        <v>45988</v>
      </c>
      <c r="D642" t="inlineStr">
        <is>
          <t>STOCKHOLMS LÄN</t>
        </is>
      </c>
      <c r="E642" t="inlineStr">
        <is>
          <t>NORRTÄLJE</t>
        </is>
      </c>
      <c r="G642" t="n">
        <v>6.5</v>
      </c>
      <c r="H642" t="n">
        <v>0</v>
      </c>
      <c r="I642" t="n">
        <v>0</v>
      </c>
      <c r="J642" t="n">
        <v>0</v>
      </c>
      <c r="K642" t="n">
        <v>0</v>
      </c>
      <c r="L642" t="n">
        <v>0</v>
      </c>
      <c r="M642" t="n">
        <v>0</v>
      </c>
      <c r="N642" t="n">
        <v>0</v>
      </c>
      <c r="O642" t="n">
        <v>0</v>
      </c>
      <c r="P642" t="n">
        <v>0</v>
      </c>
      <c r="Q642" t="n">
        <v>0</v>
      </c>
      <c r="R642" s="2" t="inlineStr"/>
    </row>
    <row r="643" ht="15" customHeight="1">
      <c r="A643" t="inlineStr">
        <is>
          <t>A 46415-2025</t>
        </is>
      </c>
      <c r="B643" s="1" t="n">
        <v>45925.58636574074</v>
      </c>
      <c r="C643" s="1" t="n">
        <v>45988</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2549-2022</t>
        </is>
      </c>
      <c r="B644" s="1" t="n">
        <v>44580</v>
      </c>
      <c r="C644" s="1" t="n">
        <v>45988</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4438-2023</t>
        </is>
      </c>
      <c r="B645" s="1" t="n">
        <v>44956</v>
      </c>
      <c r="C645" s="1" t="n">
        <v>45988</v>
      </c>
      <c r="D645" t="inlineStr">
        <is>
          <t>STOCKHOLMS LÄN</t>
        </is>
      </c>
      <c r="E645" t="inlineStr">
        <is>
          <t>NORRTÄLJE</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35479-2025</t>
        </is>
      </c>
      <c r="B646" s="1" t="n">
        <v>45855.69387731481</v>
      </c>
      <c r="C646" s="1" t="n">
        <v>45988</v>
      </c>
      <c r="D646" t="inlineStr">
        <is>
          <t>STOCKHOLMS LÄN</t>
        </is>
      </c>
      <c r="E646" t="inlineStr">
        <is>
          <t>NORRTÄLJE</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47758-2023</t>
        </is>
      </c>
      <c r="B647" s="1" t="n">
        <v>45203.83891203703</v>
      </c>
      <c r="C647" s="1" t="n">
        <v>45988</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35451-2025</t>
        </is>
      </c>
      <c r="B648" s="1" t="n">
        <v>45855.57033564815</v>
      </c>
      <c r="C648" s="1" t="n">
        <v>45988</v>
      </c>
      <c r="D648" t="inlineStr">
        <is>
          <t>STOCKHOLMS LÄN</t>
        </is>
      </c>
      <c r="E648" t="inlineStr">
        <is>
          <t>NORRTÄLJE</t>
        </is>
      </c>
      <c r="F648" t="inlineStr">
        <is>
          <t>Holmen skog AB</t>
        </is>
      </c>
      <c r="G648" t="n">
        <v>7.4</v>
      </c>
      <c r="H648" t="n">
        <v>0</v>
      </c>
      <c r="I648" t="n">
        <v>0</v>
      </c>
      <c r="J648" t="n">
        <v>0</v>
      </c>
      <c r="K648" t="n">
        <v>0</v>
      </c>
      <c r="L648" t="n">
        <v>0</v>
      </c>
      <c r="M648" t="n">
        <v>0</v>
      </c>
      <c r="N648" t="n">
        <v>0</v>
      </c>
      <c r="O648" t="n">
        <v>0</v>
      </c>
      <c r="P648" t="n">
        <v>0</v>
      </c>
      <c r="Q648" t="n">
        <v>0</v>
      </c>
      <c r="R648" s="2" t="inlineStr"/>
    </row>
    <row r="649" ht="15" customHeight="1">
      <c r="A649" t="inlineStr">
        <is>
          <t>A 35478-2025</t>
        </is>
      </c>
      <c r="B649" s="1" t="n">
        <v>45855.68413194444</v>
      </c>
      <c r="C649" s="1" t="n">
        <v>45988</v>
      </c>
      <c r="D649" t="inlineStr">
        <is>
          <t>STOCKHOLMS LÄN</t>
        </is>
      </c>
      <c r="E649" t="inlineStr">
        <is>
          <t>NORRTÄLJE</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51061-2023</t>
        </is>
      </c>
      <c r="B650" s="1" t="n">
        <v>45218.65849537037</v>
      </c>
      <c r="C650" s="1" t="n">
        <v>45988</v>
      </c>
      <c r="D650" t="inlineStr">
        <is>
          <t>STOCKHOLMS LÄN</t>
        </is>
      </c>
      <c r="E650" t="inlineStr">
        <is>
          <t>NORRTÄLJE</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22697-2022</t>
        </is>
      </c>
      <c r="B651" s="1" t="n">
        <v>44714.56040509259</v>
      </c>
      <c r="C651" s="1" t="n">
        <v>45988</v>
      </c>
      <c r="D651" t="inlineStr">
        <is>
          <t>STOCKHOLMS LÄN</t>
        </is>
      </c>
      <c r="E651" t="inlineStr">
        <is>
          <t>NORRTÄLJE</t>
        </is>
      </c>
      <c r="G651" t="n">
        <v>5.6</v>
      </c>
      <c r="H651" t="n">
        <v>0</v>
      </c>
      <c r="I651" t="n">
        <v>0</v>
      </c>
      <c r="J651" t="n">
        <v>0</v>
      </c>
      <c r="K651" t="n">
        <v>0</v>
      </c>
      <c r="L651" t="n">
        <v>0</v>
      </c>
      <c r="M651" t="n">
        <v>0</v>
      </c>
      <c r="N651" t="n">
        <v>0</v>
      </c>
      <c r="O651" t="n">
        <v>0</v>
      </c>
      <c r="P651" t="n">
        <v>0</v>
      </c>
      <c r="Q651" t="n">
        <v>0</v>
      </c>
      <c r="R651" s="2" t="inlineStr"/>
    </row>
    <row r="652" ht="15" customHeight="1">
      <c r="A652" t="inlineStr">
        <is>
          <t>A 54907-2025</t>
        </is>
      </c>
      <c r="B652" s="1" t="n">
        <v>45967.37137731481</v>
      </c>
      <c r="C652" s="1" t="n">
        <v>45988</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45549-2022</t>
        </is>
      </c>
      <c r="B653" s="1" t="n">
        <v>44845.48064814815</v>
      </c>
      <c r="C653" s="1" t="n">
        <v>45988</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54396-2021</t>
        </is>
      </c>
      <c r="B654" s="1" t="n">
        <v>44472</v>
      </c>
      <c r="C654" s="1" t="n">
        <v>45988</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24727-2023</t>
        </is>
      </c>
      <c r="B655" s="1" t="n">
        <v>45084.57695601852</v>
      </c>
      <c r="C655" s="1" t="n">
        <v>45988</v>
      </c>
      <c r="D655" t="inlineStr">
        <is>
          <t>STOCKHOLMS LÄN</t>
        </is>
      </c>
      <c r="E655" t="inlineStr">
        <is>
          <t>NORRTÄLJE</t>
        </is>
      </c>
      <c r="F655" t="inlineStr">
        <is>
          <t>Holmen skog AB</t>
        </is>
      </c>
      <c r="G655" t="n">
        <v>2.2</v>
      </c>
      <c r="H655" t="n">
        <v>0</v>
      </c>
      <c r="I655" t="n">
        <v>0</v>
      </c>
      <c r="J655" t="n">
        <v>0</v>
      </c>
      <c r="K655" t="n">
        <v>0</v>
      </c>
      <c r="L655" t="n">
        <v>0</v>
      </c>
      <c r="M655" t="n">
        <v>0</v>
      </c>
      <c r="N655" t="n">
        <v>0</v>
      </c>
      <c r="O655" t="n">
        <v>0</v>
      </c>
      <c r="P655" t="n">
        <v>0</v>
      </c>
      <c r="Q655" t="n">
        <v>0</v>
      </c>
      <c r="R655" s="2" t="inlineStr"/>
    </row>
    <row r="656" ht="15" customHeight="1">
      <c r="A656" t="inlineStr">
        <is>
          <t>A 48722-2023</t>
        </is>
      </c>
      <c r="B656" s="1" t="n">
        <v>45208.70996527778</v>
      </c>
      <c r="C656" s="1" t="n">
        <v>45988</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35235-2024</t>
        </is>
      </c>
      <c r="B657" s="1" t="n">
        <v>45530</v>
      </c>
      <c r="C657" s="1" t="n">
        <v>45988</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1448-2023</t>
        </is>
      </c>
      <c r="B658" s="1" t="n">
        <v>44937</v>
      </c>
      <c r="C658" s="1" t="n">
        <v>45988</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46900-2025</t>
        </is>
      </c>
      <c r="B659" s="1" t="n">
        <v>45929.38712962963</v>
      </c>
      <c r="C659" s="1" t="n">
        <v>45988</v>
      </c>
      <c r="D659" t="inlineStr">
        <is>
          <t>STOCKHOLMS LÄN</t>
        </is>
      </c>
      <c r="E659" t="inlineStr">
        <is>
          <t>NORRTÄLJE</t>
        </is>
      </c>
      <c r="F659" t="inlineStr">
        <is>
          <t>Holmen skog AB</t>
        </is>
      </c>
      <c r="G659" t="n">
        <v>6.2</v>
      </c>
      <c r="H659" t="n">
        <v>0</v>
      </c>
      <c r="I659" t="n">
        <v>0</v>
      </c>
      <c r="J659" t="n">
        <v>0</v>
      </c>
      <c r="K659" t="n">
        <v>0</v>
      </c>
      <c r="L659" t="n">
        <v>0</v>
      </c>
      <c r="M659" t="n">
        <v>0</v>
      </c>
      <c r="N659" t="n">
        <v>0</v>
      </c>
      <c r="O659" t="n">
        <v>0</v>
      </c>
      <c r="P659" t="n">
        <v>0</v>
      </c>
      <c r="Q659" t="n">
        <v>0</v>
      </c>
      <c r="R659" s="2" t="inlineStr"/>
    </row>
    <row r="660" ht="15" customHeight="1">
      <c r="A660" t="inlineStr">
        <is>
          <t>A 8736-2024</t>
        </is>
      </c>
      <c r="B660" s="1" t="n">
        <v>45356.4722800926</v>
      </c>
      <c r="C660" s="1" t="n">
        <v>45988</v>
      </c>
      <c r="D660" t="inlineStr">
        <is>
          <t>STOCKHOLMS LÄN</t>
        </is>
      </c>
      <c r="E660" t="inlineStr">
        <is>
          <t>NORRTÄLJE</t>
        </is>
      </c>
      <c r="G660" t="n">
        <v>8.9</v>
      </c>
      <c r="H660" t="n">
        <v>0</v>
      </c>
      <c r="I660" t="n">
        <v>0</v>
      </c>
      <c r="J660" t="n">
        <v>0</v>
      </c>
      <c r="K660" t="n">
        <v>0</v>
      </c>
      <c r="L660" t="n">
        <v>0</v>
      </c>
      <c r="M660" t="n">
        <v>0</v>
      </c>
      <c r="N660" t="n">
        <v>0</v>
      </c>
      <c r="O660" t="n">
        <v>0</v>
      </c>
      <c r="P660" t="n">
        <v>0</v>
      </c>
      <c r="Q660" t="n">
        <v>0</v>
      </c>
      <c r="R660" s="2" t="inlineStr"/>
    </row>
    <row r="661" ht="15" customHeight="1">
      <c r="A661" t="inlineStr">
        <is>
          <t>A 55599-2025</t>
        </is>
      </c>
      <c r="B661" s="1" t="n">
        <v>45971.76810185185</v>
      </c>
      <c r="C661" s="1" t="n">
        <v>45988</v>
      </c>
      <c r="D661" t="inlineStr">
        <is>
          <t>STOCKHOLMS LÄN</t>
        </is>
      </c>
      <c r="E661" t="inlineStr">
        <is>
          <t>NORRTÄLJE</t>
        </is>
      </c>
      <c r="F661" t="inlineStr">
        <is>
          <t>Holmen skog AB</t>
        </is>
      </c>
      <c r="G661" t="n">
        <v>6.4</v>
      </c>
      <c r="H661" t="n">
        <v>0</v>
      </c>
      <c r="I661" t="n">
        <v>0</v>
      </c>
      <c r="J661" t="n">
        <v>0</v>
      </c>
      <c r="K661" t="n">
        <v>0</v>
      </c>
      <c r="L661" t="n">
        <v>0</v>
      </c>
      <c r="M661" t="n">
        <v>0</v>
      </c>
      <c r="N661" t="n">
        <v>0</v>
      </c>
      <c r="O661" t="n">
        <v>0</v>
      </c>
      <c r="P661" t="n">
        <v>0</v>
      </c>
      <c r="Q661" t="n">
        <v>0</v>
      </c>
      <c r="R661" s="2" t="inlineStr"/>
    </row>
    <row r="662" ht="15" customHeight="1">
      <c r="A662" t="inlineStr">
        <is>
          <t>A 33149-2022</t>
        </is>
      </c>
      <c r="B662" s="1" t="n">
        <v>44785</v>
      </c>
      <c r="C662" s="1" t="n">
        <v>45988</v>
      </c>
      <c r="D662" t="inlineStr">
        <is>
          <t>STOCKHOLMS LÄN</t>
        </is>
      </c>
      <c r="E662" t="inlineStr">
        <is>
          <t>NORRTÄLJE</t>
        </is>
      </c>
      <c r="F662" t="inlineStr">
        <is>
          <t>Holmen skog AB</t>
        </is>
      </c>
      <c r="G662" t="n">
        <v>4.4</v>
      </c>
      <c r="H662" t="n">
        <v>0</v>
      </c>
      <c r="I662" t="n">
        <v>0</v>
      </c>
      <c r="J662" t="n">
        <v>0</v>
      </c>
      <c r="K662" t="n">
        <v>0</v>
      </c>
      <c r="L662" t="n">
        <v>0</v>
      </c>
      <c r="M662" t="n">
        <v>0</v>
      </c>
      <c r="N662" t="n">
        <v>0</v>
      </c>
      <c r="O662" t="n">
        <v>0</v>
      </c>
      <c r="P662" t="n">
        <v>0</v>
      </c>
      <c r="Q662" t="n">
        <v>0</v>
      </c>
      <c r="R662" s="2" t="inlineStr"/>
    </row>
    <row r="663" ht="15" customHeight="1">
      <c r="A663" t="inlineStr">
        <is>
          <t>A 34444-2024</t>
        </is>
      </c>
      <c r="B663" s="1" t="n">
        <v>45525</v>
      </c>
      <c r="C663" s="1" t="n">
        <v>45988</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20698-2025</t>
        </is>
      </c>
      <c r="B664" s="1" t="n">
        <v>45776.47122685185</v>
      </c>
      <c r="C664" s="1" t="n">
        <v>45988</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22232-2024</t>
        </is>
      </c>
      <c r="B665" s="1" t="n">
        <v>45446.4287962963</v>
      </c>
      <c r="C665" s="1" t="n">
        <v>45988</v>
      </c>
      <c r="D665" t="inlineStr">
        <is>
          <t>STOCKHOLMS LÄN</t>
        </is>
      </c>
      <c r="E665" t="inlineStr">
        <is>
          <t>NORRTÄLJE</t>
        </is>
      </c>
      <c r="G665" t="n">
        <v>12.8</v>
      </c>
      <c r="H665" t="n">
        <v>0</v>
      </c>
      <c r="I665" t="n">
        <v>0</v>
      </c>
      <c r="J665" t="n">
        <v>0</v>
      </c>
      <c r="K665" t="n">
        <v>0</v>
      </c>
      <c r="L665" t="n">
        <v>0</v>
      </c>
      <c r="M665" t="n">
        <v>0</v>
      </c>
      <c r="N665" t="n">
        <v>0</v>
      </c>
      <c r="O665" t="n">
        <v>0</v>
      </c>
      <c r="P665" t="n">
        <v>0</v>
      </c>
      <c r="Q665" t="n">
        <v>0</v>
      </c>
      <c r="R665" s="2" t="inlineStr"/>
    </row>
    <row r="666" ht="15" customHeight="1">
      <c r="A666" t="inlineStr">
        <is>
          <t>A 35256-2025</t>
        </is>
      </c>
      <c r="B666" s="1" t="n">
        <v>45853</v>
      </c>
      <c r="C666" s="1" t="n">
        <v>45988</v>
      </c>
      <c r="D666" t="inlineStr">
        <is>
          <t>STOCKHOLMS LÄN</t>
        </is>
      </c>
      <c r="E666" t="inlineStr">
        <is>
          <t>NORRTÄLJE</t>
        </is>
      </c>
      <c r="G666" t="n">
        <v>6.4</v>
      </c>
      <c r="H666" t="n">
        <v>0</v>
      </c>
      <c r="I666" t="n">
        <v>0</v>
      </c>
      <c r="J666" t="n">
        <v>0</v>
      </c>
      <c r="K666" t="n">
        <v>0</v>
      </c>
      <c r="L666" t="n">
        <v>0</v>
      </c>
      <c r="M666" t="n">
        <v>0</v>
      </c>
      <c r="N666" t="n">
        <v>0</v>
      </c>
      <c r="O666" t="n">
        <v>0</v>
      </c>
      <c r="P666" t="n">
        <v>0</v>
      </c>
      <c r="Q666" t="n">
        <v>0</v>
      </c>
      <c r="R666" s="2" t="inlineStr"/>
    </row>
    <row r="667" ht="15" customHeight="1">
      <c r="A667" t="inlineStr">
        <is>
          <t>A 36396-2025</t>
        </is>
      </c>
      <c r="B667" s="1" t="n">
        <v>45868.62267361111</v>
      </c>
      <c r="C667" s="1" t="n">
        <v>45988</v>
      </c>
      <c r="D667" t="inlineStr">
        <is>
          <t>STOCKHOLMS LÄN</t>
        </is>
      </c>
      <c r="E667" t="inlineStr">
        <is>
          <t>NORRTÄLJE</t>
        </is>
      </c>
      <c r="G667" t="n">
        <v>4.1</v>
      </c>
      <c r="H667" t="n">
        <v>0</v>
      </c>
      <c r="I667" t="n">
        <v>0</v>
      </c>
      <c r="J667" t="n">
        <v>0</v>
      </c>
      <c r="K667" t="n">
        <v>0</v>
      </c>
      <c r="L667" t="n">
        <v>0</v>
      </c>
      <c r="M667" t="n">
        <v>0</v>
      </c>
      <c r="N667" t="n">
        <v>0</v>
      </c>
      <c r="O667" t="n">
        <v>0</v>
      </c>
      <c r="P667" t="n">
        <v>0</v>
      </c>
      <c r="Q667" t="n">
        <v>0</v>
      </c>
      <c r="R667" s="2" t="inlineStr"/>
    </row>
    <row r="668" ht="15" customHeight="1">
      <c r="A668" t="inlineStr">
        <is>
          <t>A 6537-2024</t>
        </is>
      </c>
      <c r="B668" s="1" t="n">
        <v>45341.39853009259</v>
      </c>
      <c r="C668" s="1" t="n">
        <v>45988</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40175-2024</t>
        </is>
      </c>
      <c r="B669" s="1" t="n">
        <v>45554.55707175926</v>
      </c>
      <c r="C669" s="1" t="n">
        <v>45988</v>
      </c>
      <c r="D669" t="inlineStr">
        <is>
          <t>STOCKHOLMS LÄN</t>
        </is>
      </c>
      <c r="E669" t="inlineStr">
        <is>
          <t>NORRTÄLJE</t>
        </is>
      </c>
      <c r="G669" t="n">
        <v>7.7</v>
      </c>
      <c r="H669" t="n">
        <v>0</v>
      </c>
      <c r="I669" t="n">
        <v>0</v>
      </c>
      <c r="J669" t="n">
        <v>0</v>
      </c>
      <c r="K669" t="n">
        <v>0</v>
      </c>
      <c r="L669" t="n">
        <v>0</v>
      </c>
      <c r="M669" t="n">
        <v>0</v>
      </c>
      <c r="N669" t="n">
        <v>0</v>
      </c>
      <c r="O669" t="n">
        <v>0</v>
      </c>
      <c r="P669" t="n">
        <v>0</v>
      </c>
      <c r="Q669" t="n">
        <v>0</v>
      </c>
      <c r="R669" s="2" t="inlineStr"/>
    </row>
    <row r="670" ht="15" customHeight="1">
      <c r="A670" t="inlineStr">
        <is>
          <t>A 54558-2024</t>
        </is>
      </c>
      <c r="B670" s="1" t="n">
        <v>45617.62358796296</v>
      </c>
      <c r="C670" s="1" t="n">
        <v>45988</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23056-2023</t>
        </is>
      </c>
      <c r="B671" s="1" t="n">
        <v>45075</v>
      </c>
      <c r="C671" s="1" t="n">
        <v>45988</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67393-2020</t>
        </is>
      </c>
      <c r="B672" s="1" t="n">
        <v>44181</v>
      </c>
      <c r="C672" s="1" t="n">
        <v>45988</v>
      </c>
      <c r="D672" t="inlineStr">
        <is>
          <t>STOCKHOLMS LÄN</t>
        </is>
      </c>
      <c r="E672" t="inlineStr">
        <is>
          <t>NORRTÄLJE</t>
        </is>
      </c>
      <c r="G672" t="n">
        <v>5.5</v>
      </c>
      <c r="H672" t="n">
        <v>0</v>
      </c>
      <c r="I672" t="n">
        <v>0</v>
      </c>
      <c r="J672" t="n">
        <v>0</v>
      </c>
      <c r="K672" t="n">
        <v>0</v>
      </c>
      <c r="L672" t="n">
        <v>0</v>
      </c>
      <c r="M672" t="n">
        <v>0</v>
      </c>
      <c r="N672" t="n">
        <v>0</v>
      </c>
      <c r="O672" t="n">
        <v>0</v>
      </c>
      <c r="P672" t="n">
        <v>0</v>
      </c>
      <c r="Q672" t="n">
        <v>0</v>
      </c>
      <c r="R672" s="2" t="inlineStr"/>
    </row>
    <row r="673" ht="15" customHeight="1">
      <c r="A673" t="inlineStr">
        <is>
          <t>A 47431-2023</t>
        </is>
      </c>
      <c r="B673" s="1" t="n">
        <v>45202</v>
      </c>
      <c r="C673" s="1" t="n">
        <v>45988</v>
      </c>
      <c r="D673" t="inlineStr">
        <is>
          <t>STOCKHOLMS LÄN</t>
        </is>
      </c>
      <c r="E673" t="inlineStr">
        <is>
          <t>NORRTÄLJE</t>
        </is>
      </c>
      <c r="F673" t="inlineStr">
        <is>
          <t>Naturvårdsverket</t>
        </is>
      </c>
      <c r="G673" t="n">
        <v>1.2</v>
      </c>
      <c r="H673" t="n">
        <v>0</v>
      </c>
      <c r="I673" t="n">
        <v>0</v>
      </c>
      <c r="J673" t="n">
        <v>0</v>
      </c>
      <c r="K673" t="n">
        <v>0</v>
      </c>
      <c r="L673" t="n">
        <v>0</v>
      </c>
      <c r="M673" t="n">
        <v>0</v>
      </c>
      <c r="N673" t="n">
        <v>0</v>
      </c>
      <c r="O673" t="n">
        <v>0</v>
      </c>
      <c r="P673" t="n">
        <v>0</v>
      </c>
      <c r="Q673" t="n">
        <v>0</v>
      </c>
      <c r="R673" s="2" t="inlineStr"/>
    </row>
    <row r="674" ht="15" customHeight="1">
      <c r="A674" t="inlineStr">
        <is>
          <t>A 59499-2023</t>
        </is>
      </c>
      <c r="B674" s="1" t="n">
        <v>45254</v>
      </c>
      <c r="C674" s="1" t="n">
        <v>45988</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59468-2023</t>
        </is>
      </c>
      <c r="B675" s="1" t="n">
        <v>45254.41509259259</v>
      </c>
      <c r="C675" s="1" t="n">
        <v>45988</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12532-2025</t>
        </is>
      </c>
      <c r="B676" s="1" t="n">
        <v>45730.69143518519</v>
      </c>
      <c r="C676" s="1" t="n">
        <v>45988</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5732-2023</t>
        </is>
      </c>
      <c r="B677" s="1" t="n">
        <v>44962</v>
      </c>
      <c r="C677" s="1" t="n">
        <v>45988</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10653-2022</t>
        </is>
      </c>
      <c r="B678" s="1" t="n">
        <v>44624.59434027778</v>
      </c>
      <c r="C678" s="1" t="n">
        <v>45988</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21729-2024</t>
        </is>
      </c>
      <c r="B679" s="1" t="n">
        <v>45442</v>
      </c>
      <c r="C679" s="1" t="n">
        <v>45988</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11854-2025</t>
        </is>
      </c>
      <c r="B680" s="1" t="n">
        <v>45728.38924768518</v>
      </c>
      <c r="C680" s="1" t="n">
        <v>45988</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14762-2024</t>
        </is>
      </c>
      <c r="B681" s="1" t="n">
        <v>45397</v>
      </c>
      <c r="C681" s="1" t="n">
        <v>45988</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47498-2025</t>
        </is>
      </c>
      <c r="B682" s="1" t="n">
        <v>45930.8134375</v>
      </c>
      <c r="C682" s="1" t="n">
        <v>45988</v>
      </c>
      <c r="D682" t="inlineStr">
        <is>
          <t>STOCKHOLMS LÄN</t>
        </is>
      </c>
      <c r="E682" t="inlineStr">
        <is>
          <t>NORRTÄLJE</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56114-2025</t>
        </is>
      </c>
      <c r="B683" s="1" t="n">
        <v>45973.74474537037</v>
      </c>
      <c r="C683" s="1" t="n">
        <v>45988</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47460-2025</t>
        </is>
      </c>
      <c r="B684" s="1" t="n">
        <v>45930.66012731481</v>
      </c>
      <c r="C684" s="1" t="n">
        <v>45988</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47496-2025</t>
        </is>
      </c>
      <c r="B685" s="1" t="n">
        <v>45930.79252314815</v>
      </c>
      <c r="C685" s="1" t="n">
        <v>45988</v>
      </c>
      <c r="D685" t="inlineStr">
        <is>
          <t>STOCKHOLMS LÄN</t>
        </is>
      </c>
      <c r="E685" t="inlineStr">
        <is>
          <t>NORRTÄLJE</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47497-2025</t>
        </is>
      </c>
      <c r="B686" s="1" t="n">
        <v>45930.80217592593</v>
      </c>
      <c r="C686" s="1" t="n">
        <v>45988</v>
      </c>
      <c r="D686" t="inlineStr">
        <is>
          <t>STOCKHOLMS LÄN</t>
        </is>
      </c>
      <c r="E686" t="inlineStr">
        <is>
          <t>NORRTÄLJE</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37261-2025</t>
        </is>
      </c>
      <c r="B687" s="1" t="n">
        <v>45876.45253472222</v>
      </c>
      <c r="C687" s="1" t="n">
        <v>45988</v>
      </c>
      <c r="D687" t="inlineStr">
        <is>
          <t>STOCKHOLMS LÄN</t>
        </is>
      </c>
      <c r="E687" t="inlineStr">
        <is>
          <t>NORRTÄLJE</t>
        </is>
      </c>
      <c r="F687" t="inlineStr">
        <is>
          <t>Kommuner</t>
        </is>
      </c>
      <c r="G687" t="n">
        <v>2.2</v>
      </c>
      <c r="H687" t="n">
        <v>0</v>
      </c>
      <c r="I687" t="n">
        <v>0</v>
      </c>
      <c r="J687" t="n">
        <v>0</v>
      </c>
      <c r="K687" t="n">
        <v>0</v>
      </c>
      <c r="L687" t="n">
        <v>0</v>
      </c>
      <c r="M687" t="n">
        <v>0</v>
      </c>
      <c r="N687" t="n">
        <v>0</v>
      </c>
      <c r="O687" t="n">
        <v>0</v>
      </c>
      <c r="P687" t="n">
        <v>0</v>
      </c>
      <c r="Q687" t="n">
        <v>0</v>
      </c>
      <c r="R687" s="2" t="inlineStr"/>
    </row>
    <row r="688" ht="15" customHeight="1">
      <c r="A688" t="inlineStr">
        <is>
          <t>A 59712-2024</t>
        </is>
      </c>
      <c r="B688" s="1" t="n">
        <v>45639.45166666667</v>
      </c>
      <c r="C688" s="1" t="n">
        <v>45988</v>
      </c>
      <c r="D688" t="inlineStr">
        <is>
          <t>STOCKHOLMS LÄN</t>
        </is>
      </c>
      <c r="E688" t="inlineStr">
        <is>
          <t>NORRTÄLJE</t>
        </is>
      </c>
      <c r="G688" t="n">
        <v>4.4</v>
      </c>
      <c r="H688" t="n">
        <v>0</v>
      </c>
      <c r="I688" t="n">
        <v>0</v>
      </c>
      <c r="J688" t="n">
        <v>0</v>
      </c>
      <c r="K688" t="n">
        <v>0</v>
      </c>
      <c r="L688" t="n">
        <v>0</v>
      </c>
      <c r="M688" t="n">
        <v>0</v>
      </c>
      <c r="N688" t="n">
        <v>0</v>
      </c>
      <c r="O688" t="n">
        <v>0</v>
      </c>
      <c r="P688" t="n">
        <v>0</v>
      </c>
      <c r="Q688" t="n">
        <v>0</v>
      </c>
      <c r="R688" s="2" t="inlineStr"/>
    </row>
    <row r="689" ht="15" customHeight="1">
      <c r="A689" t="inlineStr">
        <is>
          <t>A 48360-2025</t>
        </is>
      </c>
      <c r="B689" s="1" t="n">
        <v>45933.66253472222</v>
      </c>
      <c r="C689" s="1" t="n">
        <v>45988</v>
      </c>
      <c r="D689" t="inlineStr">
        <is>
          <t>STOCKHOLMS LÄN</t>
        </is>
      </c>
      <c r="E689" t="inlineStr">
        <is>
          <t>NORRTÄLJE</t>
        </is>
      </c>
      <c r="G689" t="n">
        <v>4.1</v>
      </c>
      <c r="H689" t="n">
        <v>0</v>
      </c>
      <c r="I689" t="n">
        <v>0</v>
      </c>
      <c r="J689" t="n">
        <v>0</v>
      </c>
      <c r="K689" t="n">
        <v>0</v>
      </c>
      <c r="L689" t="n">
        <v>0</v>
      </c>
      <c r="M689" t="n">
        <v>0</v>
      </c>
      <c r="N689" t="n">
        <v>0</v>
      </c>
      <c r="O689" t="n">
        <v>0</v>
      </c>
      <c r="P689" t="n">
        <v>0</v>
      </c>
      <c r="Q689" t="n">
        <v>0</v>
      </c>
      <c r="R689" s="2" t="inlineStr"/>
    </row>
    <row r="690" ht="15" customHeight="1">
      <c r="A690" t="inlineStr">
        <is>
          <t>A 48370-2025</t>
        </is>
      </c>
      <c r="B690" s="1" t="n">
        <v>45933.67854166667</v>
      </c>
      <c r="C690" s="1" t="n">
        <v>45988</v>
      </c>
      <c r="D690" t="inlineStr">
        <is>
          <t>STOCKHOLMS LÄN</t>
        </is>
      </c>
      <c r="E690" t="inlineStr">
        <is>
          <t>NORRTÄLJE</t>
        </is>
      </c>
      <c r="G690" t="n">
        <v>4.5</v>
      </c>
      <c r="H690" t="n">
        <v>0</v>
      </c>
      <c r="I690" t="n">
        <v>0</v>
      </c>
      <c r="J690" t="n">
        <v>0</v>
      </c>
      <c r="K690" t="n">
        <v>0</v>
      </c>
      <c r="L690" t="n">
        <v>0</v>
      </c>
      <c r="M690" t="n">
        <v>0</v>
      </c>
      <c r="N690" t="n">
        <v>0</v>
      </c>
      <c r="O690" t="n">
        <v>0</v>
      </c>
      <c r="P690" t="n">
        <v>0</v>
      </c>
      <c r="Q690" t="n">
        <v>0</v>
      </c>
      <c r="R690" s="2" t="inlineStr"/>
    </row>
    <row r="691" ht="15" customHeight="1">
      <c r="A691" t="inlineStr">
        <is>
          <t>A 35127-2023</t>
        </is>
      </c>
      <c r="B691" s="1" t="n">
        <v>45145.51</v>
      </c>
      <c r="C691" s="1" t="n">
        <v>45988</v>
      </c>
      <c r="D691" t="inlineStr">
        <is>
          <t>STOCKHOLMS LÄN</t>
        </is>
      </c>
      <c r="E691" t="inlineStr">
        <is>
          <t>NORRTÄLJE</t>
        </is>
      </c>
      <c r="G691" t="n">
        <v>4.7</v>
      </c>
      <c r="H691" t="n">
        <v>0</v>
      </c>
      <c r="I691" t="n">
        <v>0</v>
      </c>
      <c r="J691" t="n">
        <v>0</v>
      </c>
      <c r="K691" t="n">
        <v>0</v>
      </c>
      <c r="L691" t="n">
        <v>0</v>
      </c>
      <c r="M691" t="n">
        <v>0</v>
      </c>
      <c r="N691" t="n">
        <v>0</v>
      </c>
      <c r="O691" t="n">
        <v>0</v>
      </c>
      <c r="P691" t="n">
        <v>0</v>
      </c>
      <c r="Q691" t="n">
        <v>0</v>
      </c>
      <c r="R691" s="2" t="inlineStr"/>
    </row>
    <row r="692" ht="15" customHeight="1">
      <c r="A692" t="inlineStr">
        <is>
          <t>A 48364-2025</t>
        </is>
      </c>
      <c r="B692" s="1" t="n">
        <v>45933.66796296297</v>
      </c>
      <c r="C692" s="1" t="n">
        <v>45988</v>
      </c>
      <c r="D692" t="inlineStr">
        <is>
          <t>STOCKHOLMS LÄN</t>
        </is>
      </c>
      <c r="E692" t="inlineStr">
        <is>
          <t>NORRTÄLJE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37628-2025</t>
        </is>
      </c>
      <c r="B693" s="1" t="n">
        <v>45880.46189814815</v>
      </c>
      <c r="C693" s="1" t="n">
        <v>45988</v>
      </c>
      <c r="D693" t="inlineStr">
        <is>
          <t>STOCKHOLMS LÄN</t>
        </is>
      </c>
      <c r="E693" t="inlineStr">
        <is>
          <t>NORRTÄLJE</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29369-2024</t>
        </is>
      </c>
      <c r="B694" s="1" t="n">
        <v>45483.57244212963</v>
      </c>
      <c r="C694" s="1" t="n">
        <v>45988</v>
      </c>
      <c r="D694" t="inlineStr">
        <is>
          <t>STOCKHOLMS LÄN</t>
        </is>
      </c>
      <c r="E694" t="inlineStr">
        <is>
          <t>NORRTÄLJE</t>
        </is>
      </c>
      <c r="G694" t="n">
        <v>15.9</v>
      </c>
      <c r="H694" t="n">
        <v>0</v>
      </c>
      <c r="I694" t="n">
        <v>0</v>
      </c>
      <c r="J694" t="n">
        <v>0</v>
      </c>
      <c r="K694" t="n">
        <v>0</v>
      </c>
      <c r="L694" t="n">
        <v>0</v>
      </c>
      <c r="M694" t="n">
        <v>0</v>
      </c>
      <c r="N694" t="n">
        <v>0</v>
      </c>
      <c r="O694" t="n">
        <v>0</v>
      </c>
      <c r="P694" t="n">
        <v>0</v>
      </c>
      <c r="Q694" t="n">
        <v>0</v>
      </c>
      <c r="R694" s="2" t="inlineStr"/>
    </row>
    <row r="695" ht="15" customHeight="1">
      <c r="A695" t="inlineStr">
        <is>
          <t>A 37632-2025</t>
        </is>
      </c>
      <c r="B695" s="1" t="n">
        <v>45880.46524305556</v>
      </c>
      <c r="C695" s="1" t="n">
        <v>45988</v>
      </c>
      <c r="D695" t="inlineStr">
        <is>
          <t>STOCKHOLMS LÄN</t>
        </is>
      </c>
      <c r="E695" t="inlineStr">
        <is>
          <t>NORRTÄLJE</t>
        </is>
      </c>
      <c r="F695" t="inlineStr">
        <is>
          <t>Sveaskog</t>
        </is>
      </c>
      <c r="G695" t="n">
        <v>6.4</v>
      </c>
      <c r="H695" t="n">
        <v>0</v>
      </c>
      <c r="I695" t="n">
        <v>0</v>
      </c>
      <c r="J695" t="n">
        <v>0</v>
      </c>
      <c r="K695" t="n">
        <v>0</v>
      </c>
      <c r="L695" t="n">
        <v>0</v>
      </c>
      <c r="M695" t="n">
        <v>0</v>
      </c>
      <c r="N695" t="n">
        <v>0</v>
      </c>
      <c r="O695" t="n">
        <v>0</v>
      </c>
      <c r="P695" t="n">
        <v>0</v>
      </c>
      <c r="Q695" t="n">
        <v>0</v>
      </c>
      <c r="R695" s="2" t="inlineStr"/>
    </row>
    <row r="696" ht="15" customHeight="1">
      <c r="A696" t="inlineStr">
        <is>
          <t>A 29841-2024</t>
        </is>
      </c>
      <c r="B696" s="1" t="n">
        <v>45485.60261574074</v>
      </c>
      <c r="C696" s="1" t="n">
        <v>45988</v>
      </c>
      <c r="D696" t="inlineStr">
        <is>
          <t>STOCKHOLMS LÄN</t>
        </is>
      </c>
      <c r="E696" t="inlineStr">
        <is>
          <t>NORRTÄLJE</t>
        </is>
      </c>
      <c r="G696" t="n">
        <v>15.9</v>
      </c>
      <c r="H696" t="n">
        <v>0</v>
      </c>
      <c r="I696" t="n">
        <v>0</v>
      </c>
      <c r="J696" t="n">
        <v>0</v>
      </c>
      <c r="K696" t="n">
        <v>0</v>
      </c>
      <c r="L696" t="n">
        <v>0</v>
      </c>
      <c r="M696" t="n">
        <v>0</v>
      </c>
      <c r="N696" t="n">
        <v>0</v>
      </c>
      <c r="O696" t="n">
        <v>0</v>
      </c>
      <c r="P696" t="n">
        <v>0</v>
      </c>
      <c r="Q696" t="n">
        <v>0</v>
      </c>
      <c r="R696" s="2" t="inlineStr"/>
    </row>
    <row r="697" ht="15" customHeight="1">
      <c r="A697" t="inlineStr">
        <is>
          <t>A 20692-2025</t>
        </is>
      </c>
      <c r="B697" s="1" t="n">
        <v>45776.46369212963</v>
      </c>
      <c r="C697" s="1" t="n">
        <v>45988</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45255-2022</t>
        </is>
      </c>
      <c r="B698" s="1" t="n">
        <v>44840</v>
      </c>
      <c r="C698" s="1" t="n">
        <v>45988</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37630-2025</t>
        </is>
      </c>
      <c r="B699" s="1" t="n">
        <v>45880.46372685185</v>
      </c>
      <c r="C699" s="1" t="n">
        <v>45988</v>
      </c>
      <c r="D699" t="inlineStr">
        <is>
          <t>STOCKHOLMS LÄN</t>
        </is>
      </c>
      <c r="E699" t="inlineStr">
        <is>
          <t>NORRTÄLJE</t>
        </is>
      </c>
      <c r="F699" t="inlineStr">
        <is>
          <t>Sveaskog</t>
        </is>
      </c>
      <c r="G699" t="n">
        <v>12.9</v>
      </c>
      <c r="H699" t="n">
        <v>0</v>
      </c>
      <c r="I699" t="n">
        <v>0</v>
      </c>
      <c r="J699" t="n">
        <v>0</v>
      </c>
      <c r="K699" t="n">
        <v>0</v>
      </c>
      <c r="L699" t="n">
        <v>0</v>
      </c>
      <c r="M699" t="n">
        <v>0</v>
      </c>
      <c r="N699" t="n">
        <v>0</v>
      </c>
      <c r="O699" t="n">
        <v>0</v>
      </c>
      <c r="P699" t="n">
        <v>0</v>
      </c>
      <c r="Q699" t="n">
        <v>0</v>
      </c>
      <c r="R699" s="2" t="inlineStr"/>
    </row>
    <row r="700" ht="15" customHeight="1">
      <c r="A700" t="inlineStr">
        <is>
          <t>A 59893-2022</t>
        </is>
      </c>
      <c r="B700" s="1" t="n">
        <v>44908.77368055555</v>
      </c>
      <c r="C700" s="1" t="n">
        <v>45988</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46071-2024</t>
        </is>
      </c>
      <c r="B701" s="1" t="n">
        <v>45581</v>
      </c>
      <c r="C701" s="1" t="n">
        <v>45988</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56207-2025</t>
        </is>
      </c>
      <c r="B702" s="1" t="n">
        <v>45974.47329861111</v>
      </c>
      <c r="C702" s="1" t="n">
        <v>45988</v>
      </c>
      <c r="D702" t="inlineStr">
        <is>
          <t>STOCKHOLMS LÄN</t>
        </is>
      </c>
      <c r="E702" t="inlineStr">
        <is>
          <t>NORRTÄLJE</t>
        </is>
      </c>
      <c r="G702" t="n">
        <v>3.2</v>
      </c>
      <c r="H702" t="n">
        <v>0</v>
      </c>
      <c r="I702" t="n">
        <v>0</v>
      </c>
      <c r="J702" t="n">
        <v>0</v>
      </c>
      <c r="K702" t="n">
        <v>0</v>
      </c>
      <c r="L702" t="n">
        <v>0</v>
      </c>
      <c r="M702" t="n">
        <v>0</v>
      </c>
      <c r="N702" t="n">
        <v>0</v>
      </c>
      <c r="O702" t="n">
        <v>0</v>
      </c>
      <c r="P702" t="n">
        <v>0</v>
      </c>
      <c r="Q702" t="n">
        <v>0</v>
      </c>
      <c r="R702" s="2" t="inlineStr"/>
    </row>
    <row r="703" ht="15" customHeight="1">
      <c r="A703" t="inlineStr">
        <is>
          <t>A 39905-2023</t>
        </is>
      </c>
      <c r="B703" s="1" t="n">
        <v>45168.44489583333</v>
      </c>
      <c r="C703" s="1" t="n">
        <v>45988</v>
      </c>
      <c r="D703" t="inlineStr">
        <is>
          <t>STOCKHOLMS LÄN</t>
        </is>
      </c>
      <c r="E703" t="inlineStr">
        <is>
          <t>NORRTÄLJE</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5645-2023</t>
        </is>
      </c>
      <c r="B704" s="1" t="n">
        <v>44960.60469907407</v>
      </c>
      <c r="C704" s="1" t="n">
        <v>45988</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48174-2025</t>
        </is>
      </c>
      <c r="B705" s="1" t="n">
        <v>45933.44230324074</v>
      </c>
      <c r="C705" s="1" t="n">
        <v>45988</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68361-2021</t>
        </is>
      </c>
      <c r="B706" s="1" t="n">
        <v>44528.91494212963</v>
      </c>
      <c r="C706" s="1" t="n">
        <v>45988</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60529-2023</t>
        </is>
      </c>
      <c r="B707" s="1" t="n">
        <v>45259</v>
      </c>
      <c r="C707" s="1" t="n">
        <v>45988</v>
      </c>
      <c r="D707" t="inlineStr">
        <is>
          <t>STOCKHOLMS LÄN</t>
        </is>
      </c>
      <c r="E707" t="inlineStr">
        <is>
          <t>NORRTÄLJE</t>
        </is>
      </c>
      <c r="G707" t="n">
        <v>2.6</v>
      </c>
      <c r="H707" t="n">
        <v>0</v>
      </c>
      <c r="I707" t="n">
        <v>0</v>
      </c>
      <c r="J707" t="n">
        <v>0</v>
      </c>
      <c r="K707" t="n">
        <v>0</v>
      </c>
      <c r="L707" t="n">
        <v>0</v>
      </c>
      <c r="M707" t="n">
        <v>0</v>
      </c>
      <c r="N707" t="n">
        <v>0</v>
      </c>
      <c r="O707" t="n">
        <v>0</v>
      </c>
      <c r="P707" t="n">
        <v>0</v>
      </c>
      <c r="Q707" t="n">
        <v>0</v>
      </c>
      <c r="R707" s="2" t="inlineStr"/>
    </row>
    <row r="708" ht="15" customHeight="1">
      <c r="A708" t="inlineStr">
        <is>
          <t>A 13137-2024</t>
        </is>
      </c>
      <c r="B708" s="1" t="n">
        <v>45386.34175925926</v>
      </c>
      <c r="C708" s="1" t="n">
        <v>45988</v>
      </c>
      <c r="D708" t="inlineStr">
        <is>
          <t>STOCKHOLMS LÄN</t>
        </is>
      </c>
      <c r="E708" t="inlineStr">
        <is>
          <t>NORRTÄLJE</t>
        </is>
      </c>
      <c r="G708" t="n">
        <v>5</v>
      </c>
      <c r="H708" t="n">
        <v>0</v>
      </c>
      <c r="I708" t="n">
        <v>0</v>
      </c>
      <c r="J708" t="n">
        <v>0</v>
      </c>
      <c r="K708" t="n">
        <v>0</v>
      </c>
      <c r="L708" t="n">
        <v>0</v>
      </c>
      <c r="M708" t="n">
        <v>0</v>
      </c>
      <c r="N708" t="n">
        <v>0</v>
      </c>
      <c r="O708" t="n">
        <v>0</v>
      </c>
      <c r="P708" t="n">
        <v>0</v>
      </c>
      <c r="Q708" t="n">
        <v>0</v>
      </c>
      <c r="R708" s="2" t="inlineStr"/>
    </row>
    <row r="709" ht="15" customHeight="1">
      <c r="A709" t="inlineStr">
        <is>
          <t>A 48127-2025</t>
        </is>
      </c>
      <c r="B709" s="1" t="n">
        <v>45933.36621527778</v>
      </c>
      <c r="C709" s="1" t="n">
        <v>45988</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48179-2025</t>
        </is>
      </c>
      <c r="B710" s="1" t="n">
        <v>45933.44907407407</v>
      </c>
      <c r="C710" s="1" t="n">
        <v>45988</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24350-2025</t>
        </is>
      </c>
      <c r="B711" s="1" t="n">
        <v>45797.58350694444</v>
      </c>
      <c r="C711" s="1" t="n">
        <v>45988</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26703-2025</t>
        </is>
      </c>
      <c r="B712" s="1" t="n">
        <v>45810.45263888889</v>
      </c>
      <c r="C712" s="1" t="n">
        <v>45988</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19706-2023</t>
        </is>
      </c>
      <c r="B713" s="1" t="n">
        <v>45051.455</v>
      </c>
      <c r="C713" s="1" t="n">
        <v>45988</v>
      </c>
      <c r="D713" t="inlineStr">
        <is>
          <t>STOCKHOLMS LÄN</t>
        </is>
      </c>
      <c r="E713" t="inlineStr">
        <is>
          <t>NORRTÄLJE</t>
        </is>
      </c>
      <c r="G713" t="n">
        <v>0.2</v>
      </c>
      <c r="H713" t="n">
        <v>0</v>
      </c>
      <c r="I713" t="n">
        <v>0</v>
      </c>
      <c r="J713" t="n">
        <v>0</v>
      </c>
      <c r="K713" t="n">
        <v>0</v>
      </c>
      <c r="L713" t="n">
        <v>0</v>
      </c>
      <c r="M713" t="n">
        <v>0</v>
      </c>
      <c r="N713" t="n">
        <v>0</v>
      </c>
      <c r="O713" t="n">
        <v>0</v>
      </c>
      <c r="P713" t="n">
        <v>0</v>
      </c>
      <c r="Q713" t="n">
        <v>0</v>
      </c>
      <c r="R713" s="2" t="inlineStr"/>
    </row>
    <row r="714" ht="15" customHeight="1">
      <c r="A714" t="inlineStr">
        <is>
          <t>A 38153-2025</t>
        </is>
      </c>
      <c r="B714" s="1" t="n">
        <v>45882.59722222222</v>
      </c>
      <c r="C714" s="1" t="n">
        <v>45988</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48718-2025</t>
        </is>
      </c>
      <c r="B715" s="1" t="n">
        <v>45936</v>
      </c>
      <c r="C715" s="1" t="n">
        <v>45988</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18539-2021</t>
        </is>
      </c>
      <c r="B716" s="1" t="n">
        <v>44306</v>
      </c>
      <c r="C716" s="1" t="n">
        <v>45988</v>
      </c>
      <c r="D716" t="inlineStr">
        <is>
          <t>STOCKHOLMS LÄN</t>
        </is>
      </c>
      <c r="E716" t="inlineStr">
        <is>
          <t>NORRTÄLJE</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17612-2022</t>
        </is>
      </c>
      <c r="B717" s="1" t="n">
        <v>44680</v>
      </c>
      <c r="C717" s="1" t="n">
        <v>45988</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16835-2022</t>
        </is>
      </c>
      <c r="B718" s="1" t="n">
        <v>44673</v>
      </c>
      <c r="C718" s="1" t="n">
        <v>45988</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22816-2021</t>
        </is>
      </c>
      <c r="B719" s="1" t="n">
        <v>44325</v>
      </c>
      <c r="C719" s="1" t="n">
        <v>45988</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62765-2022</t>
        </is>
      </c>
      <c r="B720" s="1" t="n">
        <v>44637</v>
      </c>
      <c r="C720" s="1" t="n">
        <v>45988</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58404-2023</t>
        </is>
      </c>
      <c r="B721" s="1" t="n">
        <v>45245</v>
      </c>
      <c r="C721" s="1" t="n">
        <v>45988</v>
      </c>
      <c r="D721" t="inlineStr">
        <is>
          <t>STOCKHOLMS LÄN</t>
        </is>
      </c>
      <c r="E721" t="inlineStr">
        <is>
          <t>NORRTÄLJE</t>
        </is>
      </c>
      <c r="G721" t="n">
        <v>53.5</v>
      </c>
      <c r="H721" t="n">
        <v>0</v>
      </c>
      <c r="I721" t="n">
        <v>0</v>
      </c>
      <c r="J721" t="n">
        <v>0</v>
      </c>
      <c r="K721" t="n">
        <v>0</v>
      </c>
      <c r="L721" t="n">
        <v>0</v>
      </c>
      <c r="M721" t="n">
        <v>0</v>
      </c>
      <c r="N721" t="n">
        <v>0</v>
      </c>
      <c r="O721" t="n">
        <v>0</v>
      </c>
      <c r="P721" t="n">
        <v>0</v>
      </c>
      <c r="Q721" t="n">
        <v>0</v>
      </c>
      <c r="R721" s="2" t="inlineStr"/>
    </row>
    <row r="722" ht="15" customHeight="1">
      <c r="A722" t="inlineStr">
        <is>
          <t>A 8586-2023</t>
        </is>
      </c>
      <c r="B722" s="1" t="n">
        <v>44977</v>
      </c>
      <c r="C722" s="1" t="n">
        <v>45988</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48593-2025</t>
        </is>
      </c>
      <c r="B723" s="1" t="n">
        <v>45936.4627662037</v>
      </c>
      <c r="C723" s="1" t="n">
        <v>45988</v>
      </c>
      <c r="D723" t="inlineStr">
        <is>
          <t>STOCKHOLMS LÄN</t>
        </is>
      </c>
      <c r="E723" t="inlineStr">
        <is>
          <t>NORRTÄLJE</t>
        </is>
      </c>
      <c r="G723" t="n">
        <v>4.2</v>
      </c>
      <c r="H723" t="n">
        <v>0</v>
      </c>
      <c r="I723" t="n">
        <v>0</v>
      </c>
      <c r="J723" t="n">
        <v>0</v>
      </c>
      <c r="K723" t="n">
        <v>0</v>
      </c>
      <c r="L723" t="n">
        <v>0</v>
      </c>
      <c r="M723" t="n">
        <v>0</v>
      </c>
      <c r="N723" t="n">
        <v>0</v>
      </c>
      <c r="O723" t="n">
        <v>0</v>
      </c>
      <c r="P723" t="n">
        <v>0</v>
      </c>
      <c r="Q723" t="n">
        <v>0</v>
      </c>
      <c r="R723" s="2" t="inlineStr"/>
    </row>
    <row r="724" ht="15" customHeight="1">
      <c r="A724" t="inlineStr">
        <is>
          <t>A 33279-2025</t>
        </is>
      </c>
      <c r="B724" s="1" t="n">
        <v>45840</v>
      </c>
      <c r="C724" s="1" t="n">
        <v>45988</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16202-2022</t>
        </is>
      </c>
      <c r="B725" s="1" t="n">
        <v>44670</v>
      </c>
      <c r="C725" s="1" t="n">
        <v>45988</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55018-2024</t>
        </is>
      </c>
      <c r="B726" s="1" t="n">
        <v>45621.35712962963</v>
      </c>
      <c r="C726" s="1" t="n">
        <v>45988</v>
      </c>
      <c r="D726" t="inlineStr">
        <is>
          <t>STOCKHOLMS LÄN</t>
        </is>
      </c>
      <c r="E726" t="inlineStr">
        <is>
          <t>NORRTÄLJE</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50136-2023</t>
        </is>
      </c>
      <c r="B727" s="1" t="n">
        <v>45215</v>
      </c>
      <c r="C727" s="1" t="n">
        <v>45988</v>
      </c>
      <c r="D727" t="inlineStr">
        <is>
          <t>STOCKHOLMS LÄN</t>
        </is>
      </c>
      <c r="E727" t="inlineStr">
        <is>
          <t>NORRTÄLJE</t>
        </is>
      </c>
      <c r="G727" t="n">
        <v>5.2</v>
      </c>
      <c r="H727" t="n">
        <v>0</v>
      </c>
      <c r="I727" t="n">
        <v>0</v>
      </c>
      <c r="J727" t="n">
        <v>0</v>
      </c>
      <c r="K727" t="n">
        <v>0</v>
      </c>
      <c r="L727" t="n">
        <v>0</v>
      </c>
      <c r="M727" t="n">
        <v>0</v>
      </c>
      <c r="N727" t="n">
        <v>0</v>
      </c>
      <c r="O727" t="n">
        <v>0</v>
      </c>
      <c r="P727" t="n">
        <v>0</v>
      </c>
      <c r="Q727" t="n">
        <v>0</v>
      </c>
      <c r="R727" s="2" t="inlineStr"/>
    </row>
    <row r="728" ht="15" customHeight="1">
      <c r="A728" t="inlineStr">
        <is>
          <t>A 25656-2023</t>
        </is>
      </c>
      <c r="B728" s="1" t="n">
        <v>45089</v>
      </c>
      <c r="C728" s="1" t="n">
        <v>45988</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6003-2025</t>
        </is>
      </c>
      <c r="B729" s="1" t="n">
        <v>45695.57881944445</v>
      </c>
      <c r="C729" s="1" t="n">
        <v>45988</v>
      </c>
      <c r="D729" t="inlineStr">
        <is>
          <t>STOCKHOLMS LÄN</t>
        </is>
      </c>
      <c r="E729" t="inlineStr">
        <is>
          <t>NORRTÄLJE</t>
        </is>
      </c>
      <c r="F729" t="inlineStr">
        <is>
          <t>Holmen skog AB</t>
        </is>
      </c>
      <c r="G729" t="n">
        <v>2.3</v>
      </c>
      <c r="H729" t="n">
        <v>0</v>
      </c>
      <c r="I729" t="n">
        <v>0</v>
      </c>
      <c r="J729" t="n">
        <v>0</v>
      </c>
      <c r="K729" t="n">
        <v>0</v>
      </c>
      <c r="L729" t="n">
        <v>0</v>
      </c>
      <c r="M729" t="n">
        <v>0</v>
      </c>
      <c r="N729" t="n">
        <v>0</v>
      </c>
      <c r="O729" t="n">
        <v>0</v>
      </c>
      <c r="P729" t="n">
        <v>0</v>
      </c>
      <c r="Q729" t="n">
        <v>0</v>
      </c>
      <c r="R729" s="2" t="inlineStr"/>
    </row>
    <row r="730" ht="15" customHeight="1">
      <c r="A730" t="inlineStr">
        <is>
          <t>A 48443-2025</t>
        </is>
      </c>
      <c r="B730" s="1" t="n">
        <v>45935.55326388889</v>
      </c>
      <c r="C730" s="1" t="n">
        <v>45988</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67921-2021</t>
        </is>
      </c>
      <c r="B731" s="1" t="n">
        <v>44525</v>
      </c>
      <c r="C731" s="1" t="n">
        <v>45988</v>
      </c>
      <c r="D731" t="inlineStr">
        <is>
          <t>STOCKHOLMS LÄN</t>
        </is>
      </c>
      <c r="E731" t="inlineStr">
        <is>
          <t>NORRTÄLJE</t>
        </is>
      </c>
      <c r="G731" t="n">
        <v>6.3</v>
      </c>
      <c r="H731" t="n">
        <v>0</v>
      </c>
      <c r="I731" t="n">
        <v>0</v>
      </c>
      <c r="J731" t="n">
        <v>0</v>
      </c>
      <c r="K731" t="n">
        <v>0</v>
      </c>
      <c r="L731" t="n">
        <v>0</v>
      </c>
      <c r="M731" t="n">
        <v>0</v>
      </c>
      <c r="N731" t="n">
        <v>0</v>
      </c>
      <c r="O731" t="n">
        <v>0</v>
      </c>
      <c r="P731" t="n">
        <v>0</v>
      </c>
      <c r="Q731" t="n">
        <v>0</v>
      </c>
      <c r="R731" s="2" t="inlineStr"/>
    </row>
    <row r="732" ht="15" customHeight="1">
      <c r="A732" t="inlineStr">
        <is>
          <t>A 11902-2024</t>
        </is>
      </c>
      <c r="B732" s="1" t="n">
        <v>45376.55704861111</v>
      </c>
      <c r="C732" s="1" t="n">
        <v>45988</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38049-2023</t>
        </is>
      </c>
      <c r="B733" s="1" t="n">
        <v>45159</v>
      </c>
      <c r="C733" s="1" t="n">
        <v>45988</v>
      </c>
      <c r="D733" t="inlineStr">
        <is>
          <t>STOCKHOLMS LÄN</t>
        </is>
      </c>
      <c r="E733" t="inlineStr">
        <is>
          <t>NORRTÄLJE</t>
        </is>
      </c>
      <c r="G733" t="n">
        <v>3.6</v>
      </c>
      <c r="H733" t="n">
        <v>0</v>
      </c>
      <c r="I733" t="n">
        <v>0</v>
      </c>
      <c r="J733" t="n">
        <v>0</v>
      </c>
      <c r="K733" t="n">
        <v>0</v>
      </c>
      <c r="L733" t="n">
        <v>0</v>
      </c>
      <c r="M733" t="n">
        <v>0</v>
      </c>
      <c r="N733" t="n">
        <v>0</v>
      </c>
      <c r="O733" t="n">
        <v>0</v>
      </c>
      <c r="P733" t="n">
        <v>0</v>
      </c>
      <c r="Q733" t="n">
        <v>0</v>
      </c>
      <c r="R733" s="2" t="inlineStr"/>
    </row>
    <row r="734" ht="15" customHeight="1">
      <c r="A734" t="inlineStr">
        <is>
          <t>A 59535-2024</t>
        </is>
      </c>
      <c r="B734" s="1" t="n">
        <v>45638.59979166667</v>
      </c>
      <c r="C734" s="1" t="n">
        <v>45988</v>
      </c>
      <c r="D734" t="inlineStr">
        <is>
          <t>STOCKHOLMS LÄN</t>
        </is>
      </c>
      <c r="E734" t="inlineStr">
        <is>
          <t>NORRTÄLJE</t>
        </is>
      </c>
      <c r="F734" t="inlineStr">
        <is>
          <t>Holmen skog AB</t>
        </is>
      </c>
      <c r="G734" t="n">
        <v>1.1</v>
      </c>
      <c r="H734" t="n">
        <v>0</v>
      </c>
      <c r="I734" t="n">
        <v>0</v>
      </c>
      <c r="J734" t="n">
        <v>0</v>
      </c>
      <c r="K734" t="n">
        <v>0</v>
      </c>
      <c r="L734" t="n">
        <v>0</v>
      </c>
      <c r="M734" t="n">
        <v>0</v>
      </c>
      <c r="N734" t="n">
        <v>0</v>
      </c>
      <c r="O734" t="n">
        <v>0</v>
      </c>
      <c r="P734" t="n">
        <v>0</v>
      </c>
      <c r="Q734" t="n">
        <v>0</v>
      </c>
      <c r="R734" s="2" t="inlineStr"/>
    </row>
    <row r="735" ht="15" customHeight="1">
      <c r="A735" t="inlineStr">
        <is>
          <t>A 65499-2021</t>
        </is>
      </c>
      <c r="B735" s="1" t="n">
        <v>44516</v>
      </c>
      <c r="C735" s="1" t="n">
        <v>45988</v>
      </c>
      <c r="D735" t="inlineStr">
        <is>
          <t>STOCKHOLMS LÄN</t>
        </is>
      </c>
      <c r="E735" t="inlineStr">
        <is>
          <t>NORRTÄLJE</t>
        </is>
      </c>
      <c r="F735" t="inlineStr">
        <is>
          <t>Kommuner</t>
        </is>
      </c>
      <c r="G735" t="n">
        <v>5.2</v>
      </c>
      <c r="H735" t="n">
        <v>0</v>
      </c>
      <c r="I735" t="n">
        <v>0</v>
      </c>
      <c r="J735" t="n">
        <v>0</v>
      </c>
      <c r="K735" t="n">
        <v>0</v>
      </c>
      <c r="L735" t="n">
        <v>0</v>
      </c>
      <c r="M735" t="n">
        <v>0</v>
      </c>
      <c r="N735" t="n">
        <v>0</v>
      </c>
      <c r="O735" t="n">
        <v>0</v>
      </c>
      <c r="P735" t="n">
        <v>0</v>
      </c>
      <c r="Q735" t="n">
        <v>0</v>
      </c>
      <c r="R735" s="2" t="inlineStr"/>
    </row>
    <row r="736" ht="15" customHeight="1">
      <c r="A736" t="inlineStr">
        <is>
          <t>A 4183-2025</t>
        </is>
      </c>
      <c r="B736" s="1" t="n">
        <v>45685.44592592592</v>
      </c>
      <c r="C736" s="1" t="n">
        <v>45988</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48780-2025</t>
        </is>
      </c>
      <c r="B737" s="1" t="n">
        <v>45937.30377314815</v>
      </c>
      <c r="C737" s="1" t="n">
        <v>45988</v>
      </c>
      <c r="D737" t="inlineStr">
        <is>
          <t>STOCKHOLMS LÄN</t>
        </is>
      </c>
      <c r="E737" t="inlineStr">
        <is>
          <t>NORRTÄLJE</t>
        </is>
      </c>
      <c r="G737" t="n">
        <v>7.7</v>
      </c>
      <c r="H737" t="n">
        <v>0</v>
      </c>
      <c r="I737" t="n">
        <v>0</v>
      </c>
      <c r="J737" t="n">
        <v>0</v>
      </c>
      <c r="K737" t="n">
        <v>0</v>
      </c>
      <c r="L737" t="n">
        <v>0</v>
      </c>
      <c r="M737" t="n">
        <v>0</v>
      </c>
      <c r="N737" t="n">
        <v>0</v>
      </c>
      <c r="O737" t="n">
        <v>0</v>
      </c>
      <c r="P737" t="n">
        <v>0</v>
      </c>
      <c r="Q737" t="n">
        <v>0</v>
      </c>
      <c r="R737" s="2" t="inlineStr"/>
    </row>
    <row r="738" ht="15" customHeight="1">
      <c r="A738" t="inlineStr">
        <is>
          <t>A 9480-2025</t>
        </is>
      </c>
      <c r="B738" s="1" t="n">
        <v>45715</v>
      </c>
      <c r="C738" s="1" t="n">
        <v>45988</v>
      </c>
      <c r="D738" t="inlineStr">
        <is>
          <t>STOCKHOLMS LÄN</t>
        </is>
      </c>
      <c r="E738" t="inlineStr">
        <is>
          <t>NORRTÄLJE</t>
        </is>
      </c>
      <c r="F738" t="inlineStr">
        <is>
          <t>Övriga Aktiebolag</t>
        </is>
      </c>
      <c r="G738" t="n">
        <v>3.9</v>
      </c>
      <c r="H738" t="n">
        <v>0</v>
      </c>
      <c r="I738" t="n">
        <v>0</v>
      </c>
      <c r="J738" t="n">
        <v>0</v>
      </c>
      <c r="K738" t="n">
        <v>0</v>
      </c>
      <c r="L738" t="n">
        <v>0</v>
      </c>
      <c r="M738" t="n">
        <v>0</v>
      </c>
      <c r="N738" t="n">
        <v>0</v>
      </c>
      <c r="O738" t="n">
        <v>0</v>
      </c>
      <c r="P738" t="n">
        <v>0</v>
      </c>
      <c r="Q738" t="n">
        <v>0</v>
      </c>
      <c r="R738" s="2" t="inlineStr"/>
    </row>
    <row r="739" ht="15" customHeight="1">
      <c r="A739" t="inlineStr">
        <is>
          <t>A 24522-2023</t>
        </is>
      </c>
      <c r="B739" s="1" t="n">
        <v>45082.69179398148</v>
      </c>
      <c r="C739" s="1" t="n">
        <v>45988</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25625-2023</t>
        </is>
      </c>
      <c r="B740" s="1" t="n">
        <v>45089</v>
      </c>
      <c r="C740" s="1" t="n">
        <v>45988</v>
      </c>
      <c r="D740" t="inlineStr">
        <is>
          <t>STOCKHOLMS LÄN</t>
        </is>
      </c>
      <c r="E740" t="inlineStr">
        <is>
          <t>NORRTÄLJE</t>
        </is>
      </c>
      <c r="G740" t="n">
        <v>5.5</v>
      </c>
      <c r="H740" t="n">
        <v>0</v>
      </c>
      <c r="I740" t="n">
        <v>0</v>
      </c>
      <c r="J740" t="n">
        <v>0</v>
      </c>
      <c r="K740" t="n">
        <v>0</v>
      </c>
      <c r="L740" t="n">
        <v>0</v>
      </c>
      <c r="M740" t="n">
        <v>0</v>
      </c>
      <c r="N740" t="n">
        <v>0</v>
      </c>
      <c r="O740" t="n">
        <v>0</v>
      </c>
      <c r="P740" t="n">
        <v>0</v>
      </c>
      <c r="Q740" t="n">
        <v>0</v>
      </c>
      <c r="R740" s="2" t="inlineStr"/>
    </row>
    <row r="741" ht="15" customHeight="1">
      <c r="A741" t="inlineStr">
        <is>
          <t>A 37147-2023</t>
        </is>
      </c>
      <c r="B741" s="1" t="n">
        <v>45155</v>
      </c>
      <c r="C741" s="1" t="n">
        <v>45988</v>
      </c>
      <c r="D741" t="inlineStr">
        <is>
          <t>STOCKHOLMS LÄN</t>
        </is>
      </c>
      <c r="E741" t="inlineStr">
        <is>
          <t>NORRTÄLJE</t>
        </is>
      </c>
      <c r="G741" t="n">
        <v>8</v>
      </c>
      <c r="H741" t="n">
        <v>0</v>
      </c>
      <c r="I741" t="n">
        <v>0</v>
      </c>
      <c r="J741" t="n">
        <v>0</v>
      </c>
      <c r="K741" t="n">
        <v>0</v>
      </c>
      <c r="L741" t="n">
        <v>0</v>
      </c>
      <c r="M741" t="n">
        <v>0</v>
      </c>
      <c r="N741" t="n">
        <v>0</v>
      </c>
      <c r="O741" t="n">
        <v>0</v>
      </c>
      <c r="P741" t="n">
        <v>0</v>
      </c>
      <c r="Q741" t="n">
        <v>0</v>
      </c>
      <c r="R741" s="2" t="inlineStr"/>
    </row>
    <row r="742" ht="15" customHeight="1">
      <c r="A742" t="inlineStr">
        <is>
          <t>A 7186-2024</t>
        </is>
      </c>
      <c r="B742" s="1" t="n">
        <v>45344</v>
      </c>
      <c r="C742" s="1" t="n">
        <v>45988</v>
      </c>
      <c r="D742" t="inlineStr">
        <is>
          <t>STOCKHOLMS LÄN</t>
        </is>
      </c>
      <c r="E742" t="inlineStr">
        <is>
          <t>NORRTÄLJE</t>
        </is>
      </c>
      <c r="G742" t="n">
        <v>4.9</v>
      </c>
      <c r="H742" t="n">
        <v>0</v>
      </c>
      <c r="I742" t="n">
        <v>0</v>
      </c>
      <c r="J742" t="n">
        <v>0</v>
      </c>
      <c r="K742" t="n">
        <v>0</v>
      </c>
      <c r="L742" t="n">
        <v>0</v>
      </c>
      <c r="M742" t="n">
        <v>0</v>
      </c>
      <c r="N742" t="n">
        <v>0</v>
      </c>
      <c r="O742" t="n">
        <v>0</v>
      </c>
      <c r="P742" t="n">
        <v>0</v>
      </c>
      <c r="Q742" t="n">
        <v>0</v>
      </c>
      <c r="R742" s="2" t="inlineStr"/>
    </row>
    <row r="743" ht="15" customHeight="1">
      <c r="A743" t="inlineStr">
        <is>
          <t>A 57602-2024</t>
        </is>
      </c>
      <c r="B743" s="1" t="n">
        <v>45630.52866898148</v>
      </c>
      <c r="C743" s="1" t="n">
        <v>45988</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64600-2021</t>
        </is>
      </c>
      <c r="B744" s="1" t="n">
        <v>44511.70518518519</v>
      </c>
      <c r="C744" s="1" t="n">
        <v>45988</v>
      </c>
      <c r="D744" t="inlineStr">
        <is>
          <t>STOCKHOLMS LÄN</t>
        </is>
      </c>
      <c r="E744" t="inlineStr">
        <is>
          <t>NORRTÄLJE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50602-2021</t>
        </is>
      </c>
      <c r="B745" s="1" t="n">
        <v>44459</v>
      </c>
      <c r="C745" s="1" t="n">
        <v>45988</v>
      </c>
      <c r="D745" t="inlineStr">
        <is>
          <t>STOCKHOLMS LÄN</t>
        </is>
      </c>
      <c r="E745" t="inlineStr">
        <is>
          <t>NORRTÄLJE</t>
        </is>
      </c>
      <c r="F745" t="inlineStr">
        <is>
          <t>Holmen skog AB</t>
        </is>
      </c>
      <c r="G745" t="n">
        <v>2</v>
      </c>
      <c r="H745" t="n">
        <v>0</v>
      </c>
      <c r="I745" t="n">
        <v>0</v>
      </c>
      <c r="J745" t="n">
        <v>0</v>
      </c>
      <c r="K745" t="n">
        <v>0</v>
      </c>
      <c r="L745" t="n">
        <v>0</v>
      </c>
      <c r="M745" t="n">
        <v>0</v>
      </c>
      <c r="N745" t="n">
        <v>0</v>
      </c>
      <c r="O745" t="n">
        <v>0</v>
      </c>
      <c r="P745" t="n">
        <v>0</v>
      </c>
      <c r="Q745" t="n">
        <v>0</v>
      </c>
      <c r="R745" s="2" t="inlineStr"/>
    </row>
    <row r="746" ht="15" customHeight="1">
      <c r="A746" t="inlineStr">
        <is>
          <t>A 26365-2024</t>
        </is>
      </c>
      <c r="B746" s="1" t="n">
        <v>45469</v>
      </c>
      <c r="C746" s="1" t="n">
        <v>45988</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49129-2025</t>
        </is>
      </c>
      <c r="B747" s="1" t="n">
        <v>45937.89517361111</v>
      </c>
      <c r="C747" s="1" t="n">
        <v>45988</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26640-2023</t>
        </is>
      </c>
      <c r="B748" s="1" t="n">
        <v>45092</v>
      </c>
      <c r="C748" s="1" t="n">
        <v>45988</v>
      </c>
      <c r="D748" t="inlineStr">
        <is>
          <t>STOCKHOLMS LÄN</t>
        </is>
      </c>
      <c r="E748" t="inlineStr">
        <is>
          <t>NORRTÄLJE</t>
        </is>
      </c>
      <c r="G748" t="n">
        <v>5.7</v>
      </c>
      <c r="H748" t="n">
        <v>0</v>
      </c>
      <c r="I748" t="n">
        <v>0</v>
      </c>
      <c r="J748" t="n">
        <v>0</v>
      </c>
      <c r="K748" t="n">
        <v>0</v>
      </c>
      <c r="L748" t="n">
        <v>0</v>
      </c>
      <c r="M748" t="n">
        <v>0</v>
      </c>
      <c r="N748" t="n">
        <v>0</v>
      </c>
      <c r="O748" t="n">
        <v>0</v>
      </c>
      <c r="P748" t="n">
        <v>0</v>
      </c>
      <c r="Q748" t="n">
        <v>0</v>
      </c>
      <c r="R748" s="2" t="inlineStr"/>
    </row>
    <row r="749" ht="15" customHeight="1">
      <c r="A749" t="inlineStr">
        <is>
          <t>A 31827-2023</t>
        </is>
      </c>
      <c r="B749" s="1" t="n">
        <v>45118</v>
      </c>
      <c r="C749" s="1" t="n">
        <v>45988</v>
      </c>
      <c r="D749" t="inlineStr">
        <is>
          <t>STOCKHOLMS LÄN</t>
        </is>
      </c>
      <c r="E749" t="inlineStr">
        <is>
          <t>NORRTÄLJE</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58993-2022</t>
        </is>
      </c>
      <c r="B750" s="1" t="n">
        <v>44903</v>
      </c>
      <c r="C750" s="1" t="n">
        <v>45988</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28900-2022</t>
        </is>
      </c>
      <c r="B751" s="1" t="n">
        <v>44749.55258101852</v>
      </c>
      <c r="C751" s="1" t="n">
        <v>45988</v>
      </c>
      <c r="D751" t="inlineStr">
        <is>
          <t>STOCKHOLMS LÄN</t>
        </is>
      </c>
      <c r="E751" t="inlineStr">
        <is>
          <t>NORRTÄLJE</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17574-2025</t>
        </is>
      </c>
      <c r="B752" s="1" t="n">
        <v>45757.65178240741</v>
      </c>
      <c r="C752" s="1" t="n">
        <v>45988</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57788-2025</t>
        </is>
      </c>
      <c r="B753" s="1" t="n">
        <v>45981.5778125</v>
      </c>
      <c r="C753" s="1" t="n">
        <v>45988</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55503-2025</t>
        </is>
      </c>
      <c r="B754" s="1" t="n">
        <v>45971</v>
      </c>
      <c r="C754" s="1" t="n">
        <v>45988</v>
      </c>
      <c r="D754" t="inlineStr">
        <is>
          <t>STOCKHOLMS LÄN</t>
        </is>
      </c>
      <c r="E754" t="inlineStr">
        <is>
          <t>NORRTÄLJE</t>
        </is>
      </c>
      <c r="G754" t="n">
        <v>3</v>
      </c>
      <c r="H754" t="n">
        <v>0</v>
      </c>
      <c r="I754" t="n">
        <v>0</v>
      </c>
      <c r="J754" t="n">
        <v>0</v>
      </c>
      <c r="K754" t="n">
        <v>0</v>
      </c>
      <c r="L754" t="n">
        <v>0</v>
      </c>
      <c r="M754" t="n">
        <v>0</v>
      </c>
      <c r="N754" t="n">
        <v>0</v>
      </c>
      <c r="O754" t="n">
        <v>0</v>
      </c>
      <c r="P754" t="n">
        <v>0</v>
      </c>
      <c r="Q754" t="n">
        <v>0</v>
      </c>
      <c r="R754" s="2" t="inlineStr"/>
    </row>
    <row r="755" ht="15" customHeight="1">
      <c r="A755" t="inlineStr">
        <is>
          <t>A 58297-2023</t>
        </is>
      </c>
      <c r="B755" s="1" t="n">
        <v>45245</v>
      </c>
      <c r="C755" s="1" t="n">
        <v>45988</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20304-2023</t>
        </is>
      </c>
      <c r="B756" s="1" t="n">
        <v>45056</v>
      </c>
      <c r="C756" s="1" t="n">
        <v>45988</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12299-2025</t>
        </is>
      </c>
      <c r="B757" s="1" t="n">
        <v>45729.71065972222</v>
      </c>
      <c r="C757" s="1" t="n">
        <v>45988</v>
      </c>
      <c r="D757" t="inlineStr">
        <is>
          <t>STOCKHOLMS LÄN</t>
        </is>
      </c>
      <c r="E757" t="inlineStr">
        <is>
          <t>NORRTÄLJE</t>
        </is>
      </c>
      <c r="F757" t="inlineStr">
        <is>
          <t>Holmen skog AB</t>
        </is>
      </c>
      <c r="G757" t="n">
        <v>6.9</v>
      </c>
      <c r="H757" t="n">
        <v>0</v>
      </c>
      <c r="I757" t="n">
        <v>0</v>
      </c>
      <c r="J757" t="n">
        <v>0</v>
      </c>
      <c r="K757" t="n">
        <v>0</v>
      </c>
      <c r="L757" t="n">
        <v>0</v>
      </c>
      <c r="M757" t="n">
        <v>0</v>
      </c>
      <c r="N757" t="n">
        <v>0</v>
      </c>
      <c r="O757" t="n">
        <v>0</v>
      </c>
      <c r="P757" t="n">
        <v>0</v>
      </c>
      <c r="Q757" t="n">
        <v>0</v>
      </c>
      <c r="R757" s="2" t="inlineStr"/>
    </row>
    <row r="758" ht="15" customHeight="1">
      <c r="A758" t="inlineStr">
        <is>
          <t>A 22157-2023</t>
        </is>
      </c>
      <c r="B758" s="1" t="n">
        <v>45069</v>
      </c>
      <c r="C758" s="1" t="n">
        <v>45988</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c r="U758">
        <f>HYPERLINK("https://klasma.github.io/Logging_0188/knärot/A 22157-2023 karta knärot.png", "A 22157-2023")</f>
        <v/>
      </c>
      <c r="V758">
        <f>HYPERLINK("https://klasma.github.io/Logging_0188/klagomål/A 22157-2023 FSC-klagomål.docx", "A 22157-2023")</f>
        <v/>
      </c>
      <c r="W758">
        <f>HYPERLINK("https://klasma.github.io/Logging_0188/klagomålsmail/A 22157-2023 FSC-klagomål mail.docx", "A 22157-2023")</f>
        <v/>
      </c>
      <c r="X758">
        <f>HYPERLINK("https://klasma.github.io/Logging_0188/tillsyn/A 22157-2023 tillsynsbegäran.docx", "A 22157-2023")</f>
        <v/>
      </c>
      <c r="Y758">
        <f>HYPERLINK("https://klasma.github.io/Logging_0188/tillsynsmail/A 22157-2023 tillsynsbegäran mail.docx", "A 22157-2023")</f>
        <v/>
      </c>
    </row>
    <row r="759" ht="15" customHeight="1">
      <c r="A759" t="inlineStr">
        <is>
          <t>A 57953-2025</t>
        </is>
      </c>
      <c r="B759" s="1" t="n">
        <v>45982.35016203704</v>
      </c>
      <c r="C759" s="1" t="n">
        <v>45988</v>
      </c>
      <c r="D759" t="inlineStr">
        <is>
          <t>STOCKHOLMS LÄN</t>
        </is>
      </c>
      <c r="E759" t="inlineStr">
        <is>
          <t>NORRTÄLJE</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11929-2024</t>
        </is>
      </c>
      <c r="B760" s="1" t="n">
        <v>45376.64532407407</v>
      </c>
      <c r="C760" s="1" t="n">
        <v>45988</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8296-2023</t>
        </is>
      </c>
      <c r="B761" s="1" t="n">
        <v>44974</v>
      </c>
      <c r="C761" s="1" t="n">
        <v>45988</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24575-2024</t>
        </is>
      </c>
      <c r="B762" s="1" t="n">
        <v>45460.45523148148</v>
      </c>
      <c r="C762" s="1" t="n">
        <v>45988</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64899-2023</t>
        </is>
      </c>
      <c r="B763" s="1" t="n">
        <v>45282</v>
      </c>
      <c r="C763" s="1" t="n">
        <v>45988</v>
      </c>
      <c r="D763" t="inlineStr">
        <is>
          <t>STOCKHOLMS LÄN</t>
        </is>
      </c>
      <c r="E763" t="inlineStr">
        <is>
          <t>NORRTÄLJE</t>
        </is>
      </c>
      <c r="G763" t="n">
        <v>6.3</v>
      </c>
      <c r="H763" t="n">
        <v>0</v>
      </c>
      <c r="I763" t="n">
        <v>0</v>
      </c>
      <c r="J763" t="n">
        <v>0</v>
      </c>
      <c r="K763" t="n">
        <v>0</v>
      </c>
      <c r="L763" t="n">
        <v>0</v>
      </c>
      <c r="M763" t="n">
        <v>0</v>
      </c>
      <c r="N763" t="n">
        <v>0</v>
      </c>
      <c r="O763" t="n">
        <v>0</v>
      </c>
      <c r="P763" t="n">
        <v>0</v>
      </c>
      <c r="Q763" t="n">
        <v>0</v>
      </c>
      <c r="R763" s="2" t="inlineStr"/>
    </row>
    <row r="764" ht="15" customHeight="1">
      <c r="A764" t="inlineStr">
        <is>
          <t>A 58142-2025</t>
        </is>
      </c>
      <c r="B764" s="1" t="n">
        <v>45982.63791666667</v>
      </c>
      <c r="C764" s="1" t="n">
        <v>45988</v>
      </c>
      <c r="D764" t="inlineStr">
        <is>
          <t>STOCKHOLMS LÄN</t>
        </is>
      </c>
      <c r="E764" t="inlineStr">
        <is>
          <t>NORRTÄLJE</t>
        </is>
      </c>
      <c r="G764" t="n">
        <v>3.3</v>
      </c>
      <c r="H764" t="n">
        <v>0</v>
      </c>
      <c r="I764" t="n">
        <v>0</v>
      </c>
      <c r="J764" t="n">
        <v>0</v>
      </c>
      <c r="K764" t="n">
        <v>0</v>
      </c>
      <c r="L764" t="n">
        <v>0</v>
      </c>
      <c r="M764" t="n">
        <v>0</v>
      </c>
      <c r="N764" t="n">
        <v>0</v>
      </c>
      <c r="O764" t="n">
        <v>0</v>
      </c>
      <c r="P764" t="n">
        <v>0</v>
      </c>
      <c r="Q764" t="n">
        <v>0</v>
      </c>
      <c r="R764" s="2" t="inlineStr"/>
    </row>
    <row r="765" ht="15" customHeight="1">
      <c r="A765" t="inlineStr">
        <is>
          <t>A 50097-2025</t>
        </is>
      </c>
      <c r="B765" s="1" t="n">
        <v>45943.50207175926</v>
      </c>
      <c r="C765" s="1" t="n">
        <v>45988</v>
      </c>
      <c r="D765" t="inlineStr">
        <is>
          <t>STOCKHOLMS LÄN</t>
        </is>
      </c>
      <c r="E765" t="inlineStr">
        <is>
          <t>NORRTÄLJE</t>
        </is>
      </c>
      <c r="F765" t="inlineStr">
        <is>
          <t>Holmen skog AB</t>
        </is>
      </c>
      <c r="G765" t="n">
        <v>12</v>
      </c>
      <c r="H765" t="n">
        <v>0</v>
      </c>
      <c r="I765" t="n">
        <v>0</v>
      </c>
      <c r="J765" t="n">
        <v>0</v>
      </c>
      <c r="K765" t="n">
        <v>0</v>
      </c>
      <c r="L765" t="n">
        <v>0</v>
      </c>
      <c r="M765" t="n">
        <v>0</v>
      </c>
      <c r="N765" t="n">
        <v>0</v>
      </c>
      <c r="O765" t="n">
        <v>0</v>
      </c>
      <c r="P765" t="n">
        <v>0</v>
      </c>
      <c r="Q765" t="n">
        <v>0</v>
      </c>
      <c r="R765" s="2" t="inlineStr"/>
    </row>
    <row r="766" ht="15" customHeight="1">
      <c r="A766" t="inlineStr">
        <is>
          <t>A 52593-2024</t>
        </is>
      </c>
      <c r="B766" s="1" t="n">
        <v>45609.70778935185</v>
      </c>
      <c r="C766" s="1" t="n">
        <v>45988</v>
      </c>
      <c r="D766" t="inlineStr">
        <is>
          <t>STOCKHOLMS LÄN</t>
        </is>
      </c>
      <c r="E766" t="inlineStr">
        <is>
          <t>NORRTÄLJE</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52617-2024</t>
        </is>
      </c>
      <c r="B767" s="1" t="n">
        <v>45609.85146990741</v>
      </c>
      <c r="C767" s="1" t="n">
        <v>45988</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49836-2025</t>
        </is>
      </c>
      <c r="B768" s="1" t="n">
        <v>45940.46862268518</v>
      </c>
      <c r="C768" s="1" t="n">
        <v>45988</v>
      </c>
      <c r="D768" t="inlineStr">
        <is>
          <t>STOCKHOLMS LÄN</t>
        </is>
      </c>
      <c r="E768" t="inlineStr">
        <is>
          <t>NORRTÄLJE</t>
        </is>
      </c>
      <c r="G768" t="n">
        <v>3.5</v>
      </c>
      <c r="H768" t="n">
        <v>0</v>
      </c>
      <c r="I768" t="n">
        <v>0</v>
      </c>
      <c r="J768" t="n">
        <v>0</v>
      </c>
      <c r="K768" t="n">
        <v>0</v>
      </c>
      <c r="L768" t="n">
        <v>0</v>
      </c>
      <c r="M768" t="n">
        <v>0</v>
      </c>
      <c r="N768" t="n">
        <v>0</v>
      </c>
      <c r="O768" t="n">
        <v>0</v>
      </c>
      <c r="P768" t="n">
        <v>0</v>
      </c>
      <c r="Q768" t="n">
        <v>0</v>
      </c>
      <c r="R768" s="2" t="inlineStr"/>
    </row>
    <row r="769" ht="15" customHeight="1">
      <c r="A769" t="inlineStr">
        <is>
          <t>A 58403-2025</t>
        </is>
      </c>
      <c r="B769" s="1" t="n">
        <v>45985.56777777777</v>
      </c>
      <c r="C769" s="1" t="n">
        <v>45988</v>
      </c>
      <c r="D769" t="inlineStr">
        <is>
          <t>STOCKHOLMS LÄN</t>
        </is>
      </c>
      <c r="E769" t="inlineStr">
        <is>
          <t>NORRTÄLJE</t>
        </is>
      </c>
      <c r="F769" t="inlineStr">
        <is>
          <t>Naturvårdsverket</t>
        </is>
      </c>
      <c r="G769" t="n">
        <v>13.5</v>
      </c>
      <c r="H769" t="n">
        <v>0</v>
      </c>
      <c r="I769" t="n">
        <v>0</v>
      </c>
      <c r="J769" t="n">
        <v>0</v>
      </c>
      <c r="K769" t="n">
        <v>0</v>
      </c>
      <c r="L769" t="n">
        <v>0</v>
      </c>
      <c r="M769" t="n">
        <v>0</v>
      </c>
      <c r="N769" t="n">
        <v>0</v>
      </c>
      <c r="O769" t="n">
        <v>0</v>
      </c>
      <c r="P769" t="n">
        <v>0</v>
      </c>
      <c r="Q769" t="n">
        <v>0</v>
      </c>
      <c r="R769" s="2" t="inlineStr"/>
    </row>
    <row r="770" ht="15" customHeight="1">
      <c r="A770" t="inlineStr">
        <is>
          <t>A 22816-2021</t>
        </is>
      </c>
      <c r="B770" s="1" t="n">
        <v>44325</v>
      </c>
      <c r="C770" s="1" t="n">
        <v>45988</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59904-2023</t>
        </is>
      </c>
      <c r="B771" s="1" t="n">
        <v>45257</v>
      </c>
      <c r="C771" s="1" t="n">
        <v>45988</v>
      </c>
      <c r="D771" t="inlineStr">
        <is>
          <t>STOCKHOLMS LÄN</t>
        </is>
      </c>
      <c r="E771" t="inlineStr">
        <is>
          <t>NORRTÄLJE</t>
        </is>
      </c>
      <c r="G771" t="n">
        <v>17.4</v>
      </c>
      <c r="H771" t="n">
        <v>0</v>
      </c>
      <c r="I771" t="n">
        <v>0</v>
      </c>
      <c r="J771" t="n">
        <v>0</v>
      </c>
      <c r="K771" t="n">
        <v>0</v>
      </c>
      <c r="L771" t="n">
        <v>0</v>
      </c>
      <c r="M771" t="n">
        <v>0</v>
      </c>
      <c r="N771" t="n">
        <v>0</v>
      </c>
      <c r="O771" t="n">
        <v>0</v>
      </c>
      <c r="P771" t="n">
        <v>0</v>
      </c>
      <c r="Q771" t="n">
        <v>0</v>
      </c>
      <c r="R771" s="2" t="inlineStr"/>
    </row>
    <row r="772" ht="15" customHeight="1">
      <c r="A772" t="inlineStr">
        <is>
          <t>A 9914-2023</t>
        </is>
      </c>
      <c r="B772" s="1" t="n">
        <v>44985</v>
      </c>
      <c r="C772" s="1" t="n">
        <v>45988</v>
      </c>
      <c r="D772" t="inlineStr">
        <is>
          <t>STOCKHOLMS LÄN</t>
        </is>
      </c>
      <c r="E772" t="inlineStr">
        <is>
          <t>NORRTÄLJE</t>
        </is>
      </c>
      <c r="G772" t="n">
        <v>4.2</v>
      </c>
      <c r="H772" t="n">
        <v>0</v>
      </c>
      <c r="I772" t="n">
        <v>0</v>
      </c>
      <c r="J772" t="n">
        <v>0</v>
      </c>
      <c r="K772" t="n">
        <v>0</v>
      </c>
      <c r="L772" t="n">
        <v>0</v>
      </c>
      <c r="M772" t="n">
        <v>0</v>
      </c>
      <c r="N772" t="n">
        <v>0</v>
      </c>
      <c r="O772" t="n">
        <v>0</v>
      </c>
      <c r="P772" t="n">
        <v>0</v>
      </c>
      <c r="Q772" t="n">
        <v>0</v>
      </c>
      <c r="R772" s="2" t="inlineStr"/>
    </row>
    <row r="773" ht="15" customHeight="1">
      <c r="A773" t="inlineStr">
        <is>
          <t>A 11062-2024</t>
        </is>
      </c>
      <c r="B773" s="1" t="n">
        <v>45370</v>
      </c>
      <c r="C773" s="1" t="n">
        <v>45988</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58939-2025</t>
        </is>
      </c>
      <c r="B774" s="1" t="n">
        <v>45987.5681712963</v>
      </c>
      <c r="C774" s="1" t="n">
        <v>45988</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33569-2023</t>
        </is>
      </c>
      <c r="B775" s="1" t="n">
        <v>45131.666875</v>
      </c>
      <c r="C775" s="1" t="n">
        <v>45988</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15905-2023</t>
        </is>
      </c>
      <c r="B776" s="1" t="n">
        <v>45022</v>
      </c>
      <c r="C776" s="1" t="n">
        <v>45988</v>
      </c>
      <c r="D776" t="inlineStr">
        <is>
          <t>STOCKHOLMS LÄN</t>
        </is>
      </c>
      <c r="E776" t="inlineStr">
        <is>
          <t>NORRTÄLJE</t>
        </is>
      </c>
      <c r="G776" t="n">
        <v>3.2</v>
      </c>
      <c r="H776" t="n">
        <v>0</v>
      </c>
      <c r="I776" t="n">
        <v>0</v>
      </c>
      <c r="J776" t="n">
        <v>0</v>
      </c>
      <c r="K776" t="n">
        <v>0</v>
      </c>
      <c r="L776" t="n">
        <v>0</v>
      </c>
      <c r="M776" t="n">
        <v>0</v>
      </c>
      <c r="N776" t="n">
        <v>0</v>
      </c>
      <c r="O776" t="n">
        <v>0</v>
      </c>
      <c r="P776" t="n">
        <v>0</v>
      </c>
      <c r="Q776" t="n">
        <v>0</v>
      </c>
      <c r="R776" s="2" t="inlineStr"/>
    </row>
    <row r="777" ht="15" customHeight="1">
      <c r="A777" t="inlineStr">
        <is>
          <t>A 15956-2023</t>
        </is>
      </c>
      <c r="B777" s="1" t="n">
        <v>45022.61003472222</v>
      </c>
      <c r="C777" s="1" t="n">
        <v>45988</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50327-2025</t>
        </is>
      </c>
      <c r="B778" s="1" t="n">
        <v>45944.46387731482</v>
      </c>
      <c r="C778" s="1" t="n">
        <v>45988</v>
      </c>
      <c r="D778" t="inlineStr">
        <is>
          <t>STOCKHOLMS LÄN</t>
        </is>
      </c>
      <c r="E778" t="inlineStr">
        <is>
          <t>NORRTÄLJE</t>
        </is>
      </c>
      <c r="G778" t="n">
        <v>0.3</v>
      </c>
      <c r="H778" t="n">
        <v>0</v>
      </c>
      <c r="I778" t="n">
        <v>0</v>
      </c>
      <c r="J778" t="n">
        <v>0</v>
      </c>
      <c r="K778" t="n">
        <v>0</v>
      </c>
      <c r="L778" t="n">
        <v>0</v>
      </c>
      <c r="M778" t="n">
        <v>0</v>
      </c>
      <c r="N778" t="n">
        <v>0</v>
      </c>
      <c r="O778" t="n">
        <v>0</v>
      </c>
      <c r="P778" t="n">
        <v>0</v>
      </c>
      <c r="Q778" t="n">
        <v>0</v>
      </c>
      <c r="R778" s="2" t="inlineStr"/>
    </row>
    <row r="779" ht="15" customHeight="1">
      <c r="A779" t="inlineStr">
        <is>
          <t>A 47626-2022</t>
        </is>
      </c>
      <c r="B779" s="1" t="n">
        <v>44854</v>
      </c>
      <c r="C779" s="1" t="n">
        <v>45988</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62206-2022</t>
        </is>
      </c>
      <c r="B780" s="1" t="n">
        <v>44922</v>
      </c>
      <c r="C780" s="1" t="n">
        <v>45988</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20618-2022</t>
        </is>
      </c>
      <c r="B781" s="1" t="n">
        <v>44700.50659722222</v>
      </c>
      <c r="C781" s="1" t="n">
        <v>45988</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40192-2023</t>
        </is>
      </c>
      <c r="B782" s="1" t="n">
        <v>45169</v>
      </c>
      <c r="C782" s="1" t="n">
        <v>45988</v>
      </c>
      <c r="D782" t="inlineStr">
        <is>
          <t>STOCKHOLMS LÄN</t>
        </is>
      </c>
      <c r="E782" t="inlineStr">
        <is>
          <t>NORRTÄLJE</t>
        </is>
      </c>
      <c r="F782" t="inlineStr">
        <is>
          <t>Kyrkan</t>
        </is>
      </c>
      <c r="G782" t="n">
        <v>0.7</v>
      </c>
      <c r="H782" t="n">
        <v>0</v>
      </c>
      <c r="I782" t="n">
        <v>0</v>
      </c>
      <c r="J782" t="n">
        <v>0</v>
      </c>
      <c r="K782" t="n">
        <v>0</v>
      </c>
      <c r="L782" t="n">
        <v>0</v>
      </c>
      <c r="M782" t="n">
        <v>0</v>
      </c>
      <c r="N782" t="n">
        <v>0</v>
      </c>
      <c r="O782" t="n">
        <v>0</v>
      </c>
      <c r="P782" t="n">
        <v>0</v>
      </c>
      <c r="Q782" t="n">
        <v>0</v>
      </c>
      <c r="R782" s="2" t="inlineStr"/>
    </row>
    <row r="783" ht="15" customHeight="1">
      <c r="A783" t="inlineStr">
        <is>
          <t>A 50563-2025</t>
        </is>
      </c>
      <c r="B783" s="1" t="n">
        <v>45944</v>
      </c>
      <c r="C783" s="1" t="n">
        <v>45988</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50333-2025</t>
        </is>
      </c>
      <c r="B784" s="1" t="n">
        <v>45944.47178240741</v>
      </c>
      <c r="C784" s="1" t="n">
        <v>45988</v>
      </c>
      <c r="D784" t="inlineStr">
        <is>
          <t>STOCKHOLMS LÄN</t>
        </is>
      </c>
      <c r="E784" t="inlineStr">
        <is>
          <t>NORRTÄLJE</t>
        </is>
      </c>
      <c r="G784" t="n">
        <v>4.2</v>
      </c>
      <c r="H784" t="n">
        <v>0</v>
      </c>
      <c r="I784" t="n">
        <v>0</v>
      </c>
      <c r="J784" t="n">
        <v>0</v>
      </c>
      <c r="K784" t="n">
        <v>0</v>
      </c>
      <c r="L784" t="n">
        <v>0</v>
      </c>
      <c r="M784" t="n">
        <v>0</v>
      </c>
      <c r="N784" t="n">
        <v>0</v>
      </c>
      <c r="O784" t="n">
        <v>0</v>
      </c>
      <c r="P784" t="n">
        <v>0</v>
      </c>
      <c r="Q784" t="n">
        <v>0</v>
      </c>
      <c r="R784" s="2" t="inlineStr"/>
    </row>
    <row r="785" ht="15" customHeight="1">
      <c r="A785" t="inlineStr">
        <is>
          <t>A 11900-2022</t>
        </is>
      </c>
      <c r="B785" s="1" t="n">
        <v>44635</v>
      </c>
      <c r="C785" s="1" t="n">
        <v>45988</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10973-2025</t>
        </is>
      </c>
      <c r="B786" s="1" t="n">
        <v>45723</v>
      </c>
      <c r="C786" s="1" t="n">
        <v>45988</v>
      </c>
      <c r="D786" t="inlineStr">
        <is>
          <t>STOCKHOLMS LÄN</t>
        </is>
      </c>
      <c r="E786" t="inlineStr">
        <is>
          <t>NORRTÄLJE</t>
        </is>
      </c>
      <c r="F786" t="inlineStr">
        <is>
          <t>Övriga Aktiebolag</t>
        </is>
      </c>
      <c r="G786" t="n">
        <v>2.7</v>
      </c>
      <c r="H786" t="n">
        <v>0</v>
      </c>
      <c r="I786" t="n">
        <v>0</v>
      </c>
      <c r="J786" t="n">
        <v>0</v>
      </c>
      <c r="K786" t="n">
        <v>0</v>
      </c>
      <c r="L786" t="n">
        <v>0</v>
      </c>
      <c r="M786" t="n">
        <v>0</v>
      </c>
      <c r="N786" t="n">
        <v>0</v>
      </c>
      <c r="O786" t="n">
        <v>0</v>
      </c>
      <c r="P786" t="n">
        <v>0</v>
      </c>
      <c r="Q786" t="n">
        <v>0</v>
      </c>
      <c r="R786" s="2" t="inlineStr"/>
    </row>
    <row r="787" ht="15" customHeight="1">
      <c r="A787" t="inlineStr">
        <is>
          <t>A 27885-2022</t>
        </is>
      </c>
      <c r="B787" s="1" t="n">
        <v>44743.67418981482</v>
      </c>
      <c r="C787" s="1" t="n">
        <v>45988</v>
      </c>
      <c r="D787" t="inlineStr">
        <is>
          <t>STOCKHOLMS LÄN</t>
        </is>
      </c>
      <c r="E787" t="inlineStr">
        <is>
          <t>NORRTÄLJE</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60224-2023</t>
        </is>
      </c>
      <c r="B788" s="1" t="n">
        <v>45257</v>
      </c>
      <c r="C788" s="1" t="n">
        <v>45988</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5158-2024</t>
        </is>
      </c>
      <c r="B789" s="1" t="n">
        <v>45330.50098379629</v>
      </c>
      <c r="C789" s="1" t="n">
        <v>45988</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9130-2025</t>
        </is>
      </c>
      <c r="B790" s="1" t="n">
        <v>45713.92623842593</v>
      </c>
      <c r="C790" s="1" t="n">
        <v>45988</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17551-2025</t>
        </is>
      </c>
      <c r="B791" s="1" t="n">
        <v>45757.61421296297</v>
      </c>
      <c r="C791" s="1" t="n">
        <v>45988</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55010-2024</t>
        </is>
      </c>
      <c r="B792" s="1" t="n">
        <v>45621.34425925926</v>
      </c>
      <c r="C792" s="1" t="n">
        <v>45988</v>
      </c>
      <c r="D792" t="inlineStr">
        <is>
          <t>STOCKHOLMS LÄN</t>
        </is>
      </c>
      <c r="E792" t="inlineStr">
        <is>
          <t>NORRTÄLJE</t>
        </is>
      </c>
      <c r="F792" t="inlineStr">
        <is>
          <t>Sveaskog</t>
        </is>
      </c>
      <c r="G792" t="n">
        <v>5.7</v>
      </c>
      <c r="H792" t="n">
        <v>0</v>
      </c>
      <c r="I792" t="n">
        <v>0</v>
      </c>
      <c r="J792" t="n">
        <v>0</v>
      </c>
      <c r="K792" t="n">
        <v>0</v>
      </c>
      <c r="L792" t="n">
        <v>0</v>
      </c>
      <c r="M792" t="n">
        <v>0</v>
      </c>
      <c r="N792" t="n">
        <v>0</v>
      </c>
      <c r="O792" t="n">
        <v>0</v>
      </c>
      <c r="P792" t="n">
        <v>0</v>
      </c>
      <c r="Q792" t="n">
        <v>0</v>
      </c>
      <c r="R792" s="2" t="inlineStr"/>
    </row>
    <row r="793" ht="15" customHeight="1">
      <c r="A793" t="inlineStr">
        <is>
          <t>A 31105-2022</t>
        </is>
      </c>
      <c r="B793" s="1" t="n">
        <v>44769.66039351852</v>
      </c>
      <c r="C793" s="1" t="n">
        <v>45988</v>
      </c>
      <c r="D793" t="inlineStr">
        <is>
          <t>STOCKHOLMS LÄN</t>
        </is>
      </c>
      <c r="E793" t="inlineStr">
        <is>
          <t>NORRTÄLJE</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30620-2022</t>
        </is>
      </c>
      <c r="B794" s="1" t="n">
        <v>44763.40914351852</v>
      </c>
      <c r="C794" s="1" t="n">
        <v>45988</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50113-2024</t>
        </is>
      </c>
      <c r="B795" s="1" t="n">
        <v>45600.411875</v>
      </c>
      <c r="C795" s="1" t="n">
        <v>45988</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28365-2022</t>
        </is>
      </c>
      <c r="B796" s="1" t="n">
        <v>44747</v>
      </c>
      <c r="C796" s="1" t="n">
        <v>45988</v>
      </c>
      <c r="D796" t="inlineStr">
        <is>
          <t>STOCKHOLMS LÄN</t>
        </is>
      </c>
      <c r="E796" t="inlineStr">
        <is>
          <t>NORRTÄLJE</t>
        </is>
      </c>
      <c r="G796" t="n">
        <v>5.1</v>
      </c>
      <c r="H796" t="n">
        <v>0</v>
      </c>
      <c r="I796" t="n">
        <v>0</v>
      </c>
      <c r="J796" t="n">
        <v>0</v>
      </c>
      <c r="K796" t="n">
        <v>0</v>
      </c>
      <c r="L796" t="n">
        <v>0</v>
      </c>
      <c r="M796" t="n">
        <v>0</v>
      </c>
      <c r="N796" t="n">
        <v>0</v>
      </c>
      <c r="O796" t="n">
        <v>0</v>
      </c>
      <c r="P796" t="n">
        <v>0</v>
      </c>
      <c r="Q796" t="n">
        <v>0</v>
      </c>
      <c r="R796" s="2" t="inlineStr"/>
    </row>
    <row r="797" ht="15" customHeight="1">
      <c r="A797" t="inlineStr">
        <is>
          <t>A 42955-2022</t>
        </is>
      </c>
      <c r="B797" s="1" t="n">
        <v>44833.40876157407</v>
      </c>
      <c r="C797" s="1" t="n">
        <v>45988</v>
      </c>
      <c r="D797" t="inlineStr">
        <is>
          <t>STOCKHOLMS LÄN</t>
        </is>
      </c>
      <c r="E797" t="inlineStr">
        <is>
          <t>NORRTÄLJE</t>
        </is>
      </c>
      <c r="G797" t="n">
        <v>13.1</v>
      </c>
      <c r="H797" t="n">
        <v>0</v>
      </c>
      <c r="I797" t="n">
        <v>0</v>
      </c>
      <c r="J797" t="n">
        <v>0</v>
      </c>
      <c r="K797" t="n">
        <v>0</v>
      </c>
      <c r="L797" t="n">
        <v>0</v>
      </c>
      <c r="M797" t="n">
        <v>0</v>
      </c>
      <c r="N797" t="n">
        <v>0</v>
      </c>
      <c r="O797" t="n">
        <v>0</v>
      </c>
      <c r="P797" t="n">
        <v>0</v>
      </c>
      <c r="Q797" t="n">
        <v>0</v>
      </c>
      <c r="R797" s="2" t="inlineStr"/>
    </row>
    <row r="798" ht="15" customHeight="1">
      <c r="A798" t="inlineStr">
        <is>
          <t>A 1283-2025</t>
        </is>
      </c>
      <c r="B798" s="1" t="n">
        <v>45667.49878472222</v>
      </c>
      <c r="C798" s="1" t="n">
        <v>45988</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9703-2021</t>
        </is>
      </c>
      <c r="B799" s="1" t="n">
        <v>44252</v>
      </c>
      <c r="C799" s="1" t="n">
        <v>45988</v>
      </c>
      <c r="D799" t="inlineStr">
        <is>
          <t>STOCKHOLMS LÄN</t>
        </is>
      </c>
      <c r="E799" t="inlineStr">
        <is>
          <t>NORRTÄLJE</t>
        </is>
      </c>
      <c r="G799" t="n">
        <v>3.4</v>
      </c>
      <c r="H799" t="n">
        <v>0</v>
      </c>
      <c r="I799" t="n">
        <v>0</v>
      </c>
      <c r="J799" t="n">
        <v>0</v>
      </c>
      <c r="K799" t="n">
        <v>0</v>
      </c>
      <c r="L799" t="n">
        <v>0</v>
      </c>
      <c r="M799" t="n">
        <v>0</v>
      </c>
      <c r="N799" t="n">
        <v>0</v>
      </c>
      <c r="O799" t="n">
        <v>0</v>
      </c>
      <c r="P799" t="n">
        <v>0</v>
      </c>
      <c r="Q799" t="n">
        <v>0</v>
      </c>
      <c r="R799" s="2" t="inlineStr"/>
    </row>
    <row r="800" ht="15" customHeight="1">
      <c r="A800" t="inlineStr">
        <is>
          <t>A 13767-2025</t>
        </is>
      </c>
      <c r="B800" s="1" t="n">
        <v>45737.43347222222</v>
      </c>
      <c r="C800" s="1" t="n">
        <v>45988</v>
      </c>
      <c r="D800" t="inlineStr">
        <is>
          <t>STOCKHOLMS LÄN</t>
        </is>
      </c>
      <c r="E800" t="inlineStr">
        <is>
          <t>NORRTÄLJE</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20013-2025</t>
        </is>
      </c>
      <c r="B801" s="1" t="n">
        <v>45772.30436342592</v>
      </c>
      <c r="C801" s="1" t="n">
        <v>45988</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53362-2023</t>
        </is>
      </c>
      <c r="B802" s="1" t="n">
        <v>45223</v>
      </c>
      <c r="C802" s="1" t="n">
        <v>45988</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15422-2024</t>
        </is>
      </c>
      <c r="B803" s="1" t="n">
        <v>45401.3653125</v>
      </c>
      <c r="C803" s="1" t="n">
        <v>45988</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30508-2023</t>
        </is>
      </c>
      <c r="B804" s="1" t="n">
        <v>45111</v>
      </c>
      <c r="C804" s="1" t="n">
        <v>45988</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16008-2025</t>
        </is>
      </c>
      <c r="B805" s="1" t="n">
        <v>45749</v>
      </c>
      <c r="C805" s="1" t="n">
        <v>45988</v>
      </c>
      <c r="D805" t="inlineStr">
        <is>
          <t>STOCKHOLMS LÄN</t>
        </is>
      </c>
      <c r="E805" t="inlineStr">
        <is>
          <t>NORRTÄLJE</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21158-2022</t>
        </is>
      </c>
      <c r="B806" s="1" t="n">
        <v>44704</v>
      </c>
      <c r="C806" s="1" t="n">
        <v>45988</v>
      </c>
      <c r="D806" t="inlineStr">
        <is>
          <t>STOCKHOLMS LÄN</t>
        </is>
      </c>
      <c r="E806" t="inlineStr">
        <is>
          <t>NORRTÄLJE</t>
        </is>
      </c>
      <c r="G806" t="n">
        <v>17.8</v>
      </c>
      <c r="H806" t="n">
        <v>0</v>
      </c>
      <c r="I806" t="n">
        <v>0</v>
      </c>
      <c r="J806" t="n">
        <v>0</v>
      </c>
      <c r="K806" t="n">
        <v>0</v>
      </c>
      <c r="L806" t="n">
        <v>0</v>
      </c>
      <c r="M806" t="n">
        <v>0</v>
      </c>
      <c r="N806" t="n">
        <v>0</v>
      </c>
      <c r="O806" t="n">
        <v>0</v>
      </c>
      <c r="P806" t="n">
        <v>0</v>
      </c>
      <c r="Q806" t="n">
        <v>0</v>
      </c>
      <c r="R806" s="2" t="inlineStr"/>
    </row>
    <row r="807" ht="15" customHeight="1">
      <c r="A807" t="inlineStr">
        <is>
          <t>A 32101-2022</t>
        </is>
      </c>
      <c r="B807" s="1" t="n">
        <v>44778.69210648148</v>
      </c>
      <c r="C807" s="1" t="n">
        <v>45988</v>
      </c>
      <c r="D807" t="inlineStr">
        <is>
          <t>STOCKHOLMS LÄN</t>
        </is>
      </c>
      <c r="E807" t="inlineStr">
        <is>
          <t>NORRTÄLJE</t>
        </is>
      </c>
      <c r="G807" t="n">
        <v>4.4</v>
      </c>
      <c r="H807" t="n">
        <v>0</v>
      </c>
      <c r="I807" t="n">
        <v>0</v>
      </c>
      <c r="J807" t="n">
        <v>0</v>
      </c>
      <c r="K807" t="n">
        <v>0</v>
      </c>
      <c r="L807" t="n">
        <v>0</v>
      </c>
      <c r="M807" t="n">
        <v>0</v>
      </c>
      <c r="N807" t="n">
        <v>0</v>
      </c>
      <c r="O807" t="n">
        <v>0</v>
      </c>
      <c r="P807" t="n">
        <v>0</v>
      </c>
      <c r="Q807" t="n">
        <v>0</v>
      </c>
      <c r="R807" s="2" t="inlineStr"/>
    </row>
    <row r="808" ht="15" customHeight="1">
      <c r="A808" t="inlineStr">
        <is>
          <t>A 23150-2024</t>
        </is>
      </c>
      <c r="B808" s="1" t="n">
        <v>45450.64643518518</v>
      </c>
      <c r="C808" s="1" t="n">
        <v>45988</v>
      </c>
      <c r="D808" t="inlineStr">
        <is>
          <t>STOCKHOLMS LÄN</t>
        </is>
      </c>
      <c r="E808" t="inlineStr">
        <is>
          <t>NORRTÄLJE</t>
        </is>
      </c>
      <c r="F808" t="inlineStr">
        <is>
          <t>Kommuner</t>
        </is>
      </c>
      <c r="G808" t="n">
        <v>2.7</v>
      </c>
      <c r="H808" t="n">
        <v>0</v>
      </c>
      <c r="I808" t="n">
        <v>0</v>
      </c>
      <c r="J808" t="n">
        <v>0</v>
      </c>
      <c r="K808" t="n">
        <v>0</v>
      </c>
      <c r="L808" t="n">
        <v>0</v>
      </c>
      <c r="M808" t="n">
        <v>0</v>
      </c>
      <c r="N808" t="n">
        <v>0</v>
      </c>
      <c r="O808" t="n">
        <v>0</v>
      </c>
      <c r="P808" t="n">
        <v>0</v>
      </c>
      <c r="Q808" t="n">
        <v>0</v>
      </c>
      <c r="R808" s="2" t="inlineStr"/>
    </row>
    <row r="809" ht="15" customHeight="1">
      <c r="A809" t="inlineStr">
        <is>
          <t>A 24933-2023</t>
        </is>
      </c>
      <c r="B809" s="1" t="n">
        <v>45085.5309375</v>
      </c>
      <c r="C809" s="1" t="n">
        <v>45988</v>
      </c>
      <c r="D809" t="inlineStr">
        <is>
          <t>STOCKHOLMS LÄN</t>
        </is>
      </c>
      <c r="E809" t="inlineStr">
        <is>
          <t>NORRTÄLJE</t>
        </is>
      </c>
      <c r="F809" t="inlineStr">
        <is>
          <t>Holmen skog AB</t>
        </is>
      </c>
      <c r="G809" t="n">
        <v>1.8</v>
      </c>
      <c r="H809" t="n">
        <v>0</v>
      </c>
      <c r="I809" t="n">
        <v>0</v>
      </c>
      <c r="J809" t="n">
        <v>0</v>
      </c>
      <c r="K809" t="n">
        <v>0</v>
      </c>
      <c r="L809" t="n">
        <v>0</v>
      </c>
      <c r="M809" t="n">
        <v>0</v>
      </c>
      <c r="N809" t="n">
        <v>0</v>
      </c>
      <c r="O809" t="n">
        <v>0</v>
      </c>
      <c r="P809" t="n">
        <v>0</v>
      </c>
      <c r="Q809" t="n">
        <v>0</v>
      </c>
      <c r="R809" s="2" t="inlineStr"/>
    </row>
    <row r="810" ht="15" customHeight="1">
      <c r="A810" t="inlineStr">
        <is>
          <t>A 56631-2024</t>
        </is>
      </c>
      <c r="B810" s="1" t="n">
        <v>45625</v>
      </c>
      <c r="C810" s="1" t="n">
        <v>45988</v>
      </c>
      <c r="D810" t="inlineStr">
        <is>
          <t>STOCKHOLMS LÄN</t>
        </is>
      </c>
      <c r="E810" t="inlineStr">
        <is>
          <t>NORRTÄLJE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652-2025</t>
        </is>
      </c>
      <c r="B811" s="1" t="n">
        <v>45664</v>
      </c>
      <c r="C811" s="1" t="n">
        <v>45988</v>
      </c>
      <c r="D811" t="inlineStr">
        <is>
          <t>STOCKHOLMS LÄN</t>
        </is>
      </c>
      <c r="E811" t="inlineStr">
        <is>
          <t>NORRTÄLJE</t>
        </is>
      </c>
      <c r="G811" t="n">
        <v>2.5</v>
      </c>
      <c r="H811" t="n">
        <v>0</v>
      </c>
      <c r="I811" t="n">
        <v>0</v>
      </c>
      <c r="J811" t="n">
        <v>0</v>
      </c>
      <c r="K811" t="n">
        <v>0</v>
      </c>
      <c r="L811" t="n">
        <v>0</v>
      </c>
      <c r="M811" t="n">
        <v>0</v>
      </c>
      <c r="N811" t="n">
        <v>0</v>
      </c>
      <c r="O811" t="n">
        <v>0</v>
      </c>
      <c r="P811" t="n">
        <v>0</v>
      </c>
      <c r="Q811" t="n">
        <v>0</v>
      </c>
      <c r="R811" s="2" t="inlineStr"/>
    </row>
    <row r="812" ht="15" customHeight="1">
      <c r="A812" t="inlineStr">
        <is>
          <t>A 5389-2025</t>
        </is>
      </c>
      <c r="B812" s="1" t="n">
        <v>45692</v>
      </c>
      <c r="C812" s="1" t="n">
        <v>45988</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13051-2021</t>
        </is>
      </c>
      <c r="B813" s="1" t="n">
        <v>44272</v>
      </c>
      <c r="C813" s="1" t="n">
        <v>45988</v>
      </c>
      <c r="D813" t="inlineStr">
        <is>
          <t>STOCKHOLMS LÄN</t>
        </is>
      </c>
      <c r="E813" t="inlineStr">
        <is>
          <t>NORRTÄLJE</t>
        </is>
      </c>
      <c r="G813" t="n">
        <v>9.1</v>
      </c>
      <c r="H813" t="n">
        <v>0</v>
      </c>
      <c r="I813" t="n">
        <v>0</v>
      </c>
      <c r="J813" t="n">
        <v>0</v>
      </c>
      <c r="K813" t="n">
        <v>0</v>
      </c>
      <c r="L813" t="n">
        <v>0</v>
      </c>
      <c r="M813" t="n">
        <v>0</v>
      </c>
      <c r="N813" t="n">
        <v>0</v>
      </c>
      <c r="O813" t="n">
        <v>0</v>
      </c>
      <c r="P813" t="n">
        <v>0</v>
      </c>
      <c r="Q813" t="n">
        <v>0</v>
      </c>
      <c r="R813" s="2" t="inlineStr"/>
    </row>
    <row r="814" ht="15" customHeight="1">
      <c r="A814" t="inlineStr">
        <is>
          <t>A 11499-2023</t>
        </is>
      </c>
      <c r="B814" s="1" t="n">
        <v>44993.66707175926</v>
      </c>
      <c r="C814" s="1" t="n">
        <v>45988</v>
      </c>
      <c r="D814" t="inlineStr">
        <is>
          <t>STOCKHOLMS LÄN</t>
        </is>
      </c>
      <c r="E814" t="inlineStr">
        <is>
          <t>NORRTÄLJE</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576-2023</t>
        </is>
      </c>
      <c r="B815" s="1" t="n">
        <v>44925</v>
      </c>
      <c r="C815" s="1" t="n">
        <v>45988</v>
      </c>
      <c r="D815" t="inlineStr">
        <is>
          <t>STOCKHOLMS LÄN</t>
        </is>
      </c>
      <c r="E815" t="inlineStr">
        <is>
          <t>NORRTÄLJE</t>
        </is>
      </c>
      <c r="G815" t="n">
        <v>7.2</v>
      </c>
      <c r="H815" t="n">
        <v>0</v>
      </c>
      <c r="I815" t="n">
        <v>0</v>
      </c>
      <c r="J815" t="n">
        <v>0</v>
      </c>
      <c r="K815" t="n">
        <v>0</v>
      </c>
      <c r="L815" t="n">
        <v>0</v>
      </c>
      <c r="M815" t="n">
        <v>0</v>
      </c>
      <c r="N815" t="n">
        <v>0</v>
      </c>
      <c r="O815" t="n">
        <v>0</v>
      </c>
      <c r="P815" t="n">
        <v>0</v>
      </c>
      <c r="Q815" t="n">
        <v>0</v>
      </c>
      <c r="R815" s="2" t="inlineStr"/>
    </row>
    <row r="816" ht="15" customHeight="1">
      <c r="A816" t="inlineStr">
        <is>
          <t>A 10678-2025</t>
        </is>
      </c>
      <c r="B816" s="1" t="n">
        <v>45721.89123842592</v>
      </c>
      <c r="C816" s="1" t="n">
        <v>45988</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31936-2022</t>
        </is>
      </c>
      <c r="B817" s="1" t="n">
        <v>44777</v>
      </c>
      <c r="C817" s="1" t="n">
        <v>45988</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59873-2024</t>
        </is>
      </c>
      <c r="B818" s="1" t="n">
        <v>45640.57305555556</v>
      </c>
      <c r="C818" s="1" t="n">
        <v>45988</v>
      </c>
      <c r="D818" t="inlineStr">
        <is>
          <t>STOCKHOLMS LÄN</t>
        </is>
      </c>
      <c r="E818" t="inlineStr">
        <is>
          <t>NORRTÄLJE</t>
        </is>
      </c>
      <c r="G818" t="n">
        <v>3.3</v>
      </c>
      <c r="H818" t="n">
        <v>0</v>
      </c>
      <c r="I818" t="n">
        <v>0</v>
      </c>
      <c r="J818" t="n">
        <v>0</v>
      </c>
      <c r="K818" t="n">
        <v>0</v>
      </c>
      <c r="L818" t="n">
        <v>0</v>
      </c>
      <c r="M818" t="n">
        <v>0</v>
      </c>
      <c r="N818" t="n">
        <v>0</v>
      </c>
      <c r="O818" t="n">
        <v>0</v>
      </c>
      <c r="P818" t="n">
        <v>0</v>
      </c>
      <c r="Q818" t="n">
        <v>0</v>
      </c>
      <c r="R818" s="2" t="inlineStr"/>
    </row>
    <row r="819" ht="15" customHeight="1">
      <c r="A819" t="inlineStr">
        <is>
          <t>A 35916-2024</t>
        </is>
      </c>
      <c r="B819" s="1" t="n">
        <v>45533</v>
      </c>
      <c r="C819" s="1" t="n">
        <v>45988</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10098-2022</t>
        </is>
      </c>
      <c r="B820" s="1" t="n">
        <v>44621</v>
      </c>
      <c r="C820" s="1" t="n">
        <v>45988</v>
      </c>
      <c r="D820" t="inlineStr">
        <is>
          <t>STOCKHOLMS LÄN</t>
        </is>
      </c>
      <c r="E820" t="inlineStr">
        <is>
          <t>NORRTÄLJE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63161-2023</t>
        </is>
      </c>
      <c r="B821" s="1" t="n">
        <v>45273</v>
      </c>
      <c r="C821" s="1" t="n">
        <v>45988</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7796-2025</t>
        </is>
      </c>
      <c r="B822" s="1" t="n">
        <v>45706.60130787037</v>
      </c>
      <c r="C822" s="1" t="n">
        <v>45988</v>
      </c>
      <c r="D822" t="inlineStr">
        <is>
          <t>STOCKHOLMS LÄN</t>
        </is>
      </c>
      <c r="E822" t="inlineStr">
        <is>
          <t>NORRTÄLJE</t>
        </is>
      </c>
      <c r="F822" t="inlineStr">
        <is>
          <t>Holmen skog AB</t>
        </is>
      </c>
      <c r="G822" t="n">
        <v>2.4</v>
      </c>
      <c r="H822" t="n">
        <v>0</v>
      </c>
      <c r="I822" t="n">
        <v>0</v>
      </c>
      <c r="J822" t="n">
        <v>0</v>
      </c>
      <c r="K822" t="n">
        <v>0</v>
      </c>
      <c r="L822" t="n">
        <v>0</v>
      </c>
      <c r="M822" t="n">
        <v>0</v>
      </c>
      <c r="N822" t="n">
        <v>0</v>
      </c>
      <c r="O822" t="n">
        <v>0</v>
      </c>
      <c r="P822" t="n">
        <v>0</v>
      </c>
      <c r="Q822" t="n">
        <v>0</v>
      </c>
      <c r="R822" s="2" t="inlineStr"/>
    </row>
    <row r="823" ht="15" customHeight="1">
      <c r="A823" t="inlineStr">
        <is>
          <t>A 15552-2021</t>
        </is>
      </c>
      <c r="B823" s="1" t="n">
        <v>44285</v>
      </c>
      <c r="C823" s="1" t="n">
        <v>45988</v>
      </c>
      <c r="D823" t="inlineStr">
        <is>
          <t>STOCKHOLMS LÄN</t>
        </is>
      </c>
      <c r="E823" t="inlineStr">
        <is>
          <t>NORRTÄLJE</t>
        </is>
      </c>
      <c r="G823" t="n">
        <v>10</v>
      </c>
      <c r="H823" t="n">
        <v>0</v>
      </c>
      <c r="I823" t="n">
        <v>0</v>
      </c>
      <c r="J823" t="n">
        <v>0</v>
      </c>
      <c r="K823" t="n">
        <v>0</v>
      </c>
      <c r="L823" t="n">
        <v>0</v>
      </c>
      <c r="M823" t="n">
        <v>0</v>
      </c>
      <c r="N823" t="n">
        <v>0</v>
      </c>
      <c r="O823" t="n">
        <v>0</v>
      </c>
      <c r="P823" t="n">
        <v>0</v>
      </c>
      <c r="Q823" t="n">
        <v>0</v>
      </c>
      <c r="R823" s="2" t="inlineStr"/>
    </row>
    <row r="824" ht="15" customHeight="1">
      <c r="A824" t="inlineStr">
        <is>
          <t>A 58040-2024</t>
        </is>
      </c>
      <c r="B824" s="1" t="n">
        <v>45631.73952546297</v>
      </c>
      <c r="C824" s="1" t="n">
        <v>45988</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58041-2024</t>
        </is>
      </c>
      <c r="B825" s="1" t="n">
        <v>45631.74673611111</v>
      </c>
      <c r="C825" s="1" t="n">
        <v>45988</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30268-2024</t>
        </is>
      </c>
      <c r="B826" s="1" t="n">
        <v>45490.60572916667</v>
      </c>
      <c r="C826" s="1" t="n">
        <v>45988</v>
      </c>
      <c r="D826" t="inlineStr">
        <is>
          <t>STOCKHOLMS LÄN</t>
        </is>
      </c>
      <c r="E826" t="inlineStr">
        <is>
          <t>NORRTÄLJE</t>
        </is>
      </c>
      <c r="G826" t="n">
        <v>5.6</v>
      </c>
      <c r="H826" t="n">
        <v>0</v>
      </c>
      <c r="I826" t="n">
        <v>0</v>
      </c>
      <c r="J826" t="n">
        <v>0</v>
      </c>
      <c r="K826" t="n">
        <v>0</v>
      </c>
      <c r="L826" t="n">
        <v>0</v>
      </c>
      <c r="M826" t="n">
        <v>0</v>
      </c>
      <c r="N826" t="n">
        <v>0</v>
      </c>
      <c r="O826" t="n">
        <v>0</v>
      </c>
      <c r="P826" t="n">
        <v>0</v>
      </c>
      <c r="Q826" t="n">
        <v>0</v>
      </c>
      <c r="R826" s="2" t="inlineStr"/>
    </row>
    <row r="827" ht="15" customHeight="1">
      <c r="A827" t="inlineStr">
        <is>
          <t>A 12407-2025</t>
        </is>
      </c>
      <c r="B827" s="1" t="n">
        <v>45730.42851851852</v>
      </c>
      <c r="C827" s="1" t="n">
        <v>45988</v>
      </c>
      <c r="D827" t="inlineStr">
        <is>
          <t>STOCKHOLMS LÄN</t>
        </is>
      </c>
      <c r="E827" t="inlineStr">
        <is>
          <t>NORRTÄLJE</t>
        </is>
      </c>
      <c r="F827" t="inlineStr">
        <is>
          <t>Holmen skog AB</t>
        </is>
      </c>
      <c r="G827" t="n">
        <v>2.6</v>
      </c>
      <c r="H827" t="n">
        <v>0</v>
      </c>
      <c r="I827" t="n">
        <v>0</v>
      </c>
      <c r="J827" t="n">
        <v>0</v>
      </c>
      <c r="K827" t="n">
        <v>0</v>
      </c>
      <c r="L827" t="n">
        <v>0</v>
      </c>
      <c r="M827" t="n">
        <v>0</v>
      </c>
      <c r="N827" t="n">
        <v>0</v>
      </c>
      <c r="O827" t="n">
        <v>0</v>
      </c>
      <c r="P827" t="n">
        <v>0</v>
      </c>
      <c r="Q827" t="n">
        <v>0</v>
      </c>
      <c r="R827" s="2" t="inlineStr"/>
    </row>
    <row r="828" ht="15" customHeight="1">
      <c r="A828" t="inlineStr">
        <is>
          <t>A 19025-2025</t>
        </is>
      </c>
      <c r="B828" s="1" t="n">
        <v>45764.6359837963</v>
      </c>
      <c r="C828" s="1" t="n">
        <v>45988</v>
      </c>
      <c r="D828" t="inlineStr">
        <is>
          <t>STOCKHOLMS LÄN</t>
        </is>
      </c>
      <c r="E828" t="inlineStr">
        <is>
          <t>NORRTÄLJE</t>
        </is>
      </c>
      <c r="G828" t="n">
        <v>1.2</v>
      </c>
      <c r="H828" t="n">
        <v>0</v>
      </c>
      <c r="I828" t="n">
        <v>0</v>
      </c>
      <c r="J828" t="n">
        <v>0</v>
      </c>
      <c r="K828" t="n">
        <v>0</v>
      </c>
      <c r="L828" t="n">
        <v>0</v>
      </c>
      <c r="M828" t="n">
        <v>0</v>
      </c>
      <c r="N828" t="n">
        <v>0</v>
      </c>
      <c r="O828" t="n">
        <v>0</v>
      </c>
      <c r="P828" t="n">
        <v>0</v>
      </c>
      <c r="Q828" t="n">
        <v>0</v>
      </c>
      <c r="R828" s="2" t="inlineStr"/>
    </row>
    <row r="829" ht="15" customHeight="1">
      <c r="A829" t="inlineStr">
        <is>
          <t>A 54276-2021</t>
        </is>
      </c>
      <c r="B829" s="1" t="n">
        <v>44470</v>
      </c>
      <c r="C829" s="1" t="n">
        <v>45988</v>
      </c>
      <c r="D829" t="inlineStr">
        <is>
          <t>STOCKHOLMS LÄN</t>
        </is>
      </c>
      <c r="E829" t="inlineStr">
        <is>
          <t>NORRTÄLJE</t>
        </is>
      </c>
      <c r="G829" t="n">
        <v>7.3</v>
      </c>
      <c r="H829" t="n">
        <v>0</v>
      </c>
      <c r="I829" t="n">
        <v>0</v>
      </c>
      <c r="J829" t="n">
        <v>0</v>
      </c>
      <c r="K829" t="n">
        <v>0</v>
      </c>
      <c r="L829" t="n">
        <v>0</v>
      </c>
      <c r="M829" t="n">
        <v>0</v>
      </c>
      <c r="N829" t="n">
        <v>0</v>
      </c>
      <c r="O829" t="n">
        <v>0</v>
      </c>
      <c r="P829" t="n">
        <v>0</v>
      </c>
      <c r="Q829" t="n">
        <v>0</v>
      </c>
      <c r="R829" s="2" t="inlineStr"/>
    </row>
    <row r="830" ht="15" customHeight="1">
      <c r="A830" t="inlineStr">
        <is>
          <t>A 4316-2023</t>
        </is>
      </c>
      <c r="B830" s="1" t="n">
        <v>44953.67443287037</v>
      </c>
      <c r="C830" s="1" t="n">
        <v>45988</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41587-2023</t>
        </is>
      </c>
      <c r="B831" s="1" t="n">
        <v>45175</v>
      </c>
      <c r="C831" s="1" t="n">
        <v>45988</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17304-2024</t>
        </is>
      </c>
      <c r="B832" s="1" t="n">
        <v>45414</v>
      </c>
      <c r="C832" s="1" t="n">
        <v>45988</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11280-2023</t>
        </is>
      </c>
      <c r="B833" s="1" t="n">
        <v>44992</v>
      </c>
      <c r="C833" s="1" t="n">
        <v>45988</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26668-2024</t>
        </is>
      </c>
      <c r="B834" s="1" t="n">
        <v>45469</v>
      </c>
      <c r="C834" s="1" t="n">
        <v>45988</v>
      </c>
      <c r="D834" t="inlineStr">
        <is>
          <t>STOCKHOLMS LÄN</t>
        </is>
      </c>
      <c r="E834" t="inlineStr">
        <is>
          <t>NORRTÄLJE</t>
        </is>
      </c>
      <c r="G834" t="n">
        <v>4.8</v>
      </c>
      <c r="H834" t="n">
        <v>0</v>
      </c>
      <c r="I834" t="n">
        <v>0</v>
      </c>
      <c r="J834" t="n">
        <v>0</v>
      </c>
      <c r="K834" t="n">
        <v>0</v>
      </c>
      <c r="L834" t="n">
        <v>0</v>
      </c>
      <c r="M834" t="n">
        <v>0</v>
      </c>
      <c r="N834" t="n">
        <v>0</v>
      </c>
      <c r="O834" t="n">
        <v>0</v>
      </c>
      <c r="P834" t="n">
        <v>0</v>
      </c>
      <c r="Q834" t="n">
        <v>0</v>
      </c>
      <c r="R834" s="2" t="inlineStr"/>
    </row>
    <row r="835" ht="15" customHeight="1">
      <c r="A835" t="inlineStr">
        <is>
          <t>A 31926-2022</t>
        </is>
      </c>
      <c r="B835" s="1" t="n">
        <v>44777</v>
      </c>
      <c r="C835" s="1" t="n">
        <v>45988</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21480-2022</t>
        </is>
      </c>
      <c r="B836" s="1" t="n">
        <v>44704</v>
      </c>
      <c r="C836" s="1" t="n">
        <v>45988</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11041-2025</t>
        </is>
      </c>
      <c r="B837" s="1" t="n">
        <v>45723</v>
      </c>
      <c r="C837" s="1" t="n">
        <v>45988</v>
      </c>
      <c r="D837" t="inlineStr">
        <is>
          <t>STOCKHOLMS LÄN</t>
        </is>
      </c>
      <c r="E837" t="inlineStr">
        <is>
          <t>NORRTÄLJE</t>
        </is>
      </c>
      <c r="F837" t="inlineStr">
        <is>
          <t>Övriga Aktiebolag</t>
        </is>
      </c>
      <c r="G837" t="n">
        <v>1.8</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45988</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24024-2024</t>
        </is>
      </c>
      <c r="B839" s="1" t="n">
        <v>45456</v>
      </c>
      <c r="C839" s="1" t="n">
        <v>45988</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28809-2023</t>
        </is>
      </c>
      <c r="B840" s="1" t="n">
        <v>45104</v>
      </c>
      <c r="C840" s="1" t="n">
        <v>45988</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28813-2023</t>
        </is>
      </c>
      <c r="B841" s="1" t="n">
        <v>45104</v>
      </c>
      <c r="C841" s="1" t="n">
        <v>45988</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40656-2022</t>
        </is>
      </c>
      <c r="B842" s="1" t="n">
        <v>44824.36069444445</v>
      </c>
      <c r="C842" s="1" t="n">
        <v>45988</v>
      </c>
      <c r="D842" t="inlineStr">
        <is>
          <t>STOCKHOLMS LÄN</t>
        </is>
      </c>
      <c r="E842" t="inlineStr">
        <is>
          <t>NORRTÄLJE</t>
        </is>
      </c>
      <c r="G842" t="n">
        <v>2.7</v>
      </c>
      <c r="H842" t="n">
        <v>0</v>
      </c>
      <c r="I842" t="n">
        <v>0</v>
      </c>
      <c r="J842" t="n">
        <v>0</v>
      </c>
      <c r="K842" t="n">
        <v>0</v>
      </c>
      <c r="L842" t="n">
        <v>0</v>
      </c>
      <c r="M842" t="n">
        <v>0</v>
      </c>
      <c r="N842" t="n">
        <v>0</v>
      </c>
      <c r="O842" t="n">
        <v>0</v>
      </c>
      <c r="P842" t="n">
        <v>0</v>
      </c>
      <c r="Q842" t="n">
        <v>0</v>
      </c>
      <c r="R842" s="2" t="inlineStr"/>
    </row>
    <row r="843" ht="15" customHeight="1">
      <c r="A843" t="inlineStr">
        <is>
          <t>A 60694-2024</t>
        </is>
      </c>
      <c r="B843" s="1" t="n">
        <v>45644.47878472223</v>
      </c>
      <c r="C843" s="1" t="n">
        <v>45988</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19450-2025</t>
        </is>
      </c>
      <c r="B844" s="1" t="n">
        <v>45770</v>
      </c>
      <c r="C844" s="1" t="n">
        <v>45988</v>
      </c>
      <c r="D844" t="inlineStr">
        <is>
          <t>STOCKHOLMS LÄN</t>
        </is>
      </c>
      <c r="E844" t="inlineStr">
        <is>
          <t>NORRTÄLJE</t>
        </is>
      </c>
      <c r="G844" t="n">
        <v>5.3</v>
      </c>
      <c r="H844" t="n">
        <v>0</v>
      </c>
      <c r="I844" t="n">
        <v>0</v>
      </c>
      <c r="J844" t="n">
        <v>0</v>
      </c>
      <c r="K844" t="n">
        <v>0</v>
      </c>
      <c r="L844" t="n">
        <v>0</v>
      </c>
      <c r="M844" t="n">
        <v>0</v>
      </c>
      <c r="N844" t="n">
        <v>0</v>
      </c>
      <c r="O844" t="n">
        <v>0</v>
      </c>
      <c r="P844" t="n">
        <v>0</v>
      </c>
      <c r="Q844" t="n">
        <v>0</v>
      </c>
      <c r="R844" s="2" t="inlineStr"/>
    </row>
    <row r="845" ht="15" customHeight="1">
      <c r="A845" t="inlineStr">
        <is>
          <t>A 33353-2023</t>
        </is>
      </c>
      <c r="B845" s="1" t="n">
        <v>45128</v>
      </c>
      <c r="C845" s="1" t="n">
        <v>45988</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3966-2024</t>
        </is>
      </c>
      <c r="B846" s="1" t="n">
        <v>45322</v>
      </c>
      <c r="C846" s="1" t="n">
        <v>45988</v>
      </c>
      <c r="D846" t="inlineStr">
        <is>
          <t>STOCKHOLMS LÄN</t>
        </is>
      </c>
      <c r="E846" t="inlineStr">
        <is>
          <t>NORRTÄLJE</t>
        </is>
      </c>
      <c r="G846" t="n">
        <v>5.3</v>
      </c>
      <c r="H846" t="n">
        <v>0</v>
      </c>
      <c r="I846" t="n">
        <v>0</v>
      </c>
      <c r="J846" t="n">
        <v>0</v>
      </c>
      <c r="K846" t="n">
        <v>0</v>
      </c>
      <c r="L846" t="n">
        <v>0</v>
      </c>
      <c r="M846" t="n">
        <v>0</v>
      </c>
      <c r="N846" t="n">
        <v>0</v>
      </c>
      <c r="O846" t="n">
        <v>0</v>
      </c>
      <c r="P846" t="n">
        <v>0</v>
      </c>
      <c r="Q846" t="n">
        <v>0</v>
      </c>
      <c r="R846" s="2" t="inlineStr"/>
    </row>
    <row r="847" ht="15" customHeight="1">
      <c r="A847" t="inlineStr">
        <is>
          <t>A 23262-2023</t>
        </is>
      </c>
      <c r="B847" s="1" t="n">
        <v>45075.90270833333</v>
      </c>
      <c r="C847" s="1" t="n">
        <v>45988</v>
      </c>
      <c r="D847" t="inlineStr">
        <is>
          <t>STOCKHOLMS LÄN</t>
        </is>
      </c>
      <c r="E847" t="inlineStr">
        <is>
          <t>NORRTÄLJE</t>
        </is>
      </c>
      <c r="F847" t="inlineStr">
        <is>
          <t>Kommuner</t>
        </is>
      </c>
      <c r="G847" t="n">
        <v>1.9</v>
      </c>
      <c r="H847" t="n">
        <v>0</v>
      </c>
      <c r="I847" t="n">
        <v>0</v>
      </c>
      <c r="J847" t="n">
        <v>0</v>
      </c>
      <c r="K847" t="n">
        <v>0</v>
      </c>
      <c r="L847" t="n">
        <v>0</v>
      </c>
      <c r="M847" t="n">
        <v>0</v>
      </c>
      <c r="N847" t="n">
        <v>0</v>
      </c>
      <c r="O847" t="n">
        <v>0</v>
      </c>
      <c r="P847" t="n">
        <v>0</v>
      </c>
      <c r="Q847" t="n">
        <v>0</v>
      </c>
      <c r="R847" s="2" t="inlineStr"/>
    </row>
    <row r="848" ht="15" customHeight="1">
      <c r="A848" t="inlineStr">
        <is>
          <t>A 23268-2023</t>
        </is>
      </c>
      <c r="B848" s="1" t="n">
        <v>45075.91042824074</v>
      </c>
      <c r="C848" s="1" t="n">
        <v>45988</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23270-2023</t>
        </is>
      </c>
      <c r="B849" s="1" t="n">
        <v>45075.91265046296</v>
      </c>
      <c r="C849" s="1" t="n">
        <v>45988</v>
      </c>
      <c r="D849" t="inlineStr">
        <is>
          <t>STOCKHOLMS LÄN</t>
        </is>
      </c>
      <c r="E849" t="inlineStr">
        <is>
          <t>NORRTÄLJE</t>
        </is>
      </c>
      <c r="G849" t="n">
        <v>12.3</v>
      </c>
      <c r="H849" t="n">
        <v>0</v>
      </c>
      <c r="I849" t="n">
        <v>0</v>
      </c>
      <c r="J849" t="n">
        <v>0</v>
      </c>
      <c r="K849" t="n">
        <v>0</v>
      </c>
      <c r="L849" t="n">
        <v>0</v>
      </c>
      <c r="M849" t="n">
        <v>0</v>
      </c>
      <c r="N849" t="n">
        <v>0</v>
      </c>
      <c r="O849" t="n">
        <v>0</v>
      </c>
      <c r="P849" t="n">
        <v>0</v>
      </c>
      <c r="Q849" t="n">
        <v>0</v>
      </c>
      <c r="R849" s="2" t="inlineStr"/>
    </row>
    <row r="850" ht="15" customHeight="1">
      <c r="A850" t="inlineStr">
        <is>
          <t>A 23274-2023</t>
        </is>
      </c>
      <c r="B850" s="1" t="n">
        <v>45075.92153935185</v>
      </c>
      <c r="C850" s="1" t="n">
        <v>45988</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17843-2024</t>
        </is>
      </c>
      <c r="B851" s="1" t="n">
        <v>45418</v>
      </c>
      <c r="C851" s="1" t="n">
        <v>45988</v>
      </c>
      <c r="D851" t="inlineStr">
        <is>
          <t>STOCKHOLMS LÄN</t>
        </is>
      </c>
      <c r="E851" t="inlineStr">
        <is>
          <t>NORRTÄLJE</t>
        </is>
      </c>
      <c r="G851" t="n">
        <v>5.4</v>
      </c>
      <c r="H851" t="n">
        <v>0</v>
      </c>
      <c r="I851" t="n">
        <v>0</v>
      </c>
      <c r="J851" t="n">
        <v>0</v>
      </c>
      <c r="K851" t="n">
        <v>0</v>
      </c>
      <c r="L851" t="n">
        <v>0</v>
      </c>
      <c r="M851" t="n">
        <v>0</v>
      </c>
      <c r="N851" t="n">
        <v>0</v>
      </c>
      <c r="O851" t="n">
        <v>0</v>
      </c>
      <c r="P851" t="n">
        <v>0</v>
      </c>
      <c r="Q851" t="n">
        <v>0</v>
      </c>
      <c r="R851" s="2" t="inlineStr"/>
    </row>
    <row r="852" ht="15" customHeight="1">
      <c r="A852" t="inlineStr">
        <is>
          <t>A 26636-2023</t>
        </is>
      </c>
      <c r="B852" s="1" t="n">
        <v>45092</v>
      </c>
      <c r="C852" s="1" t="n">
        <v>45988</v>
      </c>
      <c r="D852" t="inlineStr">
        <is>
          <t>STOCKHOLMS LÄN</t>
        </is>
      </c>
      <c r="E852" t="inlineStr">
        <is>
          <t>NORRTÄLJE</t>
        </is>
      </c>
      <c r="G852" t="n">
        <v>1.7</v>
      </c>
      <c r="H852" t="n">
        <v>0</v>
      </c>
      <c r="I852" t="n">
        <v>0</v>
      </c>
      <c r="J852" t="n">
        <v>0</v>
      </c>
      <c r="K852" t="n">
        <v>0</v>
      </c>
      <c r="L852" t="n">
        <v>0</v>
      </c>
      <c r="M852" t="n">
        <v>0</v>
      </c>
      <c r="N852" t="n">
        <v>0</v>
      </c>
      <c r="O852" t="n">
        <v>0</v>
      </c>
      <c r="P852" t="n">
        <v>0</v>
      </c>
      <c r="Q852" t="n">
        <v>0</v>
      </c>
      <c r="R852" s="2" t="inlineStr"/>
    </row>
    <row r="853" ht="15" customHeight="1">
      <c r="A853" t="inlineStr">
        <is>
          <t>A 26637-2023</t>
        </is>
      </c>
      <c r="B853" s="1" t="n">
        <v>45092</v>
      </c>
      <c r="C853" s="1" t="n">
        <v>45988</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72704-2021</t>
        </is>
      </c>
      <c r="B854" s="1" t="n">
        <v>44546</v>
      </c>
      <c r="C854" s="1" t="n">
        <v>45988</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52743-2024</t>
        </is>
      </c>
      <c r="B855" s="1" t="n">
        <v>45610.47414351852</v>
      </c>
      <c r="C855" s="1" t="n">
        <v>45988</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16852-2024</t>
        </is>
      </c>
      <c r="B856" s="1" t="n">
        <v>45411.54768518519</v>
      </c>
      <c r="C856" s="1" t="n">
        <v>45988</v>
      </c>
      <c r="D856" t="inlineStr">
        <is>
          <t>STOCKHOLMS LÄN</t>
        </is>
      </c>
      <c r="E856" t="inlineStr">
        <is>
          <t>NORRTÄLJE</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55755-2023</t>
        </is>
      </c>
      <c r="B857" s="1" t="n">
        <v>45239</v>
      </c>
      <c r="C857" s="1" t="n">
        <v>45988</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17348-2024</t>
        </is>
      </c>
      <c r="B858" s="1" t="n">
        <v>45414.58650462963</v>
      </c>
      <c r="C858" s="1" t="n">
        <v>45988</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13089-2022</t>
        </is>
      </c>
      <c r="B859" s="1" t="n">
        <v>44643</v>
      </c>
      <c r="C859" s="1" t="n">
        <v>45988</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48145-2024</t>
        </is>
      </c>
      <c r="B860" s="1" t="n">
        <v>45589.6756712963</v>
      </c>
      <c r="C860" s="1" t="n">
        <v>45988</v>
      </c>
      <c r="D860" t="inlineStr">
        <is>
          <t>STOCKHOLMS LÄN</t>
        </is>
      </c>
      <c r="E860" t="inlineStr">
        <is>
          <t>NORRTÄLJE</t>
        </is>
      </c>
      <c r="G860" t="n">
        <v>3.4</v>
      </c>
      <c r="H860" t="n">
        <v>0</v>
      </c>
      <c r="I860" t="n">
        <v>0</v>
      </c>
      <c r="J860" t="n">
        <v>0</v>
      </c>
      <c r="K860" t="n">
        <v>0</v>
      </c>
      <c r="L860" t="n">
        <v>0</v>
      </c>
      <c r="M860" t="n">
        <v>0</v>
      </c>
      <c r="N860" t="n">
        <v>0</v>
      </c>
      <c r="O860" t="n">
        <v>0</v>
      </c>
      <c r="P860" t="n">
        <v>0</v>
      </c>
      <c r="Q860" t="n">
        <v>0</v>
      </c>
      <c r="R860" s="2" t="inlineStr"/>
    </row>
    <row r="861" ht="15" customHeight="1">
      <c r="A861" t="inlineStr">
        <is>
          <t>A 23998-2024</t>
        </is>
      </c>
      <c r="B861" s="1" t="n">
        <v>45456</v>
      </c>
      <c r="C861" s="1" t="n">
        <v>45988</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15447-2023</t>
        </is>
      </c>
      <c r="B862" s="1" t="n">
        <v>45020</v>
      </c>
      <c r="C862" s="1" t="n">
        <v>45988</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54358-2022</t>
        </is>
      </c>
      <c r="B863" s="1" t="n">
        <v>44882</v>
      </c>
      <c r="C863" s="1" t="n">
        <v>45988</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23263-2023</t>
        </is>
      </c>
      <c r="B864" s="1" t="n">
        <v>45075</v>
      </c>
      <c r="C864" s="1" t="n">
        <v>45988</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23264-2023</t>
        </is>
      </c>
      <c r="B865" s="1" t="n">
        <v>45075</v>
      </c>
      <c r="C865" s="1" t="n">
        <v>45988</v>
      </c>
      <c r="D865" t="inlineStr">
        <is>
          <t>STOCKHOLMS LÄN</t>
        </is>
      </c>
      <c r="E865" t="inlineStr">
        <is>
          <t>NORRTÄLJE</t>
        </is>
      </c>
      <c r="G865" t="n">
        <v>2.9</v>
      </c>
      <c r="H865" t="n">
        <v>0</v>
      </c>
      <c r="I865" t="n">
        <v>0</v>
      </c>
      <c r="J865" t="n">
        <v>0</v>
      </c>
      <c r="K865" t="n">
        <v>0</v>
      </c>
      <c r="L865" t="n">
        <v>0</v>
      </c>
      <c r="M865" t="n">
        <v>0</v>
      </c>
      <c r="N865" t="n">
        <v>0</v>
      </c>
      <c r="O865" t="n">
        <v>0</v>
      </c>
      <c r="P865" t="n">
        <v>0</v>
      </c>
      <c r="Q865" t="n">
        <v>0</v>
      </c>
      <c r="R865" s="2" t="inlineStr"/>
    </row>
    <row r="866" ht="15" customHeight="1">
      <c r="A866" t="inlineStr">
        <is>
          <t>A 23267-2023</t>
        </is>
      </c>
      <c r="B866" s="1" t="n">
        <v>45075.90934027778</v>
      </c>
      <c r="C866" s="1" t="n">
        <v>45988</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23269-2023</t>
        </is>
      </c>
      <c r="B867" s="1" t="n">
        <v>45075.91148148148</v>
      </c>
      <c r="C867" s="1" t="n">
        <v>45988</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19911-2025</t>
        </is>
      </c>
      <c r="B868" s="1" t="n">
        <v>45771</v>
      </c>
      <c r="C868" s="1" t="n">
        <v>45988</v>
      </c>
      <c r="D868" t="inlineStr">
        <is>
          <t>STOCKHOLMS LÄN</t>
        </is>
      </c>
      <c r="E868" t="inlineStr">
        <is>
          <t>NORRTÄLJE</t>
        </is>
      </c>
      <c r="G868" t="n">
        <v>1.4</v>
      </c>
      <c r="H868" t="n">
        <v>0</v>
      </c>
      <c r="I868" t="n">
        <v>0</v>
      </c>
      <c r="J868" t="n">
        <v>0</v>
      </c>
      <c r="K868" t="n">
        <v>0</v>
      </c>
      <c r="L868" t="n">
        <v>0</v>
      </c>
      <c r="M868" t="n">
        <v>0</v>
      </c>
      <c r="N868" t="n">
        <v>0</v>
      </c>
      <c r="O868" t="n">
        <v>0</v>
      </c>
      <c r="P868" t="n">
        <v>0</v>
      </c>
      <c r="Q868" t="n">
        <v>0</v>
      </c>
      <c r="R868" s="2" t="inlineStr"/>
    </row>
    <row r="869" ht="15" customHeight="1">
      <c r="A869" t="inlineStr">
        <is>
          <t>A 5831-2022</t>
        </is>
      </c>
      <c r="B869" s="1" t="n">
        <v>44596</v>
      </c>
      <c r="C869" s="1" t="n">
        <v>45988</v>
      </c>
      <c r="D869" t="inlineStr">
        <is>
          <t>STOCKHOLMS LÄN</t>
        </is>
      </c>
      <c r="E869" t="inlineStr">
        <is>
          <t>NORRTÄLJE</t>
        </is>
      </c>
      <c r="G869" t="n">
        <v>4.8</v>
      </c>
      <c r="H869" t="n">
        <v>0</v>
      </c>
      <c r="I869" t="n">
        <v>0</v>
      </c>
      <c r="J869" t="n">
        <v>0</v>
      </c>
      <c r="K869" t="n">
        <v>0</v>
      </c>
      <c r="L869" t="n">
        <v>0</v>
      </c>
      <c r="M869" t="n">
        <v>0</v>
      </c>
      <c r="N869" t="n">
        <v>0</v>
      </c>
      <c r="O869" t="n">
        <v>0</v>
      </c>
      <c r="P869" t="n">
        <v>0</v>
      </c>
      <c r="Q869" t="n">
        <v>0</v>
      </c>
      <c r="R869" s="2" t="inlineStr"/>
    </row>
    <row r="870" ht="15" customHeight="1">
      <c r="A870" t="inlineStr">
        <is>
          <t>A 5867-2022</t>
        </is>
      </c>
      <c r="B870" s="1" t="n">
        <v>44596.66335648148</v>
      </c>
      <c r="C870" s="1" t="n">
        <v>45988</v>
      </c>
      <c r="D870" t="inlineStr">
        <is>
          <t>STOCKHOLMS LÄN</t>
        </is>
      </c>
      <c r="E870" t="inlineStr">
        <is>
          <t>NORRTÄLJE</t>
        </is>
      </c>
      <c r="F870" t="inlineStr">
        <is>
          <t>Naturvårdsverket</t>
        </is>
      </c>
      <c r="G870" t="n">
        <v>1.6</v>
      </c>
      <c r="H870" t="n">
        <v>0</v>
      </c>
      <c r="I870" t="n">
        <v>0</v>
      </c>
      <c r="J870" t="n">
        <v>0</v>
      </c>
      <c r="K870" t="n">
        <v>0</v>
      </c>
      <c r="L870" t="n">
        <v>0</v>
      </c>
      <c r="M870" t="n">
        <v>0</v>
      </c>
      <c r="N870" t="n">
        <v>0</v>
      </c>
      <c r="O870" t="n">
        <v>0</v>
      </c>
      <c r="P870" t="n">
        <v>0</v>
      </c>
      <c r="Q870" t="n">
        <v>0</v>
      </c>
      <c r="R870" s="2" t="inlineStr"/>
    </row>
    <row r="871" ht="15" customHeight="1">
      <c r="A871" t="inlineStr">
        <is>
          <t>A 20244-2025</t>
        </is>
      </c>
      <c r="B871" s="1" t="n">
        <v>45772.71221064815</v>
      </c>
      <c r="C871" s="1" t="n">
        <v>45988</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48633-2023</t>
        </is>
      </c>
      <c r="B872" s="1" t="n">
        <v>45208.58004629629</v>
      </c>
      <c r="C872" s="1" t="n">
        <v>45988</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39669-2024</t>
        </is>
      </c>
      <c r="B873" s="1" t="n">
        <v>45552.52827546297</v>
      </c>
      <c r="C873" s="1" t="n">
        <v>45988</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43170-2023</t>
        </is>
      </c>
      <c r="B874" s="1" t="n">
        <v>45183</v>
      </c>
      <c r="C874" s="1" t="n">
        <v>45988</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9-2024</t>
        </is>
      </c>
      <c r="B875" s="1" t="n">
        <v>45293</v>
      </c>
      <c r="C875" s="1" t="n">
        <v>45988</v>
      </c>
      <c r="D875" t="inlineStr">
        <is>
          <t>STOCKHOLMS LÄN</t>
        </is>
      </c>
      <c r="E875" t="inlineStr">
        <is>
          <t>NORRTÄLJE</t>
        </is>
      </c>
      <c r="F875" t="inlineStr">
        <is>
          <t>Sveaskog</t>
        </is>
      </c>
      <c r="G875" t="n">
        <v>1.3</v>
      </c>
      <c r="H875" t="n">
        <v>0</v>
      </c>
      <c r="I875" t="n">
        <v>0</v>
      </c>
      <c r="J875" t="n">
        <v>0</v>
      </c>
      <c r="K875" t="n">
        <v>0</v>
      </c>
      <c r="L875" t="n">
        <v>0</v>
      </c>
      <c r="M875" t="n">
        <v>0</v>
      </c>
      <c r="N875" t="n">
        <v>0</v>
      </c>
      <c r="O875" t="n">
        <v>0</v>
      </c>
      <c r="P875" t="n">
        <v>0</v>
      </c>
      <c r="Q875" t="n">
        <v>0</v>
      </c>
      <c r="R875" s="2" t="inlineStr"/>
    </row>
    <row r="876" ht="15" customHeight="1">
      <c r="A876" t="inlineStr">
        <is>
          <t>A 22832-2021</t>
        </is>
      </c>
      <c r="B876" s="1" t="n">
        <v>44325</v>
      </c>
      <c r="C876" s="1" t="n">
        <v>45988</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16913-2025</t>
        </is>
      </c>
      <c r="B877" s="1" t="n">
        <v>45755.36583333334</v>
      </c>
      <c r="C877" s="1" t="n">
        <v>45988</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4035-2023</t>
        </is>
      </c>
      <c r="B878" s="1" t="n">
        <v>44952.57989583333</v>
      </c>
      <c r="C878" s="1" t="n">
        <v>45988</v>
      </c>
      <c r="D878" t="inlineStr">
        <is>
          <t>STOCKHOLMS LÄN</t>
        </is>
      </c>
      <c r="E878" t="inlineStr">
        <is>
          <t>NORRTÄLJE</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33793-2022</t>
        </is>
      </c>
      <c r="B879" s="1" t="n">
        <v>44790</v>
      </c>
      <c r="C879" s="1" t="n">
        <v>45988</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53600-2022</t>
        </is>
      </c>
      <c r="B880" s="1" t="n">
        <v>44879.70518518519</v>
      </c>
      <c r="C880" s="1" t="n">
        <v>45988</v>
      </c>
      <c r="D880" t="inlineStr">
        <is>
          <t>STOCKHOLMS LÄN</t>
        </is>
      </c>
      <c r="E880" t="inlineStr">
        <is>
          <t>NORRTÄLJE</t>
        </is>
      </c>
      <c r="G880" t="n">
        <v>4.3</v>
      </c>
      <c r="H880" t="n">
        <v>0</v>
      </c>
      <c r="I880" t="n">
        <v>0</v>
      </c>
      <c r="J880" t="n">
        <v>0</v>
      </c>
      <c r="K880" t="n">
        <v>0</v>
      </c>
      <c r="L880" t="n">
        <v>0</v>
      </c>
      <c r="M880" t="n">
        <v>0</v>
      </c>
      <c r="N880" t="n">
        <v>0</v>
      </c>
      <c r="O880" t="n">
        <v>0</v>
      </c>
      <c r="P880" t="n">
        <v>0</v>
      </c>
      <c r="Q880" t="n">
        <v>0</v>
      </c>
      <c r="R880" s="2" t="inlineStr"/>
    </row>
    <row r="881" ht="15" customHeight="1">
      <c r="A881" t="inlineStr">
        <is>
          <t>A 7697-2025</t>
        </is>
      </c>
      <c r="B881" s="1" t="n">
        <v>45706.40086805556</v>
      </c>
      <c r="C881" s="1" t="n">
        <v>45988</v>
      </c>
      <c r="D881" t="inlineStr">
        <is>
          <t>STOCKHOLMS LÄN</t>
        </is>
      </c>
      <c r="E881" t="inlineStr">
        <is>
          <t>NORRTÄLJE</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30221-2024</t>
        </is>
      </c>
      <c r="B882" s="1" t="n">
        <v>45490.45342592592</v>
      </c>
      <c r="C882" s="1" t="n">
        <v>45988</v>
      </c>
      <c r="D882" t="inlineStr">
        <is>
          <t>STOCKHOLMS LÄN</t>
        </is>
      </c>
      <c r="E882" t="inlineStr">
        <is>
          <t>NORRTÄLJE</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13-2024</t>
        </is>
      </c>
      <c r="B883" s="1" t="n">
        <v>45293.37263888889</v>
      </c>
      <c r="C883" s="1" t="n">
        <v>45988</v>
      </c>
      <c r="D883" t="inlineStr">
        <is>
          <t>STOCKHOLMS LÄN</t>
        </is>
      </c>
      <c r="E883" t="inlineStr">
        <is>
          <t>NORRTÄLJE</t>
        </is>
      </c>
      <c r="G883" t="n">
        <v>1.6</v>
      </c>
      <c r="H883" t="n">
        <v>0</v>
      </c>
      <c r="I883" t="n">
        <v>0</v>
      </c>
      <c r="J883" t="n">
        <v>0</v>
      </c>
      <c r="K883" t="n">
        <v>0</v>
      </c>
      <c r="L883" t="n">
        <v>0</v>
      </c>
      <c r="M883" t="n">
        <v>0</v>
      </c>
      <c r="N883" t="n">
        <v>0</v>
      </c>
      <c r="O883" t="n">
        <v>0</v>
      </c>
      <c r="P883" t="n">
        <v>0</v>
      </c>
      <c r="Q883" t="n">
        <v>0</v>
      </c>
      <c r="R883" s="2" t="inlineStr"/>
    </row>
    <row r="884" ht="15" customHeight="1">
      <c r="A884" t="inlineStr">
        <is>
          <t>A 19-2024</t>
        </is>
      </c>
      <c r="B884" s="1" t="n">
        <v>45293</v>
      </c>
      <c r="C884" s="1" t="n">
        <v>45988</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31559-2022</t>
        </is>
      </c>
      <c r="B885" s="1" t="n">
        <v>44775</v>
      </c>
      <c r="C885" s="1" t="n">
        <v>45988</v>
      </c>
      <c r="D885" t="inlineStr">
        <is>
          <t>STOCKHOLMS LÄN</t>
        </is>
      </c>
      <c r="E885" t="inlineStr">
        <is>
          <t>NORRTÄLJE</t>
        </is>
      </c>
      <c r="G885" t="n">
        <v>5.6</v>
      </c>
      <c r="H885" t="n">
        <v>0</v>
      </c>
      <c r="I885" t="n">
        <v>0</v>
      </c>
      <c r="J885" t="n">
        <v>0</v>
      </c>
      <c r="K885" t="n">
        <v>0</v>
      </c>
      <c r="L885" t="n">
        <v>0</v>
      </c>
      <c r="M885" t="n">
        <v>0</v>
      </c>
      <c r="N885" t="n">
        <v>0</v>
      </c>
      <c r="O885" t="n">
        <v>0</v>
      </c>
      <c r="P885" t="n">
        <v>0</v>
      </c>
      <c r="Q885" t="n">
        <v>0</v>
      </c>
      <c r="R885" s="2" t="inlineStr"/>
    </row>
    <row r="886" ht="15" customHeight="1">
      <c r="A886" t="inlineStr">
        <is>
          <t>A 8419-2025</t>
        </is>
      </c>
      <c r="B886" s="1" t="n">
        <v>45709.40231481481</v>
      </c>
      <c r="C886" s="1" t="n">
        <v>45988</v>
      </c>
      <c r="D886" t="inlineStr">
        <is>
          <t>STOCKHOLMS LÄN</t>
        </is>
      </c>
      <c r="E886" t="inlineStr">
        <is>
          <t>NORRTÄLJE</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66662-2020</t>
        </is>
      </c>
      <c r="B887" s="1" t="n">
        <v>44179</v>
      </c>
      <c r="C887" s="1" t="n">
        <v>45988</v>
      </c>
      <c r="D887" t="inlineStr">
        <is>
          <t>STOCKHOLMS LÄN</t>
        </is>
      </c>
      <c r="E887" t="inlineStr">
        <is>
          <t>NORRTÄLJE</t>
        </is>
      </c>
      <c r="G887" t="n">
        <v>1.9</v>
      </c>
      <c r="H887" t="n">
        <v>0</v>
      </c>
      <c r="I887" t="n">
        <v>0</v>
      </c>
      <c r="J887" t="n">
        <v>0</v>
      </c>
      <c r="K887" t="n">
        <v>0</v>
      </c>
      <c r="L887" t="n">
        <v>0</v>
      </c>
      <c r="M887" t="n">
        <v>0</v>
      </c>
      <c r="N887" t="n">
        <v>0</v>
      </c>
      <c r="O887" t="n">
        <v>0</v>
      </c>
      <c r="P887" t="n">
        <v>0</v>
      </c>
      <c r="Q887" t="n">
        <v>0</v>
      </c>
      <c r="R887" s="2" t="inlineStr"/>
    </row>
    <row r="888" ht="15" customHeight="1">
      <c r="A888" t="inlineStr">
        <is>
          <t>A 35161-2022</t>
        </is>
      </c>
      <c r="B888" s="1" t="n">
        <v>44797</v>
      </c>
      <c r="C888" s="1" t="n">
        <v>45988</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58989-2021</t>
        </is>
      </c>
      <c r="B889" s="1" t="n">
        <v>44490.02482638889</v>
      </c>
      <c r="C889" s="1" t="n">
        <v>45988</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46988-2024</t>
        </is>
      </c>
      <c r="B890" s="1" t="n">
        <v>45586</v>
      </c>
      <c r="C890" s="1" t="n">
        <v>45988</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21529-2021</t>
        </is>
      </c>
      <c r="B891" s="1" t="n">
        <v>44321</v>
      </c>
      <c r="C891" s="1" t="n">
        <v>45988</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13701-2022</t>
        </is>
      </c>
      <c r="B892" s="1" t="n">
        <v>44648</v>
      </c>
      <c r="C892" s="1" t="n">
        <v>45988</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14132-2025</t>
        </is>
      </c>
      <c r="B893" s="1" t="n">
        <v>45740.47550925926</v>
      </c>
      <c r="C893" s="1" t="n">
        <v>45988</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14133-2025</t>
        </is>
      </c>
      <c r="B894" s="1" t="n">
        <v>45740.47724537037</v>
      </c>
      <c r="C894" s="1" t="n">
        <v>45988</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8792-2025</t>
        </is>
      </c>
      <c r="B895" s="1" t="n">
        <v>45712</v>
      </c>
      <c r="C895" s="1" t="n">
        <v>45988</v>
      </c>
      <c r="D895" t="inlineStr">
        <is>
          <t>STOCKHOLMS LÄN</t>
        </is>
      </c>
      <c r="E895" t="inlineStr">
        <is>
          <t>NORRTÄLJE</t>
        </is>
      </c>
      <c r="F895" t="inlineStr">
        <is>
          <t>Övriga Aktiebolag</t>
        </is>
      </c>
      <c r="G895" t="n">
        <v>6.6</v>
      </c>
      <c r="H895" t="n">
        <v>0</v>
      </c>
      <c r="I895" t="n">
        <v>0</v>
      </c>
      <c r="J895" t="n">
        <v>0</v>
      </c>
      <c r="K895" t="n">
        <v>0</v>
      </c>
      <c r="L895" t="n">
        <v>0</v>
      </c>
      <c r="M895" t="n">
        <v>0</v>
      </c>
      <c r="N895" t="n">
        <v>0</v>
      </c>
      <c r="O895" t="n">
        <v>0</v>
      </c>
      <c r="P895" t="n">
        <v>0</v>
      </c>
      <c r="Q895" t="n">
        <v>0</v>
      </c>
      <c r="R895" s="2" t="inlineStr"/>
    </row>
    <row r="896" ht="15" customHeight="1">
      <c r="A896" t="inlineStr">
        <is>
          <t>A 24887-2023</t>
        </is>
      </c>
      <c r="B896" s="1" t="n">
        <v>45085</v>
      </c>
      <c r="C896" s="1" t="n">
        <v>45988</v>
      </c>
      <c r="D896" t="inlineStr">
        <is>
          <t>STOCKHOLMS LÄN</t>
        </is>
      </c>
      <c r="E896" t="inlineStr">
        <is>
          <t>NORRTÄLJE</t>
        </is>
      </c>
      <c r="G896" t="n">
        <v>13.9</v>
      </c>
      <c r="H896" t="n">
        <v>0</v>
      </c>
      <c r="I896" t="n">
        <v>0</v>
      </c>
      <c r="J896" t="n">
        <v>0</v>
      </c>
      <c r="K896" t="n">
        <v>0</v>
      </c>
      <c r="L896" t="n">
        <v>0</v>
      </c>
      <c r="M896" t="n">
        <v>0</v>
      </c>
      <c r="N896" t="n">
        <v>0</v>
      </c>
      <c r="O896" t="n">
        <v>0</v>
      </c>
      <c r="P896" t="n">
        <v>0</v>
      </c>
      <c r="Q896" t="n">
        <v>0</v>
      </c>
      <c r="R896" s="2" t="inlineStr"/>
    </row>
    <row r="897" ht="15" customHeight="1">
      <c r="A897" t="inlineStr">
        <is>
          <t>A 38612-2022</t>
        </is>
      </c>
      <c r="B897" s="1" t="n">
        <v>44813</v>
      </c>
      <c r="C897" s="1" t="n">
        <v>45988</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4326-2023</t>
        </is>
      </c>
      <c r="B898" s="1" t="n">
        <v>44953.70481481482</v>
      </c>
      <c r="C898" s="1" t="n">
        <v>45988</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54504-2024</t>
        </is>
      </c>
      <c r="B899" s="1" t="n">
        <v>45617.58453703704</v>
      </c>
      <c r="C899" s="1" t="n">
        <v>45988</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21745-2023</t>
        </is>
      </c>
      <c r="B900" s="1" t="n">
        <v>45065.55917824074</v>
      </c>
      <c r="C900" s="1" t="n">
        <v>45988</v>
      </c>
      <c r="D900" t="inlineStr">
        <is>
          <t>STOCKHOLMS LÄN</t>
        </is>
      </c>
      <c r="E900" t="inlineStr">
        <is>
          <t>NORRTÄLJE</t>
        </is>
      </c>
      <c r="F900" t="inlineStr">
        <is>
          <t>Holmen skog AB</t>
        </is>
      </c>
      <c r="G900" t="n">
        <v>0.7</v>
      </c>
      <c r="H900" t="n">
        <v>0</v>
      </c>
      <c r="I900" t="n">
        <v>0</v>
      </c>
      <c r="J900" t="n">
        <v>0</v>
      </c>
      <c r="K900" t="n">
        <v>0</v>
      </c>
      <c r="L900" t="n">
        <v>0</v>
      </c>
      <c r="M900" t="n">
        <v>0</v>
      </c>
      <c r="N900" t="n">
        <v>0</v>
      </c>
      <c r="O900" t="n">
        <v>0</v>
      </c>
      <c r="P900" t="n">
        <v>0</v>
      </c>
      <c r="Q900" t="n">
        <v>0</v>
      </c>
      <c r="R900" s="2" t="inlineStr"/>
    </row>
    <row r="901" ht="15" customHeight="1">
      <c r="A901" t="inlineStr">
        <is>
          <t>A 21894-2023</t>
        </is>
      </c>
      <c r="B901" s="1" t="n">
        <v>45068.51783564815</v>
      </c>
      <c r="C901" s="1" t="n">
        <v>45988</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13276-2022</t>
        </is>
      </c>
      <c r="B902" s="1" t="n">
        <v>44644</v>
      </c>
      <c r="C902" s="1" t="n">
        <v>45988</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28182-2022</t>
        </is>
      </c>
      <c r="B903" s="1" t="n">
        <v>44746.58530092592</v>
      </c>
      <c r="C903" s="1" t="n">
        <v>45988</v>
      </c>
      <c r="D903" t="inlineStr">
        <is>
          <t>STOCKHOLMS LÄN</t>
        </is>
      </c>
      <c r="E903" t="inlineStr">
        <is>
          <t>NORRTÄLJE</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34461-2023</t>
        </is>
      </c>
      <c r="B904" s="1" t="n">
        <v>45139</v>
      </c>
      <c r="C904" s="1" t="n">
        <v>45988</v>
      </c>
      <c r="D904" t="inlineStr">
        <is>
          <t>STOCKHOLMS LÄN</t>
        </is>
      </c>
      <c r="E904" t="inlineStr">
        <is>
          <t>NORRTÄLJE</t>
        </is>
      </c>
      <c r="G904" t="n">
        <v>1.4</v>
      </c>
      <c r="H904" t="n">
        <v>0</v>
      </c>
      <c r="I904" t="n">
        <v>0</v>
      </c>
      <c r="J904" t="n">
        <v>0</v>
      </c>
      <c r="K904" t="n">
        <v>0</v>
      </c>
      <c r="L904" t="n">
        <v>0</v>
      </c>
      <c r="M904" t="n">
        <v>0</v>
      </c>
      <c r="N904" t="n">
        <v>0</v>
      </c>
      <c r="O904" t="n">
        <v>0</v>
      </c>
      <c r="P904" t="n">
        <v>0</v>
      </c>
      <c r="Q904" t="n">
        <v>0</v>
      </c>
      <c r="R904" s="2" t="inlineStr"/>
    </row>
    <row r="905" ht="15" customHeight="1">
      <c r="A905" t="inlineStr">
        <is>
          <t>A 51046-2023</t>
        </is>
      </c>
      <c r="B905" s="1" t="n">
        <v>45218</v>
      </c>
      <c r="C905" s="1" t="n">
        <v>45988</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63824-2020</t>
        </is>
      </c>
      <c r="B906" s="1" t="n">
        <v>44162</v>
      </c>
      <c r="C906" s="1" t="n">
        <v>45988</v>
      </c>
      <c r="D906" t="inlineStr">
        <is>
          <t>STOCKHOLMS LÄN</t>
        </is>
      </c>
      <c r="E906" t="inlineStr">
        <is>
          <t>NORRTÄLJE</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17382-2024</t>
        </is>
      </c>
      <c r="B907" s="1" t="n">
        <v>45414.65855324074</v>
      </c>
      <c r="C907" s="1" t="n">
        <v>45988</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6070-2022</t>
        </is>
      </c>
      <c r="B908" s="1" t="n">
        <v>44599.58428240741</v>
      </c>
      <c r="C908" s="1" t="n">
        <v>45988</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17039-2024</t>
        </is>
      </c>
      <c r="B909" s="1" t="n">
        <v>45412.4104050926</v>
      </c>
      <c r="C909" s="1" t="n">
        <v>45988</v>
      </c>
      <c r="D909" t="inlineStr">
        <is>
          <t>STOCKHOLMS LÄN</t>
        </is>
      </c>
      <c r="E909" t="inlineStr">
        <is>
          <t>NORRTÄLJE</t>
        </is>
      </c>
      <c r="G909" t="n">
        <v>5.9</v>
      </c>
      <c r="H909" t="n">
        <v>0</v>
      </c>
      <c r="I909" t="n">
        <v>0</v>
      </c>
      <c r="J909" t="n">
        <v>0</v>
      </c>
      <c r="K909" t="n">
        <v>0</v>
      </c>
      <c r="L909" t="n">
        <v>0</v>
      </c>
      <c r="M909" t="n">
        <v>0</v>
      </c>
      <c r="N909" t="n">
        <v>0</v>
      </c>
      <c r="O909" t="n">
        <v>0</v>
      </c>
      <c r="P909" t="n">
        <v>0</v>
      </c>
      <c r="Q909" t="n">
        <v>0</v>
      </c>
      <c r="R909" s="2" t="inlineStr"/>
    </row>
    <row r="910" ht="15" customHeight="1">
      <c r="A910" t="inlineStr">
        <is>
          <t>A 48180-2023</t>
        </is>
      </c>
      <c r="B910" s="1" t="n">
        <v>45205</v>
      </c>
      <c r="C910" s="1" t="n">
        <v>45988</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35695-2023</t>
        </is>
      </c>
      <c r="B911" s="1" t="n">
        <v>45147.65407407407</v>
      </c>
      <c r="C911" s="1" t="n">
        <v>45988</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45173-2023</t>
        </is>
      </c>
      <c r="B912" s="1" t="n">
        <v>45191</v>
      </c>
      <c r="C912" s="1" t="n">
        <v>45988</v>
      </c>
      <c r="D912" t="inlineStr">
        <is>
          <t>STOCKHOLMS LÄN</t>
        </is>
      </c>
      <c r="E912" t="inlineStr">
        <is>
          <t>NORRTÄLJE</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24705-2023</t>
        </is>
      </c>
      <c r="B913" s="1" t="n">
        <v>45084.54459490741</v>
      </c>
      <c r="C913" s="1" t="n">
        <v>45988</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21696-2024</t>
        </is>
      </c>
      <c r="B914" s="1" t="n">
        <v>45442.45686342593</v>
      </c>
      <c r="C914" s="1" t="n">
        <v>45988</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67990-2021</t>
        </is>
      </c>
      <c r="B915" s="1" t="n">
        <v>44525</v>
      </c>
      <c r="C915" s="1" t="n">
        <v>45988</v>
      </c>
      <c r="D915" t="inlineStr">
        <is>
          <t>STOCKHOLMS LÄN</t>
        </is>
      </c>
      <c r="E915" t="inlineStr">
        <is>
          <t>NORRTÄLJE</t>
        </is>
      </c>
      <c r="F915" t="inlineStr">
        <is>
          <t>Sveaskog</t>
        </is>
      </c>
      <c r="G915" t="n">
        <v>7.8</v>
      </c>
      <c r="H915" t="n">
        <v>0</v>
      </c>
      <c r="I915" t="n">
        <v>0</v>
      </c>
      <c r="J915" t="n">
        <v>0</v>
      </c>
      <c r="K915" t="n">
        <v>0</v>
      </c>
      <c r="L915" t="n">
        <v>0</v>
      </c>
      <c r="M915" t="n">
        <v>0</v>
      </c>
      <c r="N915" t="n">
        <v>0</v>
      </c>
      <c r="O915" t="n">
        <v>0</v>
      </c>
      <c r="P915" t="n">
        <v>0</v>
      </c>
      <c r="Q915" t="n">
        <v>0</v>
      </c>
      <c r="R915" s="2" t="inlineStr"/>
    </row>
    <row r="916" ht="15" customHeight="1">
      <c r="A916" t="inlineStr">
        <is>
          <t>A 71552-2021</t>
        </is>
      </c>
      <c r="B916" s="1" t="n">
        <v>44540</v>
      </c>
      <c r="C916" s="1" t="n">
        <v>45988</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73992-2021</t>
        </is>
      </c>
      <c r="B917" s="1" t="n">
        <v>44556</v>
      </c>
      <c r="C917" s="1" t="n">
        <v>45988</v>
      </c>
      <c r="D917" t="inlineStr">
        <is>
          <t>STOCKHOLMS LÄN</t>
        </is>
      </c>
      <c r="E917" t="inlineStr">
        <is>
          <t>NORRTÄLJE</t>
        </is>
      </c>
      <c r="G917" t="n">
        <v>12.5</v>
      </c>
      <c r="H917" t="n">
        <v>0</v>
      </c>
      <c r="I917" t="n">
        <v>0</v>
      </c>
      <c r="J917" t="n">
        <v>0</v>
      </c>
      <c r="K917" t="n">
        <v>0</v>
      </c>
      <c r="L917" t="n">
        <v>0</v>
      </c>
      <c r="M917" t="n">
        <v>0</v>
      </c>
      <c r="N917" t="n">
        <v>0</v>
      </c>
      <c r="O917" t="n">
        <v>0</v>
      </c>
      <c r="P917" t="n">
        <v>0</v>
      </c>
      <c r="Q917" t="n">
        <v>0</v>
      </c>
      <c r="R917" s="2" t="inlineStr"/>
    </row>
    <row r="918" ht="15" customHeight="1">
      <c r="A918" t="inlineStr">
        <is>
          <t>A 26113-2024</t>
        </is>
      </c>
      <c r="B918" s="1" t="n">
        <v>45468.45541666666</v>
      </c>
      <c r="C918" s="1" t="n">
        <v>45988</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26116-2024</t>
        </is>
      </c>
      <c r="B919" s="1" t="n">
        <v>45468.45747685185</v>
      </c>
      <c r="C919" s="1" t="n">
        <v>45988</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15978-2024</t>
        </is>
      </c>
      <c r="B920" s="1" t="n">
        <v>45405.57927083333</v>
      </c>
      <c r="C920" s="1" t="n">
        <v>45988</v>
      </c>
      <c r="D920" t="inlineStr">
        <is>
          <t>STOCKHOLMS LÄN</t>
        </is>
      </c>
      <c r="E920" t="inlineStr">
        <is>
          <t>NORRTÄLJE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11333-2025</t>
        </is>
      </c>
      <c r="B921" s="1" t="n">
        <v>45726.48377314815</v>
      </c>
      <c r="C921" s="1" t="n">
        <v>45988</v>
      </c>
      <c r="D921" t="inlineStr">
        <is>
          <t>STOCKHOLMS LÄN</t>
        </is>
      </c>
      <c r="E921" t="inlineStr">
        <is>
          <t>NORRTÄLJE</t>
        </is>
      </c>
      <c r="G921" t="n">
        <v>1.4</v>
      </c>
      <c r="H921" t="n">
        <v>0</v>
      </c>
      <c r="I921" t="n">
        <v>0</v>
      </c>
      <c r="J921" t="n">
        <v>0</v>
      </c>
      <c r="K921" t="n">
        <v>0</v>
      </c>
      <c r="L921" t="n">
        <v>0</v>
      </c>
      <c r="M921" t="n">
        <v>0</v>
      </c>
      <c r="N921" t="n">
        <v>0</v>
      </c>
      <c r="O921" t="n">
        <v>0</v>
      </c>
      <c r="P921" t="n">
        <v>0</v>
      </c>
      <c r="Q921" t="n">
        <v>0</v>
      </c>
      <c r="R921" s="2" t="inlineStr"/>
    </row>
    <row r="922" ht="15" customHeight="1">
      <c r="A922" t="inlineStr">
        <is>
          <t>A 34391-2023</t>
        </is>
      </c>
      <c r="B922" s="1" t="n">
        <v>45139.51457175926</v>
      </c>
      <c r="C922" s="1" t="n">
        <v>45988</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67921-2021</t>
        </is>
      </c>
      <c r="B923" s="1" t="n">
        <v>44525</v>
      </c>
      <c r="C923" s="1" t="n">
        <v>45988</v>
      </c>
      <c r="D923" t="inlineStr">
        <is>
          <t>STOCKHOLMS LÄN</t>
        </is>
      </c>
      <c r="E923" t="inlineStr">
        <is>
          <t>NORRTÄLJE</t>
        </is>
      </c>
      <c r="G923" t="n">
        <v>6.3</v>
      </c>
      <c r="H923" t="n">
        <v>0</v>
      </c>
      <c r="I923" t="n">
        <v>0</v>
      </c>
      <c r="J923" t="n">
        <v>0</v>
      </c>
      <c r="K923" t="n">
        <v>0</v>
      </c>
      <c r="L923" t="n">
        <v>0</v>
      </c>
      <c r="M923" t="n">
        <v>0</v>
      </c>
      <c r="N923" t="n">
        <v>0</v>
      </c>
      <c r="O923" t="n">
        <v>0</v>
      </c>
      <c r="P923" t="n">
        <v>0</v>
      </c>
      <c r="Q923" t="n">
        <v>0</v>
      </c>
      <c r="R923" s="2" t="inlineStr"/>
    </row>
    <row r="924" ht="15" customHeight="1">
      <c r="A924" t="inlineStr">
        <is>
          <t>A 25681-2024</t>
        </is>
      </c>
      <c r="B924" s="1" t="n">
        <v>45463.80486111111</v>
      </c>
      <c r="C924" s="1" t="n">
        <v>45988</v>
      </c>
      <c r="D924" t="inlineStr">
        <is>
          <t>STOCKHOLMS LÄN</t>
        </is>
      </c>
      <c r="E924" t="inlineStr">
        <is>
          <t>NORRTÄLJE</t>
        </is>
      </c>
      <c r="G924" t="n">
        <v>2.7</v>
      </c>
      <c r="H924" t="n">
        <v>0</v>
      </c>
      <c r="I924" t="n">
        <v>0</v>
      </c>
      <c r="J924" t="n">
        <v>0</v>
      </c>
      <c r="K924" t="n">
        <v>0</v>
      </c>
      <c r="L924" t="n">
        <v>0</v>
      </c>
      <c r="M924" t="n">
        <v>0</v>
      </c>
      <c r="N924" t="n">
        <v>0</v>
      </c>
      <c r="O924" t="n">
        <v>0</v>
      </c>
      <c r="P924" t="n">
        <v>0</v>
      </c>
      <c r="Q924" t="n">
        <v>0</v>
      </c>
      <c r="R924" s="2" t="inlineStr"/>
    </row>
    <row r="925" ht="15" customHeight="1">
      <c r="A925" t="inlineStr">
        <is>
          <t>A 58853-2024</t>
        </is>
      </c>
      <c r="B925" s="1" t="n">
        <v>45636.38974537037</v>
      </c>
      <c r="C925" s="1" t="n">
        <v>45988</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35438-2023</t>
        </is>
      </c>
      <c r="B926" s="1" t="n">
        <v>45146</v>
      </c>
      <c r="C926" s="1" t="n">
        <v>45988</v>
      </c>
      <c r="D926" t="inlineStr">
        <is>
          <t>STOCKHOLMS LÄN</t>
        </is>
      </c>
      <c r="E926" t="inlineStr">
        <is>
          <t>NORRTÄLJE</t>
        </is>
      </c>
      <c r="F926" t="inlineStr">
        <is>
          <t>Kommuner</t>
        </is>
      </c>
      <c r="G926" t="n">
        <v>1.9</v>
      </c>
      <c r="H926" t="n">
        <v>0</v>
      </c>
      <c r="I926" t="n">
        <v>0</v>
      </c>
      <c r="J926" t="n">
        <v>0</v>
      </c>
      <c r="K926" t="n">
        <v>0</v>
      </c>
      <c r="L926" t="n">
        <v>0</v>
      </c>
      <c r="M926" t="n">
        <v>0</v>
      </c>
      <c r="N926" t="n">
        <v>0</v>
      </c>
      <c r="O926" t="n">
        <v>0</v>
      </c>
      <c r="P926" t="n">
        <v>0</v>
      </c>
      <c r="Q926" t="n">
        <v>0</v>
      </c>
      <c r="R926" s="2" t="inlineStr"/>
    </row>
    <row r="927" ht="15" customHeight="1">
      <c r="A927" t="inlineStr">
        <is>
          <t>A 20291-2022</t>
        </is>
      </c>
      <c r="B927" s="1" t="n">
        <v>44698</v>
      </c>
      <c r="C927" s="1" t="n">
        <v>45988</v>
      </c>
      <c r="D927" t="inlineStr">
        <is>
          <t>STOCKHOLMS LÄN</t>
        </is>
      </c>
      <c r="E927" t="inlineStr">
        <is>
          <t>NORRTÄLJE</t>
        </is>
      </c>
      <c r="F927" t="inlineStr">
        <is>
          <t>Naturvårdsverket</t>
        </is>
      </c>
      <c r="G927" t="n">
        <v>2</v>
      </c>
      <c r="H927" t="n">
        <v>0</v>
      </c>
      <c r="I927" t="n">
        <v>0</v>
      </c>
      <c r="J927" t="n">
        <v>0</v>
      </c>
      <c r="K927" t="n">
        <v>0</v>
      </c>
      <c r="L927" t="n">
        <v>0</v>
      </c>
      <c r="M927" t="n">
        <v>0</v>
      </c>
      <c r="N927" t="n">
        <v>0</v>
      </c>
      <c r="O927" t="n">
        <v>0</v>
      </c>
      <c r="P927" t="n">
        <v>0</v>
      </c>
      <c r="Q927" t="n">
        <v>0</v>
      </c>
      <c r="R927" s="2" t="inlineStr"/>
    </row>
    <row r="928" ht="15" customHeight="1">
      <c r="A928" t="inlineStr">
        <is>
          <t>A 26115-2024</t>
        </is>
      </c>
      <c r="B928" s="1" t="n">
        <v>45468.45628472222</v>
      </c>
      <c r="C928" s="1" t="n">
        <v>45988</v>
      </c>
      <c r="D928" t="inlineStr">
        <is>
          <t>STOCKHOLMS LÄN</t>
        </is>
      </c>
      <c r="E928" t="inlineStr">
        <is>
          <t>NORRTÄLJE</t>
        </is>
      </c>
      <c r="G928" t="n">
        <v>0.3</v>
      </c>
      <c r="H928" t="n">
        <v>0</v>
      </c>
      <c r="I928" t="n">
        <v>0</v>
      </c>
      <c r="J928" t="n">
        <v>0</v>
      </c>
      <c r="K928" t="n">
        <v>0</v>
      </c>
      <c r="L928" t="n">
        <v>0</v>
      </c>
      <c r="M928" t="n">
        <v>0</v>
      </c>
      <c r="N928" t="n">
        <v>0</v>
      </c>
      <c r="O928" t="n">
        <v>0</v>
      </c>
      <c r="P928" t="n">
        <v>0</v>
      </c>
      <c r="Q928" t="n">
        <v>0</v>
      </c>
      <c r="R928" s="2" t="inlineStr"/>
    </row>
    <row r="929" ht="15" customHeight="1">
      <c r="A929" t="inlineStr">
        <is>
          <t>A 28816-2023</t>
        </is>
      </c>
      <c r="B929" s="1" t="n">
        <v>45104</v>
      </c>
      <c r="C929" s="1" t="n">
        <v>45988</v>
      </c>
      <c r="D929" t="inlineStr">
        <is>
          <t>STOCKHOLMS LÄN</t>
        </is>
      </c>
      <c r="E929" t="inlineStr">
        <is>
          <t>NORRTÄLJE</t>
        </is>
      </c>
      <c r="F929" t="inlineStr">
        <is>
          <t>Kommuner</t>
        </is>
      </c>
      <c r="G929" t="n">
        <v>0.5</v>
      </c>
      <c r="H929" t="n">
        <v>0</v>
      </c>
      <c r="I929" t="n">
        <v>0</v>
      </c>
      <c r="J929" t="n">
        <v>0</v>
      </c>
      <c r="K929" t="n">
        <v>0</v>
      </c>
      <c r="L929" t="n">
        <v>0</v>
      </c>
      <c r="M929" t="n">
        <v>0</v>
      </c>
      <c r="N929" t="n">
        <v>0</v>
      </c>
      <c r="O929" t="n">
        <v>0</v>
      </c>
      <c r="P929" t="n">
        <v>0</v>
      </c>
      <c r="Q929" t="n">
        <v>0</v>
      </c>
      <c r="R929" s="2" t="inlineStr"/>
    </row>
    <row r="930" ht="15" customHeight="1">
      <c r="A930" t="inlineStr">
        <is>
          <t>A 19118-2022</t>
        </is>
      </c>
      <c r="B930" s="1" t="n">
        <v>44691.5652662037</v>
      </c>
      <c r="C930" s="1" t="n">
        <v>45988</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8739-2024</t>
        </is>
      </c>
      <c r="B931" s="1" t="n">
        <v>45356.47784722222</v>
      </c>
      <c r="C931" s="1" t="n">
        <v>45988</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38759-2022</t>
        </is>
      </c>
      <c r="B932" s="1" t="n">
        <v>44816</v>
      </c>
      <c r="C932" s="1" t="n">
        <v>45988</v>
      </c>
      <c r="D932" t="inlineStr">
        <is>
          <t>STOCKHOLMS LÄN</t>
        </is>
      </c>
      <c r="E932" t="inlineStr">
        <is>
          <t>NORRTÄLJE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32857-2021</t>
        </is>
      </c>
      <c r="B933" s="1" t="n">
        <v>44375</v>
      </c>
      <c r="C933" s="1" t="n">
        <v>45988</v>
      </c>
      <c r="D933" t="inlineStr">
        <is>
          <t>STOCKHOLMS LÄN</t>
        </is>
      </c>
      <c r="E933" t="inlineStr">
        <is>
          <t>NORRTÄLJE</t>
        </is>
      </c>
      <c r="G933" t="n">
        <v>2.9</v>
      </c>
      <c r="H933" t="n">
        <v>0</v>
      </c>
      <c r="I933" t="n">
        <v>0</v>
      </c>
      <c r="J933" t="n">
        <v>0</v>
      </c>
      <c r="K933" t="n">
        <v>0</v>
      </c>
      <c r="L933" t="n">
        <v>0</v>
      </c>
      <c r="M933" t="n">
        <v>0</v>
      </c>
      <c r="N933" t="n">
        <v>0</v>
      </c>
      <c r="O933" t="n">
        <v>0</v>
      </c>
      <c r="P933" t="n">
        <v>0</v>
      </c>
      <c r="Q933" t="n">
        <v>0</v>
      </c>
      <c r="R933" s="2" t="inlineStr"/>
    </row>
    <row r="934" ht="15" customHeight="1">
      <c r="A934" t="inlineStr">
        <is>
          <t>A 29714-2023</t>
        </is>
      </c>
      <c r="B934" s="1" t="n">
        <v>45107.42538194444</v>
      </c>
      <c r="C934" s="1" t="n">
        <v>45988</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23271-2023</t>
        </is>
      </c>
      <c r="B935" s="1" t="n">
        <v>45075.91362268518</v>
      </c>
      <c r="C935" s="1" t="n">
        <v>45988</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23273-2023</t>
        </is>
      </c>
      <c r="B936" s="1" t="n">
        <v>45075.91971064815</v>
      </c>
      <c r="C936" s="1" t="n">
        <v>45988</v>
      </c>
      <c r="D936" t="inlineStr">
        <is>
          <t>STOCKHOLMS LÄN</t>
        </is>
      </c>
      <c r="E936" t="inlineStr">
        <is>
          <t>NORRTÄLJE</t>
        </is>
      </c>
      <c r="G936" t="n">
        <v>7.5</v>
      </c>
      <c r="H936" t="n">
        <v>0</v>
      </c>
      <c r="I936" t="n">
        <v>0</v>
      </c>
      <c r="J936" t="n">
        <v>0</v>
      </c>
      <c r="K936" t="n">
        <v>0</v>
      </c>
      <c r="L936" t="n">
        <v>0</v>
      </c>
      <c r="M936" t="n">
        <v>0</v>
      </c>
      <c r="N936" t="n">
        <v>0</v>
      </c>
      <c r="O936" t="n">
        <v>0</v>
      </c>
      <c r="P936" t="n">
        <v>0</v>
      </c>
      <c r="Q936" t="n">
        <v>0</v>
      </c>
      <c r="R936" s="2" t="inlineStr"/>
    </row>
    <row r="937" ht="15" customHeight="1">
      <c r="A937" t="inlineStr">
        <is>
          <t>A 7603-2025</t>
        </is>
      </c>
      <c r="B937" s="1" t="n">
        <v>45705.66126157407</v>
      </c>
      <c r="C937" s="1" t="n">
        <v>45988</v>
      </c>
      <c r="D937" t="inlineStr">
        <is>
          <t>STOCKHOLMS LÄN</t>
        </is>
      </c>
      <c r="E937" t="inlineStr">
        <is>
          <t>NORRTÄLJE</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30802-2022</t>
        </is>
      </c>
      <c r="B938" s="1" t="n">
        <v>44764</v>
      </c>
      <c r="C938" s="1" t="n">
        <v>45988</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55369-2023</t>
        </is>
      </c>
      <c r="B939" s="1" t="n">
        <v>45238</v>
      </c>
      <c r="C939" s="1" t="n">
        <v>45988</v>
      </c>
      <c r="D939" t="inlineStr">
        <is>
          <t>STOCKHOLMS LÄN</t>
        </is>
      </c>
      <c r="E939" t="inlineStr">
        <is>
          <t>NORRTÄLJE</t>
        </is>
      </c>
      <c r="G939" t="n">
        <v>0.4</v>
      </c>
      <c r="H939" t="n">
        <v>0</v>
      </c>
      <c r="I939" t="n">
        <v>0</v>
      </c>
      <c r="J939" t="n">
        <v>0</v>
      </c>
      <c r="K939" t="n">
        <v>0</v>
      </c>
      <c r="L939" t="n">
        <v>0</v>
      </c>
      <c r="M939" t="n">
        <v>0</v>
      </c>
      <c r="N939" t="n">
        <v>0</v>
      </c>
      <c r="O939" t="n">
        <v>0</v>
      </c>
      <c r="P939" t="n">
        <v>0</v>
      </c>
      <c r="Q939" t="n">
        <v>0</v>
      </c>
      <c r="R939" s="2" t="inlineStr"/>
    </row>
    <row r="940" ht="15" customHeight="1">
      <c r="A940" t="inlineStr">
        <is>
          <t>A 61113-2023</t>
        </is>
      </c>
      <c r="B940" s="1" t="n">
        <v>45261</v>
      </c>
      <c r="C940" s="1" t="n">
        <v>45988</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3283-2025</t>
        </is>
      </c>
      <c r="B941" s="1" t="n">
        <v>45679</v>
      </c>
      <c r="C941" s="1" t="n">
        <v>45988</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34295-2024</t>
        </is>
      </c>
      <c r="B942" s="1" t="n">
        <v>45524</v>
      </c>
      <c r="C942" s="1" t="n">
        <v>45988</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58311-2023</t>
        </is>
      </c>
      <c r="B943" s="1" t="n">
        <v>45245</v>
      </c>
      <c r="C943" s="1" t="n">
        <v>45988</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23692-2024</t>
        </is>
      </c>
      <c r="B944" s="1" t="n">
        <v>45454.65774305556</v>
      </c>
      <c r="C944" s="1" t="n">
        <v>45988</v>
      </c>
      <c r="D944" t="inlineStr">
        <is>
          <t>STOCKHOLMS LÄN</t>
        </is>
      </c>
      <c r="E944" t="inlineStr">
        <is>
          <t>NORRTÄLJE</t>
        </is>
      </c>
      <c r="G944" t="n">
        <v>3.7</v>
      </c>
      <c r="H944" t="n">
        <v>0</v>
      </c>
      <c r="I944" t="n">
        <v>0</v>
      </c>
      <c r="J944" t="n">
        <v>0</v>
      </c>
      <c r="K944" t="n">
        <v>0</v>
      </c>
      <c r="L944" t="n">
        <v>0</v>
      </c>
      <c r="M944" t="n">
        <v>0</v>
      </c>
      <c r="N944" t="n">
        <v>0</v>
      </c>
      <c r="O944" t="n">
        <v>0</v>
      </c>
      <c r="P944" t="n">
        <v>0</v>
      </c>
      <c r="Q944" t="n">
        <v>0</v>
      </c>
      <c r="R944" s="2" t="inlineStr"/>
    </row>
    <row r="945" ht="15" customHeight="1">
      <c r="A945" t="inlineStr">
        <is>
          <t>A 20473-2021</t>
        </is>
      </c>
      <c r="B945" s="1" t="n">
        <v>44315</v>
      </c>
      <c r="C945" s="1" t="n">
        <v>45988</v>
      </c>
      <c r="D945" t="inlineStr">
        <is>
          <t>STOCKHOLMS LÄN</t>
        </is>
      </c>
      <c r="E945" t="inlineStr">
        <is>
          <t>NORRTÄLJE</t>
        </is>
      </c>
      <c r="F945" t="inlineStr">
        <is>
          <t>Övriga Aktiebolag</t>
        </is>
      </c>
      <c r="G945" t="n">
        <v>3.6</v>
      </c>
      <c r="H945" t="n">
        <v>0</v>
      </c>
      <c r="I945" t="n">
        <v>0</v>
      </c>
      <c r="J945" t="n">
        <v>0</v>
      </c>
      <c r="K945" t="n">
        <v>0</v>
      </c>
      <c r="L945" t="n">
        <v>0</v>
      </c>
      <c r="M945" t="n">
        <v>0</v>
      </c>
      <c r="N945" t="n">
        <v>0</v>
      </c>
      <c r="O945" t="n">
        <v>0</v>
      </c>
      <c r="P945" t="n">
        <v>0</v>
      </c>
      <c r="Q945" t="n">
        <v>0</v>
      </c>
      <c r="R945" s="2" t="inlineStr"/>
    </row>
    <row r="946" ht="15" customHeight="1">
      <c r="A946" t="inlineStr">
        <is>
          <t>A 54273-2021</t>
        </is>
      </c>
      <c r="B946" s="1" t="n">
        <v>44470.72987268519</v>
      </c>
      <c r="C946" s="1" t="n">
        <v>45988</v>
      </c>
      <c r="D946" t="inlineStr">
        <is>
          <t>STOCKHOLMS LÄN</t>
        </is>
      </c>
      <c r="E946" t="inlineStr">
        <is>
          <t>NORRTÄLJE</t>
        </is>
      </c>
      <c r="G946" t="n">
        <v>2.7</v>
      </c>
      <c r="H946" t="n">
        <v>0</v>
      </c>
      <c r="I946" t="n">
        <v>0</v>
      </c>
      <c r="J946" t="n">
        <v>0</v>
      </c>
      <c r="K946" t="n">
        <v>0</v>
      </c>
      <c r="L946" t="n">
        <v>0</v>
      </c>
      <c r="M946" t="n">
        <v>0</v>
      </c>
      <c r="N946" t="n">
        <v>0</v>
      </c>
      <c r="O946" t="n">
        <v>0</v>
      </c>
      <c r="P946" t="n">
        <v>0</v>
      </c>
      <c r="Q946" t="n">
        <v>0</v>
      </c>
      <c r="R946" s="2" t="inlineStr"/>
    </row>
    <row r="947" ht="15" customHeight="1">
      <c r="A947" t="inlineStr">
        <is>
          <t>A 7806-2025</t>
        </is>
      </c>
      <c r="B947" s="1" t="n">
        <v>45706.61178240741</v>
      </c>
      <c r="C947" s="1" t="n">
        <v>45988</v>
      </c>
      <c r="D947" t="inlineStr">
        <is>
          <t>STOCKHOLMS LÄN</t>
        </is>
      </c>
      <c r="E947" t="inlineStr">
        <is>
          <t>NORRTÄLJE</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53792-2023</t>
        </is>
      </c>
      <c r="B948" s="1" t="n">
        <v>45231.34144675926</v>
      </c>
      <c r="C948" s="1" t="n">
        <v>45988</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21329-2022</t>
        </is>
      </c>
      <c r="B949" s="1" t="n">
        <v>44705.60626157407</v>
      </c>
      <c r="C949" s="1" t="n">
        <v>45988</v>
      </c>
      <c r="D949" t="inlineStr">
        <is>
          <t>STOCKHOLMS LÄN</t>
        </is>
      </c>
      <c r="E949" t="inlineStr">
        <is>
          <t>NORRTÄLJE</t>
        </is>
      </c>
      <c r="G949" t="n">
        <v>4.1</v>
      </c>
      <c r="H949" t="n">
        <v>0</v>
      </c>
      <c r="I949" t="n">
        <v>0</v>
      </c>
      <c r="J949" t="n">
        <v>0</v>
      </c>
      <c r="K949" t="n">
        <v>0</v>
      </c>
      <c r="L949" t="n">
        <v>0</v>
      </c>
      <c r="M949" t="n">
        <v>0</v>
      </c>
      <c r="N949" t="n">
        <v>0</v>
      </c>
      <c r="O949" t="n">
        <v>0</v>
      </c>
      <c r="P949" t="n">
        <v>0</v>
      </c>
      <c r="Q949" t="n">
        <v>0</v>
      </c>
      <c r="R949" s="2" t="inlineStr"/>
    </row>
    <row r="950" ht="15" customHeight="1">
      <c r="A950" t="inlineStr">
        <is>
          <t>A 50569-2022</t>
        </is>
      </c>
      <c r="B950" s="1" t="n">
        <v>44866.63775462963</v>
      </c>
      <c r="C950" s="1" t="n">
        <v>45988</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24501-2023</t>
        </is>
      </c>
      <c r="B951" s="1" t="n">
        <v>45082</v>
      </c>
      <c r="C951" s="1" t="n">
        <v>45988</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24520-2023</t>
        </is>
      </c>
      <c r="B952" s="1" t="n">
        <v>45082.68922453704</v>
      </c>
      <c r="C952" s="1" t="n">
        <v>45988</v>
      </c>
      <c r="D952" t="inlineStr">
        <is>
          <t>STOCKHOLMS LÄN</t>
        </is>
      </c>
      <c r="E952" t="inlineStr">
        <is>
          <t>NORRTÄLJE</t>
        </is>
      </c>
      <c r="G952" t="n">
        <v>4.3</v>
      </c>
      <c r="H952" t="n">
        <v>0</v>
      </c>
      <c r="I952" t="n">
        <v>0</v>
      </c>
      <c r="J952" t="n">
        <v>0</v>
      </c>
      <c r="K952" t="n">
        <v>0</v>
      </c>
      <c r="L952" t="n">
        <v>0</v>
      </c>
      <c r="M952" t="n">
        <v>0</v>
      </c>
      <c r="N952" t="n">
        <v>0</v>
      </c>
      <c r="O952" t="n">
        <v>0</v>
      </c>
      <c r="P952" t="n">
        <v>0</v>
      </c>
      <c r="Q952" t="n">
        <v>0</v>
      </c>
      <c r="R952" s="2" t="inlineStr"/>
    </row>
    <row r="953" ht="15" customHeight="1">
      <c r="A953" t="inlineStr">
        <is>
          <t>A 60654-2023</t>
        </is>
      </c>
      <c r="B953" s="1" t="n">
        <v>45260.43225694444</v>
      </c>
      <c r="C953" s="1" t="n">
        <v>45988</v>
      </c>
      <c r="D953" t="inlineStr">
        <is>
          <t>STOCKHOLMS LÄN</t>
        </is>
      </c>
      <c r="E953" t="inlineStr">
        <is>
          <t>NORRTÄLJE</t>
        </is>
      </c>
      <c r="G953" t="n">
        <v>2.1</v>
      </c>
      <c r="H953" t="n">
        <v>0</v>
      </c>
      <c r="I953" t="n">
        <v>0</v>
      </c>
      <c r="J953" t="n">
        <v>0</v>
      </c>
      <c r="K953" t="n">
        <v>0</v>
      </c>
      <c r="L953" t="n">
        <v>0</v>
      </c>
      <c r="M953" t="n">
        <v>0</v>
      </c>
      <c r="N953" t="n">
        <v>0</v>
      </c>
      <c r="O953" t="n">
        <v>0</v>
      </c>
      <c r="P953" t="n">
        <v>0</v>
      </c>
      <c r="Q953" t="n">
        <v>0</v>
      </c>
      <c r="R953" s="2" t="inlineStr"/>
    </row>
    <row r="954" ht="15" customHeight="1">
      <c r="A954" t="inlineStr">
        <is>
          <t>A 60656-2023</t>
        </is>
      </c>
      <c r="B954" s="1" t="n">
        <v>45260.4333449074</v>
      </c>
      <c r="C954" s="1" t="n">
        <v>45988</v>
      </c>
      <c r="D954" t="inlineStr">
        <is>
          <t>STOCKHOLMS LÄN</t>
        </is>
      </c>
      <c r="E954" t="inlineStr">
        <is>
          <t>NORRTÄLJE</t>
        </is>
      </c>
      <c r="G954" t="n">
        <v>4.8</v>
      </c>
      <c r="H954" t="n">
        <v>0</v>
      </c>
      <c r="I954" t="n">
        <v>0</v>
      </c>
      <c r="J954" t="n">
        <v>0</v>
      </c>
      <c r="K954" t="n">
        <v>0</v>
      </c>
      <c r="L954" t="n">
        <v>0</v>
      </c>
      <c r="M954" t="n">
        <v>0</v>
      </c>
      <c r="N954" t="n">
        <v>0</v>
      </c>
      <c r="O954" t="n">
        <v>0</v>
      </c>
      <c r="P954" t="n">
        <v>0</v>
      </c>
      <c r="Q954" t="n">
        <v>0</v>
      </c>
      <c r="R954" s="2" t="inlineStr"/>
    </row>
    <row r="955" ht="15" customHeight="1">
      <c r="A955" t="inlineStr">
        <is>
          <t>A 54496-2024</t>
        </is>
      </c>
      <c r="B955" s="1" t="n">
        <v>45617.57439814815</v>
      </c>
      <c r="C955" s="1" t="n">
        <v>45988</v>
      </c>
      <c r="D955" t="inlineStr">
        <is>
          <t>STOCKHOLMS LÄN</t>
        </is>
      </c>
      <c r="E955" t="inlineStr">
        <is>
          <t>NORRTÄLJE</t>
        </is>
      </c>
      <c r="G955" t="n">
        <v>2.2</v>
      </c>
      <c r="H955" t="n">
        <v>0</v>
      </c>
      <c r="I955" t="n">
        <v>0</v>
      </c>
      <c r="J955" t="n">
        <v>0</v>
      </c>
      <c r="K955" t="n">
        <v>0</v>
      </c>
      <c r="L955" t="n">
        <v>0</v>
      </c>
      <c r="M955" t="n">
        <v>0</v>
      </c>
      <c r="N955" t="n">
        <v>0</v>
      </c>
      <c r="O955" t="n">
        <v>0</v>
      </c>
      <c r="P955" t="n">
        <v>0</v>
      </c>
      <c r="Q955" t="n">
        <v>0</v>
      </c>
      <c r="R955" s="2" t="inlineStr"/>
    </row>
    <row r="956" ht="15" customHeight="1">
      <c r="A956" t="inlineStr">
        <is>
          <t>A 21386-2023</t>
        </is>
      </c>
      <c r="B956" s="1" t="n">
        <v>45063.35880787037</v>
      </c>
      <c r="C956" s="1" t="n">
        <v>45988</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10642-2025</t>
        </is>
      </c>
      <c r="B957" s="1" t="n">
        <v>45721.65858796296</v>
      </c>
      <c r="C957" s="1" t="n">
        <v>45988</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20144-2023</t>
        </is>
      </c>
      <c r="B958" s="1" t="n">
        <v>45055.43509259259</v>
      </c>
      <c r="C958" s="1" t="n">
        <v>45988</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53312-2024</t>
        </is>
      </c>
      <c r="B959" s="1" t="n">
        <v>45614.39627314815</v>
      </c>
      <c r="C959" s="1" t="n">
        <v>45988</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39202-2024</t>
        </is>
      </c>
      <c r="B960" s="1" t="n">
        <v>45548.72306712963</v>
      </c>
      <c r="C960" s="1" t="n">
        <v>45988</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22756-2022</t>
        </is>
      </c>
      <c r="B961" s="1" t="n">
        <v>44714.92253472222</v>
      </c>
      <c r="C961" s="1" t="n">
        <v>45988</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4581-2025</t>
        </is>
      </c>
      <c r="B962" s="1" t="n">
        <v>45687</v>
      </c>
      <c r="C962" s="1" t="n">
        <v>45988</v>
      </c>
      <c r="D962" t="inlineStr">
        <is>
          <t>STOCKHOLMS LÄN</t>
        </is>
      </c>
      <c r="E962" t="inlineStr">
        <is>
          <t>NORRTÄLJE</t>
        </is>
      </c>
      <c r="F962" t="inlineStr">
        <is>
          <t>Holmen skog AB</t>
        </is>
      </c>
      <c r="G962" t="n">
        <v>2.8</v>
      </c>
      <c r="H962" t="n">
        <v>0</v>
      </c>
      <c r="I962" t="n">
        <v>0</v>
      </c>
      <c r="J962" t="n">
        <v>0</v>
      </c>
      <c r="K962" t="n">
        <v>0</v>
      </c>
      <c r="L962" t="n">
        <v>0</v>
      </c>
      <c r="M962" t="n">
        <v>0</v>
      </c>
      <c r="N962" t="n">
        <v>0</v>
      </c>
      <c r="O962" t="n">
        <v>0</v>
      </c>
      <c r="P962" t="n">
        <v>0</v>
      </c>
      <c r="Q962" t="n">
        <v>0</v>
      </c>
      <c r="R962" s="2" t="inlineStr"/>
    </row>
    <row r="963" ht="15" customHeight="1">
      <c r="A963" t="inlineStr">
        <is>
          <t>A 60765-2023</t>
        </is>
      </c>
      <c r="B963" s="1" t="n">
        <v>45260</v>
      </c>
      <c r="C963" s="1" t="n">
        <v>45988</v>
      </c>
      <c r="D963" t="inlineStr">
        <is>
          <t>STOCKHOLMS LÄN</t>
        </is>
      </c>
      <c r="E963" t="inlineStr">
        <is>
          <t>NORRTÄLJE</t>
        </is>
      </c>
      <c r="G963" t="n">
        <v>3.7</v>
      </c>
      <c r="H963" t="n">
        <v>0</v>
      </c>
      <c r="I963" t="n">
        <v>0</v>
      </c>
      <c r="J963" t="n">
        <v>0</v>
      </c>
      <c r="K963" t="n">
        <v>0</v>
      </c>
      <c r="L963" t="n">
        <v>0</v>
      </c>
      <c r="M963" t="n">
        <v>0</v>
      </c>
      <c r="N963" t="n">
        <v>0</v>
      </c>
      <c r="O963" t="n">
        <v>0</v>
      </c>
      <c r="P963" t="n">
        <v>0</v>
      </c>
      <c r="Q963" t="n">
        <v>0</v>
      </c>
      <c r="R963" s="2" t="inlineStr"/>
    </row>
    <row r="964" ht="15" customHeight="1">
      <c r="A964" t="inlineStr">
        <is>
          <t>A 23801-2022</t>
        </is>
      </c>
      <c r="B964" s="1" t="n">
        <v>44722</v>
      </c>
      <c r="C964" s="1" t="n">
        <v>45988</v>
      </c>
      <c r="D964" t="inlineStr">
        <is>
          <t>STOCKHOLMS LÄN</t>
        </is>
      </c>
      <c r="E964" t="inlineStr">
        <is>
          <t>NORRTÄLJE</t>
        </is>
      </c>
      <c r="G964" t="n">
        <v>6.8</v>
      </c>
      <c r="H964" t="n">
        <v>0</v>
      </c>
      <c r="I964" t="n">
        <v>0</v>
      </c>
      <c r="J964" t="n">
        <v>0</v>
      </c>
      <c r="K964" t="n">
        <v>0</v>
      </c>
      <c r="L964" t="n">
        <v>0</v>
      </c>
      <c r="M964" t="n">
        <v>0</v>
      </c>
      <c r="N964" t="n">
        <v>0</v>
      </c>
      <c r="O964" t="n">
        <v>0</v>
      </c>
      <c r="P964" t="n">
        <v>0</v>
      </c>
      <c r="Q964" t="n">
        <v>0</v>
      </c>
      <c r="R964" s="2" t="inlineStr"/>
    </row>
    <row r="965" ht="15" customHeight="1">
      <c r="A965" t="inlineStr">
        <is>
          <t>A 59276-2023</t>
        </is>
      </c>
      <c r="B965" s="1" t="n">
        <v>45253.55641203704</v>
      </c>
      <c r="C965" s="1" t="n">
        <v>45988</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46914-2022</t>
        </is>
      </c>
      <c r="B966" s="1" t="n">
        <v>44851</v>
      </c>
      <c r="C966" s="1" t="n">
        <v>45988</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18541-2023</t>
        </is>
      </c>
      <c r="B967" s="1" t="n">
        <v>45042.74291666667</v>
      </c>
      <c r="C967" s="1" t="n">
        <v>45988</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3509-2022</t>
        </is>
      </c>
      <c r="B968" s="1" t="n">
        <v>44585</v>
      </c>
      <c r="C968" s="1" t="n">
        <v>45988</v>
      </c>
      <c r="D968" t="inlineStr">
        <is>
          <t>STOCKHOLMS LÄN</t>
        </is>
      </c>
      <c r="E968" t="inlineStr">
        <is>
          <t>NORRTÄLJE</t>
        </is>
      </c>
      <c r="F968" t="inlineStr">
        <is>
          <t>Kommuner</t>
        </is>
      </c>
      <c r="G968" t="n">
        <v>0.8</v>
      </c>
      <c r="H968" t="n">
        <v>0</v>
      </c>
      <c r="I968" t="n">
        <v>0</v>
      </c>
      <c r="J968" t="n">
        <v>0</v>
      </c>
      <c r="K968" t="n">
        <v>0</v>
      </c>
      <c r="L968" t="n">
        <v>0</v>
      </c>
      <c r="M968" t="n">
        <v>0</v>
      </c>
      <c r="N968" t="n">
        <v>0</v>
      </c>
      <c r="O968" t="n">
        <v>0</v>
      </c>
      <c r="P968" t="n">
        <v>0</v>
      </c>
      <c r="Q968" t="n">
        <v>0</v>
      </c>
      <c r="R968" s="2" t="inlineStr"/>
    </row>
    <row r="969" ht="15" customHeight="1">
      <c r="A969" t="inlineStr">
        <is>
          <t>A 26407-2024</t>
        </is>
      </c>
      <c r="B969" s="1" t="n">
        <v>45469</v>
      </c>
      <c r="C969" s="1" t="n">
        <v>45988</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12890-2024</t>
        </is>
      </c>
      <c r="B970" s="1" t="n">
        <v>45385.36243055556</v>
      </c>
      <c r="C970" s="1" t="n">
        <v>45988</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47419-2023</t>
        </is>
      </c>
      <c r="B971" s="1" t="n">
        <v>45202.65660879629</v>
      </c>
      <c r="C971" s="1" t="n">
        <v>45988</v>
      </c>
      <c r="D971" t="inlineStr">
        <is>
          <t>STOCKHOLMS LÄN</t>
        </is>
      </c>
      <c r="E971" t="inlineStr">
        <is>
          <t>NORRTÄLJE</t>
        </is>
      </c>
      <c r="G971" t="n">
        <v>11.4</v>
      </c>
      <c r="H971" t="n">
        <v>0</v>
      </c>
      <c r="I971" t="n">
        <v>0</v>
      </c>
      <c r="J971" t="n">
        <v>0</v>
      </c>
      <c r="K971" t="n">
        <v>0</v>
      </c>
      <c r="L971" t="n">
        <v>0</v>
      </c>
      <c r="M971" t="n">
        <v>0</v>
      </c>
      <c r="N971" t="n">
        <v>0</v>
      </c>
      <c r="O971" t="n">
        <v>0</v>
      </c>
      <c r="P971" t="n">
        <v>0</v>
      </c>
      <c r="Q971" t="n">
        <v>0</v>
      </c>
      <c r="R971" s="2" t="inlineStr"/>
    </row>
    <row r="972" ht="15" customHeight="1">
      <c r="A972" t="inlineStr">
        <is>
          <t>A 23070-2023</t>
        </is>
      </c>
      <c r="B972" s="1" t="n">
        <v>45075</v>
      </c>
      <c r="C972" s="1" t="n">
        <v>45988</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27824-2022</t>
        </is>
      </c>
      <c r="B973" s="1" t="n">
        <v>44743.59331018518</v>
      </c>
      <c r="C973" s="1" t="n">
        <v>45988</v>
      </c>
      <c r="D973" t="inlineStr">
        <is>
          <t>STOCKHOLMS LÄN</t>
        </is>
      </c>
      <c r="E973" t="inlineStr">
        <is>
          <t>NORRTÄLJE</t>
        </is>
      </c>
      <c r="F973" t="inlineStr">
        <is>
          <t>Kommuner</t>
        </is>
      </c>
      <c r="G973" t="n">
        <v>3.1</v>
      </c>
      <c r="H973" t="n">
        <v>0</v>
      </c>
      <c r="I973" t="n">
        <v>0</v>
      </c>
      <c r="J973" t="n">
        <v>0</v>
      </c>
      <c r="K973" t="n">
        <v>0</v>
      </c>
      <c r="L973" t="n">
        <v>0</v>
      </c>
      <c r="M973" t="n">
        <v>0</v>
      </c>
      <c r="N973" t="n">
        <v>0</v>
      </c>
      <c r="O973" t="n">
        <v>0</v>
      </c>
      <c r="P973" t="n">
        <v>0</v>
      </c>
      <c r="Q973" t="n">
        <v>0</v>
      </c>
      <c r="R973" s="2" t="inlineStr"/>
    </row>
    <row r="974" ht="15" customHeight="1">
      <c r="A974" t="inlineStr">
        <is>
          <t>A 25619-2022</t>
        </is>
      </c>
      <c r="B974" s="1" t="n">
        <v>44732</v>
      </c>
      <c r="C974" s="1" t="n">
        <v>45988</v>
      </c>
      <c r="D974" t="inlineStr">
        <is>
          <t>STOCKHOLMS LÄN</t>
        </is>
      </c>
      <c r="E974" t="inlineStr">
        <is>
          <t>NORRTÄLJE</t>
        </is>
      </c>
      <c r="G974" t="n">
        <v>3.9</v>
      </c>
      <c r="H974" t="n">
        <v>0</v>
      </c>
      <c r="I974" t="n">
        <v>0</v>
      </c>
      <c r="J974" t="n">
        <v>0</v>
      </c>
      <c r="K974" t="n">
        <v>0</v>
      </c>
      <c r="L974" t="n">
        <v>0</v>
      </c>
      <c r="M974" t="n">
        <v>0</v>
      </c>
      <c r="N974" t="n">
        <v>0</v>
      </c>
      <c r="O974" t="n">
        <v>0</v>
      </c>
      <c r="P974" t="n">
        <v>0</v>
      </c>
      <c r="Q974" t="n">
        <v>0</v>
      </c>
      <c r="R974" s="2" t="inlineStr"/>
    </row>
    <row r="975" ht="15" customHeight="1">
      <c r="A975" t="inlineStr">
        <is>
          <t>A 36246-2021</t>
        </is>
      </c>
      <c r="B975" s="1" t="n">
        <v>44390</v>
      </c>
      <c r="C975" s="1" t="n">
        <v>45988</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19952-2023</t>
        </is>
      </c>
      <c r="B976" s="1" t="n">
        <v>45054.54091435186</v>
      </c>
      <c r="C976" s="1" t="n">
        <v>45988</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19994-2023</t>
        </is>
      </c>
      <c r="B977" s="1" t="n">
        <v>45054</v>
      </c>
      <c r="C977" s="1" t="n">
        <v>45988</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14130-2025</t>
        </is>
      </c>
      <c r="B978" s="1" t="n">
        <v>45740.47288194444</v>
      </c>
      <c r="C978" s="1" t="n">
        <v>45988</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574-2023</t>
        </is>
      </c>
      <c r="B979" s="1" t="n">
        <v>44925</v>
      </c>
      <c r="C979" s="1" t="n">
        <v>45988</v>
      </c>
      <c r="D979" t="inlineStr">
        <is>
          <t>STOCKHOLMS LÄN</t>
        </is>
      </c>
      <c r="E979" t="inlineStr">
        <is>
          <t>NORRTÄLJE</t>
        </is>
      </c>
      <c r="G979" t="n">
        <v>5</v>
      </c>
      <c r="H979" t="n">
        <v>0</v>
      </c>
      <c r="I979" t="n">
        <v>0</v>
      </c>
      <c r="J979" t="n">
        <v>0</v>
      </c>
      <c r="K979" t="n">
        <v>0</v>
      </c>
      <c r="L979" t="n">
        <v>0</v>
      </c>
      <c r="M979" t="n">
        <v>0</v>
      </c>
      <c r="N979" t="n">
        <v>0</v>
      </c>
      <c r="O979" t="n">
        <v>0</v>
      </c>
      <c r="P979" t="n">
        <v>0</v>
      </c>
      <c r="Q979" t="n">
        <v>0</v>
      </c>
      <c r="R979" s="2" t="inlineStr"/>
    </row>
    <row r="980" ht="15" customHeight="1">
      <c r="A980" t="inlineStr">
        <is>
          <t>A 30283-2022</t>
        </is>
      </c>
      <c r="B980" s="1" t="n">
        <v>44760</v>
      </c>
      <c r="C980" s="1" t="n">
        <v>45988</v>
      </c>
      <c r="D980" t="inlineStr">
        <is>
          <t>STOCKHOLMS LÄN</t>
        </is>
      </c>
      <c r="E980" t="inlineStr">
        <is>
          <t>NORRTÄLJE</t>
        </is>
      </c>
      <c r="G980" t="n">
        <v>6.2</v>
      </c>
      <c r="H980" t="n">
        <v>0</v>
      </c>
      <c r="I980" t="n">
        <v>0</v>
      </c>
      <c r="J980" t="n">
        <v>0</v>
      </c>
      <c r="K980" t="n">
        <v>0</v>
      </c>
      <c r="L980" t="n">
        <v>0</v>
      </c>
      <c r="M980" t="n">
        <v>0</v>
      </c>
      <c r="N980" t="n">
        <v>0</v>
      </c>
      <c r="O980" t="n">
        <v>0</v>
      </c>
      <c r="P980" t="n">
        <v>0</v>
      </c>
      <c r="Q980" t="n">
        <v>0</v>
      </c>
      <c r="R980" s="2" t="inlineStr"/>
    </row>
    <row r="981" ht="15" customHeight="1">
      <c r="A981" t="inlineStr">
        <is>
          <t>A 30290-2022</t>
        </is>
      </c>
      <c r="B981" s="1" t="n">
        <v>44760</v>
      </c>
      <c r="C981" s="1" t="n">
        <v>45988</v>
      </c>
      <c r="D981" t="inlineStr">
        <is>
          <t>STOCKHOLMS LÄN</t>
        </is>
      </c>
      <c r="E981" t="inlineStr">
        <is>
          <t>NORRTÄLJE</t>
        </is>
      </c>
      <c r="G981" t="n">
        <v>4.8</v>
      </c>
      <c r="H981" t="n">
        <v>0</v>
      </c>
      <c r="I981" t="n">
        <v>0</v>
      </c>
      <c r="J981" t="n">
        <v>0</v>
      </c>
      <c r="K981" t="n">
        <v>0</v>
      </c>
      <c r="L981" t="n">
        <v>0</v>
      </c>
      <c r="M981" t="n">
        <v>0</v>
      </c>
      <c r="N981" t="n">
        <v>0</v>
      </c>
      <c r="O981" t="n">
        <v>0</v>
      </c>
      <c r="P981" t="n">
        <v>0</v>
      </c>
      <c r="Q981" t="n">
        <v>0</v>
      </c>
      <c r="R981" s="2" t="inlineStr"/>
    </row>
    <row r="982" ht="15" customHeight="1">
      <c r="A982" t="inlineStr">
        <is>
          <t>A 3143-2021</t>
        </is>
      </c>
      <c r="B982" s="1" t="n">
        <v>44217.40149305556</v>
      </c>
      <c r="C982" s="1" t="n">
        <v>45988</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29684-2021</t>
        </is>
      </c>
      <c r="B983" s="1" t="n">
        <v>44362.37172453704</v>
      </c>
      <c r="C983" s="1" t="n">
        <v>45988</v>
      </c>
      <c r="D983" t="inlineStr">
        <is>
          <t>STOCKHOLMS LÄN</t>
        </is>
      </c>
      <c r="E983" t="inlineStr">
        <is>
          <t>NORRTÄLJE</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60884-2024</t>
        </is>
      </c>
      <c r="B984" s="1" t="n">
        <v>45644.90815972222</v>
      </c>
      <c r="C984" s="1" t="n">
        <v>45988</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38610-2022</t>
        </is>
      </c>
      <c r="B985" s="1" t="n">
        <v>44813.59915509259</v>
      </c>
      <c r="C985" s="1" t="n">
        <v>45988</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10090-2022</t>
        </is>
      </c>
      <c r="B986" s="1" t="n">
        <v>44621</v>
      </c>
      <c r="C986" s="1" t="n">
        <v>45988</v>
      </c>
      <c r="D986" t="inlineStr">
        <is>
          <t>STOCKHOLMS LÄN</t>
        </is>
      </c>
      <c r="E986" t="inlineStr">
        <is>
          <t>NORRTÄLJE</t>
        </is>
      </c>
      <c r="G986" t="n">
        <v>5.2</v>
      </c>
      <c r="H986" t="n">
        <v>0</v>
      </c>
      <c r="I986" t="n">
        <v>0</v>
      </c>
      <c r="J986" t="n">
        <v>0</v>
      </c>
      <c r="K986" t="n">
        <v>0</v>
      </c>
      <c r="L986" t="n">
        <v>0</v>
      </c>
      <c r="M986" t="n">
        <v>0</v>
      </c>
      <c r="N986" t="n">
        <v>0</v>
      </c>
      <c r="O986" t="n">
        <v>0</v>
      </c>
      <c r="P986" t="n">
        <v>0</v>
      </c>
      <c r="Q986" t="n">
        <v>0</v>
      </c>
      <c r="R986" s="2" t="inlineStr"/>
    </row>
    <row r="987" ht="15" customHeight="1">
      <c r="A987" t="inlineStr">
        <is>
          <t>A 14724-2022</t>
        </is>
      </c>
      <c r="B987" s="1" t="n">
        <v>44656</v>
      </c>
      <c r="C987" s="1" t="n">
        <v>45988</v>
      </c>
      <c r="D987" t="inlineStr">
        <is>
          <t>STOCKHOLMS LÄN</t>
        </is>
      </c>
      <c r="E987" t="inlineStr">
        <is>
          <t>NORRTÄLJE</t>
        </is>
      </c>
      <c r="F987" t="inlineStr">
        <is>
          <t>Sveaskog</t>
        </is>
      </c>
      <c r="G987" t="n">
        <v>9</v>
      </c>
      <c r="H987" t="n">
        <v>0</v>
      </c>
      <c r="I987" t="n">
        <v>0</v>
      </c>
      <c r="J987" t="n">
        <v>0</v>
      </c>
      <c r="K987" t="n">
        <v>0</v>
      </c>
      <c r="L987" t="n">
        <v>0</v>
      </c>
      <c r="M987" t="n">
        <v>0</v>
      </c>
      <c r="N987" t="n">
        <v>0</v>
      </c>
      <c r="O987" t="n">
        <v>0</v>
      </c>
      <c r="P987" t="n">
        <v>0</v>
      </c>
      <c r="Q987" t="n">
        <v>0</v>
      </c>
      <c r="R987" s="2" t="inlineStr"/>
    </row>
    <row r="988" ht="15" customHeight="1">
      <c r="A988" t="inlineStr">
        <is>
          <t>A 18846-2022</t>
        </is>
      </c>
      <c r="B988" s="1" t="n">
        <v>44690</v>
      </c>
      <c r="C988" s="1" t="n">
        <v>45988</v>
      </c>
      <c r="D988" t="inlineStr">
        <is>
          <t>STOCKHOLMS LÄN</t>
        </is>
      </c>
      <c r="E988" t="inlineStr">
        <is>
          <t>NORRTÄLJE</t>
        </is>
      </c>
      <c r="G988" t="n">
        <v>7</v>
      </c>
      <c r="H988" t="n">
        <v>0</v>
      </c>
      <c r="I988" t="n">
        <v>0</v>
      </c>
      <c r="J988" t="n">
        <v>0</v>
      </c>
      <c r="K988" t="n">
        <v>0</v>
      </c>
      <c r="L988" t="n">
        <v>0</v>
      </c>
      <c r="M988" t="n">
        <v>0</v>
      </c>
      <c r="N988" t="n">
        <v>0</v>
      </c>
      <c r="O988" t="n">
        <v>0</v>
      </c>
      <c r="P988" t="n">
        <v>0</v>
      </c>
      <c r="Q988" t="n">
        <v>0</v>
      </c>
      <c r="R988" s="2" t="inlineStr"/>
    </row>
    <row r="989" ht="15" customHeight="1">
      <c r="A989" t="inlineStr">
        <is>
          <t>A 43300-2023</t>
        </is>
      </c>
      <c r="B989" s="1" t="n">
        <v>45183</v>
      </c>
      <c r="C989" s="1" t="n">
        <v>45988</v>
      </c>
      <c r="D989" t="inlineStr">
        <is>
          <t>STOCKHOLMS LÄN</t>
        </is>
      </c>
      <c r="E989" t="inlineStr">
        <is>
          <t>NORRTÄLJE</t>
        </is>
      </c>
      <c r="G989" t="n">
        <v>2.3</v>
      </c>
      <c r="H989" t="n">
        <v>0</v>
      </c>
      <c r="I989" t="n">
        <v>0</v>
      </c>
      <c r="J989" t="n">
        <v>0</v>
      </c>
      <c r="K989" t="n">
        <v>0</v>
      </c>
      <c r="L989" t="n">
        <v>0</v>
      </c>
      <c r="M989" t="n">
        <v>0</v>
      </c>
      <c r="N989" t="n">
        <v>0</v>
      </c>
      <c r="O989" t="n">
        <v>0</v>
      </c>
      <c r="P989" t="n">
        <v>0</v>
      </c>
      <c r="Q989" t="n">
        <v>0</v>
      </c>
      <c r="R989" s="2" t="inlineStr"/>
    </row>
    <row r="990" ht="15" customHeight="1">
      <c r="A990" t="inlineStr">
        <is>
          <t>A 25654-2023</t>
        </is>
      </c>
      <c r="B990" s="1" t="n">
        <v>45089</v>
      </c>
      <c r="C990" s="1" t="n">
        <v>45988</v>
      </c>
      <c r="D990" t="inlineStr">
        <is>
          <t>STOCKHOLMS LÄN</t>
        </is>
      </c>
      <c r="E990" t="inlineStr">
        <is>
          <t>NORRTÄLJE</t>
        </is>
      </c>
      <c r="G990" t="n">
        <v>2.1</v>
      </c>
      <c r="H990" t="n">
        <v>0</v>
      </c>
      <c r="I990" t="n">
        <v>0</v>
      </c>
      <c r="J990" t="n">
        <v>0</v>
      </c>
      <c r="K990" t="n">
        <v>0</v>
      </c>
      <c r="L990" t="n">
        <v>0</v>
      </c>
      <c r="M990" t="n">
        <v>0</v>
      </c>
      <c r="N990" t="n">
        <v>0</v>
      </c>
      <c r="O990" t="n">
        <v>0</v>
      </c>
      <c r="P990" t="n">
        <v>0</v>
      </c>
      <c r="Q990" t="n">
        <v>0</v>
      </c>
      <c r="R990" s="2" t="inlineStr"/>
    </row>
    <row r="991" ht="15" customHeight="1">
      <c r="A991" t="inlineStr">
        <is>
          <t>A 23125-2022</t>
        </is>
      </c>
      <c r="B991" s="1" t="n">
        <v>44719</v>
      </c>
      <c r="C991" s="1" t="n">
        <v>45988</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20121-2022</t>
        </is>
      </c>
      <c r="B992" s="1" t="n">
        <v>44698</v>
      </c>
      <c r="C992" s="1" t="n">
        <v>45988</v>
      </c>
      <c r="D992" t="inlineStr">
        <is>
          <t>STOCKHOLMS LÄN</t>
        </is>
      </c>
      <c r="E992" t="inlineStr">
        <is>
          <t>NORRTÄLJE</t>
        </is>
      </c>
      <c r="G992" t="n">
        <v>4.2</v>
      </c>
      <c r="H992" t="n">
        <v>0</v>
      </c>
      <c r="I992" t="n">
        <v>0</v>
      </c>
      <c r="J992" t="n">
        <v>0</v>
      </c>
      <c r="K992" t="n">
        <v>0</v>
      </c>
      <c r="L992" t="n">
        <v>0</v>
      </c>
      <c r="M992" t="n">
        <v>0</v>
      </c>
      <c r="N992" t="n">
        <v>0</v>
      </c>
      <c r="O992" t="n">
        <v>0</v>
      </c>
      <c r="P992" t="n">
        <v>0</v>
      </c>
      <c r="Q992" t="n">
        <v>0</v>
      </c>
      <c r="R992" s="2" t="inlineStr"/>
    </row>
    <row r="993" ht="15" customHeight="1">
      <c r="A993" t="inlineStr">
        <is>
          <t>A 33385-2024</t>
        </is>
      </c>
      <c r="B993" s="1" t="n">
        <v>45519</v>
      </c>
      <c r="C993" s="1" t="n">
        <v>45988</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41172-2023</t>
        </is>
      </c>
      <c r="B994" s="1" t="n">
        <v>45170</v>
      </c>
      <c r="C994" s="1" t="n">
        <v>45988</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73307-2021</t>
        </is>
      </c>
      <c r="B995" s="1" t="n">
        <v>44549</v>
      </c>
      <c r="C995" s="1" t="n">
        <v>45988</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50534-2024</t>
        </is>
      </c>
      <c r="B996" s="1" t="n">
        <v>45601.56726851852</v>
      </c>
      <c r="C996" s="1" t="n">
        <v>45988</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11988-2021</t>
        </is>
      </c>
      <c r="B997" s="1" t="n">
        <v>44266</v>
      </c>
      <c r="C997" s="1" t="n">
        <v>45988</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12132-2021</t>
        </is>
      </c>
      <c r="B998" s="1" t="n">
        <v>44266</v>
      </c>
      <c r="C998" s="1" t="n">
        <v>45988</v>
      </c>
      <c r="D998" t="inlineStr">
        <is>
          <t>STOCKHOLMS LÄN</t>
        </is>
      </c>
      <c r="E998" t="inlineStr">
        <is>
          <t>NORRTÄLJE</t>
        </is>
      </c>
      <c r="G998" t="n">
        <v>4</v>
      </c>
      <c r="H998" t="n">
        <v>0</v>
      </c>
      <c r="I998" t="n">
        <v>0</v>
      </c>
      <c r="J998" t="n">
        <v>0</v>
      </c>
      <c r="K998" t="n">
        <v>0</v>
      </c>
      <c r="L998" t="n">
        <v>0</v>
      </c>
      <c r="M998" t="n">
        <v>0</v>
      </c>
      <c r="N998" t="n">
        <v>0</v>
      </c>
      <c r="O998" t="n">
        <v>0</v>
      </c>
      <c r="P998" t="n">
        <v>0</v>
      </c>
      <c r="Q998" t="n">
        <v>0</v>
      </c>
      <c r="R998" s="2" t="inlineStr"/>
    </row>
    <row r="999" ht="15" customHeight="1">
      <c r="A999" t="inlineStr">
        <is>
          <t>A 65499-2021</t>
        </is>
      </c>
      <c r="B999" s="1" t="n">
        <v>44516</v>
      </c>
      <c r="C999" s="1" t="n">
        <v>45988</v>
      </c>
      <c r="D999" t="inlineStr">
        <is>
          <t>STOCKHOLMS LÄN</t>
        </is>
      </c>
      <c r="E999" t="inlineStr">
        <is>
          <t>NORRTÄLJE</t>
        </is>
      </c>
      <c r="F999" t="inlineStr">
        <is>
          <t>Kommuner</t>
        </is>
      </c>
      <c r="G999" t="n">
        <v>5.2</v>
      </c>
      <c r="H999" t="n">
        <v>0</v>
      </c>
      <c r="I999" t="n">
        <v>0</v>
      </c>
      <c r="J999" t="n">
        <v>0</v>
      </c>
      <c r="K999" t="n">
        <v>0</v>
      </c>
      <c r="L999" t="n">
        <v>0</v>
      </c>
      <c r="M999" t="n">
        <v>0</v>
      </c>
      <c r="N999" t="n">
        <v>0</v>
      </c>
      <c r="O999" t="n">
        <v>0</v>
      </c>
      <c r="P999" t="n">
        <v>0</v>
      </c>
      <c r="Q999" t="n">
        <v>0</v>
      </c>
      <c r="R999" s="2" t="inlineStr"/>
    </row>
    <row r="1000" ht="15" customHeight="1">
      <c r="A1000" t="inlineStr">
        <is>
          <t>A 65511-2021</t>
        </is>
      </c>
      <c r="B1000" s="1" t="n">
        <v>44516.40674768519</v>
      </c>
      <c r="C1000" s="1" t="n">
        <v>45988</v>
      </c>
      <c r="D1000" t="inlineStr">
        <is>
          <t>STOCKHOLMS LÄN</t>
        </is>
      </c>
      <c r="E1000" t="inlineStr">
        <is>
          <t>NORRTÄLJE</t>
        </is>
      </c>
      <c r="F1000" t="inlineStr">
        <is>
          <t>Kommuner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22833-2024</t>
        </is>
      </c>
      <c r="B1001" s="1" t="n">
        <v>45448.56746527777</v>
      </c>
      <c r="C1001" s="1" t="n">
        <v>45988</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32514-2022</t>
        </is>
      </c>
      <c r="B1002" s="1" t="n">
        <v>44782</v>
      </c>
      <c r="C1002" s="1" t="n">
        <v>45988</v>
      </c>
      <c r="D1002" t="inlineStr">
        <is>
          <t>STOCKHOLMS LÄN</t>
        </is>
      </c>
      <c r="E1002" t="inlineStr">
        <is>
          <t>NORRTÄLJE</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29362-2022</t>
        </is>
      </c>
      <c r="B1003" s="1" t="n">
        <v>44753</v>
      </c>
      <c r="C1003" s="1" t="n">
        <v>45988</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58492-2022</t>
        </is>
      </c>
      <c r="B1004" s="1" t="n">
        <v>44902</v>
      </c>
      <c r="C1004" s="1" t="n">
        <v>45988</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51315-2021</t>
        </is>
      </c>
      <c r="B1005" s="1" t="n">
        <v>44461</v>
      </c>
      <c r="C1005" s="1" t="n">
        <v>45988</v>
      </c>
      <c r="D1005" t="inlineStr">
        <is>
          <t>STOCKHOLMS LÄN</t>
        </is>
      </c>
      <c r="E1005" t="inlineStr">
        <is>
          <t>NORRTÄLJE</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14873-2025</t>
        </is>
      </c>
      <c r="B1006" s="1" t="n">
        <v>45743.44953703704</v>
      </c>
      <c r="C1006" s="1" t="n">
        <v>45988</v>
      </c>
      <c r="D1006" t="inlineStr">
        <is>
          <t>STOCKHOLMS LÄN</t>
        </is>
      </c>
      <c r="E1006" t="inlineStr">
        <is>
          <t>NORRTÄLJE</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34773-2022</t>
        </is>
      </c>
      <c r="B1007" s="1" t="n">
        <v>44795</v>
      </c>
      <c r="C1007" s="1" t="n">
        <v>45988</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33173-2024</t>
        </is>
      </c>
      <c r="B1008" s="1" t="n">
        <v>45518</v>
      </c>
      <c r="C1008" s="1" t="n">
        <v>45988</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4484-2025</t>
        </is>
      </c>
      <c r="B1009" s="1" t="n">
        <v>45686.65545138889</v>
      </c>
      <c r="C1009" s="1" t="n">
        <v>45988</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33878-2024</t>
        </is>
      </c>
      <c r="B1010" s="1" t="n">
        <v>45522.44414351852</v>
      </c>
      <c r="C1010" s="1" t="n">
        <v>45988</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9246-2024</t>
        </is>
      </c>
      <c r="B1011" s="1" t="n">
        <v>45357</v>
      </c>
      <c r="C1011" s="1" t="n">
        <v>45988</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35698-2023</t>
        </is>
      </c>
      <c r="B1012" s="1" t="n">
        <v>45147</v>
      </c>
      <c r="C1012" s="1" t="n">
        <v>45988</v>
      </c>
      <c r="D1012" t="inlineStr">
        <is>
          <t>STOCKHOLMS LÄN</t>
        </is>
      </c>
      <c r="E1012" t="inlineStr">
        <is>
          <t>NORRTÄLJE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62398-2022</t>
        </is>
      </c>
      <c r="B1013" s="1" t="n">
        <v>44923.90159722222</v>
      </c>
      <c r="C1013" s="1" t="n">
        <v>45988</v>
      </c>
      <c r="D1013" t="inlineStr">
        <is>
          <t>STOCKHOLMS LÄN</t>
        </is>
      </c>
      <c r="E1013" t="inlineStr">
        <is>
          <t>NORRTÄLJE</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49700-2023</t>
        </is>
      </c>
      <c r="B1014" s="1" t="n">
        <v>45212</v>
      </c>
      <c r="C1014" s="1" t="n">
        <v>45988</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32071-2023</t>
        </is>
      </c>
      <c r="B1015" s="1" t="n">
        <v>45119.57728009259</v>
      </c>
      <c r="C1015" s="1" t="n">
        <v>45988</v>
      </c>
      <c r="D1015" t="inlineStr">
        <is>
          <t>STOCKHOLMS LÄN</t>
        </is>
      </c>
      <c r="E1015" t="inlineStr">
        <is>
          <t>NORRTÄLJE</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1425-2025</t>
        </is>
      </c>
      <c r="B1016" s="1" t="n">
        <v>45668.67446759259</v>
      </c>
      <c r="C1016" s="1" t="n">
        <v>45988</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17775-2022</t>
        </is>
      </c>
      <c r="B1017" s="1" t="n">
        <v>44682.78430555556</v>
      </c>
      <c r="C1017" s="1" t="n">
        <v>45988</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38720-2022</t>
        </is>
      </c>
      <c r="B1018" s="1" t="n">
        <v>44815.74539351852</v>
      </c>
      <c r="C1018" s="1" t="n">
        <v>45988</v>
      </c>
      <c r="D1018" t="inlineStr">
        <is>
          <t>STOCKHOLMS LÄN</t>
        </is>
      </c>
      <c r="E1018" t="inlineStr">
        <is>
          <t>NORRTÄLJE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10215-2023</t>
        </is>
      </c>
      <c r="B1019" s="1" t="n">
        <v>44986.5887962963</v>
      </c>
      <c r="C1019" s="1" t="n">
        <v>45988</v>
      </c>
      <c r="D1019" t="inlineStr">
        <is>
          <t>STOCKHOLMS LÄN</t>
        </is>
      </c>
      <c r="E1019" t="inlineStr">
        <is>
          <t>NORRTÄLJE</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25609-2023</t>
        </is>
      </c>
      <c r="B1020" s="1" t="n">
        <v>45089</v>
      </c>
      <c r="C1020" s="1" t="n">
        <v>45988</v>
      </c>
      <c r="D1020" t="inlineStr">
        <is>
          <t>STOCKHOLMS LÄN</t>
        </is>
      </c>
      <c r="E1020" t="inlineStr">
        <is>
          <t>NORRTÄLJE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20014-2025</t>
        </is>
      </c>
      <c r="B1021" s="1" t="n">
        <v>45772.3078125</v>
      </c>
      <c r="C1021" s="1" t="n">
        <v>45988</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20136-2025</t>
        </is>
      </c>
      <c r="B1022" s="1" t="n">
        <v>45772.51127314815</v>
      </c>
      <c r="C1022" s="1" t="n">
        <v>45988</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2287-2024</t>
        </is>
      </c>
      <c r="B1023" s="1" t="n">
        <v>45310</v>
      </c>
      <c r="C1023" s="1" t="n">
        <v>45988</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13785-2024</t>
        </is>
      </c>
      <c r="B1024" s="1" t="n">
        <v>45391.3395949074</v>
      </c>
      <c r="C1024" s="1" t="n">
        <v>45988</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50469-2022</t>
        </is>
      </c>
      <c r="B1025" s="1" t="n">
        <v>44866.49827546296</v>
      </c>
      <c r="C1025" s="1" t="n">
        <v>45988</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51116-2022</t>
        </is>
      </c>
      <c r="B1026" s="1" t="n">
        <v>44868.45741898148</v>
      </c>
      <c r="C1026" s="1" t="n">
        <v>45988</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60217-2021</t>
        </is>
      </c>
      <c r="B1027" s="1" t="n">
        <v>44495.5893287037</v>
      </c>
      <c r="C1027" s="1" t="n">
        <v>45988</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5839-2023</t>
        </is>
      </c>
      <c r="B1028" s="1" t="n">
        <v>44963</v>
      </c>
      <c r="C1028" s="1" t="n">
        <v>45988</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38985-2022</t>
        </is>
      </c>
      <c r="B1029" s="1" t="n">
        <v>44816</v>
      </c>
      <c r="C1029" s="1" t="n">
        <v>45988</v>
      </c>
      <c r="D1029" t="inlineStr">
        <is>
          <t>STOCKHOLMS LÄN</t>
        </is>
      </c>
      <c r="E1029" t="inlineStr">
        <is>
          <t>NORRTÄLJE</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5665-2025</t>
        </is>
      </c>
      <c r="B1030" s="1" t="n">
        <v>45693</v>
      </c>
      <c r="C1030" s="1" t="n">
        <v>45988</v>
      </c>
      <c r="D1030" t="inlineStr">
        <is>
          <t>STOCKHOLMS LÄN</t>
        </is>
      </c>
      <c r="E1030" t="inlineStr">
        <is>
          <t>NORRTÄLJE</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3426-2025</t>
        </is>
      </c>
      <c r="B1031" s="1" t="n">
        <v>45680.42665509259</v>
      </c>
      <c r="C1031" s="1" t="n">
        <v>45988</v>
      </c>
      <c r="D1031" t="inlineStr">
        <is>
          <t>STOCKHOLMS LÄN</t>
        </is>
      </c>
      <c r="E1031" t="inlineStr">
        <is>
          <t>NORRTÄLJE</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58530-2024</t>
        </is>
      </c>
      <c r="B1032" s="1" t="n">
        <v>45635.44788194444</v>
      </c>
      <c r="C1032" s="1" t="n">
        <v>45988</v>
      </c>
      <c r="D1032" t="inlineStr">
        <is>
          <t>STOCKHOLMS LÄN</t>
        </is>
      </c>
      <c r="E1032" t="inlineStr">
        <is>
          <t>NORRTÄLJE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22421-2021</t>
        </is>
      </c>
      <c r="B1033" s="1" t="n">
        <v>44326</v>
      </c>
      <c r="C1033" s="1" t="n">
        <v>45988</v>
      </c>
      <c r="D1033" t="inlineStr">
        <is>
          <t>STOCKHOLMS LÄN</t>
        </is>
      </c>
      <c r="E1033" t="inlineStr">
        <is>
          <t>NORRTÄLJE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40761-2024</t>
        </is>
      </c>
      <c r="B1034" s="1" t="n">
        <v>45558.46283564815</v>
      </c>
      <c r="C1034" s="1" t="n">
        <v>45988</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4553-2023</t>
        </is>
      </c>
      <c r="B1035" s="1" t="n">
        <v>44956.65920138889</v>
      </c>
      <c r="C1035" s="1" t="n">
        <v>45988</v>
      </c>
      <c r="D1035" t="inlineStr">
        <is>
          <t>STOCKHOLMS LÄN</t>
        </is>
      </c>
      <c r="E1035" t="inlineStr">
        <is>
          <t>NORRTÄLJE</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45988</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13171-2025</t>
        </is>
      </c>
      <c r="B1037" s="1" t="n">
        <v>45735.36594907408</v>
      </c>
      <c r="C1037" s="1" t="n">
        <v>45988</v>
      </c>
      <c r="D1037" t="inlineStr">
        <is>
          <t>STOCKHOLMS LÄN</t>
        </is>
      </c>
      <c r="E1037" t="inlineStr">
        <is>
          <t>NORRTÄLJE</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51978-2023</t>
        </is>
      </c>
      <c r="B1038" s="1" t="n">
        <v>45223</v>
      </c>
      <c r="C1038" s="1" t="n">
        <v>45988</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18092-2022</t>
        </is>
      </c>
      <c r="B1039" s="1" t="n">
        <v>44684</v>
      </c>
      <c r="C1039" s="1" t="n">
        <v>45988</v>
      </c>
      <c r="D1039" t="inlineStr">
        <is>
          <t>STOCKHOLMS LÄN</t>
        </is>
      </c>
      <c r="E1039" t="inlineStr">
        <is>
          <t>NORRTÄLJE</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59310-2023</t>
        </is>
      </c>
      <c r="B1040" s="1" t="n">
        <v>45253.61146990741</v>
      </c>
      <c r="C1040" s="1" t="n">
        <v>45988</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9329-2023</t>
        </is>
      </c>
      <c r="B1041" s="1" t="n">
        <v>44980</v>
      </c>
      <c r="C1041" s="1" t="n">
        <v>45988</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59878-2024</t>
        </is>
      </c>
      <c r="B1042" s="1" t="n">
        <v>45640.60240740741</v>
      </c>
      <c r="C1042" s="1" t="n">
        <v>45988</v>
      </c>
      <c r="D1042" t="inlineStr">
        <is>
          <t>STOCKHOLMS LÄN</t>
        </is>
      </c>
      <c r="E1042" t="inlineStr">
        <is>
          <t>NORRTÄLJE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41335-2023</t>
        </is>
      </c>
      <c r="B1043" s="1" t="n">
        <v>45174.68702546296</v>
      </c>
      <c r="C1043" s="1" t="n">
        <v>45988</v>
      </c>
      <c r="D1043" t="inlineStr">
        <is>
          <t>STOCKHOLMS LÄN</t>
        </is>
      </c>
      <c r="E1043" t="inlineStr">
        <is>
          <t>NORRTÄLJE</t>
        </is>
      </c>
      <c r="F1043" t="inlineStr">
        <is>
          <t>Holmen skog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33040-2021</t>
        </is>
      </c>
      <c r="B1044" s="1" t="n">
        <v>44376.50728009259</v>
      </c>
      <c r="C1044" s="1" t="n">
        <v>45988</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33053-2021</t>
        </is>
      </c>
      <c r="B1045" s="1" t="n">
        <v>44376</v>
      </c>
      <c r="C1045" s="1" t="n">
        <v>45988</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43150-2023</t>
        </is>
      </c>
      <c r="B1046" s="1" t="n">
        <v>45183</v>
      </c>
      <c r="C1046" s="1" t="n">
        <v>45988</v>
      </c>
      <c r="D1046" t="inlineStr">
        <is>
          <t>STOCKHOLMS LÄN</t>
        </is>
      </c>
      <c r="E1046" t="inlineStr">
        <is>
          <t>NORRTÄLJE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5950-2021</t>
        </is>
      </c>
      <c r="B1047" s="1" t="n">
        <v>44231</v>
      </c>
      <c r="C1047" s="1" t="n">
        <v>45988</v>
      </c>
      <c r="D1047" t="inlineStr">
        <is>
          <t>STOCKHOLMS LÄN</t>
        </is>
      </c>
      <c r="E1047" t="inlineStr">
        <is>
          <t>NORRTÄLJE</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54259-2023</t>
        </is>
      </c>
      <c r="B1048" s="1" t="n">
        <v>45232</v>
      </c>
      <c r="C1048" s="1" t="n">
        <v>45988</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60822-2023</t>
        </is>
      </c>
      <c r="B1049" s="1" t="n">
        <v>45259</v>
      </c>
      <c r="C1049" s="1" t="n">
        <v>45988</v>
      </c>
      <c r="D1049" t="inlineStr">
        <is>
          <t>STOCKHOLMS LÄN</t>
        </is>
      </c>
      <c r="E1049" t="inlineStr">
        <is>
          <t>NORRTÄLJE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12031-2021</t>
        </is>
      </c>
      <c r="B1050" s="1" t="n">
        <v>44266</v>
      </c>
      <c r="C1050" s="1" t="n">
        <v>45988</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27381-2024</t>
        </is>
      </c>
      <c r="B1051" s="1" t="n">
        <v>45473.94501157408</v>
      </c>
      <c r="C1051" s="1" t="n">
        <v>45988</v>
      </c>
      <c r="D1051" t="inlineStr">
        <is>
          <t>STOCKHOLMS LÄN</t>
        </is>
      </c>
      <c r="E1051" t="inlineStr">
        <is>
          <t>NORRTÄLJE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23265-2023</t>
        </is>
      </c>
      <c r="B1052" s="1" t="n">
        <v>45075.90703703704</v>
      </c>
      <c r="C1052" s="1" t="n">
        <v>45988</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26117-2024</t>
        </is>
      </c>
      <c r="B1053" s="1" t="n">
        <v>45468.45877314815</v>
      </c>
      <c r="C1053" s="1" t="n">
        <v>45988</v>
      </c>
      <c r="D1053" t="inlineStr">
        <is>
          <t>STOCKHOLMS LÄN</t>
        </is>
      </c>
      <c r="E1053" t="inlineStr">
        <is>
          <t>NORRTÄLJE</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20336-2024</t>
        </is>
      </c>
      <c r="B1054" s="1" t="n">
        <v>45435.43123842592</v>
      </c>
      <c r="C1054" s="1" t="n">
        <v>45988</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1847-2023</t>
        </is>
      </c>
      <c r="B1055" s="1" t="n">
        <v>44938</v>
      </c>
      <c r="C1055" s="1" t="n">
        <v>45988</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59721-2024</t>
        </is>
      </c>
      <c r="B1056" s="1" t="n">
        <v>45639.47385416667</v>
      </c>
      <c r="C1056" s="1" t="n">
        <v>45988</v>
      </c>
      <c r="D1056" t="inlineStr">
        <is>
          <t>STOCKHOLMS LÄN</t>
        </is>
      </c>
      <c r="E1056" t="inlineStr">
        <is>
          <t>NORRTÄLJE</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37010-2022</t>
        </is>
      </c>
      <c r="B1057" s="1" t="n">
        <v>44806.41576388889</v>
      </c>
      <c r="C1057" s="1" t="n">
        <v>45988</v>
      </c>
      <c r="D1057" t="inlineStr">
        <is>
          <t>STOCKHOLMS LÄN</t>
        </is>
      </c>
      <c r="E1057" t="inlineStr">
        <is>
          <t>NORRTÄLJE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951-2023</t>
        </is>
      </c>
      <c r="B1058" s="1" t="n">
        <v>44934</v>
      </c>
      <c r="C1058" s="1" t="n">
        <v>45988</v>
      </c>
      <c r="D1058" t="inlineStr">
        <is>
          <t>STOCKHOLMS LÄN</t>
        </is>
      </c>
      <c r="E1058" t="inlineStr">
        <is>
          <t>NORRTÄLJE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44959.74533564815</v>
      </c>
      <c r="C1059" s="1" t="n">
        <v>45988</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50182-2024</t>
        </is>
      </c>
      <c r="B1060" s="1" t="n">
        <v>45600.47275462963</v>
      </c>
      <c r="C1060" s="1" t="n">
        <v>45988</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12629-2024</t>
        </is>
      </c>
      <c r="B1061" s="1" t="n">
        <v>45383</v>
      </c>
      <c r="C1061" s="1" t="n">
        <v>45988</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35708-2022</t>
        </is>
      </c>
      <c r="B1062" s="1" t="n">
        <v>44799.65013888889</v>
      </c>
      <c r="C1062" s="1" t="n">
        <v>45988</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45220-2024</t>
        </is>
      </c>
      <c r="B1063" s="1" t="n">
        <v>45575</v>
      </c>
      <c r="C1063" s="1" t="n">
        <v>45988</v>
      </c>
      <c r="D1063" t="inlineStr">
        <is>
          <t>STOCKHOLMS LÄN</t>
        </is>
      </c>
      <c r="E1063" t="inlineStr">
        <is>
          <t>NORRTÄLJE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21731-2023</t>
        </is>
      </c>
      <c r="B1064" s="1" t="n">
        <v>45063</v>
      </c>
      <c r="C1064" s="1" t="n">
        <v>45988</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23266-2023</t>
        </is>
      </c>
      <c r="B1065" s="1" t="n">
        <v>45075.90817129629</v>
      </c>
      <c r="C1065" s="1" t="n">
        <v>45988</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47521-2024</t>
        </is>
      </c>
      <c r="B1066" s="1" t="n">
        <v>45587.62565972222</v>
      </c>
      <c r="C1066" s="1" t="n">
        <v>45988</v>
      </c>
      <c r="D1066" t="inlineStr">
        <is>
          <t>STOCKHOLMS LÄN</t>
        </is>
      </c>
      <c r="E1066" t="inlineStr">
        <is>
          <t>NORRTÄLJE</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58260-2023</t>
        </is>
      </c>
      <c r="B1067" s="1" t="n">
        <v>45245</v>
      </c>
      <c r="C1067" s="1" t="n">
        <v>45988</v>
      </c>
      <c r="D1067" t="inlineStr">
        <is>
          <t>STOCKHOLMS LÄN</t>
        </is>
      </c>
      <c r="E1067" t="inlineStr">
        <is>
          <t>NORRTÄLJE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58261-2023</t>
        </is>
      </c>
      <c r="B1068" s="1" t="n">
        <v>45245</v>
      </c>
      <c r="C1068" s="1" t="n">
        <v>45988</v>
      </c>
      <c r="D1068" t="inlineStr">
        <is>
          <t>STOCKHOLMS LÄN</t>
        </is>
      </c>
      <c r="E1068" t="inlineStr">
        <is>
          <t>NORRTÄLJE</t>
        </is>
      </c>
      <c r="G1068" t="n">
        <v>53.5</v>
      </c>
      <c r="H1068" t="n">
        <v>0</v>
      </c>
      <c r="I1068" t="n">
        <v>0</v>
      </c>
      <c r="J1068" t="n">
        <v>0</v>
      </c>
      <c r="K1068" t="n">
        <v>0</v>
      </c>
      <c r="L1068" t="n">
        <v>0</v>
      </c>
      <c r="M1068" t="n">
        <v>0</v>
      </c>
      <c r="N1068" t="n">
        <v>0</v>
      </c>
      <c r="O1068" t="n">
        <v>0</v>
      </c>
      <c r="P1068" t="n">
        <v>0</v>
      </c>
      <c r="Q1068" t="n">
        <v>0</v>
      </c>
      <c r="R1068" s="2" t="inlineStr"/>
    </row>
    <row r="1069" ht="15" customHeight="1">
      <c r="A1069" t="inlineStr">
        <is>
          <t>A 29266-2022</t>
        </is>
      </c>
      <c r="B1069" s="1" t="n">
        <v>44750.66068287037</v>
      </c>
      <c r="C1069" s="1" t="n">
        <v>45988</v>
      </c>
      <c r="D1069" t="inlineStr">
        <is>
          <t>STOCKHOLMS LÄN</t>
        </is>
      </c>
      <c r="E1069" t="inlineStr">
        <is>
          <t>NORRTÄLJE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29278-2022</t>
        </is>
      </c>
      <c r="B1070" s="1" t="n">
        <v>44750</v>
      </c>
      <c r="C1070" s="1" t="n">
        <v>45988</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37273-2024</t>
        </is>
      </c>
      <c r="B1071" s="1" t="n">
        <v>45540</v>
      </c>
      <c r="C1071" s="1" t="n">
        <v>45988</v>
      </c>
      <c r="D1071" t="inlineStr">
        <is>
          <t>STOCKHOLMS LÄN</t>
        </is>
      </c>
      <c r="E1071" t="inlineStr">
        <is>
          <t>NORRTÄLJE</t>
        </is>
      </c>
      <c r="F1071" t="inlineStr">
        <is>
          <t>Sveaskog</t>
        </is>
      </c>
      <c r="G1071" t="n">
        <v>12.5</v>
      </c>
      <c r="H1071" t="n">
        <v>0</v>
      </c>
      <c r="I1071" t="n">
        <v>0</v>
      </c>
      <c r="J1071" t="n">
        <v>0</v>
      </c>
      <c r="K1071" t="n">
        <v>0</v>
      </c>
      <c r="L1071" t="n">
        <v>0</v>
      </c>
      <c r="M1071" t="n">
        <v>0</v>
      </c>
      <c r="N1071" t="n">
        <v>0</v>
      </c>
      <c r="O1071" t="n">
        <v>0</v>
      </c>
      <c r="P1071" t="n">
        <v>0</v>
      </c>
      <c r="Q1071" t="n">
        <v>0</v>
      </c>
      <c r="R1071" s="2" t="inlineStr"/>
    </row>
    <row r="1072" ht="15" customHeight="1">
      <c r="A1072" t="inlineStr">
        <is>
          <t>A 12908-2025</t>
        </is>
      </c>
      <c r="B1072" s="1" t="n">
        <v>45733.82105324074</v>
      </c>
      <c r="C1072" s="1" t="n">
        <v>45988</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23060-2023</t>
        </is>
      </c>
      <c r="B1073" s="1" t="n">
        <v>45075</v>
      </c>
      <c r="C1073" s="1" t="n">
        <v>45988</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32103-2022</t>
        </is>
      </c>
      <c r="B1074" s="1" t="n">
        <v>44778</v>
      </c>
      <c r="C1074" s="1" t="n">
        <v>45988</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6401-2024</t>
        </is>
      </c>
      <c r="B1075" s="1" t="n">
        <v>45338</v>
      </c>
      <c r="C1075" s="1" t="n">
        <v>45988</v>
      </c>
      <c r="D1075" t="inlineStr">
        <is>
          <t>STOCKHOLMS LÄN</t>
        </is>
      </c>
      <c r="E1075" t="inlineStr">
        <is>
          <t>NORRTÄLJE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59504-2023</t>
        </is>
      </c>
      <c r="B1076" s="1" t="n">
        <v>45254</v>
      </c>
      <c r="C1076" s="1" t="n">
        <v>45988</v>
      </c>
      <c r="D1076" t="inlineStr">
        <is>
          <t>STOCKHOLMS LÄN</t>
        </is>
      </c>
      <c r="E1076" t="inlineStr">
        <is>
          <t>NORRTÄLJE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52321-2024</t>
        </is>
      </c>
      <c r="B1077" s="1" t="n">
        <v>45608</v>
      </c>
      <c r="C1077" s="1" t="n">
        <v>45988</v>
      </c>
      <c r="D1077" t="inlineStr">
        <is>
          <t>STOCKHOLMS LÄN</t>
        </is>
      </c>
      <c r="E1077" t="inlineStr">
        <is>
          <t>NORRTÄLJE</t>
        </is>
      </c>
      <c r="G1077" t="n">
        <v>18.1</v>
      </c>
      <c r="H1077" t="n">
        <v>0</v>
      </c>
      <c r="I1077" t="n">
        <v>0</v>
      </c>
      <c r="J1077" t="n">
        <v>0</v>
      </c>
      <c r="K1077" t="n">
        <v>0</v>
      </c>
      <c r="L1077" t="n">
        <v>0</v>
      </c>
      <c r="M1077" t="n">
        <v>0</v>
      </c>
      <c r="N1077" t="n">
        <v>0</v>
      </c>
      <c r="O1077" t="n">
        <v>0</v>
      </c>
      <c r="P1077" t="n">
        <v>0</v>
      </c>
      <c r="Q1077" t="n">
        <v>0</v>
      </c>
      <c r="R1077" s="2" t="inlineStr"/>
    </row>
    <row r="1078" ht="15" customHeight="1">
      <c r="A1078" t="inlineStr">
        <is>
          <t>A 48151-2024</t>
        </is>
      </c>
      <c r="B1078" s="1" t="n">
        <v>45589.68289351852</v>
      </c>
      <c r="C1078" s="1" t="n">
        <v>45988</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20370-2025</t>
        </is>
      </c>
      <c r="B1079" s="1" t="n">
        <v>45775.41451388889</v>
      </c>
      <c r="C1079" s="1" t="n">
        <v>45988</v>
      </c>
      <c r="D1079" t="inlineStr">
        <is>
          <t>STOCKHOLMS LÄN</t>
        </is>
      </c>
      <c r="E1079" t="inlineStr">
        <is>
          <t>NORRTÄLJE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19580-2022</t>
        </is>
      </c>
      <c r="B1080" s="1" t="n">
        <v>44693</v>
      </c>
      <c r="C1080" s="1" t="n">
        <v>45988</v>
      </c>
      <c r="D1080" t="inlineStr">
        <is>
          <t>STOCKHOLMS LÄN</t>
        </is>
      </c>
      <c r="E1080" t="inlineStr">
        <is>
          <t>NORRTÄLJE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30731-2023</t>
        </is>
      </c>
      <c r="B1081" s="1" t="n">
        <v>45112</v>
      </c>
      <c r="C1081" s="1" t="n">
        <v>45988</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4580-2025</t>
        </is>
      </c>
      <c r="B1082" s="1" t="n">
        <v>45687.5038425926</v>
      </c>
      <c r="C1082" s="1" t="n">
        <v>45988</v>
      </c>
      <c r="D1082" t="inlineStr">
        <is>
          <t>STOCKHOLMS LÄN</t>
        </is>
      </c>
      <c r="E1082" t="inlineStr">
        <is>
          <t>NORRTÄLJE</t>
        </is>
      </c>
      <c r="F1082" t="inlineStr">
        <is>
          <t>Holmen skog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31057-2022</t>
        </is>
      </c>
      <c r="B1083" s="1" t="n">
        <v>44769</v>
      </c>
      <c r="C1083" s="1" t="n">
        <v>45988</v>
      </c>
      <c r="D1083" t="inlineStr">
        <is>
          <t>STOCKHOLMS LÄN</t>
        </is>
      </c>
      <c r="E1083" t="inlineStr">
        <is>
          <t>NORRTÄLJE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31140-2023</t>
        </is>
      </c>
      <c r="B1084" s="1" t="n">
        <v>45113</v>
      </c>
      <c r="C1084" s="1" t="n">
        <v>45988</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31149-2023</t>
        </is>
      </c>
      <c r="B1085" s="1" t="n">
        <v>45113</v>
      </c>
      <c r="C1085" s="1" t="n">
        <v>45988</v>
      </c>
      <c r="D1085" t="inlineStr">
        <is>
          <t>STOCKHOLMS LÄN</t>
        </is>
      </c>
      <c r="E1085" t="inlineStr">
        <is>
          <t>NORRTÄLJE</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4658-2024</t>
        </is>
      </c>
      <c r="B1086" s="1" t="n">
        <v>45328.46336805556</v>
      </c>
      <c r="C1086" s="1" t="n">
        <v>45988</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19131-2025</t>
        </is>
      </c>
      <c r="B1087" s="1" t="n">
        <v>45769</v>
      </c>
      <c r="C1087" s="1" t="n">
        <v>45988</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7571-2024</t>
        </is>
      </c>
      <c r="B1088" s="1" t="n">
        <v>45348.46300925926</v>
      </c>
      <c r="C1088" s="1" t="n">
        <v>45988</v>
      </c>
      <c r="D1088" t="inlineStr">
        <is>
          <t>STOCKHOLMS LÄN</t>
        </is>
      </c>
      <c r="E1088" t="inlineStr">
        <is>
          <t>NORRTÄLJE</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11849-2025</t>
        </is>
      </c>
      <c r="B1089" s="1" t="n">
        <v>45728.38409722222</v>
      </c>
      <c r="C1089" s="1" t="n">
        <v>45988</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40425-2021</t>
        </is>
      </c>
      <c r="B1090" s="1" t="n">
        <v>44419</v>
      </c>
      <c r="C1090" s="1" t="n">
        <v>45988</v>
      </c>
      <c r="D1090" t="inlineStr">
        <is>
          <t>STOCKHOLMS LÄN</t>
        </is>
      </c>
      <c r="E1090" t="inlineStr">
        <is>
          <t>NORRTÄLJE</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58990-2021</t>
        </is>
      </c>
      <c r="B1091" s="1" t="n">
        <v>44490.03621527777</v>
      </c>
      <c r="C1091" s="1" t="n">
        <v>45988</v>
      </c>
      <c r="D1091" t="inlineStr">
        <is>
          <t>STOCKHOLMS LÄN</t>
        </is>
      </c>
      <c r="E1091" t="inlineStr">
        <is>
          <t>NORRTÄLJE</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20790-2025</t>
        </is>
      </c>
      <c r="B1092" s="1" t="n">
        <v>45776.62563657408</v>
      </c>
      <c r="C1092" s="1" t="n">
        <v>45988</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20699-2025</t>
        </is>
      </c>
      <c r="B1093" s="1" t="n">
        <v>45776.47346064815</v>
      </c>
      <c r="C1093" s="1" t="n">
        <v>45988</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3152-2024</t>
        </is>
      </c>
      <c r="B1094" s="1" t="n">
        <v>45316.60306712963</v>
      </c>
      <c r="C1094" s="1" t="n">
        <v>45988</v>
      </c>
      <c r="D1094" t="inlineStr">
        <is>
          <t>STOCKHOLMS LÄN</t>
        </is>
      </c>
      <c r="E1094" t="inlineStr">
        <is>
          <t>NORRTÄLJE</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59326-2023</t>
        </is>
      </c>
      <c r="B1095" s="1" t="n">
        <v>45253.63089120371</v>
      </c>
      <c r="C1095" s="1" t="n">
        <v>45988</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44836-2023</t>
        </is>
      </c>
      <c r="B1096" s="1" t="n">
        <v>45190.55609953704</v>
      </c>
      <c r="C1096" s="1" t="n">
        <v>45988</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20779-2025</t>
        </is>
      </c>
      <c r="B1097" s="1" t="n">
        <v>45776.59871527777</v>
      </c>
      <c r="C1097" s="1" t="n">
        <v>45988</v>
      </c>
      <c r="D1097" t="inlineStr">
        <is>
          <t>STOCKHOLMS LÄN</t>
        </is>
      </c>
      <c r="E1097" t="inlineStr">
        <is>
          <t>NORRTÄLJE</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21771-2025</t>
        </is>
      </c>
      <c r="B1098" s="1" t="n">
        <v>45783</v>
      </c>
      <c r="C1098" s="1" t="n">
        <v>45988</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21778-2025</t>
        </is>
      </c>
      <c r="B1099" s="1" t="n">
        <v>45783.66429398148</v>
      </c>
      <c r="C1099" s="1" t="n">
        <v>45988</v>
      </c>
      <c r="D1099" t="inlineStr">
        <is>
          <t>STOCKHOLMS LÄN</t>
        </is>
      </c>
      <c r="E1099" t="inlineStr">
        <is>
          <t>NORRTÄLJE</t>
        </is>
      </c>
      <c r="G1099" t="n">
        <v>2</v>
      </c>
      <c r="H1099" t="n">
        <v>0</v>
      </c>
      <c r="I1099" t="n">
        <v>0</v>
      </c>
      <c r="J1099" t="n">
        <v>0</v>
      </c>
      <c r="K1099" t="n">
        <v>0</v>
      </c>
      <c r="L1099" t="n">
        <v>0</v>
      </c>
      <c r="M1099" t="n">
        <v>0</v>
      </c>
      <c r="N1099" t="n">
        <v>0</v>
      </c>
      <c r="O1099" t="n">
        <v>0</v>
      </c>
      <c r="P1099" t="n">
        <v>0</v>
      </c>
      <c r="Q1099" t="n">
        <v>0</v>
      </c>
      <c r="R1099" s="2" t="inlineStr"/>
    </row>
    <row r="1100">
      <c r="A1100" t="inlineStr">
        <is>
          <t>A 22202-2025</t>
        </is>
      </c>
      <c r="B1100" s="1" t="n">
        <v>45785.65300925926</v>
      </c>
      <c r="C1100" s="1" t="n">
        <v>45988</v>
      </c>
      <c r="D1100" t="inlineStr">
        <is>
          <t>STOCKHOLMS LÄN</t>
        </is>
      </c>
      <c r="E1100" t="inlineStr">
        <is>
          <t>NORRTÄLJE</t>
        </is>
      </c>
      <c r="G1100" t="n">
        <v>10.2</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2025-11-27T10:22:55Z</dcterms:created>
  <dcterms:modified xmlns:dcterms="http://purl.org/dc/terms/" xmlns:xsi="http://www.w3.org/2001/XMLSchema-instance" xsi:type="dcterms:W3CDTF">2025-11-27T10:22:56Z</dcterms:modified>
</cp:coreProperties>
</file>